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6"/>
  <sheetViews>
    <sheetView workbookViewId="0">
      <selection activeCell="A1" sqref="A1"/>
    </sheetView>
  </sheetViews>
  <sheetFormatPr baseColWidth="8" defaultRowHeight="15"/>
  <sheetData>
    <row r="1">
      <c r="A1" s="1" t="inlineStr">
        <is>
          <t>Sno</t>
        </is>
      </c>
      <c r="B1" s="1" t="inlineStr">
        <is>
          <t>Title</t>
        </is>
      </c>
      <c r="C1" s="1" t="inlineStr">
        <is>
          <t>Organisation Chain</t>
        </is>
      </c>
      <c r="D1" s="1" t="inlineStr">
        <is>
          <t>Closing Date</t>
        </is>
      </c>
      <c r="E1" s="1" t="inlineStr">
        <is>
          <t>Amount</t>
        </is>
      </c>
      <c r="F1" s="1" t="inlineStr">
        <is>
          <t>Work Description</t>
        </is>
      </c>
      <c r="G1" s="1" t="inlineStr">
        <is>
          <t>Location</t>
        </is>
      </c>
    </row>
    <row r="2">
      <c r="A2" s="1" t="n">
        <v>0</v>
      </c>
      <c r="B2">
        <f>HYPERLINK("https://eproc.rajasthan.gov.in/nicgep/app?component=%24DirectLink&amp;page=FrontEndViewTender&amp;service=direct&amp;session=T&amp;sp=SkiahGAq1sEDjZctgYWvJIw%3D%3D", "Construction of 150 mm dia 02 Nos Single Phase Tube wells at village Haidaripura, Gram Barana ki dhani, Village Pachala, Near Bairwa Shamshan Ghat, including PVC Tank of 2000 ltr of 2000 Capacity with platformUnder Sub Division Uniara District Tonk")</f>
        <v/>
      </c>
      <c r="C2" t="inlineStr">
        <is>
          <t>PHED-Chief Engineer(HQ),Jaipur||ACE Region Ajmer||SE, Bisalpur Project Cr. Ajmer||EE Dn Tonk</t>
        </is>
      </c>
      <c r="D2" t="inlineStr">
        <is>
          <t>28-May-2025 06:00 PM</t>
        </is>
      </c>
      <c r="E2" t="inlineStr">
        <is>
          <t>8,43,000</t>
        </is>
      </c>
      <c r="F2" t="inlineStr">
        <is>
          <t>Construction of 150 mm dia 02 Nos Single Phase Tube wells at village Haidaripura, Gram Barana ki dhani, Village Pachala, Near Bairwa Shamshan Ghat, including PVC Tank of 2000 ltr of 2000 Capacity with platformUnder Sub Division Uniara District Tonk</t>
        </is>
      </c>
      <c r="G2" t="inlineStr">
        <is>
          <t>Executive Engineer public health engineering depar</t>
        </is>
      </c>
    </row>
    <row r="3">
      <c r="A3" s="1" t="n">
        <v>1</v>
      </c>
      <c r="B3">
        <f>HYPERLINK("https://eproc.rajasthan.gov.in/nicgep/app?component=%24DirectLink&amp;page=FrontEndViewTender&amp;service=direct&amp;session=T&amp;sp=SO6TG9EtslT9bIGBLuQSCKw%3D%3D", "Construction of 200 mm dia 2 Nos Tube well at Village Toda ka Gothra Rajput Mohall Kasir School ke pass Keero ki dahni Under Sub Division Deoli District Tonk under Budget Announcement 2025-26")</f>
        <v/>
      </c>
      <c r="C3" t="inlineStr">
        <is>
          <t>PHED-Chief Engineer(HQ),Jaipur||ACE Region Ajmer||SE, Bisalpur Project Cr. Ajmer||EE Dn Tonk</t>
        </is>
      </c>
      <c r="D3" t="inlineStr">
        <is>
          <t>28-May-2025 06:00 PM</t>
        </is>
      </c>
      <c r="E3" t="inlineStr">
        <is>
          <t>10,95,000</t>
        </is>
      </c>
      <c r="F3" t="inlineStr">
        <is>
          <t>Construction of 200 mm dia 2 Nos Tube well at Village Toda ka Gothra Rajput Mohall Kasir School ke pass Keero ki dahni Under Sub Division Deoli District Tonk under Budget Announcement 2025-26</t>
        </is>
      </c>
      <c r="G3" t="inlineStr">
        <is>
          <t>Executive Engineer public health engineering depar</t>
        </is>
      </c>
    </row>
    <row r="4">
      <c r="A4" s="1" t="n">
        <v>2</v>
      </c>
      <c r="B4">
        <f>HYPERLINK("https://eproc.rajasthan.gov.in/nicgep/app?component=%24DirectLink&amp;page=FrontEndViewTender&amp;service=direct&amp;session=T&amp;sp=Sx5lLWdOzrnDfJ%2BOHq%2BRwPQ%3D%3D", "Construction of 200 mm dia 01 Nos Tube well at village Dooni, Near Talab Gram Panchyat Dooni, Under Sub Division Deoli District Tonk (under Budget Announcement 2025-26)")</f>
        <v/>
      </c>
      <c r="C4" t="inlineStr">
        <is>
          <t>PHED-Chief Engineer(HQ),Jaipur||ACE Region Ajmer||SE, Bisalpur Project Cr. Ajmer||EE Dn Tonk</t>
        </is>
      </c>
      <c r="D4" t="inlineStr">
        <is>
          <t>28-May-2025 06:00 PM</t>
        </is>
      </c>
      <c r="E4" t="inlineStr">
        <is>
          <t>9,54,000</t>
        </is>
      </c>
      <c r="F4" t="inlineStr">
        <is>
          <t>Construction of 200 mm dia 01 Nos Tube well at village Dooni, Near Talab Gram Panchyat Dooni, Under Sub Division Deoli District Tonk (under Budget Announcement 2025-26)</t>
        </is>
      </c>
      <c r="G4" t="inlineStr">
        <is>
          <t>Office address collector opposite residence civil</t>
        </is>
      </c>
    </row>
    <row r="5">
      <c r="A5" s="1" t="n">
        <v>3</v>
      </c>
      <c r="B5">
        <f>HYPERLINK("https://eproc.rajasthan.gov.in/nicgep/app?component=%24DirectLink&amp;page=FrontEndViewTender&amp;service=direct&amp;session=T&amp;sp=SAMk%2FnS2EZqvlqYiCDJAG7Q%3D%3D", "NIT No. 06/2025-26 EE Nagaur Work of Removal of Leakages in various size pipe lines for UWSS Kuchera under Jurisdictions of PHED Sub. Dn. Mundwa")</f>
        <v/>
      </c>
      <c r="C5" t="inlineStr">
        <is>
          <t>PHED-Chief Engineer(HQ),Jaipur||ACE Region Ajmer||SE Cr. Nagaur</t>
        </is>
      </c>
      <c r="D5" t="inlineStr">
        <is>
          <t>26-May-2025 06:00 PM</t>
        </is>
      </c>
      <c r="E5" t="inlineStr">
        <is>
          <t>4,50,000</t>
        </is>
      </c>
      <c r="F5" t="inlineStr">
        <is>
          <t>Work of Removal of Leakages in various size pipe lines for UWSS Kuchera under Jurisdictions of PHED Sub. Dn. Mundwa</t>
        </is>
      </c>
      <c r="G5" t="inlineStr">
        <is>
          <t>Executive Engineer PHED Dn. Nagaur</t>
        </is>
      </c>
    </row>
    <row r="6">
      <c r="A6" s="1" t="n">
        <v>4</v>
      </c>
      <c r="B6">
        <f>HYPERLINK("https://eproc.rajasthan.gov.in/nicgep/app?component=%24DirectLink&amp;page=FrontEndViewTender&amp;service=direct&amp;session=T&amp;sp=SXnCR0A3e2RPjkkkHDR%2F1jQ%3D%3D", "NIT No. 05/2025-26 Work of Removal of Leakages in various size pipe lines for RWSS under JEN Section Khinwsar under Jurisdiction of PHED Sub. Dn., Distt.II, Nagaur")</f>
        <v/>
      </c>
      <c r="C6" t="inlineStr">
        <is>
          <t>PHED-Chief Engineer(HQ),Jaipur||ACE Region Ajmer||SE Cr. Nagaur</t>
        </is>
      </c>
      <c r="D6" t="inlineStr">
        <is>
          <t>26-May-2025 03:00 PM</t>
        </is>
      </c>
      <c r="E6" t="inlineStr">
        <is>
          <t>3,50,000</t>
        </is>
      </c>
      <c r="F6" t="inlineStr">
        <is>
          <t>Work of Removal of Leakages in various size pipe lines for RWSS under JEN Section Khinwsar under Jurisdiction of PHED Sub. Dn., Distt.II, Nagaur</t>
        </is>
      </c>
      <c r="G6" t="inlineStr">
        <is>
          <t>Executive Engineer PHED Dn. Nagaur</t>
        </is>
      </c>
    </row>
    <row r="7">
      <c r="A7" s="1" t="n">
        <v>5</v>
      </c>
      <c r="B7">
        <f>HYPERLINK("https://eproc.rajasthan.gov.in/nicgep/app?component=%24DirectLink&amp;page=FrontEndViewTender&amp;service=direct&amp;session=T&amp;sp=S0uKlk%2FRv6a9AC1QGeeK%2F1g%3D%3D", "Supply and Installation of 3 phase ISI marked submersible motor pump set of five star rating at different tube wells of RWSS Bhadesar Distt. Chittorgarh with two year defect liability period")</f>
        <v/>
      </c>
      <c r="C7" t="inlineStr">
        <is>
          <t>PHED-Chief Engineer(HQ),Jaipur||ACE Region Udaipur||SE Cr.Chittorgarh</t>
        </is>
      </c>
      <c r="D7" t="inlineStr">
        <is>
          <t>21-May-2025 05:00 PM</t>
        </is>
      </c>
      <c r="E7" t="inlineStr">
        <is>
          <t>13,12,173</t>
        </is>
      </c>
      <c r="F7" t="inlineStr">
        <is>
          <t>Supply and Installation of 3 phase ISI marked submersible motor pump set of five star rating at different tube wells of RWSS Bhadesar Distt. Chittorgarh with two year defect liability period</t>
        </is>
      </c>
      <c r="G7" t="inlineStr">
        <is>
          <t>Nimbaheda</t>
        </is>
      </c>
    </row>
    <row r="8">
      <c r="A8" s="1" t="n">
        <v>6</v>
      </c>
      <c r="B8">
        <f>HYPERLINK("https://eproc.rajasthan.gov.in/nicgep/app?component=%24DirectLink&amp;page=FrontEndViewTender&amp;service=direct&amp;session=T&amp;sp=Sl%2BXzTiNJQxgoEZYPi9PX6g%3D%3D", "Construction of New RCC OHSR 100 KL capacity at RWSS Bhadsora Sub Division Bhadesar District Chittorgarh")</f>
        <v/>
      </c>
      <c r="C8" t="inlineStr">
        <is>
          <t>PHED-Chief Engineer(HQ),Jaipur||ACE Region Udaipur||SE Cr.Chittorgarh</t>
        </is>
      </c>
      <c r="D8" t="inlineStr">
        <is>
          <t>21-May-2025 05:00 PM</t>
        </is>
      </c>
      <c r="E8" t="inlineStr">
        <is>
          <t>33,37,761</t>
        </is>
      </c>
      <c r="F8" t="inlineStr">
        <is>
          <t>Construction of New RCC OHSR 100 KL capacity at RWSS Bhadsora Sub Division Bhadesar District Chittorgarh</t>
        </is>
      </c>
      <c r="G8" t="inlineStr">
        <is>
          <t>Nimbaheda</t>
        </is>
      </c>
    </row>
    <row r="9">
      <c r="A9" s="1" t="n">
        <v>7</v>
      </c>
      <c r="B9">
        <f>HYPERLINK("https://eproc.rajasthan.gov.in/nicgep/app?component=%24DirectLink&amp;page=FrontEndViewTender&amp;service=direct&amp;session=T&amp;sp=S03D%2BHYvY26slg3XHBIqezw%3D%3D", "Work of Supply laying Jointing testing and commissioning of pipelines for commissioning of MNP summer contingency 2025 sanctioned 10 Nos 200 mm dia tube well and replacement of polluted pipe line in UWSS Alwar under the jurisdiction of PHED Divis")</f>
        <v/>
      </c>
      <c r="C9" t="inlineStr">
        <is>
          <t>PHED-Chief Engineer(HQ),Jaipur||ACE Region Jaipur||SE Cr. Alwar||EE, Dn. Alwar</t>
        </is>
      </c>
      <c r="D9" t="inlineStr">
        <is>
          <t>27-May-2025 05:00 PM</t>
        </is>
      </c>
      <c r="E9" t="inlineStr">
        <is>
          <t>73,43,000</t>
        </is>
      </c>
      <c r="F9" t="inlineStr">
        <is>
          <t>Work of Supply laying Jointing testing and commissioning of pipelines for commissioning of MNP summer contingency 2025 sanctioned 10 Nos 200 mm dia tube well and replacement of polluted pipe line in UWSS Alwar under the jurisdiction of PHED Divis</t>
        </is>
      </c>
      <c r="G9" t="inlineStr">
        <is>
          <t>EE PHED DIVISION ALWAR</t>
        </is>
      </c>
    </row>
    <row r="10">
      <c r="A10" s="1" t="n">
        <v>8</v>
      </c>
      <c r="B10">
        <f>HYPERLINK("https://eproc.rajasthan.gov.in/nicgep/app?component=%24DirectLink&amp;page=FrontEndViewTender&amp;service=direct&amp;session=T&amp;sp=SoTwc3Z%2BUkjtoBczRK%2F1PJA%3D%3D", "nit33")</f>
        <v/>
      </c>
      <c r="C10" t="inlineStr">
        <is>
          <t>PHED-Chief Engineer(HQ),Jaipur||ACE Region Udaipur||SE Cr.Chittorgarh||EE, Dn.Chittorgarh</t>
        </is>
      </c>
      <c r="D10" t="inlineStr">
        <is>
          <t>02-Jun-2025 06:00 PM</t>
        </is>
      </c>
      <c r="E10" t="inlineStr">
        <is>
          <t>60,00,000</t>
        </is>
      </c>
      <c r="F10" t="inlineStr">
        <is>
          <t>construction of single phase 150 mm dia bore in jurisdiction division chittorgarh</t>
        </is>
      </c>
      <c r="G10" t="inlineStr">
        <is>
          <t>chittorgarh</t>
        </is>
      </c>
    </row>
    <row r="11">
      <c r="A11" s="1" t="n">
        <v>9</v>
      </c>
      <c r="B11">
        <f>HYPERLINK("https://eproc.rajasthan.gov.in/nicgep/app?component=%24DirectLink&amp;page=FrontEndViewTender&amp;service=direct&amp;session=T&amp;sp=SxXIYJf4dojBwoYSqlux6FQ%3D%3D", "OPERATION AND MAINTENANCE WORK OF WATER SUPPLY AT HIRAN MAGRI SECTOR 14 I BLOCK AND S-2 BLOCK HEAD WORKS, UWSS UDAIPUR")</f>
        <v/>
      </c>
      <c r="C11" t="inlineStr">
        <is>
          <t>PHED-Chief Engineer(HQ),Jaipur||ACE Region Udaipur</t>
        </is>
      </c>
      <c r="D11" t="inlineStr">
        <is>
          <t>23-May-2025 06:00 PM</t>
        </is>
      </c>
      <c r="E11" t="inlineStr">
        <is>
          <t>7,62,000</t>
        </is>
      </c>
      <c r="F11" t="inlineStr">
        <is>
          <t>OPERATION AND MAINTENANCE WORK OF WATER SUPPLY AT HIRAN MAGRI SECTOR 14 I BLOCK AND S-2 BLOCK HEAD WORKS, UWSS UDAIPUR</t>
        </is>
      </c>
      <c r="G11" t="inlineStr">
        <is>
          <t>works</t>
        </is>
      </c>
    </row>
    <row r="12">
      <c r="A12" s="1" t="n">
        <v>10</v>
      </c>
      <c r="B12">
        <f>HYPERLINK("https://eproc.rajasthan.gov.in/nicgep/app?component=%24DirectLink&amp;page=FrontEndViewTender&amp;service=direct&amp;session=T&amp;sp=SJ7UgTK0JGX920QvOPA0LrA%3D%3D", "REMOVING LEAKAGE CHOKAGE IN PIPE LINES")</f>
        <v/>
      </c>
      <c r="C12" t="inlineStr">
        <is>
          <t>PHED-Chief Engineer(HQ),Jaipur||ACE Region Bikaner||SE,Cr.Churu||EE, Dn.Ratangarh</t>
        </is>
      </c>
      <c r="D12" t="inlineStr">
        <is>
          <t>26-May-2025 06:00 PM</t>
        </is>
      </c>
      <c r="E12" t="inlineStr">
        <is>
          <t>8,00,000</t>
        </is>
      </c>
      <c r="F12" t="inlineStr">
        <is>
          <t>REMOVING LEAKAGE CHOKAGE IN PIPE LINES UNDER IN SUB DIVISION LOSAL</t>
        </is>
      </c>
      <c r="G12" t="inlineStr">
        <is>
          <t>Sikar</t>
        </is>
      </c>
    </row>
    <row r="13">
      <c r="A13" s="1" t="n">
        <v>11</v>
      </c>
      <c r="B13">
        <f>HYPERLINK("https://eproc.rajasthan.gov.in/nicgep/app?component=%24DirectLink&amp;page=FrontEndViewTender&amp;service=direct&amp;session=T&amp;sp=SWv%2F2KqLqFzO5jhX7CAVWsg%3D%3D", "REPAIRING AND REWINDING OF CENTRIFUGAL")</f>
        <v/>
      </c>
      <c r="C13" t="inlineStr">
        <is>
          <t>PHED-Chief Engineer(HQ),Jaipur||ACE Region Bikaner||SE,Cr.Churu||EE, Dn.Ratangarh</t>
        </is>
      </c>
      <c r="D13" t="inlineStr">
        <is>
          <t>26-May-2025 06:00 PM</t>
        </is>
      </c>
      <c r="E13" t="inlineStr">
        <is>
          <t>10,00,000</t>
        </is>
      </c>
      <c r="F13" t="inlineStr">
        <is>
          <t>REPAIRING AND REWINDING OF CENTRIFUGAL MONO BLOCK PUMP SETS UNDER PHED DIVISION SIKAR</t>
        </is>
      </c>
      <c r="G13" t="inlineStr">
        <is>
          <t>Sikar</t>
        </is>
      </c>
    </row>
    <row r="14">
      <c r="A14" s="1" t="n">
        <v>12</v>
      </c>
      <c r="B14">
        <f>HYPERLINK("https://eproc.rajasthan.gov.in/nicgep/app?component=%24DirectLink&amp;page=FrontEndViewTender&amp;service=direct&amp;session=T&amp;sp=S71gXiKHI4zqf2CZKd27DSQ%3D%3D", "Construction of 125mm dia bore well by Drilling and installation of india mark II handpump set with plateform in Rural area of Panchayat Samiti Talera and Bundi under Division Bundi.")</f>
        <v/>
      </c>
      <c r="C14" t="inlineStr">
        <is>
          <t>PHED-Chief Engineer(HQ),Jaipur||ACE Region Kota||SE, Cr. Kota||EE, Dn. Bindi</t>
        </is>
      </c>
      <c r="D14" t="inlineStr">
        <is>
          <t>22-May-2025 06:00 PM</t>
        </is>
      </c>
      <c r="E14" t="inlineStr">
        <is>
          <t>2,93,000</t>
        </is>
      </c>
      <c r="F14" t="inlineStr">
        <is>
          <t>Construction of 125mm dia bore well by Drilling and installation of india mark II handpump set with plateform in Rural area of Panchayat Samiti Talera and Bundi under Division Bundi.</t>
        </is>
      </c>
      <c r="G14" t="inlineStr">
        <is>
          <t>EE PHED DIV. BUNDI</t>
        </is>
      </c>
    </row>
    <row r="15">
      <c r="A15" s="1" t="n">
        <v>13</v>
      </c>
      <c r="B15">
        <f>HYPERLINK("https://eproc.rajasthan.gov.in/nicgep/app?component=%24DirectLink&amp;page=FrontEndViewTender&amp;service=direct&amp;session=T&amp;sp=ScLodjkKG1eN%2F6VKg3Y9CoQ%3D%3D", "NIT 31 (Work of Labour Supply in Section Mandawar Under Sub Div. Mandawar)")</f>
        <v/>
      </c>
      <c r="C15" t="inlineStr">
        <is>
          <t>PHED-Chief Engineer(HQ),Jaipur||ACE Region Jaipur||SE - District Circle (Jaipur)||EE Division Dausa</t>
        </is>
      </c>
      <c r="D15" t="inlineStr">
        <is>
          <t>23-May-2025 04:00 PM</t>
        </is>
      </c>
      <c r="E15" t="inlineStr">
        <is>
          <t>6,00,000</t>
        </is>
      </c>
      <c r="F15" t="inlineStr">
        <is>
          <t>Work of Labour Supply in Section Mandawar Under Sub Div. Mandawar</t>
        </is>
      </c>
      <c r="G15" t="inlineStr">
        <is>
          <t>EE PHED DIV. MAHWA</t>
        </is>
      </c>
    </row>
    <row r="16">
      <c r="A16" s="1" t="n">
        <v>14</v>
      </c>
      <c r="B16">
        <f>HYPERLINK("https://eproc.rajasthan.gov.in/nicgep/app?component=%24DirectLink&amp;page=FrontEndViewTender&amp;service=direct&amp;session=T&amp;sp=SiBxmKJU0GnN1kHfHtrpAFQ%3D%3D", "Nit 23 (of Repairing of Leakage in Different Size Pipe Line and removing of Illegal connection at RWSS Work in Section Mahwa Under Sub Div. Mahwa)")</f>
        <v/>
      </c>
      <c r="C16" t="inlineStr">
        <is>
          <t>PHED-Chief Engineer(HQ),Jaipur||ACE Region Jaipur||SE - District Circle (Jaipur)||EE Division Dausa</t>
        </is>
      </c>
      <c r="D16" t="inlineStr">
        <is>
          <t>23-May-2025 04:00 PM</t>
        </is>
      </c>
      <c r="E16" t="inlineStr">
        <is>
          <t>4,00,000</t>
        </is>
      </c>
      <c r="F16" t="inlineStr">
        <is>
          <t>of Repairing of Leakage in Different Size Pipe Line and removing of Illegal connection at RWSS Work in Section Mahwa Under Sub Div. Mahwa</t>
        </is>
      </c>
      <c r="G16" t="inlineStr">
        <is>
          <t>EE PHED DIV. MAHWA</t>
        </is>
      </c>
    </row>
    <row r="17">
      <c r="A17" s="1" t="n">
        <v>15</v>
      </c>
      <c r="B17">
        <f>HYPERLINK("https://eproc.rajasthan.gov.in/nicgep/app?component=%24DirectLink&amp;page=FrontEndViewTender&amp;service=direct&amp;session=T&amp;sp=SjwRQlYMwBgW01N5aQRuRhg%3D%3D", "NIT 29 ( Work of Labour Supply in Section Mahwa Under Sub Div. Mahwa )")</f>
        <v/>
      </c>
      <c r="C17" t="inlineStr">
        <is>
          <t>PHED-Chief Engineer(HQ),Jaipur||ACE Region Jaipur||SE - District Circle (Jaipur)||EE Division Dausa</t>
        </is>
      </c>
      <c r="D17" t="inlineStr">
        <is>
          <t>23-May-2025 04:00 PM</t>
        </is>
      </c>
      <c r="E17" t="inlineStr">
        <is>
          <t>8,00,000</t>
        </is>
      </c>
      <c r="F17" t="inlineStr">
        <is>
          <t>Work of Labour Supply in Section Mahwa Under Sub Div. Mahwa</t>
        </is>
      </c>
      <c r="G17" t="inlineStr">
        <is>
          <t>EE PHED DIV. MAHWA</t>
        </is>
      </c>
    </row>
    <row r="18">
      <c r="A18" s="1" t="n">
        <v>16</v>
      </c>
      <c r="B18">
        <f>HYPERLINK("https://eproc.rajasthan.gov.in/nicgep/app?component=%24DirectLink&amp;page=FrontEndViewTender&amp;service=direct&amp;session=T&amp;sp=StCfrfkR0G%2Fim%2FcSROQ0w7A%3D%3D", "NIT 28 (Work of Appointing Guard for Division and Jen Store Under Division Mahwa)")</f>
        <v/>
      </c>
      <c r="C18" t="inlineStr">
        <is>
          <t>PHED-Chief Engineer(HQ),Jaipur||ACE Region Jaipur||SE - District Circle (Jaipur)||EE Division Dausa</t>
        </is>
      </c>
      <c r="D18" t="inlineStr">
        <is>
          <t>23-May-2025 04:00 PM</t>
        </is>
      </c>
      <c r="E18" t="inlineStr">
        <is>
          <t>4,50,000</t>
        </is>
      </c>
      <c r="F18" t="inlineStr">
        <is>
          <t>Work of Appointing Guard for Division and Jen Store Under Division Mahwa</t>
        </is>
      </c>
      <c r="G18" t="inlineStr">
        <is>
          <t>EE PHED DIV. MAHWA</t>
        </is>
      </c>
    </row>
    <row r="19">
      <c r="A19" s="1" t="n">
        <v>17</v>
      </c>
      <c r="B19">
        <f>HYPERLINK("https://eproc.rajasthan.gov.in/nicgep/app?component=%24DirectLink&amp;page=FrontEndViewTender&amp;service=direct&amp;session=T&amp;sp=S2%2B3n2SXyIYjjEp%2F4oCVcsA%3D%3D", "NIT 30 (Work of Labour Supply in Section Kherla Under Sub Div. Khohra Mulla )")</f>
        <v/>
      </c>
      <c r="C19" t="inlineStr">
        <is>
          <t>PHED-Chief Engineer(HQ),Jaipur||ACE Region Jaipur||SE - District Circle (Jaipur)||EE Division Dausa</t>
        </is>
      </c>
      <c r="D19" t="inlineStr">
        <is>
          <t>23-May-2025 04:00 PM</t>
        </is>
      </c>
      <c r="E19" t="inlineStr">
        <is>
          <t>4,00,000</t>
        </is>
      </c>
      <c r="F19" t="inlineStr">
        <is>
          <t>Work of Labour Supply in Section Kherla Under Sub Div. Khohra Mulla</t>
        </is>
      </c>
      <c r="G19" t="inlineStr">
        <is>
          <t>EE PHED DIV. MAHWA</t>
        </is>
      </c>
    </row>
    <row r="20">
      <c r="A20" s="1" t="n">
        <v>18</v>
      </c>
      <c r="B20">
        <f>HYPERLINK("https://eproc.rajasthan.gov.in/nicgep/app?component=%24DirectLink&amp;page=FrontEndViewTender&amp;service=direct&amp;session=T&amp;sp=SqF%2Bj7aXsuvlj8ZgHdvRM8g%3D%3D", "NIT 32 (Work of Labour Supply in Section Baijupara Under Sub Div. Mandawar)")</f>
        <v/>
      </c>
      <c r="C20" t="inlineStr">
        <is>
          <t>PHED-Chief Engineer(HQ),Jaipur||ACE Region Jaipur||SE - District Circle (Jaipur)||EE Division Dausa</t>
        </is>
      </c>
      <c r="D20" t="inlineStr">
        <is>
          <t>23-May-2025 04:00 PM</t>
        </is>
      </c>
      <c r="E20" t="inlineStr">
        <is>
          <t>4,00,000</t>
        </is>
      </c>
      <c r="F20" t="inlineStr">
        <is>
          <t>Work of Labour Supply in Section Baijupara Under Sub Div. Mandawar</t>
        </is>
      </c>
      <c r="G20" t="inlineStr">
        <is>
          <t>EE PHED DIV. MAHWA</t>
        </is>
      </c>
    </row>
    <row r="21">
      <c r="A21" s="1" t="n">
        <v>19</v>
      </c>
      <c r="B21">
        <f>HYPERLINK("https://eproc.rajasthan.gov.in/nicgep/app?component=%24DirectLink&amp;page=FrontEndViewTender&amp;service=direct&amp;session=T&amp;sp=S%2B2PdDBlzymYpd%2Fdc8s0Z5Q%3D%3D", "Nit 22 (Work of Lowering and Unlowering of Submersible Pump in Existing Tube Well at RWSS Scheme in Section Kherla Under Sub Div. Khohra Mulla)")</f>
        <v/>
      </c>
      <c r="C21" t="inlineStr">
        <is>
          <t>PHED-Chief Engineer(HQ),Jaipur||ACE Region Jaipur||SE - District Circle (Jaipur)||EE Division Dausa</t>
        </is>
      </c>
      <c r="D21" t="inlineStr">
        <is>
          <t>23-May-2025 04:00 PM</t>
        </is>
      </c>
      <c r="E21" t="inlineStr">
        <is>
          <t>3,00,000</t>
        </is>
      </c>
      <c r="F21" t="inlineStr">
        <is>
          <t>Work of Lowering andUnlowering of Submersible Pump in Existing Tube Well at RWSS Scheme in Section Kherla Under Sub Div. Khohra Mulla</t>
        </is>
      </c>
      <c r="G21" t="inlineStr">
        <is>
          <t>EE PHED DIV. MAHWA</t>
        </is>
      </c>
    </row>
    <row r="22">
      <c r="A22" s="1" t="n">
        <v>20</v>
      </c>
      <c r="B22">
        <f>HYPERLINK("https://eproc.rajasthan.gov.in/nicgep/app?component=%24DirectLink&amp;page=FrontEndViewTender&amp;service=direct&amp;session=T&amp;sp=S5kWiAyFY4krWWB7Im54F2Q%3D%3D", "NIT 21 (Work of Lowering and Unlowering of Submersible Pump in Existing Tube Well at RWSS Scheme in Section Mahwa Under Sub Div. Mahwa)")</f>
        <v/>
      </c>
      <c r="C22" t="inlineStr">
        <is>
          <t>PHED-Chief Engineer(HQ),Jaipur||ACE Region Jaipur||SE - District Circle (Jaipur)||EE Division Dausa</t>
        </is>
      </c>
      <c r="D22" t="inlineStr">
        <is>
          <t>23-May-2025 04:00 PM</t>
        </is>
      </c>
      <c r="E22" t="inlineStr">
        <is>
          <t>4,50,000</t>
        </is>
      </c>
      <c r="F22" t="inlineStr">
        <is>
          <t>Work of Lowering and Unlowering of Submersible Pump in Existing Tube Well at RWSS Scheme in Section Mahwa Under Sub Div. Mahwa</t>
        </is>
      </c>
      <c r="G22" t="inlineStr">
        <is>
          <t>EE PHED DIV MAHWA</t>
        </is>
      </c>
    </row>
    <row r="23">
      <c r="A23" s="1" t="n">
        <v>21</v>
      </c>
      <c r="B23">
        <f>HYPERLINK("https://eproc.rajasthan.gov.in/nicgep/app?component=%24DirectLink&amp;page=FrontEndViewTender&amp;service=direct&amp;session=T&amp;sp=S8qDbq2Pom0FHlgrUSJsYoQ%3D%3D", "NIT 27 (Work of Repairing and rewinding of Centrifugal/monoblock Pump set in Section Kherla Under Sub Division Khohra Mulla)")</f>
        <v/>
      </c>
      <c r="C23" t="inlineStr">
        <is>
          <t>PHED-Chief Engineer(HQ),Jaipur||ACE Region Jaipur||SE - District Circle (Jaipur)||EE Division Dausa</t>
        </is>
      </c>
      <c r="D23" t="inlineStr">
        <is>
          <t>23-May-2025 04:00 PM</t>
        </is>
      </c>
      <c r="E23" t="inlineStr">
        <is>
          <t>2,00,000</t>
        </is>
      </c>
      <c r="F23" t="inlineStr">
        <is>
          <t>Work of Repairing and rewinding of Centrifugal/monoblock Pump set in Section Kherla Under Sub Division Khohra Mulla</t>
        </is>
      </c>
      <c r="G23" t="inlineStr">
        <is>
          <t>EE PHED DIV. MAHWA</t>
        </is>
      </c>
    </row>
    <row r="24">
      <c r="A24" s="1" t="n">
        <v>22</v>
      </c>
      <c r="B24">
        <f>HYPERLINK("https://eproc.rajasthan.gov.in/nicgep/app?component=%24DirectLink&amp;page=FrontEndViewTender&amp;service=direct&amp;session=T&amp;sp=S83T1El%2FbtAiyZ4ES%2F7Echg%3D%3D", "Nit 25 (Work of Repairing and rewinding of submersible pump set in Section Mahwa Under Sub Division Mahwa )")</f>
        <v/>
      </c>
      <c r="C24" t="inlineStr">
        <is>
          <t>PHED-Chief Engineer(HQ),Jaipur||ACE Region Jaipur||SE - District Circle (Jaipur)||EE Division Dausa</t>
        </is>
      </c>
      <c r="D24" t="inlineStr">
        <is>
          <t>23-May-2025 04:00 PM</t>
        </is>
      </c>
      <c r="E24" t="inlineStr">
        <is>
          <t>4,50,000</t>
        </is>
      </c>
      <c r="F24" t="inlineStr">
        <is>
          <t>Work of Repairing and rewinding of submersible pump set in Section Mahwa Under Sub Division Mahwa</t>
        </is>
      </c>
      <c r="G24" t="inlineStr">
        <is>
          <t>EE PHED DIV. MAHWA</t>
        </is>
      </c>
    </row>
    <row r="25">
      <c r="A25" s="1" t="n">
        <v>23</v>
      </c>
      <c r="B25">
        <f>HYPERLINK("https://eproc.rajasthan.gov.in/nicgep/app?component=%24DirectLink&amp;page=FrontEndViewTender&amp;service=direct&amp;session=T&amp;sp=SNJsKGK3nYp4AsU5dc%2BkRiw%3D%3D", "Nit 24 (Work of Repairing of Leakage in Different Size Pipe Line and removing of Illegal connection at UWSS in Section Mahwa Under Sub Div. Mahwa)")</f>
        <v/>
      </c>
      <c r="C25" t="inlineStr">
        <is>
          <t>PHED-Chief Engineer(HQ),Jaipur||ACE Region Jaipur||SE - District Circle (Jaipur)||EE Division Dausa</t>
        </is>
      </c>
      <c r="D25" t="inlineStr">
        <is>
          <t>23-May-2025 04:00 PM</t>
        </is>
      </c>
      <c r="E25" t="inlineStr">
        <is>
          <t>4,50,000</t>
        </is>
      </c>
      <c r="F25" t="inlineStr">
        <is>
          <t>Work of Repairing of Leakage in Different Size Pipe Line and removing of Illegal connection at UWSS in Section Mahwa Under Sub Div. Mahwa</t>
        </is>
      </c>
      <c r="G25" t="inlineStr">
        <is>
          <t>EE PHED DIV. MAHWA</t>
        </is>
      </c>
    </row>
    <row r="26">
      <c r="A26" s="1" t="n">
        <v>24</v>
      </c>
      <c r="B26">
        <f>HYPERLINK("https://eproc.rajasthan.gov.in/nicgep/app?component=%24DirectLink&amp;page=FrontEndViewTender&amp;service=direct&amp;session=T&amp;sp=SO1OWvVSckUjzHKhBkoRcSg%3D%3D", "NIT 26 (Work of Repairing and rewinding of submersible pump set in Section Kherla Under Sub Division Khohra Mulla)")</f>
        <v/>
      </c>
      <c r="C26" t="inlineStr">
        <is>
          <t>PHED-Chief Engineer(HQ),Jaipur||ACE Region Jaipur||SE - District Circle (Jaipur)||EE Division Dausa</t>
        </is>
      </c>
      <c r="D26" t="inlineStr">
        <is>
          <t>23-May-2025 04:00 PM</t>
        </is>
      </c>
      <c r="E26" t="inlineStr">
        <is>
          <t>3,00,000</t>
        </is>
      </c>
      <c r="F26" t="inlineStr">
        <is>
          <t>Work of Repairing and rewinding of submersible pump set in Section Kherla Under Sub Division Khohra Mulla</t>
        </is>
      </c>
      <c r="G26" t="inlineStr">
        <is>
          <t>EE PHED DIV. MAHWA</t>
        </is>
      </c>
    </row>
    <row r="27">
      <c r="A27" s="1" t="n">
        <v>25</v>
      </c>
      <c r="B27">
        <f>HYPERLINK("https://eproc.rajasthan.gov.in/nicgep/app?component=%24DirectLink&amp;page=FrontEndViewTender&amp;service=direct&amp;session=T&amp;sp=SmBnjTeOjpbWVDJ9SVrq%2BdA%3D%3D", "Work of construction commissioning of MNP sanctioned 04 Nos")</f>
        <v/>
      </c>
      <c r="C27" t="inlineStr">
        <is>
          <t>PHED-Chief Engineer(HQ),Jaipur||ACE Region Jaipur||SE Cr. Alwar||EE, Dn. Alwar</t>
        </is>
      </c>
      <c r="D27" t="inlineStr">
        <is>
          <t>27-May-2025 05:00 PM</t>
        </is>
      </c>
      <c r="E27" t="inlineStr">
        <is>
          <t>48,90,000</t>
        </is>
      </c>
      <c r="F27" t="inlineStr">
        <is>
          <t>Work of construction commissioning of MNP sanctioned 04 Nos 200mm diameter tube wells in all strata with supply and installation of submersible pump sets testing and other allied works with 2 year defect liability period at various places in UWSS</t>
        </is>
      </c>
      <c r="G27" t="inlineStr">
        <is>
          <t>EE PHED DIVISION ALWAR</t>
        </is>
      </c>
    </row>
    <row r="28">
      <c r="A28" s="1" t="n">
        <v>26</v>
      </c>
      <c r="B28">
        <f>HYPERLINK("https://eproc.rajasthan.gov.in/nicgep/app?component=%24DirectLink&amp;page=FrontEndViewTender&amp;service=direct&amp;session=T&amp;sp=SaowdsEhtX8B6Av14G26QLA%3D%3D", "Work of construction commissioning of MLA LAD sanctioned 10 Nos 200mm diameter tube wells in all strata with supply and installation of submersible pump sets testing and other allied works with 2 year defect liability period in City subdivision I")</f>
        <v/>
      </c>
      <c r="C28" t="inlineStr">
        <is>
          <t>PHED-Chief Engineer(HQ),Jaipur||ACE Region Jaipur||SE Cr. Alwar||EE, Dn. Alwar</t>
        </is>
      </c>
      <c r="D28" t="inlineStr">
        <is>
          <t>27-May-2025 05:00 PM</t>
        </is>
      </c>
      <c r="E28" t="inlineStr">
        <is>
          <t>1,13,38,000</t>
        </is>
      </c>
      <c r="F28" t="inlineStr">
        <is>
          <t>Work of construction commissioning of MLA LAD sanctioned 10 Nos 200mm diameter tube wells in all strata with supply and installation of submersible pump sets testing and other allied works with 2 year defect liability period in City subdivision I</t>
        </is>
      </c>
      <c r="G28" t="inlineStr">
        <is>
          <t>EE PHED DIVISION ALWAR</t>
        </is>
      </c>
    </row>
    <row r="29">
      <c r="A29" s="1" t="n">
        <v>27</v>
      </c>
      <c r="B29">
        <f>HYPERLINK("https://eproc.rajasthan.gov.in/nicgep/app?component=%24DirectLink&amp;page=FrontEndViewTender&amp;service=direct&amp;session=T&amp;sp=SW4%2BEt%2B6GCZ9VSZ6T8hnFfw%3D%3D", "Work of replacement of Submersible pump set Eletric control Panel Submersible and armoured Cable and G I Pipe etc in existing tube well in UWSS Alwar under Division Alwar Annual Rate Contract")</f>
        <v/>
      </c>
      <c r="C29" t="inlineStr">
        <is>
          <t>PHED-Chief Engineer(HQ),Jaipur||ACE Region Jaipur||SE Cr. Alwar||EE, Dn. Alwar</t>
        </is>
      </c>
      <c r="D29" t="inlineStr">
        <is>
          <t>27-May-2025 05:00 PM</t>
        </is>
      </c>
      <c r="E29" t="inlineStr">
        <is>
          <t>1,20,00,000</t>
        </is>
      </c>
      <c r="F29" t="inlineStr">
        <is>
          <t>Work of replacement of Submersible pump set Eletric control Panel Submersible and armoured Cable and G I Pipe etc in existing tube well in UWSS Alwar under Division Alwar Annual Rate Contract</t>
        </is>
      </c>
      <c r="G29" t="inlineStr">
        <is>
          <t>EE PHED DIVISION ALWAR</t>
        </is>
      </c>
    </row>
    <row r="30">
      <c r="A30" s="1" t="n">
        <v>28</v>
      </c>
      <c r="B30">
        <f>HYPERLINK("https://eproc.rajasthan.gov.in/nicgep/app?component=%24DirectLink&amp;page=FrontEndViewTender&amp;service=direct&amp;session=T&amp;sp=SQ2iOEjCe0BiNoIkpPZ38gA%3D%3D", "Rate Contract for Providing services of labour under Distt Rural Div. I Bikaner")</f>
        <v/>
      </c>
      <c r="C30" t="inlineStr">
        <is>
          <t>PHED-Chief Engineer(HQ),Jaipur||ACE Region Bikaner||SE, Cr.Bikaner</t>
        </is>
      </c>
      <c r="D30" t="inlineStr">
        <is>
          <t>26-May-2025 02:00 PM</t>
        </is>
      </c>
      <c r="E30" t="inlineStr">
        <is>
          <t>5,00,000</t>
        </is>
      </c>
      <c r="F30" t="inlineStr">
        <is>
          <t>Rate Contract for Providing services of labour under Distt Rural Div. I Bikaner</t>
        </is>
      </c>
      <c r="G30" t="inlineStr">
        <is>
          <t>Bikaner</t>
        </is>
      </c>
    </row>
    <row r="31">
      <c r="A31" s="1" t="n">
        <v>29</v>
      </c>
      <c r="B31">
        <f>HYPERLINK("https://eproc.rajasthan.gov.in/nicgep/app?component=%24DirectLink&amp;page=FrontEndViewTender&amp;service=direct&amp;session=T&amp;sp=SJT2CG3mTLWMWsPrZ%2FiWObA%3D%3D", "Rate Contract related to labour supply for operation of various Urban water supply scheme in PHED Sub Division Kherwara")</f>
        <v/>
      </c>
      <c r="C31" t="inlineStr">
        <is>
          <t>PHED-Chief Engineer(HQ),Jaipur||ACE Region Udaipur||SE Cr.Udaipur||EE Distt.Rural Dn.Udaipur</t>
        </is>
      </c>
      <c r="D31" t="inlineStr">
        <is>
          <t>28-May-2025 06:00 PM</t>
        </is>
      </c>
      <c r="E31" t="inlineStr">
        <is>
          <t>25,00,000</t>
        </is>
      </c>
      <c r="F31" t="inlineStr">
        <is>
          <t>24/2025-26</t>
        </is>
      </c>
      <c r="G31" t="inlineStr">
        <is>
          <t>PHED Distt Dn II Udaipur Jurisdiction</t>
        </is>
      </c>
    </row>
    <row r="32">
      <c r="A32" s="1" t="n">
        <v>30</v>
      </c>
      <c r="B32">
        <f>HYPERLINK("https://eproc.rajasthan.gov.in/nicgep/app?component=%24DirectLink&amp;page=FrontEndViewTender&amp;service=direct&amp;session=T&amp;sp=SszfXK9OVoAVwWVlDXuAPNw%3D%3D", "Rate Contract related to labour supply for operation of various Rural water supply scheme in PHED Sub Division Kherwara")</f>
        <v/>
      </c>
      <c r="C32" t="inlineStr">
        <is>
          <t>PHED-Chief Engineer(HQ),Jaipur||ACE Region Udaipur||SE Cr.Udaipur||EE Distt.Rural Dn.Udaipur</t>
        </is>
      </c>
      <c r="D32" t="inlineStr">
        <is>
          <t>28-May-2025 06:00 PM</t>
        </is>
      </c>
      <c r="E32" t="inlineStr">
        <is>
          <t>25,00,000</t>
        </is>
      </c>
      <c r="F32" t="inlineStr">
        <is>
          <t>27 /2025-26</t>
        </is>
      </c>
      <c r="G32" t="inlineStr">
        <is>
          <t>PHED Distt Dn II Udaipur Jurisdiction</t>
        </is>
      </c>
    </row>
    <row r="33">
      <c r="A33" s="1" t="n">
        <v>31</v>
      </c>
      <c r="B33">
        <f>HYPERLINK("https://eproc.rajasthan.gov.in/nicgep/app?component=%24DirectLink&amp;page=FrontEndViewTender&amp;service=direct&amp;session=T&amp;sp=SZEKR%2FfYciOOvFJRbkNv5wg%3D%3D", "Rate Contract related to labour supply for operation of various Rural water supply scheme in PHED Sub Division Rishabhdev")</f>
        <v/>
      </c>
      <c r="C33" t="inlineStr">
        <is>
          <t>PHED-Chief Engineer(HQ),Jaipur||ACE Region Udaipur||SE Cr.Udaipur||EE Distt.Rural Dn.Udaipur</t>
        </is>
      </c>
      <c r="D33" t="inlineStr">
        <is>
          <t>28-May-2025 06:00 PM</t>
        </is>
      </c>
      <c r="E33" t="inlineStr">
        <is>
          <t>25,00,000</t>
        </is>
      </c>
      <c r="F33" t="inlineStr">
        <is>
          <t>25/2025-26</t>
        </is>
      </c>
      <c r="G33" t="inlineStr">
        <is>
          <t>PHED Distt Dn II Udaipur Jurisdiction</t>
        </is>
      </c>
    </row>
    <row r="34">
      <c r="A34" s="1" t="n">
        <v>32</v>
      </c>
      <c r="B34">
        <f>HYPERLINK("https://eproc.rajasthan.gov.in/nicgep/app?component=%24DirectLink&amp;page=FrontEndViewTender&amp;service=direct&amp;session=T&amp;sp=SCesXrWz5IidivMz66wpuDQ%3D%3D", "Rate Contract related to labour supply for operation of various Rural water supply scheme in PHED Sub Division Jhadol")</f>
        <v/>
      </c>
      <c r="C34" t="inlineStr">
        <is>
          <t>PHED-Chief Engineer(HQ),Jaipur||ACE Region Udaipur||SE Cr.Udaipur||EE Distt.Rural Dn.Udaipur</t>
        </is>
      </c>
      <c r="D34" t="inlineStr">
        <is>
          <t>28-May-2025 06:00 PM</t>
        </is>
      </c>
      <c r="E34" t="inlineStr">
        <is>
          <t>25,00,000</t>
        </is>
      </c>
      <c r="F34" t="inlineStr">
        <is>
          <t>26/2025-26</t>
        </is>
      </c>
      <c r="G34" t="inlineStr">
        <is>
          <t>PHED Distt Dn II Udaipur Jurisdiction</t>
        </is>
      </c>
    </row>
    <row r="35">
      <c r="A35" s="1" t="n">
        <v>33</v>
      </c>
      <c r="B35">
        <f>HYPERLINK("https://eproc.rajasthan.gov.in/nicgep/app?component=%24DirectLink&amp;page=FrontEndViewTender&amp;service=direct&amp;session=T&amp;sp=SqiMsQvnVFVrMR0DEV2BxVQ%3D%3D", "Rate Contract related to labour supply for operation of various Urban water supply scheme in PHED Sub Division Rishabhdev")</f>
        <v/>
      </c>
      <c r="C35" t="inlineStr">
        <is>
          <t>PHED-Chief Engineer(HQ),Jaipur||ACE Region Udaipur||SE Cr.Udaipur||EE Distt.Rural Dn.Udaipur</t>
        </is>
      </c>
      <c r="D35" t="inlineStr">
        <is>
          <t>28-May-2025 06:00 PM</t>
        </is>
      </c>
      <c r="E35" t="inlineStr">
        <is>
          <t>25,00,000</t>
        </is>
      </c>
      <c r="F35" t="inlineStr">
        <is>
          <t>23/2025-26</t>
        </is>
      </c>
      <c r="G35" t="inlineStr">
        <is>
          <t>PHED Distt Dn II Udaipur Jurisdiction</t>
        </is>
      </c>
    </row>
    <row r="36">
      <c r="A36" s="1" t="n">
        <v>34</v>
      </c>
      <c r="B36">
        <f>HYPERLINK("https://eproc.rajasthan.gov.in/nicgep/app?component=%24DirectLink&amp;page=FrontEndViewTender&amp;service=direct&amp;session=T&amp;sp=S5LXmgMDk%2BCO75umD8bZAqw%3D%3D", "Rate Contract related to labour supply for operation of various Rural water supply scheme in PHED Sub Division Kotra")</f>
        <v/>
      </c>
      <c r="C36" t="inlineStr">
        <is>
          <t>PHED-Chief Engineer(HQ),Jaipur||ACE Region Udaipur||SE Cr.Udaipur||EE Distt.Rural Dn.Udaipur</t>
        </is>
      </c>
      <c r="D36" t="inlineStr">
        <is>
          <t>28-May-2025 06:00 PM</t>
        </is>
      </c>
      <c r="E36" t="inlineStr">
        <is>
          <t>25,00,000</t>
        </is>
      </c>
      <c r="F36" t="inlineStr">
        <is>
          <t>28 /2025-26</t>
        </is>
      </c>
      <c r="G36" t="inlineStr">
        <is>
          <t>PHED Distt Dn II Udaipur Jurisdiction</t>
        </is>
      </c>
    </row>
    <row r="37">
      <c r="A37" s="1" t="n">
        <v>35</v>
      </c>
      <c r="B37">
        <f>HYPERLINK("https://eproc.rajasthan.gov.in/nicgep/app?component=%24DirectLink&amp;page=FrontEndViewTender&amp;service=direct&amp;session=T&amp;sp=SCjdj7g2aA%2FJeBrrlh2eYEA%3D%3D", "Construction and Commissioning of Tubewell 200 mm dia at Gaushala me village Tordi gram panchayat Tordi tehsil malpura sub division malpura.")</f>
        <v/>
      </c>
      <c r="C37" t="inlineStr">
        <is>
          <t>PHED-Chief Engineer(HQ),Jaipur||ACE Region Ajmer||SE, Bisalpur Project Cr. Ajmer</t>
        </is>
      </c>
      <c r="D37" t="inlineStr">
        <is>
          <t>02-Jun-2025 06:00 PM</t>
        </is>
      </c>
      <c r="E37" t="inlineStr">
        <is>
          <t>7,46,523</t>
        </is>
      </c>
      <c r="F37" t="inlineStr">
        <is>
          <t>Construction and Commissioning of Tubewell 200 mm dia at Gaushala me village Tordi gram panchayat Tordi tehsil malpura sub division malpura.</t>
        </is>
      </c>
      <c r="G37" t="inlineStr">
        <is>
          <t>Executive Engineer PHED Division Malpura</t>
        </is>
      </c>
    </row>
    <row r="38">
      <c r="A38" s="1" t="n">
        <v>36</v>
      </c>
      <c r="B38">
        <f>HYPERLINK("https://eproc.rajasthan.gov.in/nicgep/app?component=%24DirectLink&amp;page=FrontEndViewTender&amp;service=direct&amp;session=T&amp;sp=S8YoX%2FDnCZg%2FBwrwGouj1YA%3D%3D", "NIT 03/2025-26")</f>
        <v/>
      </c>
      <c r="C38" t="inlineStr">
        <is>
          <t>PHED-Chief Engineer(HQ),Jaipur||ACE Region Udaipur||SE Bhagari Ka Naka Proj.Cr. Udaipur||EE, Dn.Dungarpur</t>
        </is>
      </c>
      <c r="D38" t="inlineStr">
        <is>
          <t>26-May-2025 06:00 PM</t>
        </is>
      </c>
      <c r="E38" t="inlineStr">
        <is>
          <t>17,68,000</t>
        </is>
      </c>
      <c r="F38" t="inlineStr">
        <is>
          <t>AS PER TD</t>
        </is>
      </c>
      <c r="G38" t="inlineStr">
        <is>
          <t>Sagwara</t>
        </is>
      </c>
    </row>
    <row r="39">
      <c r="A39" s="1" t="n">
        <v>37</v>
      </c>
      <c r="B39">
        <f>HYPERLINK("https://eproc.rajasthan.gov.in/nicgep/app?component=%24DirectLink&amp;page=FrontEndViewTender&amp;service=direct&amp;session=T&amp;sp=Skv8JzLQ8jxZ5Arr%2FgjZbPQ%3D%3D", "Construction and Commissioning of Tubewell 200mm dia at Shivmandir ke housing board Colony , brijlal nagar tehsil malpura sub division malpura.")</f>
        <v/>
      </c>
      <c r="C39" t="inlineStr">
        <is>
          <t>PHED-Chief Engineer(HQ),Jaipur||ACE Region Ajmer||SE, Bisalpur Project Cr. Ajmer</t>
        </is>
      </c>
      <c r="D39" t="inlineStr">
        <is>
          <t>02-Jun-2025 06:00 PM</t>
        </is>
      </c>
      <c r="E39" t="inlineStr">
        <is>
          <t>7,97,214</t>
        </is>
      </c>
      <c r="F39" t="inlineStr">
        <is>
          <t>Construction and Commissioning of Tubewell 200mm dia at Shivmandir ke housing board Colony , brijlal nagar tehsil malpura sub division malpura.</t>
        </is>
      </c>
      <c r="G39" t="inlineStr">
        <is>
          <t>Executive Engineer PHED Division Malpura</t>
        </is>
      </c>
    </row>
    <row r="40">
      <c r="A40" s="1" t="n">
        <v>38</v>
      </c>
      <c r="B40">
        <f>HYPERLINK("https://eproc.rajasthan.gov.in/nicgep/app?component=%24DirectLink&amp;page=FrontEndViewTender&amp;service=direct&amp;session=T&amp;sp=SIfHG2%2BcrKiUUC1yapTB2CQ%3D%3D", "NIT 04/2025-26")</f>
        <v/>
      </c>
      <c r="C40" t="inlineStr">
        <is>
          <t>PHED-Chief Engineer(HQ),Jaipur||ACE Region Udaipur||SE Bhagari Ka Naka Proj.Cr. Udaipur||EE, Dn.Dungarpur</t>
        </is>
      </c>
      <c r="D40" t="inlineStr">
        <is>
          <t>26-May-2025 06:00 PM</t>
        </is>
      </c>
      <c r="E40" t="inlineStr">
        <is>
          <t>10,92,000</t>
        </is>
      </c>
      <c r="F40" t="inlineStr">
        <is>
          <t>AS PER TD</t>
        </is>
      </c>
      <c r="G40" t="inlineStr">
        <is>
          <t>Sagwara</t>
        </is>
      </c>
    </row>
    <row r="41">
      <c r="A41" s="1" t="n">
        <v>39</v>
      </c>
      <c r="B41">
        <f>HYPERLINK("https://eproc.rajasthan.gov.in/nicgep/app?component=%24DirectLink&amp;page=FrontEndViewTender&amp;service=direct&amp;session=T&amp;sp=S5j6mM0BX5dAlmEPWfVziUA%3D%3D", "CONSTRUCTION AND COMMISSIONING OF TUBEWELL 200 MM DIA AT KHAJURIYA BALAJI KE PASS ,GRAM DABARDUMBA PANCHAYAT DABARDUMBA ,TEHSIL TODARAISINGH,SUB DIVISION TODARAISINGH.")</f>
        <v/>
      </c>
      <c r="C41" t="inlineStr">
        <is>
          <t>PHED-Chief Engineer(HQ),Jaipur||ACE Region Ajmer||SE, Bisalpur Project Cr. Ajmer</t>
        </is>
      </c>
      <c r="D41" t="inlineStr">
        <is>
          <t>02-Jun-2025 06:00 PM</t>
        </is>
      </c>
      <c r="E41" t="inlineStr">
        <is>
          <t>8,78,347</t>
        </is>
      </c>
      <c r="F41" t="inlineStr">
        <is>
          <t>CONSTRUCTION AND COMMISSIONING OF TUBEWELL 200 MM DIA AT KHAJURIYA BALAJI KE PASS ,GRAM DABARDUMBA PANCHAYAT DABARDUMBA ,TEHSIL TODARAISINGH,SUB DIVISION TODARAISINGH.</t>
        </is>
      </c>
      <c r="G41" t="inlineStr">
        <is>
          <t>Executive Engineer PHED Division Malpura</t>
        </is>
      </c>
    </row>
    <row r="42">
      <c r="A42" s="1" t="n">
        <v>40</v>
      </c>
      <c r="B42">
        <f>HYPERLINK("https://eproc.rajasthan.gov.in/nicgep/app?component=%24DirectLink&amp;page=FrontEndViewTender&amp;service=direct&amp;session=T&amp;sp=SqK7BaHslj1grKWNBzlqfyQ%3D%3D", "Proposal for Replacement of old and damaged pumping machinery and other equipment under suv division rajakhera Summer contingency 2025")</f>
        <v/>
      </c>
      <c r="C42" t="inlineStr">
        <is>
          <t>PHED-Chief Engineer(HQ),Jaipur||ACE Region Bharatpur||SE, Cr. Bharatpur||EE, Dn.Dholpur</t>
        </is>
      </c>
      <c r="D42" t="inlineStr">
        <is>
          <t>20-May-2025 05:00 PM</t>
        </is>
      </c>
      <c r="E42" t="inlineStr">
        <is>
          <t>9,40,000</t>
        </is>
      </c>
      <c r="F42" t="inlineStr">
        <is>
          <t>Proposal for Replacement of old and damaged pumping machinery and other equipment under suv division rajakhera Summer contingency 2025</t>
        </is>
      </c>
      <c r="G42" t="inlineStr">
        <is>
          <t>DHOLPUR</t>
        </is>
      </c>
    </row>
    <row r="43">
      <c r="A43" s="1" t="n">
        <v>41</v>
      </c>
      <c r="B43">
        <f>HYPERLINK("https://eproc.rajasthan.gov.in/nicgep/app?component=%24DirectLink&amp;page=FrontEndViewTender&amp;service=direct&amp;session=T&amp;sp=SpDb2OBo%2BsPu6BlvipmLAHA%3D%3D", "Proposal for Replacement of old and damaged pumping machinery and other equipment under suv division rural dholpur Summer contingency 2025")</f>
        <v/>
      </c>
      <c r="C43" t="inlineStr">
        <is>
          <t>PHED-Chief Engineer(HQ),Jaipur||ACE Region Bharatpur||SE, Cr. Bharatpur||EE, Dn.Dholpur</t>
        </is>
      </c>
      <c r="D43" t="inlineStr">
        <is>
          <t>20-May-2025 05:00 PM</t>
        </is>
      </c>
      <c r="E43" t="inlineStr">
        <is>
          <t>13,24,000</t>
        </is>
      </c>
      <c r="F43" t="inlineStr">
        <is>
          <t>Proposal for Replacement of old and damaged pumping machinery and other equipment under suv division rural dholpur Summer contingency 2025</t>
        </is>
      </c>
      <c r="G43" t="inlineStr">
        <is>
          <t>DHOLPUR</t>
        </is>
      </c>
    </row>
    <row r="44">
      <c r="A44" s="1" t="n">
        <v>42</v>
      </c>
      <c r="B44">
        <f>HYPERLINK("https://eproc.rajasthan.gov.in/nicgep/app?component=%24DirectLink&amp;page=FrontEndViewTender&amp;service=direct&amp;session=T&amp;sp=SJXX%2FrRF%2F1lDAXPwmYlVVMw%3D%3D", "Construction and Commissioning of bore hole by of 200 mm dia, supply and installation of energy efficient Submersible Pump sets, Panels, Cables and other allied works PHED DIV MAKRANA")</f>
        <v/>
      </c>
      <c r="C44" t="inlineStr">
        <is>
          <t>PHED-Chief Engineer(HQ),Jaipur||ACE Region Ajmer||SE Cr. Kuchaman</t>
        </is>
      </c>
      <c r="D44" t="inlineStr">
        <is>
          <t>26-May-2025 06:00 PM</t>
        </is>
      </c>
      <c r="E44" t="inlineStr">
        <is>
          <t>1,50,00,000</t>
        </is>
      </c>
      <c r="F44" t="inlineStr">
        <is>
          <t>Construction and Commissioning of bore hole by of 200 mm dia, supply and installation of energy efficient Submersible Pump sets, Panels, Cables and other allied works PHED DIV MAKRANA</t>
        </is>
      </c>
      <c r="G44" t="inlineStr">
        <is>
          <t>MAKRANA</t>
        </is>
      </c>
    </row>
    <row r="45">
      <c r="A45" s="1" t="n">
        <v>43</v>
      </c>
      <c r="B45">
        <f>HYPERLINK("https://eproc.rajasthan.gov.in/nicgep/app?component=%24DirectLink&amp;page=FrontEndViewTender&amp;service=direct&amp;session=T&amp;sp=SULkTepesEjBfeq5DIqg3WA%3D%3D", "Construction and Commissioning of bore hole of 125 150 mm dia, supply and installation of energy efficient Submersible Pump sets, Panels Cables and other allied UNDER PHED DIV MAKRANA")</f>
        <v/>
      </c>
      <c r="C45" t="inlineStr">
        <is>
          <t>PHED-Chief Engineer(HQ),Jaipur||ACE Region Ajmer||SE Cr. Kuchaman</t>
        </is>
      </c>
      <c r="D45" t="inlineStr">
        <is>
          <t>26-May-2025 06:00 PM</t>
        </is>
      </c>
      <c r="E45" t="inlineStr">
        <is>
          <t>1,25,00,000</t>
        </is>
      </c>
      <c r="F45" t="inlineStr">
        <is>
          <t>Construction and Commissioning of bore hole of 125 150 mm dia, supply and installation of energy efficient Submersible Pump sets, Panels Cables and other allied UNDER PHED DIV MAKRANA</t>
        </is>
      </c>
      <c r="G45" t="inlineStr">
        <is>
          <t>MAKRANA</t>
        </is>
      </c>
    </row>
    <row r="46">
      <c r="A46" s="1" t="n">
        <v>44</v>
      </c>
      <c r="B46">
        <f>HYPERLINK("https://eproc.rajasthan.gov.in/nicgep/app?component=%24DirectLink&amp;page=FrontEndViewTender&amp;service=direct&amp;session=T&amp;sp=SKYVHRAqH%2FlL6%2FQYtpDyalA%3D%3D", "ARC OF WORK OF LAYING AND JOINTING OF PIPELINE UNDER DIST. RURAL DIVISION IST JAIPUR")</f>
        <v/>
      </c>
      <c r="C46" t="inlineStr">
        <is>
          <t>PHED-Chief Engineer(HQ),Jaipur||ACE Region Jaipur||SE - District Circle (Jaipur)||EE District Rural Division I, Jaipur</t>
        </is>
      </c>
      <c r="D46" t="inlineStr">
        <is>
          <t>02-Jun-2025 05:00 PM</t>
        </is>
      </c>
      <c r="E46" t="inlineStr">
        <is>
          <t>1,20,00,000</t>
        </is>
      </c>
      <c r="F46" t="inlineStr">
        <is>
          <t>ARC OF WORK OF LAYING AND JOINTING OF PIPELINE UNDER DIST. RURAL DIVISION IST JAIPUR</t>
        </is>
      </c>
      <c r="G46" t="inlineStr">
        <is>
          <t>JAIPUR</t>
        </is>
      </c>
    </row>
    <row r="47">
      <c r="A47" s="1" t="n">
        <v>45</v>
      </c>
      <c r="B47">
        <f>HYPERLINK("https://eproc.rajasthan.gov.in/nicgep/app?component=%24DirectLink&amp;page=FrontEndViewTender&amp;service=direct&amp;session=T&amp;sp=SnUerniG0Jz0OxfzWHO5N1Q%3D%3D", "Constructions of 22 Nos. of 125 mm diameter New Handpump by DTH Combination system at various location of Tehsil Malpura District Tonk")</f>
        <v/>
      </c>
      <c r="C47" t="inlineStr">
        <is>
          <t>PHED-Chief Engineer(HQ),Jaipur||ACE Region Ajmer||SE, Bisalpur Project Cr. Ajmer</t>
        </is>
      </c>
      <c r="D47" t="inlineStr">
        <is>
          <t>02-Jun-2025 06:00 PM</t>
        </is>
      </c>
      <c r="E47" t="inlineStr">
        <is>
          <t>35,70,820</t>
        </is>
      </c>
      <c r="F47" t="inlineStr">
        <is>
          <t>Constructions of 22 Nos. of 125 mm diameter New Handpump by DTH Combination system at various location of Tehsil Malpura District Tonk</t>
        </is>
      </c>
      <c r="G47" t="inlineStr">
        <is>
          <t>Executive Engineer PHED Division Malpura</t>
        </is>
      </c>
    </row>
    <row r="48">
      <c r="A48" s="1" t="n">
        <v>46</v>
      </c>
      <c r="B48">
        <f>HYPERLINK("https://eproc.rajasthan.gov.in/nicgep/app?component=%24DirectLink&amp;page=FrontEndViewTender&amp;service=direct&amp;session=T&amp;sp=S35xmRk0Qnv%2Fk8VOO%2BwTqNQ%3D%3D", "Constructions of 18 Nos. of 125 mm diameter New Handpump by DTH Combination system at various location of Tehsil Malpura District Tonk")</f>
        <v/>
      </c>
      <c r="C48" t="inlineStr">
        <is>
          <t>PHED-Chief Engineer(HQ),Jaipur||ACE Region Ajmer||SE, Bisalpur Project Cr. Ajmer</t>
        </is>
      </c>
      <c r="D48" t="inlineStr">
        <is>
          <t>02-Jun-2025 06:00 PM</t>
        </is>
      </c>
      <c r="E48" t="inlineStr">
        <is>
          <t>29,21,580</t>
        </is>
      </c>
      <c r="F48" t="inlineStr">
        <is>
          <t>Constructions of 18 Nos. of 125 mm diameter New Handpump by DTH Combination system at various location of Tehsil Malpura District Tonk</t>
        </is>
      </c>
      <c r="G48" t="inlineStr">
        <is>
          <t>Executive Engineer PHED Division Malpura</t>
        </is>
      </c>
    </row>
    <row r="49">
      <c r="A49" s="1" t="n">
        <v>47</v>
      </c>
      <c r="B49">
        <f>HYPERLINK("https://eproc.rajasthan.gov.in/nicgep/app?component=%24DirectLink&amp;page=FrontEndViewTender&amp;service=direct&amp;session=T&amp;sp=SlBUDtGLARh1xktlv6ct6NA%3D%3D", "Construction and Commissioning of Tubewell 200mm dia at Balaji mandir ke paas village ghati gram panchayat doongrikalan tehsil malpura sub division malpura.")</f>
        <v/>
      </c>
      <c r="C49" t="inlineStr">
        <is>
          <t>PHED-Chief Engineer(HQ),Jaipur||ACE Region Ajmer||SE, Bisalpur Project Cr. Ajmer</t>
        </is>
      </c>
      <c r="D49" t="inlineStr">
        <is>
          <t>02-Jun-2025 06:00 PM</t>
        </is>
      </c>
      <c r="E49" t="inlineStr">
        <is>
          <t>7,43,987</t>
        </is>
      </c>
      <c r="F49" t="inlineStr">
        <is>
          <t>Construction and Commissioning of Tubewell 200mm dia at Balaji mandir ke paas village ghati gram panchayat doongrikalan tehsil malpura sub division malpura.</t>
        </is>
      </c>
      <c r="G49" t="inlineStr">
        <is>
          <t>Executive Engineer PHED Division Malpura</t>
        </is>
      </c>
    </row>
    <row r="50">
      <c r="A50" s="1" t="n">
        <v>48</v>
      </c>
      <c r="B50">
        <f>HYPERLINK("https://eproc.rajasthan.gov.in/nicgep/app?component=%24DirectLink&amp;page=FrontEndViewTender&amp;service=direct&amp;session=T&amp;sp=SGZitjJLD%2Bzormd%2Fkw4YX9g%3D%3D", "Construction of 200 mm dia 7 No tw under sub division chirawa")</f>
        <v/>
      </c>
      <c r="C50" t="inlineStr">
        <is>
          <t>PHED-Chief Engineer(HQ),Jaipur||ACE Region Jaipur||SE Cr. Sikar||EE, Dist Dn. Jhunjhunu</t>
        </is>
      </c>
      <c r="D50" t="inlineStr">
        <is>
          <t>27-May-2025 06:00 PM</t>
        </is>
      </c>
      <c r="E50" t="inlineStr">
        <is>
          <t>74,73,843</t>
        </is>
      </c>
      <c r="F50" t="inlineStr">
        <is>
          <t>Construction of 200 mm dia 7 No tw under sub division chirawa</t>
        </is>
      </c>
      <c r="G50" t="inlineStr">
        <is>
          <t>Jhunjhunu</t>
        </is>
      </c>
    </row>
    <row r="51">
      <c r="A51" s="1" t="n">
        <v>49</v>
      </c>
      <c r="B51">
        <f>HYPERLINK("https://eproc.rajasthan.gov.in/nicgep/app?component=%24DirectLink&amp;page=FrontEndViewTender&amp;service=direct&amp;session=T&amp;sp=SrmDeIxCBOF5fU%2FidrSKrOw%3D%3D", "Construction and Commissioning of Tubewell 200mm dia at Mahadev ji ke paas village doriya gram panchayat Aawada tehsil malpura sub division malpura.")</f>
        <v/>
      </c>
      <c r="C51" t="inlineStr">
        <is>
          <t>PHED-Chief Engineer(HQ),Jaipur||ACE Region Ajmer||SE, Bisalpur Project Cr. Ajmer</t>
        </is>
      </c>
      <c r="D51" t="inlineStr">
        <is>
          <t>02-Jun-2025 06:00 PM</t>
        </is>
      </c>
      <c r="E51" t="inlineStr">
        <is>
          <t>7,79,206</t>
        </is>
      </c>
      <c r="F51" t="inlineStr">
        <is>
          <t>Construction and Commissioning of Tubewell 200mm dia at Mahadev ji ke paas village doriya gram panchayat Aawada tehsil malpura sub division malpura.</t>
        </is>
      </c>
      <c r="G51" t="inlineStr">
        <is>
          <t>Executive Engineer PHED Division Malpura</t>
        </is>
      </c>
    </row>
    <row r="52">
      <c r="A52" s="1" t="n">
        <v>50</v>
      </c>
      <c r="B52">
        <f>HYPERLINK("https://eproc.rajasthan.gov.in/nicgep/app?component=%24DirectLink&amp;page=FrontEndViewTender&amp;service=direct&amp;session=T&amp;sp=SVRT%2BYMY0xogvDSL4CRRwSg%3D%3D", "CONSTRUCTION AND COMMISSIONING OF TUBEWELL 200 MM DIA AT BANAS KE KINARE ,GRAM BOTUNDA PANCHAYAT BOTUNDA ,TEHSIL TODARAISINGH,SUB DIVISION TODARAISINGH.")</f>
        <v/>
      </c>
      <c r="C52" t="inlineStr">
        <is>
          <t>PHED-Chief Engineer(HQ),Jaipur||ACE Region Ajmer||SE, Bisalpur Project Cr. Ajmer</t>
        </is>
      </c>
      <c r="D52" t="inlineStr">
        <is>
          <t>02-Jun-2025 06:00 PM</t>
        </is>
      </c>
      <c r="E52" t="inlineStr">
        <is>
          <t>10,71,735</t>
        </is>
      </c>
      <c r="F52" t="inlineStr">
        <is>
          <t>CONSTRUCTION AND COMMISSIONING OF TUBEWELL 200 MM DIA AT BANAS KE KINARE ,GRAM BOTUNDA PANCHAYAT BOTUNDA ,TEHSIL TODARAISINGH,SUB DIVISION TODARAISINGH.</t>
        </is>
      </c>
      <c r="G52" t="inlineStr">
        <is>
          <t>Executive Engineer PHED Division Malpura</t>
        </is>
      </c>
    </row>
    <row r="53">
      <c r="A53" s="1" t="n">
        <v>51</v>
      </c>
      <c r="B53">
        <f>HYPERLINK("https://eproc.rajasthan.gov.in/nicgep/app?component=%24DirectLink&amp;page=FrontEndViewTender&amp;service=direct&amp;session=T&amp;sp=ScPoPDoWAAVRoLYcCLEvxcg%3D%3D", "Construction and Commissioning of Tubewell 200mm dia at Bhopolav ji dhani chouraha village sindholiya gram panchayat sindholiya tehsil malpura sub division malpura.")</f>
        <v/>
      </c>
      <c r="C53" t="inlineStr">
        <is>
          <t>PHED-Chief Engineer(HQ),Jaipur||ACE Region Ajmer||SE, Bisalpur Project Cr. Ajmer</t>
        </is>
      </c>
      <c r="D53" t="inlineStr">
        <is>
          <t>02-Jun-2025 06:00 PM</t>
        </is>
      </c>
      <c r="E53" t="inlineStr">
        <is>
          <t>8,90,716</t>
        </is>
      </c>
      <c r="F53" t="inlineStr">
        <is>
          <t>Construction and Commissioning of Tubewell 200mm dia at Bhopolav ji dhani chouraha village sindholiya gram panchayat sindholiya tehsil malpura sub division malpura.</t>
        </is>
      </c>
      <c r="G53" t="inlineStr">
        <is>
          <t>Executive Engineer PHED Division Malpura</t>
        </is>
      </c>
    </row>
    <row r="54">
      <c r="A54" s="1" t="n">
        <v>52</v>
      </c>
      <c r="B54">
        <f>HYPERLINK("https://eproc.rajasthan.gov.in/nicgep/app?component=%24DirectLink&amp;page=FrontEndViewTender&amp;service=direct&amp;session=T&amp;sp=S%2Bg3VsufpmX9t%2BTaPjq5tlA%3D%3D", "Constructions of 20 Nos. of 125 mm diameter New Handpump by DTH Combination system at various location of Tehsil Malpura District Tonk")</f>
        <v/>
      </c>
      <c r="C54" t="inlineStr">
        <is>
          <t>PHED-Chief Engineer(HQ),Jaipur||ACE Region Ajmer||SE, Bisalpur Project Cr. Ajmer</t>
        </is>
      </c>
      <c r="D54" t="inlineStr">
        <is>
          <t>02-Jun-2025 06:00 PM</t>
        </is>
      </c>
      <c r="E54" t="inlineStr">
        <is>
          <t>32,40,152</t>
        </is>
      </c>
      <c r="F54" t="inlineStr">
        <is>
          <t>Constructions of 20 Nos. of 125 mm diameter New Handpump by DTH Combination system at various location of Tehsil Malpura District Tonk</t>
        </is>
      </c>
      <c r="G54" t="inlineStr">
        <is>
          <t>Executive Engineer PHED Division Malpura</t>
        </is>
      </c>
    </row>
    <row r="55">
      <c r="A55" s="1" t="n">
        <v>53</v>
      </c>
      <c r="B55">
        <f>HYPERLINK("https://eproc.rajasthan.gov.in/nicgep/app?component=%24DirectLink&amp;page=FrontEndViewTender&amp;service=direct&amp;session=T&amp;sp=S4dDwzmL%2B7yiAjy0j9qr8RA%3D%3D", "NIT NO. 14 2025-26 Shifting and Replacing of 350mm CI and 400 mm AC pipeline including Testing and Commissioning along Toshniwal Nallah near Parbatpura Byepass under City Division II Ajmer (Deposit Work)")</f>
        <v/>
      </c>
      <c r="C55" t="inlineStr">
        <is>
          <t>PHED-Chief Engineer(HQ),Jaipur||ACE Region Ajmer||SE Cr. Ajmer||EE, City Dn-II Ajmer</t>
        </is>
      </c>
      <c r="D55" t="inlineStr">
        <is>
          <t>27-May-2025 06:00 PM</t>
        </is>
      </c>
      <c r="E55" t="inlineStr">
        <is>
          <t>NA</t>
        </is>
      </c>
      <c r="F55" t="inlineStr">
        <is>
          <t>NIT NO. 14 2025-26 Shifting and Replacing of 350mm CI and 400 mm AC pipeline including Testing and Commissioning along Toshniwal Nallah near Parbatpura Byepass under City Division II Ajmer (Deposit Work)</t>
        </is>
      </c>
      <c r="G55" t="inlineStr">
        <is>
          <t>AJMER</t>
        </is>
      </c>
    </row>
    <row r="56">
      <c r="A56" s="1" t="n">
        <v>54</v>
      </c>
      <c r="B56">
        <f>HYPERLINK("https://eproc.rajasthan.gov.in/nicgep/app?component=%24DirectLink&amp;page=FrontEndViewTender&amp;service=direct&amp;session=T&amp;sp=Sd%2B3sw0aX3AEnx5iD3PDgnA%3D%3D", "Construction And Commissioning of Tubewell at various villages under MLA Consittiuency Bhadra")</f>
        <v/>
      </c>
      <c r="C56" t="inlineStr">
        <is>
          <t>PHED-Chief Engineer(HQ),Jaipur||ACE Region Bikaner||SE,Cr.Churu</t>
        </is>
      </c>
      <c r="D56" t="inlineStr">
        <is>
          <t>02-Jun-2025 06:00 PM</t>
        </is>
      </c>
      <c r="E56" t="inlineStr">
        <is>
          <t>29,83,000</t>
        </is>
      </c>
      <c r="F56" t="inlineStr">
        <is>
          <t>Construction And Commissioning of Tubewell at various villages under MLA Consittiuency Bhadra</t>
        </is>
      </c>
      <c r="G56" t="inlineStr">
        <is>
          <t>EE PHED DIVISION BHADRA</t>
        </is>
      </c>
    </row>
    <row r="57">
      <c r="A57" s="1" t="n">
        <v>55</v>
      </c>
      <c r="B57">
        <f>HYPERLINK("https://eproc.rajasthan.gov.in/nicgep/app?component=%24DirectLink&amp;page=FrontEndViewTender&amp;service=direct&amp;session=T&amp;sp=SH9h4iaY%2FSe4lMiok4DCQKg%3D%3D", "Construction and commissioning of India Mark II Handpump at various Locations under MLA Constituency Bhadra")</f>
        <v/>
      </c>
      <c r="C57" t="inlineStr">
        <is>
          <t>PHED-Chief Engineer(HQ),Jaipur||ACE Region Bikaner||SE,Cr.Churu</t>
        </is>
      </c>
      <c r="D57" t="inlineStr">
        <is>
          <t>02-Jun-2025 06:00 PM</t>
        </is>
      </c>
      <c r="E57" t="inlineStr">
        <is>
          <t>6,69,000</t>
        </is>
      </c>
      <c r="F57" t="inlineStr">
        <is>
          <t>Construction and commissioning of India Mark II Handpump at various Locations under MLA Constituency Bhadra</t>
        </is>
      </c>
      <c r="G57" t="inlineStr">
        <is>
          <t>EE PHED DIVISION BHADRA</t>
        </is>
      </c>
    </row>
    <row r="58">
      <c r="A58" s="1" t="n">
        <v>56</v>
      </c>
      <c r="B58">
        <f>HYPERLINK("https://eproc.rajasthan.gov.in/nicgep/app?component=%24DirectLink&amp;page=FrontEndViewTender&amp;service=direct&amp;session=T&amp;sp=S3OGPJHRwSdBHrxDkBwiHGA%3D%3D", "WORK OF PROVIDING LAYING AND JOINTING DI K-7 PIPE LINES IN CHANDRESAL OHSR ZONE UNDER CITY DIVISION-2ND KOTA")</f>
        <v/>
      </c>
      <c r="C58" t="inlineStr">
        <is>
          <t>PHED-Chief Engineer(HQ),Jaipur||ACE Region Kota||SE, Cr. Kota</t>
        </is>
      </c>
      <c r="D58" t="inlineStr">
        <is>
          <t>26-May-2025 06:00 PM</t>
        </is>
      </c>
      <c r="E58" t="inlineStr">
        <is>
          <t>85,03,000</t>
        </is>
      </c>
      <c r="F58" t="inlineStr">
        <is>
          <t>WORK OF PROVIDING LAYING AND JOINTING DI K-7 PIPE LINES IN CHANDRESAL OHSR ZONE UNDER CITY DIVISION-2ND KOTA</t>
        </is>
      </c>
      <c r="G58" t="inlineStr">
        <is>
          <t>KOTA</t>
        </is>
      </c>
    </row>
    <row r="59">
      <c r="A59" s="1" t="n">
        <v>57</v>
      </c>
      <c r="B59">
        <f>HYPERLINK("https://eproc.rajasthan.gov.in/nicgep/app?component=%24DirectLink&amp;page=FrontEndViewTender&amp;service=direct&amp;session=T&amp;sp=SGqqasb3h78cUxZ%2FhvJs2Dw%3D%3D", "Providing laying and jointing of pipeline to provide drinking water to non beneficiary area of Julmi road AND Piliya Khan area of UWSS Suket Tehsil Ramganjmandi Distt. Kota Raj")</f>
        <v/>
      </c>
      <c r="C59" t="inlineStr">
        <is>
          <t>PHED-Chief Engineer(HQ),Jaipur||ACE Region Kota||SE, Cr. Kota</t>
        </is>
      </c>
      <c r="D59" t="inlineStr">
        <is>
          <t>26-May-2025 06:00 PM</t>
        </is>
      </c>
      <c r="E59" t="inlineStr">
        <is>
          <t>84,09,000</t>
        </is>
      </c>
      <c r="F59" t="inlineStr">
        <is>
          <t>Providing laying and jointing of pipeline to provide drinking water to non beneficiary area of Julmi road AND Piliya Khan area of UWSS Suket Tehsil Ramganjmandi Distt. Kota Raj</t>
        </is>
      </c>
      <c r="G59" t="inlineStr">
        <is>
          <t>KOTA</t>
        </is>
      </c>
    </row>
    <row r="60">
      <c r="A60" s="1" t="n">
        <v>58</v>
      </c>
      <c r="B60">
        <f>HYPERLINK("https://eproc.rajasthan.gov.in/nicgep/app?component=%24DirectLink&amp;page=FrontEndViewTender&amp;service=direct&amp;session=T&amp;sp=SFXSuHZrghpkp6C5DPWp%2Fpg%3D%3D", "Construction and Commissioning of 200 mm Dia. Tube well with P L and J of Pipe Line at Village Moru Kalan Dara G.P. Morukalan, Block- Sangod, Distt. Kota Rajasthan")</f>
        <v/>
      </c>
      <c r="C60" t="inlineStr">
        <is>
          <t>PHED-Chief Engineer(HQ),Jaipur||ACE Region Kota||SE, Cr. Kota</t>
        </is>
      </c>
      <c r="D60" t="inlineStr">
        <is>
          <t>26-May-2025 06:00 PM</t>
        </is>
      </c>
      <c r="E60" t="inlineStr">
        <is>
          <t>70,01,000</t>
        </is>
      </c>
      <c r="F60" t="inlineStr">
        <is>
          <t>Construction and Commissioning of 200 mm Dia. Tube well with P L and J of Pipe Line at Village Moru Kalan Dara G.P. Morukalan, Block- Sangod, Distt. Kota Rajasthan</t>
        </is>
      </c>
      <c r="G60" t="inlineStr">
        <is>
          <t>KOTA</t>
        </is>
      </c>
    </row>
    <row r="61">
      <c r="A61" s="1" t="n">
        <v>59</v>
      </c>
      <c r="B61">
        <f>HYPERLINK("https://eproc.rajasthan.gov.in/nicgep/app?component=%24DirectLink&amp;page=FrontEndViewTender&amp;service=direct&amp;session=T&amp;sp=SdhdgCuuDOwxK3RgTT%2F2LHQ%3D%3D", "PROPOSAL FOR REPLACEMENT OF OLD DAMAGED DISTRIBUTION PIPE LINES IN SUB DIVISION 2nd (VIGYAN NAGAR) AREA UNDER DISTRIBUTION SUB DIVISION 2nd UWSS KOTA")</f>
        <v/>
      </c>
      <c r="C61" t="inlineStr">
        <is>
          <t>PHED-Chief Engineer(HQ),Jaipur||ACE Region Kota||SE, Cr. Kota</t>
        </is>
      </c>
      <c r="D61" t="inlineStr">
        <is>
          <t>26-May-2025 06:00 PM</t>
        </is>
      </c>
      <c r="E61" t="inlineStr">
        <is>
          <t>76,97,000</t>
        </is>
      </c>
      <c r="F61" t="inlineStr">
        <is>
          <t>PROPOSAL FOR REPLACEMENT OF OLD DAMAGED DISTRIBUTION PIPE LINES IN SUB DIVISION 2nd (VIGYAN NAGAR) AREA UNDER DISTRIBUTION SUB DIVISION 2nd UWSS KOTA</t>
        </is>
      </c>
      <c r="G61" t="inlineStr">
        <is>
          <t>KOTA</t>
        </is>
      </c>
    </row>
    <row r="62">
      <c r="A62" s="1" t="n">
        <v>60</v>
      </c>
      <c r="B62">
        <f>HYPERLINK("https://eproc.rajasthan.gov.in/nicgep/app?component=%24DirectLink&amp;page=FrontEndViewTender&amp;service=direct&amp;session=T&amp;sp=SCo0hi0iIqQ0sA4L48nwUQA%3D%3D", "TENDER FOR PROVIDING WATER SUPPLY THROUGH FHTC IN VILLAGE NAMELY TALAB UNDER KHAKHARIYA GRAM PANCHAYAT BLOCK KOTRA DISTRICT UDAIPUR UNDER JAL JEEVAN MISSION")</f>
        <v/>
      </c>
      <c r="C62" t="inlineStr">
        <is>
          <t>PHED-Chief Engineer(HQ),Jaipur||ACE Region Udaipur||SE Cr.Udaipur||EE Distt.Rural Dn.Udaipur</t>
        </is>
      </c>
      <c r="D62" t="inlineStr">
        <is>
          <t>26-May-2025 06:00 PM</t>
        </is>
      </c>
      <c r="E62" t="inlineStr">
        <is>
          <t>1,47,39,000</t>
        </is>
      </c>
      <c r="F62" t="inlineStr">
        <is>
          <t>NIT 10/2025-26</t>
        </is>
      </c>
      <c r="G62" t="inlineStr">
        <is>
          <t>PS Kotra Area</t>
        </is>
      </c>
    </row>
    <row r="63">
      <c r="A63" s="1" t="n">
        <v>61</v>
      </c>
      <c r="B63">
        <f>HYPERLINK("https://eproc.rajasthan.gov.in/nicgep/app?component=%24DirectLink&amp;page=FrontEndViewTender&amp;service=direct&amp;session=T&amp;sp=SeLV7zKfoy2tTnK3XUmw3fg%3D%3D", "Rate Contract for supply of Alumina Ferric Grade IV Distt Rajsamand")</f>
        <v/>
      </c>
      <c r="C63" t="inlineStr">
        <is>
          <t>PHED-Chief Engineer(HQ),Jaipur||ACE Region Udaipur</t>
        </is>
      </c>
      <c r="D63" t="inlineStr">
        <is>
          <t>26-May-2025 10:00 AM</t>
        </is>
      </c>
      <c r="E63" t="inlineStr">
        <is>
          <t>20,00,000</t>
        </is>
      </c>
      <c r="F63" t="inlineStr">
        <is>
          <t>Rate Contract for supply of Alumina Ferric Grade IV Distt Rajsamand</t>
        </is>
      </c>
      <c r="G63" t="inlineStr">
        <is>
          <t>Rajsamand</t>
        </is>
      </c>
    </row>
    <row r="64">
      <c r="A64" s="1" t="n">
        <v>62</v>
      </c>
      <c r="B64">
        <f>HYPERLINK("https://eproc.rajasthan.gov.in/nicgep/app?component=%24DirectLink&amp;page=FrontEndViewTender&amp;service=direct&amp;session=T&amp;sp=SdZhPOufKwhCYL0KhkfGjEg%3D%3D", "ARC OF PIPELINE LAYING, JOINTING,TESTING UNDER SUB DIVISION KOTKASIM")</f>
        <v/>
      </c>
      <c r="C64" t="inlineStr">
        <is>
          <t>PHED-Chief Engineer(HQ),Jaipur||ACE Region Jaipur</t>
        </is>
      </c>
      <c r="D64" t="inlineStr">
        <is>
          <t>05-Jun-2025 06:00 PM</t>
        </is>
      </c>
      <c r="E64" t="inlineStr">
        <is>
          <t>1,10,00,000</t>
        </is>
      </c>
      <c r="F64" t="inlineStr">
        <is>
          <t>ARC OF PIPELINE LAYING, JOINTING,TESTINGUNDER SUB DIVISION KOTKASIM</t>
        </is>
      </c>
      <c r="G64" t="inlineStr">
        <is>
          <t>KOTKASIM</t>
        </is>
      </c>
    </row>
    <row r="65">
      <c r="A65" s="1" t="n">
        <v>63</v>
      </c>
      <c r="B65">
        <f>HYPERLINK("https://eproc.rajasthan.gov.in/nicgep/app?component=%24DirectLink&amp;page=FrontEndViewTender&amp;service=direct&amp;session=T&amp;sp=S8UQdPxBw2OOJOvF0D2C5iw%3D%3D", "ARC OF PIPELINE LAYING, JOINTING,TESTING UNDER SUB DIVISION KHAIRTHAL")</f>
        <v/>
      </c>
      <c r="C65" t="inlineStr">
        <is>
          <t>PHED-Chief Engineer(HQ),Jaipur||ACE Region Jaipur</t>
        </is>
      </c>
      <c r="D65" t="inlineStr">
        <is>
          <t>05-Jun-2025 06:00 PM</t>
        </is>
      </c>
      <c r="E65" t="inlineStr">
        <is>
          <t>1,10,00,000</t>
        </is>
      </c>
      <c r="F65" t="inlineStr">
        <is>
          <t>ARC OF PIPELINE LAYING, JOINTING,TESTINGUNDER SUB DIVISION KHAIRTHAL</t>
        </is>
      </c>
      <c r="G65" t="inlineStr">
        <is>
          <t>KHAIRTHAL</t>
        </is>
      </c>
    </row>
    <row r="66">
      <c r="A66" s="1" t="n">
        <v>64</v>
      </c>
      <c r="B66">
        <f>HYPERLINK("https://eproc.rajasthan.gov.in/nicgep/app?component=%24DirectLink&amp;page=FrontEndViewTender&amp;service=direct&amp;session=T&amp;sp=SoPYkZb8IDy%2BVWNiqdPYx9A%3D%3D", "ARC OF PIPELINE LAYING, JOINTING,TESTING UNDER SUB DIVISION BHIWADI I AND II")</f>
        <v/>
      </c>
      <c r="C66" t="inlineStr">
        <is>
          <t>PHED-Chief Engineer(HQ),Jaipur||ACE Region Jaipur</t>
        </is>
      </c>
      <c r="D66" t="inlineStr">
        <is>
          <t>05-Jun-2025 06:00 PM</t>
        </is>
      </c>
      <c r="E66" t="inlineStr">
        <is>
          <t>1,10,00,000</t>
        </is>
      </c>
      <c r="F66" t="inlineStr">
        <is>
          <t>ARC OF PIPELINE LAYING, JOINTING,TESTINGUNDER SUB DIVISION BHIWADI I AND II</t>
        </is>
      </c>
      <c r="G66" t="inlineStr">
        <is>
          <t>BHIWADI</t>
        </is>
      </c>
    </row>
    <row r="67">
      <c r="A67" s="1" t="n">
        <v>65</v>
      </c>
      <c r="B67">
        <f>HYPERLINK("https://eproc.rajasthan.gov.in/nicgep/app?component=%24DirectLink&amp;page=FrontEndViewTender&amp;service=direct&amp;session=T&amp;sp=SQr5s3yPEvwP6lmo9MgDuDw%3D%3D", "Annual Rate Contract for the Work of Drilling of 125 mm dia Tube Well for Hand Pumps as per departmental specification and amp installation of Hand Pumps complete with assembly and amp construction of platform Panchayat Samiti SULTANPUR District KOTA")</f>
        <v/>
      </c>
      <c r="C67" t="inlineStr">
        <is>
          <t>PHED-Chief Engineer(HQ),Jaipur||ACE Region Kota||SE, Cr. Kota</t>
        </is>
      </c>
      <c r="D67" t="inlineStr">
        <is>
          <t>26-May-2025 06:00 PM</t>
        </is>
      </c>
      <c r="E67" t="inlineStr">
        <is>
          <t>50,00,000</t>
        </is>
      </c>
      <c r="F67" t="inlineStr">
        <is>
          <t>Annual Rate Contract for the Work of Drilling of 125 mm dia Tube Well for Hand Pumps as per departmental specification and amp installation of Hand Pumps complete with assembly and amp construction of platform Panchayat Samiti SULTANPUR District KOTA</t>
        </is>
      </c>
      <c r="G67" t="inlineStr">
        <is>
          <t>KOTA</t>
        </is>
      </c>
    </row>
    <row r="68">
      <c r="A68" s="1" t="n">
        <v>66</v>
      </c>
      <c r="B68">
        <f>HYPERLINK("https://eproc.rajasthan.gov.in/nicgep/app?component=%24DirectLink&amp;page=FrontEndViewTender&amp;service=direct&amp;session=T&amp;sp=S2h7ph%2Fx2iTxBCeWR8Bv5tA%3D%3D", "20 No. HP CONSTRUCTION IN SANDY STRATA IN PS TIJARA")</f>
        <v/>
      </c>
      <c r="C68" t="inlineStr">
        <is>
          <t>PHED-Chief Engineer(HQ),Jaipur||ACE Region Jaipur</t>
        </is>
      </c>
      <c r="D68" t="inlineStr">
        <is>
          <t>26-May-2025 06:00 PM</t>
        </is>
      </c>
      <c r="E68" t="inlineStr">
        <is>
          <t>25,20,000</t>
        </is>
      </c>
      <c r="F68" t="inlineStr">
        <is>
          <t>20 No. HP CONSTRUCTION IN SANDY STRATA IN PS TIJARA</t>
        </is>
      </c>
      <c r="G68" t="inlineStr">
        <is>
          <t>TIJARA</t>
        </is>
      </c>
    </row>
    <row r="69">
      <c r="A69" s="1" t="n">
        <v>67</v>
      </c>
      <c r="B69">
        <f>HYPERLINK("https://eproc.rajasthan.gov.in/nicgep/app?component=%24DirectLink&amp;page=FrontEndViewTender&amp;service=direct&amp;session=T&amp;sp=SMqQM2zzK9xLvsIYo%2BAhDwg%3D%3D", "Annual Rate Contract for the Work of Drilling of 125 mm dia Tube Well for Hand Pumps as per departmental specification and amp installation of Hand Pumps complete with assembly and amp construction of platform Panchayat Samiti LADPURA District KOTA")</f>
        <v/>
      </c>
      <c r="C69" t="inlineStr">
        <is>
          <t>PHED-Chief Engineer(HQ),Jaipur||ACE Region Kota||SE, Cr. Kota</t>
        </is>
      </c>
      <c r="D69" t="inlineStr">
        <is>
          <t>26-May-2025 06:00 PM</t>
        </is>
      </c>
      <c r="E69" t="inlineStr">
        <is>
          <t>50,00,000</t>
        </is>
      </c>
      <c r="F69" t="inlineStr">
        <is>
          <t>Annual Rate Contract for the Work of Drilling of 125 mm dia Tube Well for Hand Pumps as per departmental specification and amp installation of Hand Pumps complete with assembly and amp construction of platform Panchayat Samiti LADPURA District KOTA</t>
        </is>
      </c>
      <c r="G69" t="inlineStr">
        <is>
          <t>KOTA</t>
        </is>
      </c>
    </row>
    <row r="70">
      <c r="A70" s="1" t="n">
        <v>68</v>
      </c>
      <c r="B70">
        <f>HYPERLINK("https://eproc.rajasthan.gov.in/nicgep/app?component=%24DirectLink&amp;page=FrontEndViewTender&amp;service=direct&amp;session=T&amp;sp=SolPUCBBFrsJtQQLiIUmlGQ%3D%3D", "4 No. Construction and Commissioning of Solar Energy Based Bore Well Water Pumping Systems, with Storage Reservoir and PSP including Five Years Defect Liability in Division Bari District Dholpur")</f>
        <v/>
      </c>
      <c r="C70" t="inlineStr">
        <is>
          <t>PHED-Chief Engineer(HQ),Jaipur||ACE Region Bharatpur||SE, Cr. Bharatpur||EE, Dn.Dholpur</t>
        </is>
      </c>
      <c r="D70" t="inlineStr">
        <is>
          <t>26-May-2025 06:00 PM</t>
        </is>
      </c>
      <c r="E70" t="inlineStr">
        <is>
          <t>29,23,000</t>
        </is>
      </c>
      <c r="F70" t="inlineStr">
        <is>
          <t>4 No. Construction and Commissioning of Solar Energy Based Bore Well Water Pumping Systems, with Storage Reservoir and PSP including Five Years Defect Liability in Division Bari District Dholpur</t>
        </is>
      </c>
      <c r="G70" t="inlineStr">
        <is>
          <t>BARI</t>
        </is>
      </c>
    </row>
    <row r="71">
      <c r="A71" s="1" t="n">
        <v>69</v>
      </c>
      <c r="B71">
        <f>HYPERLINK("https://eproc.rajasthan.gov.in/nicgep/app?component=%24DirectLink&amp;page=FrontEndViewTender&amp;service=direct&amp;session=T&amp;sp=SJlp0SW%2FiC8p3oWhOQ8avQA%3D%3D", "ARC for Construction and Commissioning of 200 mm tube Well Providing and installation of submersible pumpsets electric feeder panels submersible cables, riser pipes with interconnection to existing distribution system under Kota City of District Kota")</f>
        <v/>
      </c>
      <c r="C71" t="inlineStr">
        <is>
          <t>PHED-Chief Engineer(HQ),Jaipur||ACE Region Kota||SE, Cr. Kota</t>
        </is>
      </c>
      <c r="D71" t="inlineStr">
        <is>
          <t>26-May-2025 06:00 PM</t>
        </is>
      </c>
      <c r="E71" t="inlineStr">
        <is>
          <t>50,00,000</t>
        </is>
      </c>
      <c r="F71" t="inlineStr">
        <is>
          <t>ARC for Construction and Commissioning of 200 mm tube Well Providing and installation of submersible pumpsets electric feeder panels submersible cables, riser pipes with interconnection to existing distribution system under Kota City of District Kota</t>
        </is>
      </c>
      <c r="G71" t="inlineStr">
        <is>
          <t>KOTA</t>
        </is>
      </c>
    </row>
    <row r="72">
      <c r="A72" s="1" t="n">
        <v>70</v>
      </c>
      <c r="B72">
        <f>HYPERLINK("https://eproc.rajasthan.gov.in/nicgep/app?component=%24DirectLink&amp;page=FrontEndViewTender&amp;service=direct&amp;session=T&amp;sp=SzUScXxDb%2FVtHj1ophDaN0A%3D%3D", "Work of Construction and Commissioning of Tubewells by DTH/Rotary/ Combination rig of 200/150 mm dia, supply and installation of energy efficient Submersible Pump sets, Panels, Cables and other allied works including commissioning and testing of tube")</f>
        <v/>
      </c>
      <c r="C72" t="inlineStr">
        <is>
          <t>PHED-Chief Engineer(HQ),Jaipur||ACE Region Ajmer||SE Cr. Ajmer||EE, Dn Kishangarh</t>
        </is>
      </c>
      <c r="D72" t="inlineStr">
        <is>
          <t>26-May-2025 06:00 PM</t>
        </is>
      </c>
      <c r="E72" t="inlineStr">
        <is>
          <t>26,80,000</t>
        </is>
      </c>
      <c r="F72" t="inlineStr">
        <is>
          <t>Work of Construction and Commissioning of Tubewells by DTH/Rotary/ Combination rig of 200/150 mm dia, supply and installation of energy efficient Submersible Pump sets, Panels, Cables and other allied works including commissioning and testing of tube</t>
        </is>
      </c>
      <c r="G72" t="inlineStr">
        <is>
          <t>Kishangarh</t>
        </is>
      </c>
    </row>
    <row r="73">
      <c r="A73" s="1" t="n">
        <v>71</v>
      </c>
      <c r="B73">
        <f>HYPERLINK("https://eproc.rajasthan.gov.in/nicgep/app?component=%24DirectLink&amp;page=FrontEndViewTender&amp;service=direct&amp;session=T&amp;sp=Sp8B1YEzFtIailkH0ULadmQ%3D%3D", "Construction of 200 mm Tube well in all type of rocky strata by DTH system with installation of 3 phase 7.5 KW Submersible pump set including laying jointing of HDPE Pipeline with PVC tank under city Dn-1 Ajmer in Ajmer north constituency")</f>
        <v/>
      </c>
      <c r="C73" t="inlineStr">
        <is>
          <t>PHED-Chief Engineer(HQ),Jaipur||ACE Region Ajmer||SE Cr. Ajmer||EE, Dist. Rural Dn.Ajmer</t>
        </is>
      </c>
      <c r="D73" t="inlineStr">
        <is>
          <t>26-May-2025 06:00 PM</t>
        </is>
      </c>
      <c r="E73" t="inlineStr">
        <is>
          <t>44,00,000</t>
        </is>
      </c>
      <c r="F73" t="inlineStr">
        <is>
          <t>Construction of 200 mm Tube well in all type of rocky strata by DTH system with installation of 3 phase 7.5 KW Submersible pump set including laying jointing of HDPE Pipeline with PVC tank under city Dn-1 Ajmer in Ajmer north constituency</t>
        </is>
      </c>
      <c r="G73" t="inlineStr">
        <is>
          <t>Ajmer</t>
        </is>
      </c>
    </row>
    <row r="74">
      <c r="A74" s="1" t="n">
        <v>72</v>
      </c>
      <c r="B74">
        <f>HYPERLINK("https://eproc.rajasthan.gov.in/nicgep/app?component=%24DirectLink&amp;page=FrontEndViewTender&amp;service=direct&amp;session=T&amp;sp=SEtZPafeMTJ7YoQsxJS5OdQ%3D%3D", "ARC OF PIPELINE LAYING, JOINTING,TESTING UNDER SUB DIVISION TIJARA")</f>
        <v/>
      </c>
      <c r="C74" t="inlineStr">
        <is>
          <t>PHED-Chief Engineer(HQ),Jaipur||ACE Region Jaipur</t>
        </is>
      </c>
      <c r="D74" t="inlineStr">
        <is>
          <t>05-Jun-2025 06:00 PM</t>
        </is>
      </c>
      <c r="E74" t="inlineStr">
        <is>
          <t>1,10,00,000</t>
        </is>
      </c>
      <c r="F74" t="inlineStr">
        <is>
          <t>ARC OF PIPELINE LAYING, JOINTING,TESTINGUNDER SUB DIVISION TIJARA</t>
        </is>
      </c>
      <c r="G74" t="inlineStr">
        <is>
          <t>TIJARA</t>
        </is>
      </c>
    </row>
    <row r="75">
      <c r="A75" s="1" t="n">
        <v>73</v>
      </c>
      <c r="B75">
        <f>HYPERLINK("https://eproc.rajasthan.gov.in/nicgep/app?component=%24DirectLink&amp;page=FrontEndViewTender&amp;service=direct&amp;session=T&amp;sp=SxnBv4JFQGCSmYXpGz5aI3g%3D%3D", "ARC OF PIPELINE LAYING, JOINTING,TESTING UNDER SUB DIVISION MUNDAWAR")</f>
        <v/>
      </c>
      <c r="C75" t="inlineStr">
        <is>
          <t>PHED-Chief Engineer(HQ),Jaipur||ACE Region Jaipur</t>
        </is>
      </c>
      <c r="D75" t="inlineStr">
        <is>
          <t>05-Jun-2025 06:00 PM</t>
        </is>
      </c>
      <c r="E75" t="inlineStr">
        <is>
          <t>1,10,00,000</t>
        </is>
      </c>
      <c r="F75" t="inlineStr">
        <is>
          <t>ARC OF PIPELINE LAYING, JOINTING,TESTINGUNDER SUB DIVISION MUNDAWAR</t>
        </is>
      </c>
      <c r="G75" t="inlineStr">
        <is>
          <t>MUNDAWAR</t>
        </is>
      </c>
    </row>
    <row r="76">
      <c r="A76" s="1" t="n">
        <v>74</v>
      </c>
      <c r="B76">
        <f>HYPERLINK("https://eproc.rajasthan.gov.in/nicgep/app?component=%24DirectLink&amp;page=FrontEndViewTender&amp;service=direct&amp;session=T&amp;sp=SHN%2BXft79J3FFNh%2F%2B866Wpw%3D%3D", "Annual Rate Contract for the Work of Drilling of 125 mm dia Tube Well for Hand Pumps as per departmental specification and amp installation of Hand Pumps complete with assembly and amp construction of platform Panchayat Samiti ITAWA District KOTA")</f>
        <v/>
      </c>
      <c r="C76" t="inlineStr">
        <is>
          <t>PHED-Chief Engineer(HQ),Jaipur||ACE Region Kota||SE, Cr. Kota</t>
        </is>
      </c>
      <c r="D76" t="inlineStr">
        <is>
          <t>26-May-2025 06:00 PM</t>
        </is>
      </c>
      <c r="E76" t="inlineStr">
        <is>
          <t>50,00,000</t>
        </is>
      </c>
      <c r="F76" t="inlineStr">
        <is>
          <t>Annual Rate Contract for the Work of Drilling of 125 mm dia Tube Well for Hand Pumps as per departmental specification and amp installation of Hand Pumps complete with assembly and amp construction of platform Panchayat Samiti ITAWA District KOTA</t>
        </is>
      </c>
      <c r="G76" t="inlineStr">
        <is>
          <t>KOTA</t>
        </is>
      </c>
    </row>
    <row r="77">
      <c r="A77" s="1" t="n">
        <v>75</v>
      </c>
      <c r="B77">
        <f>HYPERLINK("https://eproc.rajasthan.gov.in/nicgep/app?component=%24DirectLink&amp;page=FrontEndViewTender&amp;service=direct&amp;session=T&amp;sp=SJmixaNMCPcwM%2Bm2OEcK4%2Fg%3D%3D", "Annual Rate Contract for the Work of Drilling of 125 mm dia Tube Well for Hand Pumps as per departmental specification and amp installation of Hand Pumps complete with assembly and amp construction of platform Panchayat Samiti KHERABAD District KOTA")</f>
        <v/>
      </c>
      <c r="C77" t="inlineStr">
        <is>
          <t>PHED-Chief Engineer(HQ),Jaipur||ACE Region Kota||SE, Cr. Kota</t>
        </is>
      </c>
      <c r="D77" t="inlineStr">
        <is>
          <t>26-May-2025 06:00 PM</t>
        </is>
      </c>
      <c r="E77" t="inlineStr">
        <is>
          <t>50,00,000</t>
        </is>
      </c>
      <c r="F77" t="inlineStr">
        <is>
          <t>Annual Rate Contract for the Work of Drilling of 125 mm dia Tube Well for Hand Pumps as per departmental specification and amp installation of Hand Pumps complete with assembly and amp construction of platform Panchayat Samiti KHERABAD District KOTA</t>
        </is>
      </c>
      <c r="G77" t="inlineStr">
        <is>
          <t>KOTA</t>
        </is>
      </c>
    </row>
    <row r="78">
      <c r="A78" s="1" t="n">
        <v>76</v>
      </c>
      <c r="B78">
        <f>HYPERLINK("https://eproc.rajasthan.gov.in/nicgep/app?component=%24DirectLink&amp;page=FrontEndViewTender&amp;service=direct&amp;session=T&amp;sp=SAYFQJtuyeG6RnPSaxGRfSA%3D%3D", "Annual Rate Contract for the Work of Drilling of 125 mm dia Tube Well for Hand Pumps as per departmental specification and amp installation of Hand Pumps complete with assembly and amp construction of platform Panchayat Samiti SANGOD District KOTA")</f>
        <v/>
      </c>
      <c r="C78" t="inlineStr">
        <is>
          <t>PHED-Chief Engineer(HQ),Jaipur||ACE Region Kota||SE, Cr. Kota</t>
        </is>
      </c>
      <c r="D78" t="inlineStr">
        <is>
          <t>26-May-2025 06:00 PM</t>
        </is>
      </c>
      <c r="E78" t="inlineStr">
        <is>
          <t>50,00,000</t>
        </is>
      </c>
      <c r="F78" t="inlineStr">
        <is>
          <t>Annual Rate Contract for the Work of Drilling of 125 mm dia Tube Well for Hand Pumps as per departmental specification and amp installation of Hand Pumps complete with assembly and amp construction of platform Panchayat Samiti SANGOD District KOTA</t>
        </is>
      </c>
      <c r="G78" t="inlineStr">
        <is>
          <t>KOTA</t>
        </is>
      </c>
    </row>
    <row r="79">
      <c r="A79" s="1" t="n">
        <v>77</v>
      </c>
      <c r="B79">
        <f>HYPERLINK("https://eproc.rajasthan.gov.in/nicgep/app?component=%24DirectLink&amp;page=FrontEndViewTender&amp;service=direct&amp;session=T&amp;sp=SmopSpeQzsJYk%2Brmk7WLUAg%3D%3D", "ARC for Construction and Commissioning of 200 mm tube Well Providing and installation of submersible pumpsets electric feeder panels submersible cables, riser pipes with interconnection to existing distribution system under DIST. RURAL DIV KOTA")</f>
        <v/>
      </c>
      <c r="C79" t="inlineStr">
        <is>
          <t>PHED-Chief Engineer(HQ),Jaipur||ACE Region Kota||SE, Cr. Kota</t>
        </is>
      </c>
      <c r="D79" t="inlineStr">
        <is>
          <t>26-May-2025 06:00 PM</t>
        </is>
      </c>
      <c r="E79" t="inlineStr">
        <is>
          <t>50,00,000</t>
        </is>
      </c>
      <c r="F79" t="inlineStr">
        <is>
          <t>ARC for Construction and Commissioning of 200 mm tube Well Providing and installation of submersible pumpsets electric feeder panels submersible cables, riser pipes with interconnection to existing distribution system under DIST. RURAL DIV KOTA</t>
        </is>
      </c>
      <c r="G79" t="inlineStr">
        <is>
          <t>KOTA</t>
        </is>
      </c>
    </row>
    <row r="80">
      <c r="A80" s="1" t="n">
        <v>78</v>
      </c>
      <c r="B80">
        <f>HYPERLINK("https://eproc.rajasthan.gov.in/nicgep/app?component=%24DirectLink&amp;page=FrontEndViewTender&amp;service=direct&amp;session=T&amp;sp=SYWZCP%2FDZyM8r65uRDgkLTw%3D%3D", "ARC for Construction and Commissioning of 200 mm tube Well Providing and installation of submersible pumpsets electric feeder panels submersible cables, riser pipes with interconnection to existing distribution system under DIV R.MANDI District Kota")</f>
        <v/>
      </c>
      <c r="C80" t="inlineStr">
        <is>
          <t>PHED-Chief Engineer(HQ),Jaipur||ACE Region Kota||SE, Cr. Kota</t>
        </is>
      </c>
      <c r="D80" t="inlineStr">
        <is>
          <t>26-May-2025 06:00 PM</t>
        </is>
      </c>
      <c r="E80" t="inlineStr">
        <is>
          <t>50,00,000</t>
        </is>
      </c>
      <c r="F80" t="inlineStr">
        <is>
          <t>ARC for Construction and Commissioning of 200 mm tube Well Providing and installation of submersible pumpsets electric feeder panels submersible cables, riser pipes with interconnection to existing distribution system under DIV R.MANDI District Kota</t>
        </is>
      </c>
      <c r="G80" t="inlineStr">
        <is>
          <t>KOTA</t>
        </is>
      </c>
    </row>
    <row r="81">
      <c r="A81" s="1" t="n">
        <v>79</v>
      </c>
      <c r="B81">
        <f>HYPERLINK("https://eproc.rajasthan.gov.in/nicgep/app?component=%24DirectLink&amp;page=FrontEndViewTender&amp;service=direct&amp;session=T&amp;sp=SmKmBfvMOCCVgG5Dyhbnriw%3D%3D", "ARC for Construction and Commissioning of 200 mm tube Well Providing and installation of submersible pumpsets electric feeder panels submersible cables, riser pipes with interconnection to existing distribution system under DIV SANGOD District Kota")</f>
        <v/>
      </c>
      <c r="C81" t="inlineStr">
        <is>
          <t>PHED-Chief Engineer(HQ),Jaipur||ACE Region Kota||SE, Cr. Kota</t>
        </is>
      </c>
      <c r="D81" t="inlineStr">
        <is>
          <t>26-May-2025 06:00 PM</t>
        </is>
      </c>
      <c r="E81" t="inlineStr">
        <is>
          <t>50,00,000</t>
        </is>
      </c>
      <c r="F81" t="inlineStr">
        <is>
          <t>ARC for Construction and Commissioning of 200 mm tube Well Providing and installation of submersible pumpsets electric feeder panels submersible cables, riser pipes with interconnection to existing distribution system under DIV SANGOD District Kota</t>
        </is>
      </c>
      <c r="G81" t="inlineStr">
        <is>
          <t>KOTA</t>
        </is>
      </c>
    </row>
    <row r="82">
      <c r="A82" s="1" t="n">
        <v>80</v>
      </c>
      <c r="B82">
        <f>HYPERLINK("https://eproc.rajasthan.gov.in/nicgep/app?component=%24DirectLink&amp;page=FrontEndViewTender&amp;service=direct&amp;session=T&amp;sp=SlWyHI%2B2Mn9x4rovcqHYARQ%3D%3D", "NIT NO. 13 2025-26 The work of Construction and commissioning of 150 mm dia 05 nos tubewells at various location under the jurisdiction of MLA-Constituency- Ajmer South District Ajmer Under budget announcement 2025-26.")</f>
        <v/>
      </c>
      <c r="C82" t="inlineStr">
        <is>
          <t>PHED-Chief Engineer(HQ),Jaipur||ACE Region Ajmer||SE Cr. Ajmer||EE, City Dn-II Ajmer</t>
        </is>
      </c>
      <c r="D82" t="inlineStr">
        <is>
          <t>27-May-2025 06:00 PM</t>
        </is>
      </c>
      <c r="E82" t="inlineStr">
        <is>
          <t>NA</t>
        </is>
      </c>
      <c r="F82" t="inlineStr">
        <is>
          <t>NIT NO. 13 2025-26 The work of Construction and commissioning of 150 mm dia 05 nos tubewells at various location under the jurisdiction of MLA-Constituency- Ajmer South District Ajmer Under budget announcement 2025-26.</t>
        </is>
      </c>
      <c r="G82" t="inlineStr">
        <is>
          <t>AJMER</t>
        </is>
      </c>
    </row>
    <row r="83">
      <c r="A83" s="1" t="n">
        <v>81</v>
      </c>
      <c r="B83">
        <f>HYPERLINK("https://eproc.rajasthan.gov.in/nicgep/app?component=%24DirectLink&amp;page=FrontEndViewTender&amp;service=direct&amp;session=T&amp;sp=S3l3A5qn9boLPPstGEZ%2Ffug%3D%3D", "Construction and Commissioning of Tubewells by DTH/Rotary/ Combination rig of 200 mm dia, supply and installation of energy efficient Submersible Pump sets, Panels, Cables and other allied works including commissioning and testing of tube well under")</f>
        <v/>
      </c>
      <c r="C83" t="inlineStr">
        <is>
          <t>PHED-Chief Engineer(HQ),Jaipur||ACE Region Ajmer</t>
        </is>
      </c>
      <c r="D83" t="inlineStr">
        <is>
          <t>27-May-2025 06:00 PM</t>
        </is>
      </c>
      <c r="E83" t="inlineStr">
        <is>
          <t>53,68,000</t>
        </is>
      </c>
      <c r="F83" t="inlineStr">
        <is>
          <t>Construction and Commissioning of Tubewells by DTH/Rotary/ Combination rig of 200 mm dia, supply and installation of energy efficient Submersible Pump sets, Panels, Cables and other allied works including commissioning and testing of tube well under</t>
        </is>
      </c>
      <c r="G83" t="inlineStr">
        <is>
          <t>Ajmer</t>
        </is>
      </c>
    </row>
    <row r="84">
      <c r="A84" s="1" t="n">
        <v>82</v>
      </c>
      <c r="B84">
        <f>HYPERLINK("https://eproc.rajasthan.gov.in/nicgep/app?component=%24DirectLink&amp;page=FrontEndViewTender&amp;service=direct&amp;session=T&amp;sp=S3G6EAisJ3i1Tt%2BfNYBvESQ%3D%3D", "Annual Rate Contract for Replacement of Submersible Pumpset, GI Pipe, Cable, PLJ Pipeline, Deepning etc work with 2 year Defect Liability Period for JEn Section Toda and Ajeetgarh under Sub Division Ajeetgarh")</f>
        <v/>
      </c>
      <c r="C84" t="inlineStr">
        <is>
          <t>PHED-Chief Engineer(HQ),Jaipur||ACE Region Jaipur||SE Cr. Sikar||EE, Dn Neemkathana</t>
        </is>
      </c>
      <c r="D84" t="inlineStr">
        <is>
          <t>22-May-2025 06:00 PM</t>
        </is>
      </c>
      <c r="E84" t="inlineStr">
        <is>
          <t>25,00,000</t>
        </is>
      </c>
      <c r="F84" t="inlineStr">
        <is>
          <t>Annual Rate Contract for Replacement of Submersible Pumpset, GI Pipe, Cable, PLJ Pipeline, Deepning etc work with 2 year Defect Liability Period for JEn Section Toda and Ajeetgarh under Sub Division Ajeetgarh</t>
        </is>
      </c>
      <c r="G84" t="inlineStr">
        <is>
          <t>NEEM KA THANA</t>
        </is>
      </c>
    </row>
    <row r="85">
      <c r="A85" s="1" t="n">
        <v>83</v>
      </c>
      <c r="B85">
        <f>HYPERLINK("https://eproc.rajasthan.gov.in/nicgep/app?component=%24DirectLink&amp;page=FrontEndViewTender&amp;service=direct&amp;session=T&amp;sp=SOqYH4%2FX%2BYYnDe8Vd2KGEtQ%3D%3D", "Annual rate contract for removing of leakage/choking in difference size of pipe line under sub dn Buhana Distt Jhunjhunu")</f>
        <v/>
      </c>
      <c r="C85" t="inlineStr">
        <is>
          <t>PHED-Chief Engineer(HQ),Jaipur||ACE Region Jaipur</t>
        </is>
      </c>
      <c r="D85" t="inlineStr">
        <is>
          <t>23-May-2025 05:00 PM</t>
        </is>
      </c>
      <c r="E85" t="inlineStr">
        <is>
          <t>10,00,000</t>
        </is>
      </c>
      <c r="F85" t="inlineStr">
        <is>
          <t>Annual rate contract for removing of leakage/choking in difference size of pipe line under sub dn Buhana Distt Jhunjhunu</t>
        </is>
      </c>
      <c r="G85" t="inlineStr">
        <is>
          <t>Jhunjhunu</t>
        </is>
      </c>
    </row>
    <row r="86">
      <c r="A86" s="1" t="n">
        <v>84</v>
      </c>
      <c r="B86">
        <f>HYPERLINK("https://eproc.rajasthan.gov.in/nicgep/app?component=%24DirectLink&amp;page=FrontEndViewTender&amp;service=direct&amp;session=T&amp;sp=SL8xAkrYih9FJWUWNkYL7Bw%3D%3D", "Annual Rate Contract For Repairing and Rewinding Work of Submersible Pump Set under PHED Sub Dn Buhana Distt Jhunjhunu")</f>
        <v/>
      </c>
      <c r="C86" t="inlineStr">
        <is>
          <t>PHED-Chief Engineer(HQ),Jaipur||ACE Region Jaipur</t>
        </is>
      </c>
      <c r="D86" t="inlineStr">
        <is>
          <t>23-May-2025 05:00 PM</t>
        </is>
      </c>
      <c r="E86" t="inlineStr">
        <is>
          <t>10,00,000</t>
        </is>
      </c>
      <c r="F86" t="inlineStr">
        <is>
          <t>Annual Rate Contract For Repairing and Rewinding Work of Submersible Pump Set under PHED Sub Dn Buhana Distt Jhunjhunu</t>
        </is>
      </c>
      <c r="G86" t="inlineStr">
        <is>
          <t>Jhunjhunu</t>
        </is>
      </c>
    </row>
    <row r="87">
      <c r="A87" s="1" t="n">
        <v>85</v>
      </c>
      <c r="B87">
        <f>HYPERLINK("https://eproc.rajasthan.gov.in/nicgep/app?component=%24DirectLink&amp;page=FrontEndViewTender&amp;service=direct&amp;session=T&amp;sp=Sn8gAurYfgPut0snP%2BP%2F7gA%3D%3D", "TENDER FOR PROVIDING WATER SUPPLY THROUGH FHTC IN VILLAGE NAMELY KARA UNDER KYARI GRAM PANCHAYAT BLOCK KOTRA DISTRICT UDAIPUR UNDER JAL JEEVAN MISSION")</f>
        <v/>
      </c>
      <c r="C87" t="inlineStr">
        <is>
          <t>PHED-Chief Engineer(HQ),Jaipur||ACE Region Udaipur||SE Cr.Udaipur||EE Distt.Rural Dn.Udaipur</t>
        </is>
      </c>
      <c r="D87" t="inlineStr">
        <is>
          <t>26-May-2025 06:00 PM</t>
        </is>
      </c>
      <c r="E87" t="inlineStr">
        <is>
          <t>1,32,31,000</t>
        </is>
      </c>
      <c r="F87" t="inlineStr">
        <is>
          <t>NIT 9/2025-26</t>
        </is>
      </c>
      <c r="G87" t="inlineStr">
        <is>
          <t>PS Kotra Area</t>
        </is>
      </c>
    </row>
    <row r="88">
      <c r="A88" s="1" t="n">
        <v>86</v>
      </c>
      <c r="B88">
        <f>HYPERLINK("https://eproc.rajasthan.gov.in/nicgep/app?component=%24DirectLink&amp;page=FrontEndViewTender&amp;service=direct&amp;session=T&amp;sp=SYDLizDyH4rrJ0iOLighNWg%3D%3D", "Annual rate contract work of un lowering/ lowering of submersible motor pump set from existing tube wells under PHED Sub Dn Buhana, Distt. Jhunjhunu.")</f>
        <v/>
      </c>
      <c r="C88" t="inlineStr">
        <is>
          <t>PHED-Chief Engineer(HQ),Jaipur||ACE Region Jaipur</t>
        </is>
      </c>
      <c r="D88" t="inlineStr">
        <is>
          <t>23-May-2025 05:00 PM</t>
        </is>
      </c>
      <c r="E88" t="inlineStr">
        <is>
          <t>10,00,000</t>
        </is>
      </c>
      <c r="F88" t="inlineStr">
        <is>
          <t>Annual rate contract work of un lowering/ lowering of submersible motor pump set from existing tube wells under PHED Sub Dn Buhana, Distt. Jhunjhunu.</t>
        </is>
      </c>
      <c r="G88" t="inlineStr">
        <is>
          <t>Jhunjhunu</t>
        </is>
      </c>
    </row>
    <row r="89">
      <c r="A89" s="1" t="n">
        <v>87</v>
      </c>
      <c r="B89">
        <f>HYPERLINK("https://eproc.rajasthan.gov.in/nicgep/app?component=%24DirectLink&amp;page=FrontEndViewTender&amp;service=direct&amp;session=T&amp;sp=S3bvT1Ui4pi81W0Md9LjSHw%3D%3D", "TENDER FOR PROVIDING WATER SUPPLY THROUGH FHTC IN VILLAGE NAMELY HAR UNDER SULAV GRAM PANCHAYAT BLOCK KOTRA DISTRICT UDAIPUR UNDER JAL JEEVAN MISSION")</f>
        <v/>
      </c>
      <c r="C89" t="inlineStr">
        <is>
          <t>PHED-Chief Engineer(HQ),Jaipur||ACE Region Udaipur||SE Cr.Udaipur||EE Distt.Rural Dn.Udaipur</t>
        </is>
      </c>
      <c r="D89" t="inlineStr">
        <is>
          <t>26-May-2025 06:00 PM</t>
        </is>
      </c>
      <c r="E89" t="inlineStr">
        <is>
          <t>1,49,56,000</t>
        </is>
      </c>
      <c r="F89" t="inlineStr">
        <is>
          <t>NIT 8/2025-26</t>
        </is>
      </c>
      <c r="G89" t="inlineStr">
        <is>
          <t>PS Kotra Area</t>
        </is>
      </c>
    </row>
    <row r="90">
      <c r="A90" s="1" t="n">
        <v>88</v>
      </c>
      <c r="B90">
        <f>HYPERLINK("https://eproc.rajasthan.gov.in/nicgep/app?component=%24DirectLink&amp;page=FrontEndViewTender&amp;service=direct&amp;session=T&amp;sp=SZ5Q5sLdaVXcpE7tlTCseDg%3D%3D", "work related to Installation and Commissioning of Hand pump under Jurisdiction of DivDholpur")</f>
        <v/>
      </c>
      <c r="C90" t="inlineStr">
        <is>
          <t>PHED-Chief Engineer(HQ),Jaipur||ACE Region Bharatpur||SE, Cr. Bharatpur||EE, Dn.Dholpur</t>
        </is>
      </c>
      <c r="D90" t="inlineStr">
        <is>
          <t>20-May-2025 05:00 PM</t>
        </is>
      </c>
      <c r="E90" t="inlineStr">
        <is>
          <t>8,92,000</t>
        </is>
      </c>
      <c r="F90" t="inlineStr">
        <is>
          <t>work related to Installation and Commissioning of Hand pump under Jurisdiction of DivDholpur</t>
        </is>
      </c>
      <c r="G90" t="inlineStr">
        <is>
          <t>DHOLPUR</t>
        </is>
      </c>
    </row>
    <row r="91">
      <c r="A91" s="1" t="n">
        <v>89</v>
      </c>
      <c r="B91">
        <f>HYPERLINK("https://eproc.rajasthan.gov.in/nicgep/app?component=%24DirectLink&amp;page=FrontEndViewTender&amp;service=direct&amp;session=T&amp;sp=SqepS02zBN%2BgR9LPkbcFXmA%3D%3D", "The work of operation and maintenance of DI and HDPE pipelines, valves etc inclusiveall repairing material in Bisalpur Water Supply Project Jagatpura Pratap Nagar and Mahal Road Area Distribution Package I under Project Division I Sourh Jaipur")</f>
        <v/>
      </c>
      <c r="C91" t="inlineStr">
        <is>
          <t>PHED-Chief Engineer(HQ),Jaipur||ACE Region Jaipur||SE City Cr. Jaipur</t>
        </is>
      </c>
      <c r="D91" t="inlineStr">
        <is>
          <t>23-May-2025 06:00 PM</t>
        </is>
      </c>
      <c r="E91" t="inlineStr">
        <is>
          <t>18,10,000</t>
        </is>
      </c>
      <c r="F91" t="inlineStr">
        <is>
          <t>The work of operation and maintenance of DI and HDPE pipelines, valves etc inclusiveall repairing material in Bisalpur Water Supply Project Jagatpura Pratap Nagar and Mahal Road Area Distribution Package I under Project Division I Sourh Jaipur</t>
        </is>
      </c>
      <c r="G91" t="inlineStr">
        <is>
          <t>Executive Engineer PHED City Dn III South Jaipur</t>
        </is>
      </c>
    </row>
    <row r="92">
      <c r="A92" s="1" t="n">
        <v>90</v>
      </c>
      <c r="B92">
        <f>HYPERLINK("https://eproc.rajasthan.gov.in/nicgep/app?component=%24DirectLink&amp;page=FrontEndViewTender&amp;service=direct&amp;session=T&amp;sp=S6S9PAuZslgu%2BNZSslAJ9Ug%3D%3D", "WORK OF CONSTRUCTION OF OPENWELL AGAINST SUBMERGED SOURCES DUE TO HEAVY RAINFALL AT RWSS GIRI, NAHARPURA UNDER SUB DIVISION RAIPUR DISTRICT-BEAWAR")</f>
        <v/>
      </c>
      <c r="C92" t="inlineStr">
        <is>
          <t>PHED-Chief Engineer(HQ),Jaipur||ACE Region Ajmer||SE Cr. Ajmer</t>
        </is>
      </c>
      <c r="D92" t="inlineStr">
        <is>
          <t>22-May-2025 03:00 PM</t>
        </is>
      </c>
      <c r="E92" t="inlineStr">
        <is>
          <t>82,77,000</t>
        </is>
      </c>
      <c r="F92" t="inlineStr">
        <is>
          <t>WORK OF CONSTRUCTION OF OPENWELL AGAINST SUBMERGED SOURCES DUE TO HEAVY RAINFALL AT RWSS GIRI, NAHARPURA UNDER SUB DIVISION RAIPUR DISTRICT-BEAWAR</t>
        </is>
      </c>
      <c r="G92" t="inlineStr">
        <is>
          <t>EE PHED DIVISION BEAWAR</t>
        </is>
      </c>
    </row>
    <row r="93">
      <c r="A93" s="1" t="n">
        <v>91</v>
      </c>
      <c r="B93">
        <f>HYPERLINK("https://eproc.rajasthan.gov.in/nicgep/app?component=%24DirectLink&amp;page=FrontEndViewTender&amp;service=direct&amp;session=T&amp;sp=SdSMKkERqvaOToFY5zIjhAw%3D%3D", "Construction and Commissioning of 3 nos 200 mm dia. Tube Well at Various RWSS under Churu Bissau Sub Div Churu with 02 Year defect liability period under Tehsil Churu District Churu Nit no 06/2025-26")</f>
        <v/>
      </c>
      <c r="C93" t="inlineStr">
        <is>
          <t>PHED-Chief Engineer(HQ),Jaipur||ACE Region Bikaner||SE,Cr.Churu||EE, Dn.Churu</t>
        </is>
      </c>
      <c r="D93" t="inlineStr">
        <is>
          <t>22-May-2025 05:00 PM</t>
        </is>
      </c>
      <c r="E93" t="inlineStr">
        <is>
          <t>26,43,535</t>
        </is>
      </c>
      <c r="F93" t="inlineStr">
        <is>
          <t>Construction and Commissioning of 3 nos 200 mm dia. Tube Well at Various RWSS under Churu Bissau Sub Div Churu with 02 Year defect liability period under Tehsil Churu District Churu Nit no 06/2025-26</t>
        </is>
      </c>
      <c r="G93" t="inlineStr">
        <is>
          <t>Churu</t>
        </is>
      </c>
    </row>
    <row r="94">
      <c r="A94" s="1" t="n">
        <v>92</v>
      </c>
      <c r="B94">
        <f>HYPERLINK("https://eproc.rajasthan.gov.in/nicgep/app?component=%24DirectLink&amp;page=FrontEndViewTender&amp;service=direct&amp;session=T&amp;sp=SdllTisCDnmTf%2BEa4lV5ZPg%3D%3D", "Construction and Commissioning of 01 nos tubewell200mm dia at Bairwa mohalla village lawa gram panchayat lawa tehsil malpura sub division malpura.")</f>
        <v/>
      </c>
      <c r="C94" t="inlineStr">
        <is>
          <t>PHED-Chief Engineer(HQ),Jaipur||ACE Region Ajmer||SE, Bisalpur Project Cr. Ajmer</t>
        </is>
      </c>
      <c r="D94" t="inlineStr">
        <is>
          <t>27-May-2025 06:00 PM</t>
        </is>
      </c>
      <c r="E94" t="inlineStr">
        <is>
          <t>8,09,871</t>
        </is>
      </c>
      <c r="F94" t="inlineStr">
        <is>
          <t>Construction and Commissioning of 01 nos tubewell200mm dia at Bairwa mohalla village lawa gram panchayat lawa tehsil malpura sub division malpura.</t>
        </is>
      </c>
      <c r="G94" t="inlineStr">
        <is>
          <t>Executive Engineer PHED Division Malpura</t>
        </is>
      </c>
    </row>
    <row r="95">
      <c r="A95" s="1" t="n">
        <v>93</v>
      </c>
      <c r="B95">
        <f>HYPERLINK("https://eproc.rajasthan.gov.in/nicgep/app?component=%24DirectLink&amp;page=FrontEndViewTender&amp;service=direct&amp;session=T&amp;sp=Sbyh6lheoIPJWV2y7V3YwfA%3D%3D", "Construction and Commissioning of 3 nos 150mm dia Single Phase Tubewell with PVC tank At gediya kalyanpura jatan and hameerpur in Tehsil Todaraisingh")</f>
        <v/>
      </c>
      <c r="C95" t="inlineStr">
        <is>
          <t>PHED-Chief Engineer(HQ),Jaipur||ACE Region Ajmer||SE, Bisalpur Project Cr. Ajmer</t>
        </is>
      </c>
      <c r="D95" t="inlineStr">
        <is>
          <t>27-May-2025 06:00 PM</t>
        </is>
      </c>
      <c r="E95" t="inlineStr">
        <is>
          <t>9,58,998</t>
        </is>
      </c>
      <c r="F95" t="inlineStr">
        <is>
          <t>Construction and Commissioning of 3 nos 150mm dia Single Phase Tubewell with PVC tank At gediya kalyanpura jatan and hameerpur in Tehsil Todaraisingh</t>
        </is>
      </c>
      <c r="G95" t="inlineStr">
        <is>
          <t>Executive Engineer PHED Division Malpura</t>
        </is>
      </c>
    </row>
    <row r="96">
      <c r="A96" s="1" t="n">
        <v>94</v>
      </c>
      <c r="B96">
        <f>HYPERLINK("https://eproc.rajasthan.gov.in/nicgep/app?component=%24DirectLink&amp;page=FrontEndViewTender&amp;service=direct&amp;session=T&amp;sp=StHuGHNLYjterC1u0Splnmg%3D%3D", "Construction and Commissioning of 01 nos tubewell 200mm dia at sui walo ki dhani village jadmon ki dhani gram panchayat doongarikalan tehsil malpura sub division malpura")</f>
        <v/>
      </c>
      <c r="C96" t="inlineStr">
        <is>
          <t>PHED-Chief Engineer(HQ),Jaipur||ACE Region Ajmer||SE, Bisalpur Project Cr. Ajmer</t>
        </is>
      </c>
      <c r="D96" t="inlineStr">
        <is>
          <t>27-May-2025 06:00 PM</t>
        </is>
      </c>
      <c r="E96" t="inlineStr">
        <is>
          <t>7,91,911</t>
        </is>
      </c>
      <c r="F96" t="inlineStr">
        <is>
          <t>Construction and Commissioning of 01 nos tubewell 200mm dia at sui walo ki dhani village jadmon ki dhani gram panchayat doongarikalan tehsil malpura sub division malpura</t>
        </is>
      </c>
      <c r="G96" t="inlineStr">
        <is>
          <t>Executive Engineer PHED Division Malpura</t>
        </is>
      </c>
    </row>
    <row r="97">
      <c r="A97" s="1" t="n">
        <v>95</v>
      </c>
      <c r="B97">
        <f>HYPERLINK("https://eproc.rajasthan.gov.in/nicgep/app?component=%24DirectLink&amp;page=FrontEndViewTender&amp;service=direct&amp;session=T&amp;sp=SoQiO1H8MJMZoDf%2BmVPUOqQ%3D%3D", "Construction and Commissioning of 3 nos 150mm dia. Single Phase Tubewell with PVC tank At Village Kookar, Nayabas and panwaliya location in Tehsil Todaraisingh")</f>
        <v/>
      </c>
      <c r="C97" t="inlineStr">
        <is>
          <t>PHED-Chief Engineer(HQ),Jaipur||ACE Region Ajmer||SE, Bisalpur Project Cr. Ajmer</t>
        </is>
      </c>
      <c r="D97" t="inlineStr">
        <is>
          <t>27-May-2025 06:00 PM</t>
        </is>
      </c>
      <c r="E97" t="inlineStr">
        <is>
          <t>9,58,998</t>
        </is>
      </c>
      <c r="F97" t="inlineStr">
        <is>
          <t>Construction and Commissioning of 3 nos 150mm dia. Single Phase Tubewell with PVC tank At Village Kookar, Nayabas and panwaliya location in Tehsil Todaraisingh</t>
        </is>
      </c>
      <c r="G97" t="inlineStr">
        <is>
          <t>Executive Engineer PHED Division Malpura</t>
        </is>
      </c>
    </row>
    <row r="98">
      <c r="A98" s="1" t="n">
        <v>96</v>
      </c>
      <c r="B98">
        <f>HYPERLINK("https://eproc.rajasthan.gov.in/nicgep/app?component=%24DirectLink&amp;page=FrontEndViewTender&amp;service=direct&amp;session=T&amp;sp=STfxE2dlKOKxNGPSxBFOM5g%3D%3D", "CONSTRUCTION and COMISSIONING OF 01 NO. OF OPENWELL OF 6 MDIA AND 20 M DEPTH and PIPELINE IN BOTUNDA GRAM PANCHAYAT BOTUNDA UNDER SUB DIV. MALPURA MLA CONTITUENCY MALPURA-TODA")</f>
        <v/>
      </c>
      <c r="C98" t="inlineStr">
        <is>
          <t>PHED-Chief Engineer(HQ),Jaipur||ACE Region Ajmer||SE, Bisalpur Project Cr. Ajmer</t>
        </is>
      </c>
      <c r="D98" t="inlineStr">
        <is>
          <t>27-May-2025 06:00 PM</t>
        </is>
      </c>
      <c r="E98" t="inlineStr">
        <is>
          <t>54,72,929</t>
        </is>
      </c>
      <c r="F98" t="inlineStr">
        <is>
          <t>CONSTRUCTION and COMISSIONING OF 01 NO. OF OPENWELL OF 6 MDIA AND 20 M DEPTH and PIPELINE IN BOTUNDA GRAM PANCHAYAT BOTUNDA UNDER SUB DIV. MALPURA MLA CONTITUENCY MALPURA-TODA</t>
        </is>
      </c>
      <c r="G98" t="inlineStr">
        <is>
          <t>Executive Engineer PHED Division Malpura</t>
        </is>
      </c>
    </row>
    <row r="99">
      <c r="A99" s="1" t="n">
        <v>97</v>
      </c>
      <c r="B99">
        <f>HYPERLINK("https://eproc.rajasthan.gov.in/nicgep/app?component=%24DirectLink&amp;page=FrontEndViewTender&amp;service=direct&amp;session=T&amp;sp=S5elea09vYebzHui34c2zLw%3D%3D", "CONSTRUCTION AND COMMISSIONING OF TUBEWELL 200 MM DIA AT BALAJI MANDIR BANDHE KE PASS ,VILLAGE JANAKPURA,GRAM PANCHAYAT TORDI ,TEHSIL MALPURA")</f>
        <v/>
      </c>
      <c r="C99" t="inlineStr">
        <is>
          <t>PHED-Chief Engineer(HQ),Jaipur||ACE Region Ajmer||SE, Bisalpur Project Cr. Ajmer</t>
        </is>
      </c>
      <c r="D99" t="inlineStr">
        <is>
          <t>27-May-2025 06:00 PM</t>
        </is>
      </c>
      <c r="E99" t="inlineStr">
        <is>
          <t>6,76,219</t>
        </is>
      </c>
      <c r="F99" t="inlineStr">
        <is>
          <t>CONSTRUCTION AND COMMISSIONING OF TUBEWELL 200 MM DIA AT BALAJI MANDIR BANDHE KE PASS ,VILLAGE JANAKPURA,GRAM PANCHAYAT TORDI ,TEHSIL MALPURA</t>
        </is>
      </c>
      <c r="G99" t="inlineStr">
        <is>
          <t>Executive Engineer PHED Division Malpura</t>
        </is>
      </c>
    </row>
    <row r="100">
      <c r="A100" s="1" t="n">
        <v>98</v>
      </c>
      <c r="B100">
        <f>HYPERLINK("https://eproc.rajasthan.gov.in/nicgep/app?component=%24DirectLink&amp;page=FrontEndViewTender&amp;service=direct&amp;session=T&amp;sp=So1F2Bf6c69AuBnV45JdSEA%3D%3D", "Construction and Commissioning of 06 Nos 150mm dia.Single Phase Tubewell with PVC tank At various location under block Todaraisingh")</f>
        <v/>
      </c>
      <c r="C100" t="inlineStr">
        <is>
          <t>PHED-Chief Engineer(HQ),Jaipur||ACE Region Ajmer||SE, Bisalpur Project Cr. Ajmer</t>
        </is>
      </c>
      <c r="D100" t="inlineStr">
        <is>
          <t>27-May-2025 06:00 PM</t>
        </is>
      </c>
      <c r="E100" t="inlineStr">
        <is>
          <t>21,05,352</t>
        </is>
      </c>
      <c r="F100" t="inlineStr">
        <is>
          <t>Construction and Commissioning of 06 Nos 150mm dia.Single Phase Tubewell with PVC tank At various location under block Todaraisingh</t>
        </is>
      </c>
      <c r="G100" t="inlineStr">
        <is>
          <t>Executive Engineer PHED Division Malpura</t>
        </is>
      </c>
    </row>
    <row r="101">
      <c r="A101" s="1" t="n">
        <v>99</v>
      </c>
      <c r="B101">
        <f>HYPERLINK("https://eproc.rajasthan.gov.in/nicgep/app?component=%24DirectLink&amp;page=FrontEndViewTender&amp;service=direct&amp;session=T&amp;sp=S%2F9Fmoa8AlNheWB2eqHWtNA%3D%3D", "Rejuvenation of Janta Jal Yojna JJY GOLIPURA, Gram Panchayat REENDLIYA BUJURG Under Sub Division MALPURA")</f>
        <v/>
      </c>
      <c r="C101" t="inlineStr">
        <is>
          <t>PHED-Chief Engineer(HQ),Jaipur||ACE Region Ajmer||SE, Bisalpur Project Cr. Ajmer</t>
        </is>
      </c>
      <c r="D101" t="inlineStr">
        <is>
          <t>27-May-2025 06:00 PM</t>
        </is>
      </c>
      <c r="E101" t="inlineStr">
        <is>
          <t>17,17,442</t>
        </is>
      </c>
      <c r="F101" t="inlineStr">
        <is>
          <t>Rejuvenation of Janta Jal Yojna JJY GOLIPURA, Gram Panchayat REENDLIYA BUJURG Under Sub Division MALPURA</t>
        </is>
      </c>
      <c r="G101" t="inlineStr">
        <is>
          <t>Executive Engineer PHED Division Malpura</t>
        </is>
      </c>
    </row>
    <row r="102">
      <c r="A102" s="1" t="n">
        <v>100</v>
      </c>
      <c r="B102">
        <f>HYPERLINK("https://eproc.rajasthan.gov.in/nicgep/app?component=%24DirectLink&amp;page=FrontEndViewTender&amp;service=direct&amp;session=T&amp;sp=SZq0%2FJjti8xyYgzcOGM1vog%3D%3D", "Replacement of old Polluted UPVC Pipe Line and valve of Rising Main of PHED Pump House Pachewar Under Sub Division Malpura")</f>
        <v/>
      </c>
      <c r="C102" t="inlineStr">
        <is>
          <t>PHED-Chief Engineer(HQ),Jaipur||ACE Region Ajmer||SE, Bisalpur Project Cr. Ajmer</t>
        </is>
      </c>
      <c r="D102" t="inlineStr">
        <is>
          <t>27-May-2025 06:00 PM</t>
        </is>
      </c>
      <c r="E102" t="inlineStr">
        <is>
          <t>28,44,042</t>
        </is>
      </c>
      <c r="F102" t="inlineStr">
        <is>
          <t>Replacement of old Polluted UPVC Pipe Line and valve of Rising Main of PHED Pump House Pachewar Under Sub Division Malpura</t>
        </is>
      </c>
      <c r="G102" t="inlineStr">
        <is>
          <t>Executive Engineer PHED Division Malpura</t>
        </is>
      </c>
    </row>
    <row r="103">
      <c r="A103" s="1" t="n">
        <v>101</v>
      </c>
      <c r="B103">
        <f>HYPERLINK("https://eproc.rajasthan.gov.in/nicgep/app?component=%24DirectLink&amp;page=FrontEndViewTender&amp;service=direct&amp;session=T&amp;sp=S94fA9sVzfhiCnSm%2Fz%2B1z0g%3D%3D", "Work of construction of Sources, rising main pipelines, CWR, OHSR, PH, internal village distribution pipeline and FHTC including one year DLP of Village Khonkar under Sub division Kathumar under JJM in the jurisdiction of PHED Division Kathumar")</f>
        <v/>
      </c>
      <c r="C103" t="inlineStr">
        <is>
          <t>PHED-Chief Engineer(HQ),Jaipur||ACE Region Jaipur||SE Cr. Alwar</t>
        </is>
      </c>
      <c r="D103" t="inlineStr">
        <is>
          <t>02-Jun-2025 06:00 PM</t>
        </is>
      </c>
      <c r="E103" t="inlineStr">
        <is>
          <t>2,21,29,000</t>
        </is>
      </c>
      <c r="F103" t="inlineStr">
        <is>
          <t>Work of construction of Sources, rising main pipelines, CWR, OHSR, PH, internal village distribution pipeline and FHTC including one year DLP of Village Khonkar under Sub division Kathumar under JJM in the jurisdiction of PHED Division Kathumar</t>
        </is>
      </c>
      <c r="G103" t="inlineStr">
        <is>
          <t>kathumar</t>
        </is>
      </c>
    </row>
    <row r="104">
      <c r="A104" s="1" t="n">
        <v>102</v>
      </c>
      <c r="B104">
        <f>HYPERLINK("https://eproc.rajasthan.gov.in/nicgep/app?component=%24DirectLink&amp;page=FrontEndViewTender&amp;service=direct&amp;session=T&amp;sp=SS293mjOcP9vE4o6wgytwsA%3D%3D", "Leakage repairing of rising main and distribution system urban water supply scheme bassi under Sub. Dn. Bassi")</f>
        <v/>
      </c>
      <c r="C104" t="inlineStr">
        <is>
          <t>PHED-Chief Engineer(HQ),Jaipur||ACE Region Jaipur||SE - District Circle (Jaipur)||EE District Rural Division I, Jaipur</t>
        </is>
      </c>
      <c r="D104" t="inlineStr">
        <is>
          <t>22-May-2025 05:00 PM</t>
        </is>
      </c>
      <c r="E104" t="inlineStr">
        <is>
          <t>12,76,000</t>
        </is>
      </c>
      <c r="F104" t="inlineStr">
        <is>
          <t>Leakage repairing of rising main and distribution system urban water supply scheme bassi under Sub. Dn. Bassi</t>
        </is>
      </c>
      <c r="G104" t="inlineStr">
        <is>
          <t>JAIPUR</t>
        </is>
      </c>
    </row>
    <row r="105">
      <c r="A105" s="1" t="n">
        <v>103</v>
      </c>
      <c r="B105">
        <f>HYPERLINK("https://eproc.rajasthan.gov.in/nicgep/app?component=%24DirectLink&amp;page=FrontEndViewTender&amp;service=direct&amp;session=T&amp;sp=S3t036Di4VHsdSBm2LfuJKA%3D%3D", "ARC for work of Construction and commissioning of 200 mm dia Tube well with PLJT of pipe line with 2 years of DLP under Sub Division Narayanpur under Jurisdiction of Executive Engineer PHED Division Bansur District Kotputli-Behror.")</f>
        <v/>
      </c>
      <c r="C105" t="inlineStr">
        <is>
          <t>PHED-Chief Engineer(HQ),Jaipur</t>
        </is>
      </c>
      <c r="D105" t="inlineStr">
        <is>
          <t>05-Jun-2025 06:00 PM</t>
        </is>
      </c>
      <c r="E105" t="inlineStr">
        <is>
          <t>2,45,00,000</t>
        </is>
      </c>
      <c r="F105" t="inlineStr">
        <is>
          <t>ARC for work of Construction and commissioning of 200 mm dia Tube well with PLJT of pipe line with 2 years of DLP under Sub Division Narayanpur under Jurisdiction of Executive Engineer PHED Division Bansur District Kotputli-Behror.</t>
        </is>
      </c>
      <c r="G105" t="inlineStr">
        <is>
          <t>KOTPUTLI-BEHROR</t>
        </is>
      </c>
    </row>
    <row r="106">
      <c r="A106" s="1" t="n">
        <v>104</v>
      </c>
      <c r="B106">
        <f>HYPERLINK("https://eproc.rajasthan.gov.in/nicgep/app?component=%24DirectLink&amp;page=FrontEndViewTender&amp;service=direct&amp;session=T&amp;sp=SCcW4yagr32uM0P%2BU87Q2Ww%3D%3D", "ARC for work of Construction and commissioning of 200 mm dia Tube well with PLJT of pipe line with 2 years of DLP under Sub Division Bansur under Jurisdiction of Executive Engineer PHED Division Bansur District Kotputli-Behror.")</f>
        <v/>
      </c>
      <c r="C106" t="inlineStr">
        <is>
          <t>PHED-Chief Engineer(HQ),Jaipur</t>
        </is>
      </c>
      <c r="D106" t="inlineStr">
        <is>
          <t>05-Jun-2025 06:00 PM</t>
        </is>
      </c>
      <c r="E106" t="inlineStr">
        <is>
          <t>2,45,00,000</t>
        </is>
      </c>
      <c r="F106" t="inlineStr">
        <is>
          <t>ARC for work of Construction and commissioning of 200 mm dia Tube well with PLJT of pipe line with 2 years of DLP under Sub Division Bansur under Jurisdiction of Executive Engineer PHED Division Bansur District Kotputli-Behror.</t>
        </is>
      </c>
      <c r="G106" t="inlineStr">
        <is>
          <t>KOTPUTLI-BEHROR</t>
        </is>
      </c>
    </row>
    <row r="107">
      <c r="A107" s="1" t="n">
        <v>105</v>
      </c>
      <c r="B107">
        <f>HYPERLINK("https://eproc.rajasthan.gov.in/nicgep/app?component=%24DirectLink&amp;page=FrontEndViewTender&amp;service=direct&amp;session=T&amp;sp=SWJKq9CN%2BfaSlf%2BHwU90gDw%3D%3D", "ARC for work of Construction and commissioning of 200 mm dia Tube well with PLJT of pipe line with 2 years of DLP under Sub Division Neemrana under Jurisdiction of Executive Engineer PHED Behror District Kotputli-Behror.")</f>
        <v/>
      </c>
      <c r="C107" t="inlineStr">
        <is>
          <t>PHED-Chief Engineer(HQ),Jaipur</t>
        </is>
      </c>
      <c r="D107" t="inlineStr">
        <is>
          <t>05-Jun-2025 06:00 PM</t>
        </is>
      </c>
      <c r="E107" t="inlineStr">
        <is>
          <t>2,45,00,000</t>
        </is>
      </c>
      <c r="F107" t="inlineStr">
        <is>
          <t>ARC for work of Construction and commissioning of 200 mm dia Tube well with PLJT of pipe line with 2 years of DLP under Sub Division Neemrana under Jurisdiction of Executive Engineer PHED Behror District Kotputli-Behror.</t>
        </is>
      </c>
      <c r="G107" t="inlineStr">
        <is>
          <t>KOTPUTLI-BEHROR</t>
        </is>
      </c>
    </row>
    <row r="108">
      <c r="A108" s="1" t="n">
        <v>106</v>
      </c>
      <c r="B108">
        <f>HYPERLINK("https://eproc.rajasthan.gov.in/nicgep/app?component=%24DirectLink&amp;page=FrontEndViewTender&amp;service=direct&amp;session=T&amp;sp=SziUe5dJEz7NRoMx5LuRWUA%3D%3D", "ARC for work of Construction and commissioning of 200 mm dia Tube well with PLJT of pipe line with 2 years of DLP under Sub Division Behror under Jurisdiction of Executive Engineer PHED Behror District Kotputli-Behror.")</f>
        <v/>
      </c>
      <c r="C108" t="inlineStr">
        <is>
          <t>PHED-Chief Engineer(HQ),Jaipur</t>
        </is>
      </c>
      <c r="D108" t="inlineStr">
        <is>
          <t>05-Jun-2025 06:00 PM</t>
        </is>
      </c>
      <c r="E108" t="inlineStr">
        <is>
          <t>2,45,00,000</t>
        </is>
      </c>
      <c r="F108" t="inlineStr">
        <is>
          <t>ARC for work of Construction and commissioning of 200 mm dia Tube well with PLJT of pipe line with 2 years of DLP under Sub Division Behror under Jurisdiction of Executive Engineer PHED Behror District Kotputli-Behror.</t>
        </is>
      </c>
      <c r="G108" t="inlineStr">
        <is>
          <t>KOTPUTLI-BEHROR</t>
        </is>
      </c>
    </row>
    <row r="109">
      <c r="A109" s="1" t="n">
        <v>107</v>
      </c>
      <c r="B109">
        <f>HYPERLINK("https://eproc.rajasthan.gov.in/nicgep/app?component=%24DirectLink&amp;page=FrontEndViewTender&amp;service=direct&amp;session=T&amp;sp=SVVCM6Scoke9dxuT2zCfeYg%3D%3D", "NIT NO 26/2025-26")</f>
        <v/>
      </c>
      <c r="C109" t="inlineStr">
        <is>
          <t>PHED-Chief Engineer(HQ),Jaipur||ACE Region Ajmer||SE Cr.Bhilwara||EE, Dn Bhilwara</t>
        </is>
      </c>
      <c r="D109" t="inlineStr">
        <is>
          <t>21-May-2025 11:00 AM</t>
        </is>
      </c>
      <c r="E109" t="inlineStr">
        <is>
          <t>9,26,000</t>
        </is>
      </c>
      <c r="F109" t="inlineStr">
        <is>
          <t>SHITING OF WATER SUPPLY PIPE LINE FROM SHAMBHUGARH TO IRAS VILLAGE</t>
        </is>
      </c>
      <c r="G109" t="inlineStr">
        <is>
          <t>BHILWARA</t>
        </is>
      </c>
    </row>
    <row r="110">
      <c r="A110" s="1" t="n">
        <v>108</v>
      </c>
      <c r="B110">
        <f>HYPERLINK("https://eproc.rajasthan.gov.in/nicgep/app?component=%24DirectLink&amp;page=FrontEndViewTender&amp;service=direct&amp;session=T&amp;sp=S802qaFrBl9aNuTJxBmE8lA%3D%3D", "Construction and Commissioning of 01 Nos. 150 mm Diameter Single Phase Tube Well of Submersible Pump sets and other allied works, testing and Commissioned with 2 Year Defects liability at Siddharth Nagar A Block Jagatpura under City Sub Division VI S")</f>
        <v/>
      </c>
      <c r="C110" t="inlineStr">
        <is>
          <t>PHED-Chief Engineer(HQ),Jaipur||ACE Region Jaipur||SE City Cr. Jaipur</t>
        </is>
      </c>
      <c r="D110" t="inlineStr">
        <is>
          <t>19-May-2025 06:00 PM</t>
        </is>
      </c>
      <c r="E110" t="inlineStr">
        <is>
          <t>4,63,000</t>
        </is>
      </c>
      <c r="F110" t="inlineStr">
        <is>
          <t>Construction and Commissioning of 01 Nos. 150 mm Diameter Single Phase Tube Well of Submersible Pump sets and other allied works, testing and Commissioned with 2 Year Defects liability at Siddharth Nagar A Block Jagatpura under City Sub Division VI S</t>
        </is>
      </c>
      <c r="G110" t="inlineStr">
        <is>
          <t>Executive Engineer PHED City Dn III South Jaipur</t>
        </is>
      </c>
    </row>
    <row r="111">
      <c r="A111" s="1" t="n">
        <v>109</v>
      </c>
      <c r="B111">
        <f>HYPERLINK("https://eproc.rajasthan.gov.in/nicgep/app?component=%24DirectLink&amp;page=FrontEndViewTender&amp;service=direct&amp;session=T&amp;sp=SEF7XzI0pYe4NJrUfMGul%2FQ%3D%3D", "Providing laying and jointing of Gravity line at village Shimbu ka burj under JEN Sec Gadhiala under Sub. Dn. Bajju")</f>
        <v/>
      </c>
      <c r="C111" t="inlineStr">
        <is>
          <t>PHED-Chief Engineer(HQ),Jaipur||ACE Region Bikaner||SE, Cr.Bikaner</t>
        </is>
      </c>
      <c r="D111" t="inlineStr">
        <is>
          <t>23-May-2025 02:00 PM</t>
        </is>
      </c>
      <c r="E111" t="inlineStr">
        <is>
          <t>8,26,000</t>
        </is>
      </c>
      <c r="F111" t="inlineStr">
        <is>
          <t>Providing laying and jointing of Gravity line at village Shimbu ka burj under JEN Sec Gadhiala under Sub. Dn. Bajju</t>
        </is>
      </c>
      <c r="G111" t="inlineStr">
        <is>
          <t>Kolayat</t>
        </is>
      </c>
    </row>
    <row r="112">
      <c r="A112" s="1" t="n">
        <v>110</v>
      </c>
      <c r="B112">
        <f>HYPERLINK("https://eproc.rajasthan.gov.in/nicgep/app?component=%24DirectLink&amp;page=FrontEndViewTender&amp;service=direct&amp;session=T&amp;sp=SbKuLEOv1BMn%2F7kRK04VwHw%3D%3D", "CONSTRUCTION AND COMMISSIONING OF THREE PHASE TUBE WELL FOR VILLAGE MADHOGARH UNDER SUB DIVISION Bajju WITH 5 YEAR O and M")</f>
        <v/>
      </c>
      <c r="C112" t="inlineStr">
        <is>
          <t>PHED-Chief Engineer(HQ),Jaipur||ACE Region Bikaner||SE, Cr.Bikaner</t>
        </is>
      </c>
      <c r="D112" t="inlineStr">
        <is>
          <t>23-May-2025 02:00 PM</t>
        </is>
      </c>
      <c r="E112" t="inlineStr">
        <is>
          <t>29,99,000</t>
        </is>
      </c>
      <c r="F112" t="inlineStr">
        <is>
          <t>CONSTRUCTION AND COMMISSIONING OF THREE PHASE TUBE WELL FOR VILLAGE MADHOGARH UNDER SUB DIVISION Bajju WITH 5 YEAR O and M</t>
        </is>
      </c>
      <c r="G112" t="inlineStr">
        <is>
          <t>Kolayat</t>
        </is>
      </c>
    </row>
    <row r="113">
      <c r="A113" s="1" t="n">
        <v>111</v>
      </c>
      <c r="B113">
        <f>HYPERLINK("https://eproc.rajasthan.gov.in/nicgep/app?component=%24DirectLink&amp;page=FrontEndViewTender&amp;service=direct&amp;session=T&amp;sp=Se67Zie0Fich%2BLCTBkYmrzg%3D%3D", "Construction AND commissioning 15 Nos of 125mm diameter Hand Pump with recharge structure in Rocky Boulder strata in Under Dn Bansur District KotputaliBehror")</f>
        <v/>
      </c>
      <c r="C113" t="inlineStr">
        <is>
          <t>PHED-Chief Engineer(HQ),Jaipur||ACE Region Jaipur||SE Cr. Alwar</t>
        </is>
      </c>
      <c r="D113" t="inlineStr">
        <is>
          <t>19-May-2025 05:00 PM</t>
        </is>
      </c>
      <c r="E113" t="inlineStr">
        <is>
          <t>45,28,000</t>
        </is>
      </c>
      <c r="F113" t="inlineStr">
        <is>
          <t>Construction commissioning 15 Nos of 125mm diameter Hand Pump with recharge structure in RockyBoulder strata in Under Dn Bansur District KotputaliBehror</t>
        </is>
      </c>
      <c r="G113" t="inlineStr">
        <is>
          <t>Bansur</t>
        </is>
      </c>
    </row>
    <row r="114">
      <c r="A114" s="1" t="n">
        <v>112</v>
      </c>
      <c r="B114">
        <f>HYPERLINK("https://eproc.rajasthan.gov.in/nicgep/app?component=%24DirectLink&amp;page=FrontEndViewTender&amp;service=direct&amp;session=T&amp;sp=SKk0QkHc9nFR9iYjefUrnww%3D%3D", "REPLACEMENT OF OLD RISING MAIN AT URBAN WATER SUPPLY SCHEME JAITARAN DISTRICT-BEAWAR")</f>
        <v/>
      </c>
      <c r="C114" t="inlineStr">
        <is>
          <t>PHED-Chief Engineer(HQ),Jaipur||ACE Region Ajmer||SE Cr. Ajmer</t>
        </is>
      </c>
      <c r="D114" t="inlineStr">
        <is>
          <t>21-May-2025 03:00 PM</t>
        </is>
      </c>
      <c r="E114" t="inlineStr">
        <is>
          <t>84,58,654</t>
        </is>
      </c>
      <c r="F114" t="inlineStr">
        <is>
          <t>REPLACEMENT OF OLD RISING MAIN AT URBAN WATER SUPPLY SCHEME JAITARAN DISTRICT-BEAWAR</t>
        </is>
      </c>
      <c r="G114" t="inlineStr">
        <is>
          <t>EE PHED DIVISION BEAWAR</t>
        </is>
      </c>
    </row>
    <row r="115">
      <c r="A115" s="1" t="n">
        <v>113</v>
      </c>
      <c r="B115">
        <f>HYPERLINK("https://eproc.rajasthan.gov.in/nicgep/app?component=%24DirectLink&amp;page=FrontEndViewTender&amp;service=direct&amp;session=T&amp;sp=SLudrOvKlp7IT7yBy0vpcfA%3D%3D", "Constructions of 125mm diameter New Handpump by DTH Combination system under jurisdiction of Sub Division Malpura under Annual Rate Contract.")</f>
        <v/>
      </c>
      <c r="C115" t="inlineStr">
        <is>
          <t>PHED-Chief Engineer(HQ),Jaipur||ACE Region Ajmer||SE Cr. Ajmer</t>
        </is>
      </c>
      <c r="D115" t="inlineStr">
        <is>
          <t>22-May-2025 06:00 PM</t>
        </is>
      </c>
      <c r="E115" t="inlineStr">
        <is>
          <t>2,00,00,000</t>
        </is>
      </c>
      <c r="F115" t="inlineStr">
        <is>
          <t>Constructions of 125mm diameter New Handpump by DTH Combination system under jurisdiction of Sub Division Malpura under Annual Rate Contract.</t>
        </is>
      </c>
      <c r="G115" t="inlineStr">
        <is>
          <t>Malpura</t>
        </is>
      </c>
    </row>
    <row r="116">
      <c r="A116" s="1" t="n">
        <v>114</v>
      </c>
      <c r="B116">
        <f>HYPERLINK("https://eproc.rajasthan.gov.in/nicgep/app?component=%24DirectLink&amp;page=FrontEndViewTender&amp;service=direct&amp;session=T&amp;sp=S3k5lFxXyu30jwkXvRAzo2A%3D%3D", "Constructions of 125mm diameter New Handpump by DTH Combination system under jurisdiction of Sub Division Newai under Annual Rate Contract.")</f>
        <v/>
      </c>
      <c r="C116" t="inlineStr">
        <is>
          <t>PHED-Chief Engineer(HQ),Jaipur||ACE Region Ajmer||SE Cr. Ajmer</t>
        </is>
      </c>
      <c r="D116" t="inlineStr">
        <is>
          <t>22-May-2025 06:00 PM</t>
        </is>
      </c>
      <c r="E116" t="inlineStr">
        <is>
          <t>1,50,00,000</t>
        </is>
      </c>
      <c r="F116" t="inlineStr">
        <is>
          <t>Constructions of 125mm diameter New Handpump by DTH Combination system under jurisdiction of Sub Division Newai under Annual Rate Contract.</t>
        </is>
      </c>
      <c r="G116" t="inlineStr">
        <is>
          <t>Newai</t>
        </is>
      </c>
    </row>
    <row r="117">
      <c r="A117" s="1" t="n">
        <v>115</v>
      </c>
      <c r="B117">
        <f>HYPERLINK("https://eproc.rajasthan.gov.in/nicgep/app?component=%24DirectLink&amp;page=FrontEndViewTender&amp;service=direct&amp;session=T&amp;sp=Sunh66LZXLnvlDjurNowQpA%3D%3D", "Drilling of bore hole by DTH Comb rig of 150 mm dia supply and installation of energy efficient Sub Pump sets Panels Cables and other allied works including comm and testing of TW at rural and urban scheme under jurisdiction Division Tonk")</f>
        <v/>
      </c>
      <c r="C117" t="inlineStr">
        <is>
          <t>PHED-Chief Engineer(HQ),Jaipur||ACE Region Ajmer||SE Cr. Ajmer</t>
        </is>
      </c>
      <c r="D117" t="inlineStr">
        <is>
          <t>22-May-2025 06:00 PM</t>
        </is>
      </c>
      <c r="E117" t="inlineStr">
        <is>
          <t>1,50,00,000</t>
        </is>
      </c>
      <c r="F117" t="inlineStr">
        <is>
          <t>Drilling of bore hole by DTH Comb rig of 150 mm dia supply and installation of energy efficient Sub Pump sets Panels Cables and other allied works including comm and testing of TW at rural and urban scheme under jurisdiction Division Tonk</t>
        </is>
      </c>
      <c r="G117" t="inlineStr">
        <is>
          <t>Tonk</t>
        </is>
      </c>
    </row>
    <row r="118">
      <c r="A118" s="1" t="n">
        <v>116</v>
      </c>
      <c r="B118">
        <f>HYPERLINK("https://eproc.rajasthan.gov.in/nicgep/app?component=%24DirectLink&amp;page=FrontEndViewTender&amp;service=direct&amp;session=T&amp;sp=S6qmqjQP4xnA5jRIqXX4A3Q%3D%3D", "Constructions of 125mm diameter New Handpump by DTH Combination system under jurisdiction of Sub Division Peeplu under Annual Rate Contract.")</f>
        <v/>
      </c>
      <c r="C118" t="inlineStr">
        <is>
          <t>PHED-Chief Engineer(HQ),Jaipur||ACE Region Ajmer||SE Cr. Ajmer</t>
        </is>
      </c>
      <c r="D118" t="inlineStr">
        <is>
          <t>22-May-2025 06:00 PM</t>
        </is>
      </c>
      <c r="E118" t="inlineStr">
        <is>
          <t>1,50,00,000</t>
        </is>
      </c>
      <c r="F118" t="inlineStr">
        <is>
          <t>Constructions of 125mm diameter New Handpump by DTH Combination system under jurisdiction of Sub Division Peeplu under Annual Rate Contract.</t>
        </is>
      </c>
      <c r="G118" t="inlineStr">
        <is>
          <t>Peeplu</t>
        </is>
      </c>
    </row>
    <row r="119">
      <c r="A119" s="1" t="n">
        <v>117</v>
      </c>
      <c r="B119">
        <f>HYPERLINK("https://eproc.rajasthan.gov.in/nicgep/app?component=%24DirectLink&amp;page=FrontEndViewTender&amp;service=direct&amp;session=T&amp;sp=SH%2BFB58II5UL3NN34RMSGJA%3D%3D", "Constructions of 125mm diameter New Handpump by DTH Combination system under jurisdiction of Sub Division Todaraisingh under Annual Rate Contract.")</f>
        <v/>
      </c>
      <c r="C119" t="inlineStr">
        <is>
          <t>PHED-Chief Engineer(HQ),Jaipur||ACE Region Ajmer||SE Cr. Ajmer</t>
        </is>
      </c>
      <c r="D119" t="inlineStr">
        <is>
          <t>22-May-2025 06:00 PM</t>
        </is>
      </c>
      <c r="E119" t="inlineStr">
        <is>
          <t>2,00,00,000</t>
        </is>
      </c>
      <c r="F119" t="inlineStr">
        <is>
          <t>Constructions of 125mm diameter New Handpump by DTH Combination system under jurisdiction of Sub Division Todaraisingh under Annual Rate Contract.</t>
        </is>
      </c>
      <c r="G119" t="inlineStr">
        <is>
          <t>Todaraisingh</t>
        </is>
      </c>
    </row>
    <row r="120">
      <c r="A120" s="1" t="n">
        <v>118</v>
      </c>
      <c r="B120">
        <f>HYPERLINK("https://eproc.rajasthan.gov.in/nicgep/app?component=%24DirectLink&amp;page=FrontEndViewTender&amp;service=direct&amp;session=T&amp;sp=StGeOOZkWnlDvq6chxLfRGQ%3D%3D", "Construction and Commissioning of 3 Nos. 200 mm dia Tube Well and Providing laying and Jointing of various size HDPE Pipe Line Under Sub Div-Phagi,Distt.Div III.-Dudu")</f>
        <v/>
      </c>
      <c r="C120" t="inlineStr">
        <is>
          <t>PHED-Chief Engineer(HQ),Jaipur||ACE Region Kota||SE,Cr.Jhalawar||EE, Dn.Chhabra</t>
        </is>
      </c>
      <c r="D120" t="inlineStr">
        <is>
          <t>19-May-2025 06:00 PM</t>
        </is>
      </c>
      <c r="E120" t="inlineStr">
        <is>
          <t>42,11,000</t>
        </is>
      </c>
      <c r="F120" t="inlineStr">
        <is>
          <t>Construction and Commissioning of 3 Nos. 200 mm dia Tube Well and Providing laying and Jointing of various size HDPE Pipe Line Under Sub Div-Phagi,Distt.Div III.-Dudu</t>
        </is>
      </c>
      <c r="G120" t="inlineStr">
        <is>
          <t>Sub Dn. Phagi</t>
        </is>
      </c>
    </row>
    <row r="121">
      <c r="A121" s="1" t="n">
        <v>119</v>
      </c>
      <c r="B121">
        <f>HYPERLINK("https://eproc.rajasthan.gov.in/nicgep/app?component=%24DirectLink&amp;page=FrontEndViewTender&amp;service=direct&amp;session=T&amp;sp=SvID%2BkQ5mM2cpnLn99%2FQiWA%3D%3D", "Rate contract for Construction n Commissioning of Tubewells in MLA constituency Hanumangarh, Pilibangan, Sangria, Nohar, Bhadra under Circle Hanumangarh")</f>
        <v/>
      </c>
      <c r="C121" t="inlineStr">
        <is>
          <t>PHED-Chief Engineer(HQ),Jaipur||ACE Region Bikaner||SE,Cr.Churu</t>
        </is>
      </c>
      <c r="D121" t="inlineStr">
        <is>
          <t>26-May-2025 06:00 PM</t>
        </is>
      </c>
      <c r="E121" t="inlineStr">
        <is>
          <t>1,80,00,000</t>
        </is>
      </c>
      <c r="F121" t="inlineStr">
        <is>
          <t>Rate contract for Construction n Commissioning of Tubewells in MLA constituency Hanumangarh, Pilibangan, Sangria, Nohar, Bhadra under Circle Hanumangarh</t>
        </is>
      </c>
      <c r="G121" t="inlineStr">
        <is>
          <t>SE PHED CIRCLE HANUMANGARH</t>
        </is>
      </c>
    </row>
    <row r="122">
      <c r="A122" s="1" t="n">
        <v>120</v>
      </c>
      <c r="B122">
        <f>HYPERLINK("https://eproc.rajasthan.gov.in/nicgep/app?component=%24DirectLink&amp;page=FrontEndViewTender&amp;service=direct&amp;session=T&amp;sp=SYtq%2BB%2BC%2FjJ5fbJPqYYtVYw%3D%3D", "WORK OF PROVIDING, LAYING, JOINTING AND COMMISSIONING OF VARIOUS SIZE OF DI/HDPE PIPE LINE WITH ALLIED WORKS FOR VARIOUS WSS UNDER JURISDICTION OF PHED DIVISION BEAWAR ON ANNUAL RATE CONTRACT BASIS.")</f>
        <v/>
      </c>
      <c r="C122" t="inlineStr">
        <is>
          <t>PHED-Chief Engineer(HQ),Jaipur||ACE Region Ajmer||SE Cr. Ajmer</t>
        </is>
      </c>
      <c r="D122" t="inlineStr">
        <is>
          <t>19-May-2025 03:00 PM</t>
        </is>
      </c>
      <c r="E122" t="inlineStr">
        <is>
          <t>1,00,00,000</t>
        </is>
      </c>
      <c r="F122" t="inlineStr">
        <is>
          <t>WORK OF PROVIDING, LAYING, JOINTING AND COMMISSIONING OF VARIOUS SIZE OF DI/HDPE PIPE LINE WITH ALLIED WORKS FOR VARIOUS WSS UNDER JURISDICTION OF PHED DIVISION BEAWAR ON ANNUAL RATE CONTRACT BASIS.</t>
        </is>
      </c>
      <c r="G122" t="inlineStr">
        <is>
          <t>EE PHED DIVISION BEAWAR</t>
        </is>
      </c>
    </row>
    <row r="123">
      <c r="A123" s="1" t="n">
        <v>121</v>
      </c>
      <c r="B123">
        <f>HYPERLINK("https://eproc.rajasthan.gov.in/nicgep/app?component=%24DirectLink&amp;page=FrontEndViewTender&amp;service=direct&amp;session=T&amp;sp=S%2FH7ZtzLxUJqz7ChO64p7MQ%3D%3D", "Maintenance of various RWSS for one year under production sub division Beawar")</f>
        <v/>
      </c>
      <c r="C123" t="inlineStr">
        <is>
          <t>PHED-Chief Engineer(HQ),Jaipur||ACE Region Ajmer||SE Cr. Ajmer</t>
        </is>
      </c>
      <c r="D123" t="inlineStr">
        <is>
          <t>19-May-2025 01:00 PM</t>
        </is>
      </c>
      <c r="E123" t="inlineStr">
        <is>
          <t>15,50,000</t>
        </is>
      </c>
      <c r="F123" t="inlineStr">
        <is>
          <t>Maintenance of various RWSS for one year under production sub division Beawar</t>
        </is>
      </c>
      <c r="G123" t="inlineStr">
        <is>
          <t>EE PHED DIVISION BEAWAR</t>
        </is>
      </c>
    </row>
    <row r="124">
      <c r="A124" s="1" t="n">
        <v>122</v>
      </c>
      <c r="B124">
        <f>HYPERLINK("https://eproc.rajasthan.gov.in/nicgep/app?component=%24DirectLink&amp;page=FrontEndViewTender&amp;service=direct&amp;session=T&amp;sp=SlN2pJfuaQf%2FBySMGUouZ3Q%3D%3D", "maintenance work of pipeline under RnD sub division Beawar")</f>
        <v/>
      </c>
      <c r="C124" t="inlineStr">
        <is>
          <t>PHED-Chief Engineer(HQ),Jaipur||ACE Region Ajmer||SE Cr. Ajmer</t>
        </is>
      </c>
      <c r="D124" t="inlineStr">
        <is>
          <t>19-May-2025 01:00 PM</t>
        </is>
      </c>
      <c r="E124" t="inlineStr">
        <is>
          <t>26,82,000</t>
        </is>
      </c>
      <c r="F124" t="inlineStr">
        <is>
          <t>maintenance work of pipeline under RnD sub division Beawar</t>
        </is>
      </c>
      <c r="G124" t="inlineStr">
        <is>
          <t>work</t>
        </is>
      </c>
    </row>
    <row r="125">
      <c r="A125" s="1" t="n">
        <v>123</v>
      </c>
      <c r="B125">
        <f>HYPERLINK("https://eproc.rajasthan.gov.in/nicgep/app?component=%24DirectLink&amp;page=FrontEndViewTender&amp;service=direct&amp;session=T&amp;sp=SojmCzJ%2F%2Bu3Hm0iVE8a%2FifQ%3D%3D", "Maintenance of Daulatpura and Todgarh road pumping station in urban water supply scheme in RnD sub dn Beawar under PHED Division Beawar for one year")</f>
        <v/>
      </c>
      <c r="C125" t="inlineStr">
        <is>
          <t>PHED-Chief Engineer(HQ),Jaipur||ACE Region Ajmer||SE Cr. Ajmer</t>
        </is>
      </c>
      <c r="D125" t="inlineStr">
        <is>
          <t>19-May-2025 01:00 PM</t>
        </is>
      </c>
      <c r="E125" t="inlineStr">
        <is>
          <t>20,98,000</t>
        </is>
      </c>
      <c r="F125" t="inlineStr">
        <is>
          <t>Maintenance of Daulatpura and Todgarh road pumping station in urban water supply scheme in RnD sub dn Beawar under PHED Division Beawar for one year</t>
        </is>
      </c>
      <c r="G125" t="inlineStr">
        <is>
          <t>EE PHED DIVISION BEAWAR</t>
        </is>
      </c>
    </row>
    <row r="126">
      <c r="A126" s="1" t="n">
        <v>124</v>
      </c>
      <c r="B126">
        <f>HYPERLINK("https://eproc.rajasthan.gov.in/nicgep/app?component=%24DirectLink&amp;page=FrontEndViewTender&amp;service=direct&amp;session=T&amp;sp=S9dZ2y31l9B67PVg%2FmfulHg%3D%3D", "Work of construction of 05 no. of Sources, rising main pipelines of")</f>
        <v/>
      </c>
      <c r="C126" t="inlineStr">
        <is>
          <t>PHED-Chief Engineer(HQ),Jaipur||ACE Region Jaipur||SE Cr. Alwar||EE Dn.Belsor</t>
        </is>
      </c>
      <c r="D126" t="inlineStr">
        <is>
          <t>21-May-2025 06:00 PM</t>
        </is>
      </c>
      <c r="E126" t="inlineStr">
        <is>
          <t>1,00,56,000</t>
        </is>
      </c>
      <c r="F126" t="inlineStr">
        <is>
          <t>Work of construction of 05 no. of Sources, rising main pipelines of two year Defect Liability period of Village Bhagwadi khurd Taseeng Khapariya and UWSS Behror in VS Behror in the jurisdiction of PHED Division Behror</t>
        </is>
      </c>
      <c r="G126" t="inlineStr">
        <is>
          <t>Behror</t>
        </is>
      </c>
    </row>
    <row r="127">
      <c r="A127" s="1" t="n">
        <v>125</v>
      </c>
      <c r="B127">
        <f>HYPERLINK("https://eproc.rajasthan.gov.in/nicgep/app?component=%24DirectLink&amp;page=FrontEndViewTender&amp;service=direct&amp;session=T&amp;sp=Skw3D4UORjU3xcL9B7XHXXg%3D%3D", "NIT 12/2025-26 Replacement of Submersible Cable, armored Cable, Electric feeder panel board with starter, Sluice valve, Non return valve and Electric Main switch board for UWSS Dausa under Collector Contingency")</f>
        <v/>
      </c>
      <c r="C127" t="inlineStr">
        <is>
          <t>PHED-Chief Engineer(HQ),Jaipur||ACE Region Jaipur||SE - District Circle (Jaipur)||EE Division Dausa</t>
        </is>
      </c>
      <c r="D127" t="inlineStr">
        <is>
          <t>22-May-2025 06:00 PM</t>
        </is>
      </c>
      <c r="E127" t="inlineStr">
        <is>
          <t>7,72,000</t>
        </is>
      </c>
      <c r="F127" t="inlineStr">
        <is>
          <t>NIT 12/2025-26 Replacement of Submersible Cable, armored Cable, Electric feeder panel board with starter, Sluice valve, Non return valve and Electric Main switch board for UWSS Dausa under Collector Contingency</t>
        </is>
      </c>
      <c r="G127" t="inlineStr">
        <is>
          <t>DAUSA</t>
        </is>
      </c>
    </row>
    <row r="128">
      <c r="A128" s="1" t="n">
        <v>126</v>
      </c>
      <c r="B128">
        <f>HYPERLINK("https://eproc.rajasthan.gov.in/nicgep/app?component=%24DirectLink&amp;page=FrontEndViewTender&amp;service=direct&amp;session=T&amp;sp=Sz2NlVA%2BSvOZUBXu7GCnaQQ%3D%3D", "NIT 14/2025-26 Installation of Transformer at Tunga Pump House for UWSS Dausa under State Plan")</f>
        <v/>
      </c>
      <c r="C128" t="inlineStr">
        <is>
          <t>PHED-Chief Engineer(HQ),Jaipur||ACE Region Jaipur||SE - District Circle (Jaipur)||EE Division Dausa</t>
        </is>
      </c>
      <c r="D128" t="inlineStr">
        <is>
          <t>22-May-2025 06:00 PM</t>
        </is>
      </c>
      <c r="E128" t="inlineStr">
        <is>
          <t>4,66,000</t>
        </is>
      </c>
      <c r="F128" t="inlineStr">
        <is>
          <t>NIT 14/2025-26 Installation of Transformer at Tunga Pump House for UWSS Dausa under State Plan</t>
        </is>
      </c>
      <c r="G128" t="inlineStr">
        <is>
          <t>DAUSA</t>
        </is>
      </c>
    </row>
    <row r="129">
      <c r="A129" s="1" t="n">
        <v>127</v>
      </c>
      <c r="B129">
        <f>HYPERLINK("https://eproc.rajasthan.gov.in/nicgep/app?component=%24DirectLink&amp;page=FrontEndViewTender&amp;service=direct&amp;session=T&amp;sp=StimX18cx6uhCCH1Lm6qDWw%3D%3D", "Work of Major and Minor Repair of India Mark II Hand Pump under Sub Division Suratgarh")</f>
        <v/>
      </c>
      <c r="C129" t="inlineStr">
        <is>
          <t>PHED-Chief Engineer(HQ),Jaipur||ACE Region Bikaner||SE,Cr.Ganganagar</t>
        </is>
      </c>
      <c r="D129" t="inlineStr">
        <is>
          <t>20-May-2025 06:00 PM</t>
        </is>
      </c>
      <c r="E129" t="inlineStr">
        <is>
          <t>5,00,000</t>
        </is>
      </c>
      <c r="F129" t="inlineStr">
        <is>
          <t>Work of Major and Minor Repair of India Mark II Hand Pump under Sub Division Suratgarh</t>
        </is>
      </c>
      <c r="G129" t="inlineStr">
        <is>
          <t>Suratgarh</t>
        </is>
      </c>
    </row>
    <row r="130">
      <c r="A130" s="1" t="n">
        <v>128</v>
      </c>
      <c r="B130">
        <f>HYPERLINK("https://eproc.rajasthan.gov.in/nicgep/app?component=%24DirectLink&amp;page=FrontEndViewTender&amp;service=direct&amp;session=T&amp;sp=S%2FhgsgegZL%2FfyrhhIrK0bRQ%3D%3D", "Work of installation of NRV and sluice valves on various schemes under Jurisdication of Sub Division Chaksu")</f>
        <v/>
      </c>
      <c r="C130" t="inlineStr">
        <is>
          <t>PHED-Chief Engineer(HQ),Jaipur||ACE Region Jaipur||SE - District Circle (Jaipur)||EE District Rural Division I, Jaipur</t>
        </is>
      </c>
      <c r="D130" t="inlineStr">
        <is>
          <t>22-May-2025 05:00 PM</t>
        </is>
      </c>
      <c r="E130" t="inlineStr">
        <is>
          <t>29,50,000</t>
        </is>
      </c>
      <c r="F130" t="inlineStr">
        <is>
          <t>Work of installation of NRV and sluice valves on various schemes under Jurisdication of Sub Division Chaksu</t>
        </is>
      </c>
      <c r="G130" t="inlineStr">
        <is>
          <t>JAIPUR</t>
        </is>
      </c>
    </row>
    <row r="131">
      <c r="A131" s="1" t="n">
        <v>129</v>
      </c>
      <c r="B131">
        <f>HYPERLINK("https://eproc.rajasthan.gov.in/nicgep/app?component=%24DirectLink&amp;page=FrontEndViewTender&amp;service=direct&amp;session=T&amp;sp=SJGPqFiyKLriK8jz3jkmQPA%3D%3D", "O and M OF TUBE WELL and PUMP HOUSE NEAR OFFICE OF JEN MADHORAJPURA")</f>
        <v/>
      </c>
      <c r="C131" t="inlineStr">
        <is>
          <t>PHED-Chief Engineer(HQ),Jaipur||ACE Region Jaipur||SE - District Circle (Jaipur)||EE District Rural Division I, Jaipur</t>
        </is>
      </c>
      <c r="D131" t="inlineStr">
        <is>
          <t>20-May-2025 05:00 PM</t>
        </is>
      </c>
      <c r="E131" t="inlineStr">
        <is>
          <t>12,84,000</t>
        </is>
      </c>
      <c r="F131" t="inlineStr">
        <is>
          <t>O and M OF TUBE WELL and PUMP HOUSE NEAR OFFICE OF JEN MADHORAJPURA</t>
        </is>
      </c>
      <c r="G131" t="inlineStr">
        <is>
          <t>JAIPUR</t>
        </is>
      </c>
    </row>
    <row r="132">
      <c r="A132" s="1" t="n">
        <v>130</v>
      </c>
      <c r="B132">
        <f>HYPERLINK("https://eproc.rajasthan.gov.in/nicgep/app?component=%24DirectLink&amp;page=FrontEndViewTender&amp;service=direct&amp;session=T&amp;sp=Slq0HXbfIv0KuQatLWMvIIQ%3D%3D", "Work of Construction and Commissioning of 03 Nos bore hole of 200 mm dia s and i of energy efficient Submersible PS Panels Cables including CandT of TW and PLJT of pipeline and other allied works under Sub Div. Kotputli with 24 months DLP")</f>
        <v/>
      </c>
      <c r="C132" t="inlineStr">
        <is>
          <t>PHED-Chief Engineer(HQ),Jaipur||ACE Region Jaipur||SE Cr. Kothputli-Behror</t>
        </is>
      </c>
      <c r="D132" t="inlineStr">
        <is>
          <t>22-May-2025 06:00 PM</t>
        </is>
      </c>
      <c r="E132" t="inlineStr">
        <is>
          <t>48,80,000</t>
        </is>
      </c>
      <c r="F132" t="inlineStr">
        <is>
          <t>Work of Construction and Commissioning of 03 Nos bore hole of 200 mm dia s and i of energy efficient Submersible PS Panels Cables including CandT of TW and PLJT of pipeline and other allied works under Sub Div. Kotputli with 24 months DLP</t>
        </is>
      </c>
      <c r="G132" t="inlineStr">
        <is>
          <t>PAOTA</t>
        </is>
      </c>
    </row>
    <row r="133">
      <c r="A133" s="1" t="n">
        <v>131</v>
      </c>
      <c r="B133">
        <f>HYPERLINK("https://eproc.rajasthan.gov.in/nicgep/app?component=%24DirectLink&amp;page=FrontEndViewTender&amp;service=direct&amp;session=T&amp;sp=SxfThKWbxb2zfPSIFygWekw%3D%3D", "ARC for work of Construction and commissioning of 200 mm dia TW with PLJT of PL with 2 years of DLP under Sub Division Kotputli under Jurisdiction of EE PHED Paota District Kotputli-Behror")</f>
        <v/>
      </c>
      <c r="C133" t="inlineStr">
        <is>
          <t>PHED-Chief Engineer(HQ),Jaipur</t>
        </is>
      </c>
      <c r="D133" t="inlineStr">
        <is>
          <t>03-Jun-2025 06:00 PM</t>
        </is>
      </c>
      <c r="E133" t="inlineStr">
        <is>
          <t>2,45,00,000</t>
        </is>
      </c>
      <c r="F133" t="inlineStr">
        <is>
          <t>ARC for work of Construction and commissioning of 200 mm dia TW with PLJT of PL with 2 years of DLP under Sub Division Kotputli under Jurisdiction of EE PHED Paota District Kotputli-Behror</t>
        </is>
      </c>
      <c r="G133" t="inlineStr">
        <is>
          <t>KOTPUTLI-BEHROR</t>
        </is>
      </c>
    </row>
    <row r="134">
      <c r="A134" s="1" t="n">
        <v>132</v>
      </c>
      <c r="B134">
        <f>HYPERLINK("https://eproc.rajasthan.gov.in/nicgep/app?component=%24DirectLink&amp;page=FrontEndViewTender&amp;service=direct&amp;session=T&amp;sp=S%2FF0EdkLufta1WNG5TFNjIg%3D%3D", "ARC for work of Construction and commissioning of 200 mm dia TW with PLJT of pipe line with 2 years of DLP under Sub Division Virat Nagar under Jurisdiction of EE PHED Paota District Kotputli-Behror")</f>
        <v/>
      </c>
      <c r="C134" t="inlineStr">
        <is>
          <t>PHED-Chief Engineer(HQ),Jaipur</t>
        </is>
      </c>
      <c r="D134" t="inlineStr">
        <is>
          <t>03-Jun-2025 06:00 PM</t>
        </is>
      </c>
      <c r="E134" t="inlineStr">
        <is>
          <t>2,45,00,000</t>
        </is>
      </c>
      <c r="F134" t="inlineStr">
        <is>
          <t>ARC for work of Construction and commissioning of 200 mm dia TW with PLJT of pipe line with 2 years of DLP under Sub Division Virat Nagar under Jurisdiction of EE PHED Paota District Kotputli-Behror</t>
        </is>
      </c>
      <c r="G134" t="inlineStr">
        <is>
          <t>KOTPUTLI-BEHROR</t>
        </is>
      </c>
    </row>
    <row r="135">
      <c r="A135" s="1" t="n">
        <v>133</v>
      </c>
      <c r="B135">
        <f>HYPERLINK("https://eproc.rajasthan.gov.in/nicgep/app?component=%24DirectLink&amp;page=FrontEndViewTender&amp;service=direct&amp;session=T&amp;sp=SVS6wvRUsy%2BVpGicKTCMbIw%3D%3D", "Work of Repair of Panel/Starter Spare Parts on various Rural Water Supply Scheme of Under Tehsil Suratgarh")</f>
        <v/>
      </c>
      <c r="C135" t="inlineStr">
        <is>
          <t>PHED-Chief Engineer(HQ),Jaipur||ACE Region Bikaner||SE,Cr.Ganganagar</t>
        </is>
      </c>
      <c r="D135" t="inlineStr">
        <is>
          <t>20-May-2025 06:00 PM</t>
        </is>
      </c>
      <c r="E135" t="inlineStr">
        <is>
          <t>9,76,000</t>
        </is>
      </c>
      <c r="F135" t="inlineStr">
        <is>
          <t>Work of Repair of Panel/Starter Spare Parts on various Rural Water Supply Scheme of Under Tehsil Suratgarh</t>
        </is>
      </c>
      <c r="G135" t="inlineStr">
        <is>
          <t>Suratgarh</t>
        </is>
      </c>
    </row>
    <row r="136">
      <c r="A136" s="1" t="n">
        <v>134</v>
      </c>
      <c r="B136">
        <f>HYPERLINK("https://eproc.rajasthan.gov.in/nicgep/app?component=%24DirectLink&amp;page=FrontEndViewTender&amp;service=direct&amp;session=T&amp;sp=S4zijX3lbrclvcHJewFIkKg%3D%3D", "Work of Cleaning of Reservoirs on Various Water Supply Scheme under Sub Div Suratgarh")</f>
        <v/>
      </c>
      <c r="C136" t="inlineStr">
        <is>
          <t>PHED-Chief Engineer(HQ),Jaipur||ACE Region Bikaner||SE,Cr.Ganganagar</t>
        </is>
      </c>
      <c r="D136" t="inlineStr">
        <is>
          <t>20-May-2025 06:00 PM</t>
        </is>
      </c>
      <c r="E136" t="inlineStr">
        <is>
          <t>12,18,000</t>
        </is>
      </c>
      <c r="F136" t="inlineStr">
        <is>
          <t>Work of Cleaning of Reservoirs on Various Water Supply Scheme under Sub Div Suratgarh</t>
        </is>
      </c>
      <c r="G136" t="inlineStr">
        <is>
          <t>Suratgarh</t>
        </is>
      </c>
    </row>
    <row r="137">
      <c r="A137" s="1" t="n">
        <v>135</v>
      </c>
      <c r="B137">
        <f>HYPERLINK("https://eproc.rajasthan.gov.in/nicgep/app?component=%24DirectLink&amp;page=FrontEndViewTender&amp;service=direct&amp;session=T&amp;sp=SkAss0OaJvzu4vamjwwaQNw%3D%3D", "Work of Fabrication work Cutting, threading, welding etc on Different RWSS under Tehsil Suratgarh")</f>
        <v/>
      </c>
      <c r="C137" t="inlineStr">
        <is>
          <t>PHED-Chief Engineer(HQ),Jaipur||ACE Region Bikaner||SE,Cr.Ganganagar</t>
        </is>
      </c>
      <c r="D137" t="inlineStr">
        <is>
          <t>20-May-2025 06:00 PM</t>
        </is>
      </c>
      <c r="E137" t="inlineStr">
        <is>
          <t>9,12,000</t>
        </is>
      </c>
      <c r="F137" t="inlineStr">
        <is>
          <t>Work of Fabrication work Cutting, threading, welding etc on Different RWSS under Tehsil Suratgarh</t>
        </is>
      </c>
      <c r="G137" t="inlineStr">
        <is>
          <t>Suratgarh</t>
        </is>
      </c>
    </row>
    <row r="138">
      <c r="A138" s="1" t="n">
        <v>136</v>
      </c>
      <c r="B138">
        <f>HYPERLINK("https://eproc.rajasthan.gov.in/nicgep/app?component=%24DirectLink&amp;page=FrontEndViewTender&amp;service=direct&amp;session=T&amp;sp=SJqRvACmZSUOocObg46za%2FA%3D%3D", "Proposal for Providing, Laying, jointing and Commissioning of HDPE Pipe Line in Village Mayla for improvement of Water Supply of tailend area under summer contigency 2025, Sub div Dhannasar(OandM), under Division Karamsana")</f>
        <v/>
      </c>
      <c r="C138" t="inlineStr">
        <is>
          <t>PHED-Chief Engineer(HQ),Jaipur||ACE Region Bikaner||SE,Cr.Churu</t>
        </is>
      </c>
      <c r="D138" t="inlineStr">
        <is>
          <t>19-May-2025 06:00 PM</t>
        </is>
      </c>
      <c r="E138" t="inlineStr">
        <is>
          <t>8,53,000</t>
        </is>
      </c>
      <c r="F138" t="inlineStr">
        <is>
          <t>Proposal for Providing, Laying, jointing and Commissioning of HDPE Pipe Line in Village Mayla for improvement of Water Supply of tailend area under summer contigency 2025, Sub div Dhannasar(OandM), under Division Karamsana</t>
        </is>
      </c>
      <c r="G138" t="inlineStr">
        <is>
          <t>DIV KARMSANA</t>
        </is>
      </c>
    </row>
    <row r="139">
      <c r="A139" s="1" t="n">
        <v>137</v>
      </c>
      <c r="B139">
        <f>HYPERLINK("https://eproc.rajasthan.gov.in/nicgep/app?component=%24DirectLink&amp;page=FrontEndViewTender&amp;service=direct&amp;session=T&amp;sp=SH8v0ZDwiSD1pYxCONgI2PQ%3D%3D", "Work of Fabrication work Cutting, threading, welding etc on UWSS Suratgarh under Tehsil Suratgarh")</f>
        <v/>
      </c>
      <c r="C139" t="inlineStr">
        <is>
          <t>PHED-Chief Engineer(HQ),Jaipur||ACE Region Bikaner||SE,Cr.Ganganagar</t>
        </is>
      </c>
      <c r="D139" t="inlineStr">
        <is>
          <t>20-May-2025 06:00 PM</t>
        </is>
      </c>
      <c r="E139" t="inlineStr">
        <is>
          <t>4,73,000</t>
        </is>
      </c>
      <c r="F139" t="inlineStr">
        <is>
          <t>Work of Fabrication work Cutting, threading, welding etc on UWSS Suratgarh under Tehsil Suratgarh</t>
        </is>
      </c>
      <c r="G139" t="inlineStr">
        <is>
          <t>Suratgarh</t>
        </is>
      </c>
    </row>
    <row r="140">
      <c r="A140" s="1" t="n">
        <v>138</v>
      </c>
      <c r="B140">
        <f>HYPERLINK("https://eproc.rajasthan.gov.in/nicgep/app?component=%24DirectLink&amp;page=FrontEndViewTender&amp;service=direct&amp;session=T&amp;sp=SDUARIOfDMVvbC8dAP3%2BxQg%3D%3D", "Proposal for Providing, Laying, jointing and Commissioning of HDPE Pipe Line for Village Kulchasar for improvement of Water Supply of tailend area under summer contigency 2025Div Karamshana (HQ. NOHAR)")</f>
        <v/>
      </c>
      <c r="C140" t="inlineStr">
        <is>
          <t>PHED-Chief Engineer(HQ),Jaipur||ACE Region Bikaner||SE,Cr.Churu</t>
        </is>
      </c>
      <c r="D140" t="inlineStr">
        <is>
          <t>19-May-2025 06:00 PM</t>
        </is>
      </c>
      <c r="E140" t="inlineStr">
        <is>
          <t>20,05,000</t>
        </is>
      </c>
      <c r="F140" t="inlineStr">
        <is>
          <t>Proposal for Providing, Laying, jointing and Commissioning of HDPE Pipe Line for Village Kulchasar for improvement of Water Supply of tailend area under summer contigency 2025Div Karamshana (HQ. NOHAR)</t>
        </is>
      </c>
      <c r="G140" t="inlineStr">
        <is>
          <t>EE/DIV/KARMSANA</t>
        </is>
      </c>
    </row>
    <row r="141">
      <c r="A141" s="1" t="n">
        <v>139</v>
      </c>
      <c r="B141">
        <f>HYPERLINK("https://eproc.rajasthan.gov.in/nicgep/app?component=%24DirectLink&amp;page=FrontEndViewTender&amp;service=direct&amp;session=T&amp;sp=S%2FdU%2B0oyotqrq0MgsAGO%2Fzg%3D%3D", "Work of Repair of Panel/Starter Spare Parts on UWSS Suratgarh of under Tehsil Suratgarh")</f>
        <v/>
      </c>
      <c r="C141" t="inlineStr">
        <is>
          <t>PHED-Chief Engineer(HQ),Jaipur||ACE Region Bikaner||SE,Cr.Ganganagar</t>
        </is>
      </c>
      <c r="D141" t="inlineStr">
        <is>
          <t>20-May-2025 06:00 PM</t>
        </is>
      </c>
      <c r="E141" t="inlineStr">
        <is>
          <t>5,29,000</t>
        </is>
      </c>
      <c r="F141" t="inlineStr">
        <is>
          <t>Work of Repair of Panel/Starter Spare Parts on UWSS Suratgarh of under Tehsil Suratgarh</t>
        </is>
      </c>
      <c r="G141" t="inlineStr">
        <is>
          <t>Suratgarh</t>
        </is>
      </c>
    </row>
    <row r="142">
      <c r="A142" s="1" t="n">
        <v>140</v>
      </c>
      <c r="B142">
        <f>HYPERLINK("https://eproc.rajasthan.gov.in/nicgep/app?component=%24DirectLink&amp;page=FrontEndViewTender&amp;service=direct&amp;session=T&amp;sp=Sar6QmHTeowd4UvXNyyQeDQ%3D%3D", "Annual rate contract for transportation of water through GPRS/GSM fitted Tanker Tracking System under jurisdiction Rural area under Sub Div. Parbatsar")</f>
        <v/>
      </c>
      <c r="C142" t="inlineStr">
        <is>
          <t>PHED-Chief Engineer(HQ),Jaipur||ACE Region Ajmer||SE Cr. Kuchaman</t>
        </is>
      </c>
      <c r="D142" t="inlineStr">
        <is>
          <t>19-May-2025 06:00 PM</t>
        </is>
      </c>
      <c r="E142" t="inlineStr">
        <is>
          <t>20,00,000</t>
        </is>
      </c>
      <c r="F142" t="inlineStr">
        <is>
          <t>Annual rate contract for transportation of water through GPRS/GSM fitted Tanker Tracking System under jurisdiction Rural area under Sub Div. Parbatsar</t>
        </is>
      </c>
      <c r="G142" t="inlineStr">
        <is>
          <t>PARBATSAR</t>
        </is>
      </c>
    </row>
    <row r="143">
      <c r="A143" s="1" t="n">
        <v>141</v>
      </c>
      <c r="B143">
        <f>HYPERLINK("https://eproc.rajasthan.gov.in/nicgep/app?component=%24DirectLink&amp;page=FrontEndViewTender&amp;service=direct&amp;session=T&amp;sp=SbtUpj4rgCfjUEXlXn2VIkw%3D%3D", "Annual rate contract for transportation of water through GPRSGSM fitted Tanker Tracking System under jurisdiction of Town Makrana under Sub. Dn.Makrana")</f>
        <v/>
      </c>
      <c r="C143" t="inlineStr">
        <is>
          <t>PHED-Chief Engineer(HQ),Jaipur||ACE Region Ajmer||SE Cr. Kuchaman</t>
        </is>
      </c>
      <c r="D143" t="inlineStr">
        <is>
          <t>19-May-2025 06:00 PM</t>
        </is>
      </c>
      <c r="E143" t="inlineStr">
        <is>
          <t>20,00,000</t>
        </is>
      </c>
      <c r="F143" t="inlineStr">
        <is>
          <t>Annual rate contract for transportation of water through GPRSGSM fitted Tanker Tracking System under jurisdiction of Town Makrana under Sub. Dn.Makrana</t>
        </is>
      </c>
      <c r="G143" t="inlineStr">
        <is>
          <t>MAKRANA</t>
        </is>
      </c>
    </row>
    <row r="144">
      <c r="A144" s="1" t="n">
        <v>142</v>
      </c>
      <c r="B144">
        <f>HYPERLINK("https://eproc.rajasthan.gov.in/nicgep/app?component=%24DirectLink&amp;page=FrontEndViewTender&amp;service=direct&amp;session=T&amp;sp=SIwg3Jse%2F4%2BOooWjBma6H4Q%3D%3D", "Construction of a 1000 KL OHSR and other allied works")</f>
        <v/>
      </c>
      <c r="C144" t="inlineStr">
        <is>
          <t>PHED-Chief Engineer(HQ),Jaipur||ACE Region Jaipur||SE City Cr. Jaipur||EE, City Dn-II(N) Jaipur</t>
        </is>
      </c>
      <c r="D144" t="inlineStr">
        <is>
          <t>20-May-2025 06:00 PM</t>
        </is>
      </c>
      <c r="E144" t="inlineStr">
        <is>
          <t>1,28,70,000</t>
        </is>
      </c>
      <c r="F144" t="inlineStr">
        <is>
          <t>Construction of a 1000 KL OHSR and other allied works at Ramnagar, Jhotwara with One Year Defect Liability Period under the jurisdiction of City Sub-Division-III (North) of City Division IV (North) Jaipur</t>
        </is>
      </c>
      <c r="G144" t="inlineStr">
        <is>
          <t>City Sub Div. III North</t>
        </is>
      </c>
    </row>
    <row r="145">
      <c r="A145" s="1" t="n">
        <v>143</v>
      </c>
      <c r="B145">
        <f>HYPERLINK("https://eproc.rajasthan.gov.in/nicgep/app?component=%24DirectLink&amp;page=FrontEndViewTender&amp;service=direct&amp;session=T&amp;sp=SS8dpy0Q%2B34bvsXl8xNtw5A%3D%3D", "Rate contract for Construction n Commissioning of India Mark-II Hand Pumps in MLA constituency Hanumangarh, Pilibangan, Sangria, Nohar, Bhadra under Circle Hanumangarh")</f>
        <v/>
      </c>
      <c r="C145" t="inlineStr">
        <is>
          <t>PHED-Chief Engineer(HQ),Jaipur||ACE Region Bikaner||SE,Cr.Churu</t>
        </is>
      </c>
      <c r="D145" t="inlineStr">
        <is>
          <t>20-May-2025 06:00 PM</t>
        </is>
      </c>
      <c r="E145" t="inlineStr">
        <is>
          <t>50,00,000</t>
        </is>
      </c>
      <c r="F145" t="inlineStr">
        <is>
          <t>Rate contract for Construction n Commissioning of India Mark-II Hand Pumps in MLA constituency Hanumangarh, Pilibangan, Sangria, Nohar, Bhadra under Circle Hanumangarh</t>
        </is>
      </c>
      <c r="G145" t="inlineStr">
        <is>
          <t>SE PHED CIRCLE HMH</t>
        </is>
      </c>
    </row>
    <row r="146">
      <c r="A146" s="1" t="n">
        <v>144</v>
      </c>
      <c r="B146">
        <f>HYPERLINK("https://eproc.rajasthan.gov.in/nicgep/app?component=%24DirectLink&amp;page=FrontEndViewTender&amp;service=direct&amp;session=T&amp;sp=SOa8MF8fG%2B4fSBFAWGfMVhQ%3D%3D", "NIT NO. 12 2025-26 Operation and maintenance of Para Pheri Schems at CSD VI under City division II Ajmer.")</f>
        <v/>
      </c>
      <c r="C146" t="inlineStr">
        <is>
          <t>PHED-Chief Engineer(HQ),Jaipur||ACE Region Ajmer||SE Cr. Ajmer||EE, City Dn-II Ajmer</t>
        </is>
      </c>
      <c r="D146" t="inlineStr">
        <is>
          <t>20-May-2025 06:00 PM</t>
        </is>
      </c>
      <c r="E146" t="inlineStr">
        <is>
          <t>NA</t>
        </is>
      </c>
      <c r="F146" t="inlineStr">
        <is>
          <t>NIT NO. 12 2025-26 Operation and maintenance of Para Pheri Schems at CSD VI under City division II Ajmer.</t>
        </is>
      </c>
      <c r="G146" t="inlineStr">
        <is>
          <t>AJMER</t>
        </is>
      </c>
    </row>
    <row r="147">
      <c r="A147" s="1" t="n">
        <v>145</v>
      </c>
      <c r="B147">
        <f>HYPERLINK("https://eproc.rajasthan.gov.in/nicgep/app?component=%24DirectLink&amp;page=FrontEndViewTender&amp;service=direct&amp;session=T&amp;sp=S9gprWD5lpHawto7Zo8Khbg%3D%3D", "NIT NO. 11 2025-26Work of Operation and Maintenance of 11 RAC Batalian Ajmer")</f>
        <v/>
      </c>
      <c r="C147" t="inlineStr">
        <is>
          <t>PHED-Chief Engineer(HQ),Jaipur||ACE Region Ajmer||SE Cr. Ajmer||EE, City Dn-II Ajmer</t>
        </is>
      </c>
      <c r="D147" t="inlineStr">
        <is>
          <t>20-May-2025 06:00 PM</t>
        </is>
      </c>
      <c r="E147" t="inlineStr">
        <is>
          <t>NA</t>
        </is>
      </c>
      <c r="F147" t="inlineStr">
        <is>
          <t>NIT NO. 11 2025-26Work of Operation and Maintenance of 11 RAC Batalian Ajmer</t>
        </is>
      </c>
      <c r="G147" t="inlineStr">
        <is>
          <t>AJMER</t>
        </is>
      </c>
    </row>
    <row r="148">
      <c r="A148" s="1" t="n">
        <v>146</v>
      </c>
      <c r="B148">
        <f>HYPERLINK("https://eproc.rajasthan.gov.in/nicgep/app?component=%24DirectLink&amp;page=FrontEndViewTender&amp;service=direct&amp;session=T&amp;sp=SFyrrAmBtha%2FTVnOpOr3rDQ%3D%3D", "NIT NO. 10 2025-26 Work of Operation and Maintenance of Hadirani Mahila Batalian Nareli Ajmer.")</f>
        <v/>
      </c>
      <c r="C148" t="inlineStr">
        <is>
          <t>PHED-Chief Engineer(HQ),Jaipur||ACE Region Ajmer||SE Cr. Ajmer||EE, City Dn-II Ajmer</t>
        </is>
      </c>
      <c r="D148" t="inlineStr">
        <is>
          <t>20-May-2025 06:00 PM</t>
        </is>
      </c>
      <c r="E148" t="inlineStr">
        <is>
          <t>NA</t>
        </is>
      </c>
      <c r="F148" t="inlineStr">
        <is>
          <t>NIT NO. 10 2025-26 Work of Operation and Maintenance of Hadirani Mahila Batalian Nareli Ajmer.</t>
        </is>
      </c>
      <c r="G148" t="inlineStr">
        <is>
          <t>AJMER</t>
        </is>
      </c>
    </row>
    <row r="149">
      <c r="A149" s="1" t="n">
        <v>147</v>
      </c>
      <c r="B149">
        <f>HYPERLINK("https://eproc.rajasthan.gov.in/nicgep/app?component=%24DirectLink&amp;page=FrontEndViewTender&amp;service=direct&amp;session=T&amp;sp=Sk3mD8Zf7vhFSP3t1ycSugA%3D%3D", "19/2025-26 Work of lowering and unlowering of motor pump sets under JEN Section Urban Kishangarh Renwal Division Jobner Jaipur")</f>
        <v/>
      </c>
      <c r="C149" t="inlineStr">
        <is>
          <t>PHED-Chief Engineer(HQ),Jaipur||ACE Region Jaipur||SE - District Circle (Jaipur)</t>
        </is>
      </c>
      <c r="D149" t="inlineStr">
        <is>
          <t>20-May-2025 06:00 PM</t>
        </is>
      </c>
      <c r="E149" t="inlineStr">
        <is>
          <t>4,00,000</t>
        </is>
      </c>
      <c r="F149" t="inlineStr">
        <is>
          <t>19/2025-26 Work of lowering and unlowering of motor pump sets under JEN Section Urban Kishangarh Renwal Division Jobner Jaipur</t>
        </is>
      </c>
      <c r="G149" t="inlineStr">
        <is>
          <t>PHED Jobner</t>
        </is>
      </c>
    </row>
    <row r="150">
      <c r="A150" s="1" t="n">
        <v>148</v>
      </c>
      <c r="B150">
        <f>HYPERLINK("https://eproc.rajasthan.gov.in/nicgep/app?component=%24DirectLink&amp;page=FrontEndViewTender&amp;service=direct&amp;session=T&amp;sp=SNEP17d49kegd4ah64QSAKQ%3D%3D", "20/2025-26 Construction and Commissioning of (16 Nos) 125mm Hand Pumps at various Locations under MLA Constituency Phulera, Under Jurisdiction of Division Jobner")</f>
        <v/>
      </c>
      <c r="C150" t="inlineStr">
        <is>
          <t>PHED-Chief Engineer(HQ),Jaipur||ACE Region Jaipur||SE - District Circle (Jaipur)</t>
        </is>
      </c>
      <c r="D150" t="inlineStr">
        <is>
          <t>20-May-2025 06:00 PM</t>
        </is>
      </c>
      <c r="E150" t="inlineStr">
        <is>
          <t>30,00,000</t>
        </is>
      </c>
      <c r="F150" t="inlineStr">
        <is>
          <t>20/2025-26 Construction and Commissioning of (16 Nos) 125mm Hand Pumps at various Locations under MLA Constituency Phulera, Under Jurisdiction of Division Jobner</t>
        </is>
      </c>
      <c r="G150" t="inlineStr">
        <is>
          <t>PHED Jobner</t>
        </is>
      </c>
    </row>
    <row r="151">
      <c r="A151" s="1" t="n">
        <v>149</v>
      </c>
      <c r="B151">
        <f>HYPERLINK("https://eproc.rajasthan.gov.in/nicgep/app?component=%24DirectLink&amp;page=FrontEndViewTender&amp;service=direct&amp;session=T&amp;sp=SiEM2FEXe0R82WWlImJPNiQ%3D%3D", "18/2025-26 Work of repairing of Panel Starter in Water Supply Schemes Under Jurisdiction of JEN Section Phulera Urban/Rural Sub Div. Sambhar.")</f>
        <v/>
      </c>
      <c r="C151" t="inlineStr">
        <is>
          <t>PHED-Chief Engineer(HQ),Jaipur||ACE Region Jaipur||SE - District Circle (Jaipur)</t>
        </is>
      </c>
      <c r="D151" t="inlineStr">
        <is>
          <t>20-May-2025 06:00 PM</t>
        </is>
      </c>
      <c r="E151" t="inlineStr">
        <is>
          <t>3,00,000</t>
        </is>
      </c>
      <c r="F151" t="inlineStr">
        <is>
          <t>18/2025-26 Work of repairing of Panel Starter in Water Supply Schemes Under Jurisdiction of JEN Section Phulera Urban/Rural Sub Div. Sambhar.</t>
        </is>
      </c>
      <c r="G151" t="inlineStr">
        <is>
          <t>PHED Jobner</t>
        </is>
      </c>
    </row>
    <row r="152">
      <c r="A152" s="1" t="n">
        <v>150</v>
      </c>
      <c r="B152">
        <f>HYPERLINK("https://eproc.rajasthan.gov.in/nicgep/app?component=%24DirectLink&amp;page=FrontEndViewTender&amp;service=direct&amp;session=T&amp;sp=Sj4vZt6kYibGtTBmyP5C7jQ%3D%3D", "17/2025-26 Work of repairing of Panel Starter in Water Supply Schemes Under Jurisdiction of JEN Section Sambhar Urban/Rural Sub Div. Sambhar.")</f>
        <v/>
      </c>
      <c r="C152" t="inlineStr">
        <is>
          <t>PHED-Chief Engineer(HQ),Jaipur||ACE Region Jaipur||SE - District Circle (Jaipur)</t>
        </is>
      </c>
      <c r="D152" t="inlineStr">
        <is>
          <t>20-May-2025 06:00 PM</t>
        </is>
      </c>
      <c r="E152" t="inlineStr">
        <is>
          <t>3,00,000</t>
        </is>
      </c>
      <c r="F152" t="inlineStr">
        <is>
          <t>17/2025-26 Work of repairing of Panel Starter in Water Supply Schemes Under Jurisdiction of JEN Section Sambhar Urban/Rural Sub Div. Sambhar.</t>
        </is>
      </c>
      <c r="G152" t="inlineStr">
        <is>
          <t>PHED Jobner</t>
        </is>
      </c>
    </row>
    <row r="153">
      <c r="A153" s="1" t="n">
        <v>151</v>
      </c>
      <c r="B153">
        <f>HYPERLINK("https://eproc.rajasthan.gov.in/nicgep/app?component=%24DirectLink&amp;page=FrontEndViewTender&amp;service=direct&amp;session=T&amp;sp=Sls7%2FMg%2FFE4krJhEuVO5uUg%3D%3D", "16/2025-26 Work of repairing of Panel Starter in Water Supply Schemes Under Jurisdiction of JEN Section Rural Sub Div. Kishangarh Renwal.")</f>
        <v/>
      </c>
      <c r="C153" t="inlineStr">
        <is>
          <t>PHED-Chief Engineer(HQ),Jaipur||ACE Region Jaipur||SE - District Circle (Jaipur)</t>
        </is>
      </c>
      <c r="D153" t="inlineStr">
        <is>
          <t>20-May-2025 06:00 PM</t>
        </is>
      </c>
      <c r="E153" t="inlineStr">
        <is>
          <t>3,00,000</t>
        </is>
      </c>
      <c r="F153" t="inlineStr">
        <is>
          <t>16/2025-26 Work of repairing of Panel Starter in Water Supply Schemes Under Jurisdiction of JEN Section Rural Sub Div. Kishangarh Renwal.</t>
        </is>
      </c>
      <c r="G153" t="inlineStr">
        <is>
          <t>PHED Jobner</t>
        </is>
      </c>
    </row>
    <row r="154">
      <c r="A154" s="1" t="n">
        <v>152</v>
      </c>
      <c r="B154">
        <f>HYPERLINK("https://eproc.rajasthan.gov.in/nicgep/app?component=%24DirectLink&amp;page=FrontEndViewTender&amp;service=direct&amp;session=T&amp;sp=SzJHUL6Uw7GKAShkT2FOYJA%3D%3D", "15/2025-26 Work of repairing of Panel Starter in Water Supply Schemes Under Jurisdiction of JEN Section Urban Sub Div. Kishangarh Renwal.")</f>
        <v/>
      </c>
      <c r="C154" t="inlineStr">
        <is>
          <t>PHED-Chief Engineer(HQ),Jaipur||ACE Region Jaipur||SE - District Circle (Jaipur)</t>
        </is>
      </c>
      <c r="D154" t="inlineStr">
        <is>
          <t>20-May-2025 06:00 PM</t>
        </is>
      </c>
      <c r="E154" t="inlineStr">
        <is>
          <t>3,00,000</t>
        </is>
      </c>
      <c r="F154" t="inlineStr">
        <is>
          <t>15/2025-26 Work of repairing of Panel Starter in Water Supply Schemes Under Jurisdiction of JEN Section Urban Sub Div. Kishangarh Renwal.</t>
        </is>
      </c>
      <c r="G154" t="inlineStr">
        <is>
          <t>PHED Jobner</t>
        </is>
      </c>
    </row>
    <row r="155">
      <c r="A155" s="1" t="n">
        <v>153</v>
      </c>
      <c r="B155">
        <f>HYPERLINK("https://eproc.rajasthan.gov.in/nicgep/app?component=%24DirectLink&amp;page=FrontEndViewTender&amp;service=direct&amp;session=T&amp;sp=SaMV776Nkdr3QDb584lQqCw%3D%3D", "Supply and installation of monoblock pump set")</f>
        <v/>
      </c>
      <c r="C155" t="inlineStr">
        <is>
          <t>PHED-Chief Engineer(HQ),Jaipur||ACE Region Bikaner||SE,Cr.Churu||EE, Dn.Ratangarh</t>
        </is>
      </c>
      <c r="D155" t="inlineStr">
        <is>
          <t>19-May-2025 06:00 PM</t>
        </is>
      </c>
      <c r="E155" t="inlineStr">
        <is>
          <t>11,35,000</t>
        </is>
      </c>
      <c r="F155" t="inlineStr">
        <is>
          <t>Supply and Installation testing and commissioning of submersible Monoblock Pumpsets Centrifugal Pump set and Panel etc under Dn Sikar</t>
        </is>
      </c>
      <c r="G155" t="inlineStr">
        <is>
          <t>Sikar</t>
        </is>
      </c>
    </row>
    <row r="156">
      <c r="A156" s="1" t="n">
        <v>154</v>
      </c>
      <c r="B156">
        <f>HYPERLINK("https://eproc.rajasthan.gov.in/nicgep/app?component=%24DirectLink&amp;page=FrontEndViewTender&amp;service=direct&amp;session=T&amp;sp=S22ZoaAlqZLCTIewdyyL2gA%3D%3D", "36/2025-26 Work for Shifting of Rising Main, Cluster and Village Distribution Pipeline at DhanopKerot (Km 18/700 to 46/300 up to MDR 154 and HLB on Khari River Enroute Various Villages of Tehsil Phuliya Kalan under Project Division Shahpura DiST BHL")</f>
        <v/>
      </c>
      <c r="C156" t="inlineStr">
        <is>
          <t>PHED-Chief Engineer(HQ),Jaipur||ACE Region Ajmer||SE Cr.Bhilwara||EE, Dn. Shalpura</t>
        </is>
      </c>
      <c r="D156" t="inlineStr">
        <is>
          <t>20-May-2025 12:00 PM</t>
        </is>
      </c>
      <c r="E156" t="inlineStr">
        <is>
          <t>79,17,414</t>
        </is>
      </c>
      <c r="F156" t="inlineStr">
        <is>
          <t>Work for Shifting of Rising Main, Cluster and Village Distribution Pipeline at DhanopKerot (Km 18/700 to 46/300 up to MDR 154 and HLB on Khari River Enroute Various Villages of Tehsil Phuliya Kalan under Project Division Shahpura Distt. Bhilwara.</t>
        </is>
      </c>
      <c r="G156" t="inlineStr">
        <is>
          <t>SHAHPURA</t>
        </is>
      </c>
    </row>
    <row r="157">
      <c r="A157" s="1" t="n">
        <v>155</v>
      </c>
      <c r="B157">
        <f>HYPERLINK("https://eproc.rajasthan.gov.in/nicgep/app?component=%24DirectLink&amp;page=FrontEndViewTender&amp;service=direct&amp;session=T&amp;sp=SNVxWmB%2FJ8IOu28CtdtWndw%3D%3D", "35/2025-26 Work for Shifting of Rising Main, Cluster and Village Distribution Pipeline at Dhanop Kerot (Km 18/700 to 46/300 up to MDR 154 and HLB on Khari River Enroute Various Villages of Tehsil Phuliya Kalan under Regular Division Shahpura Dist BHL")</f>
        <v/>
      </c>
      <c r="C157" t="inlineStr">
        <is>
          <t>PHED-Chief Engineer(HQ),Jaipur||ACE Region Ajmer||SE Cr.Bhilwara||EE, Dn. Shalpura</t>
        </is>
      </c>
      <c r="D157" t="inlineStr">
        <is>
          <t>20-May-2025 12:00 PM</t>
        </is>
      </c>
      <c r="E157" t="inlineStr">
        <is>
          <t>54,44,252</t>
        </is>
      </c>
      <c r="F157" t="inlineStr">
        <is>
          <t>Work for Shifting of Rising Main, Cluster and Village Distribution Pipeline at Dhanop Kerot (Km 18/700 to 46/300 up to MDR 154 and HLB on Khari River Enroute Various Villages of Tehsil Phuliya Kalan under Regular Division Shahpura Distt. Bhilwara.</t>
        </is>
      </c>
      <c r="G157" t="inlineStr">
        <is>
          <t>SHAHPURA</t>
        </is>
      </c>
    </row>
    <row r="158">
      <c r="A158" s="1" t="n">
        <v>156</v>
      </c>
      <c r="B158">
        <f>HYPERLINK("https://eproc.rajasthan.gov.in/nicgep/app?component=%24DirectLink&amp;page=FrontEndViewTender&amp;service=direct&amp;session=T&amp;sp=SRY1BOd%2FEPQnXa99TPRdktg%3D%3D", "RETROFITING OF P and T SCHEME AT GP NANER VILLAGE KAILASHPURI BLOCK PEEPLU OF DISTT. TONK")</f>
        <v/>
      </c>
      <c r="C158" t="inlineStr">
        <is>
          <t>PHED-Chief Engineer(HQ),Jaipur||ACE Region Ajmer||SE, Bisalpur Project Cr. Ajmer</t>
        </is>
      </c>
      <c r="D158" t="inlineStr">
        <is>
          <t>21-May-2025 06:00 PM</t>
        </is>
      </c>
      <c r="E158" t="inlineStr">
        <is>
          <t>21,98,053</t>
        </is>
      </c>
      <c r="F158" t="inlineStr">
        <is>
          <t>RETROFITING OF P and T SCHEME AT GP NANER VILLAGE KAILASHPURI BLOCK PEEPLU OF DISTT. TONK</t>
        </is>
      </c>
      <c r="G158" t="inlineStr">
        <is>
          <t>Executive Engineer PHED Division Malpura</t>
        </is>
      </c>
    </row>
    <row r="159">
      <c r="A159" s="1" t="n">
        <v>157</v>
      </c>
      <c r="B159">
        <f>HYPERLINK("https://eproc.rajasthan.gov.in/nicgep/app?component=%24DirectLink&amp;page=FrontEndViewTender&amp;service=direct&amp;session=T&amp;sp=Sq4h8LXgLqclkNWrHwFfIUA%3D%3D", "CONSTRUCTION and COMMISSIONING OF TUBEWELL 200MM DIA AT TALAB KE PASS PRATAPPURA, VILLAGE DIGGI, GRAM PANCHYAT DIGGI, TEHSIL MALPURA, SUB DIVISION MALPURA")</f>
        <v/>
      </c>
      <c r="C159" t="inlineStr">
        <is>
          <t>PHED-Chief Engineer(HQ),Jaipur||ACE Region Ajmer||SE, Bisalpur Project Cr. Ajmer</t>
        </is>
      </c>
      <c r="D159" t="inlineStr">
        <is>
          <t>21-May-2025 06:00 PM</t>
        </is>
      </c>
      <c r="E159" t="inlineStr">
        <is>
          <t>7,46,684</t>
        </is>
      </c>
      <c r="F159" t="inlineStr">
        <is>
          <t>CONSTRUCTION and COMMISSIONING OF TUBEWELL 200MM DIA AT TALAB KE PASS PRATAPPURA, VILLAGE DIGGI, GRAM PANCHYAT DIGGI, TEHSIL MALPURA, SUB DIVISION MALPURA</t>
        </is>
      </c>
      <c r="G159" t="inlineStr">
        <is>
          <t>Executive Engineer PHED Division Malpura</t>
        </is>
      </c>
    </row>
    <row r="160">
      <c r="A160" s="1" t="n">
        <v>158</v>
      </c>
      <c r="B160">
        <f>HYPERLINK("https://eproc.rajasthan.gov.in/nicgep/app?component=%24DirectLink&amp;page=FrontEndViewTender&amp;service=direct&amp;session=T&amp;sp=SjIC0XEJX1Zb8JKfchUOyWQ%3D%3D", "Replacement of damaged pump set, PVC sub.Cable, Panel Board and Motor Pump foundation work dueto Heavy rainfall at Panwaliya pump house under RWSS Todaraisingh")</f>
        <v/>
      </c>
      <c r="C160" t="inlineStr">
        <is>
          <t>PHED-Chief Engineer(HQ),Jaipur||ACE Region Ajmer||SE, Bisalpur Project Cr. Ajmer</t>
        </is>
      </c>
      <c r="D160" t="inlineStr">
        <is>
          <t>21-May-2025 06:00 PM</t>
        </is>
      </c>
      <c r="E160" t="inlineStr">
        <is>
          <t>5,63,851</t>
        </is>
      </c>
      <c r="F160" t="inlineStr">
        <is>
          <t>Replacement of damaged pump set, PVC sub.Cable, Panel Board and Motor Pump foundation work dueto Heavy rainfall at Panwaliya pump house under RWSS Todaraisingh</t>
        </is>
      </c>
      <c r="G160" t="inlineStr">
        <is>
          <t>Executive Engineer PHED Division Malpura</t>
        </is>
      </c>
    </row>
    <row r="161">
      <c r="A161" s="1" t="n">
        <v>159</v>
      </c>
      <c r="B161">
        <f>HYPERLINK("https://eproc.rajasthan.gov.in/nicgep/app?component=%24DirectLink&amp;page=FrontEndViewTender&amp;service=direct&amp;session=T&amp;sp=SnibCAehcYhhsEKXYTSjBcg%3D%3D", "CONSTRUCTION and COMMISSIONING OF 01 NO. OF OPENWELL OF 6M DIA AND 20M DEPTH and PIPELINE IN VILLAGE MALUNI , GRAM PANCHYAT KALMANDA, UNDER SUB DIV. MALPURA MLA CONTITUENCY MALPURA. TODA")</f>
        <v/>
      </c>
      <c r="C161" t="inlineStr">
        <is>
          <t>PHED-Chief Engineer(HQ),Jaipur||ACE Region Ajmer||SE, Bisalpur Project Cr. Ajmer</t>
        </is>
      </c>
      <c r="D161" t="inlineStr">
        <is>
          <t>21-May-2025 06:00 PM</t>
        </is>
      </c>
      <c r="E161" t="inlineStr">
        <is>
          <t>23,72,882</t>
        </is>
      </c>
      <c r="F161" t="inlineStr">
        <is>
          <t>CONSTRUCTION and COMMISSIONING OF 01 NO. OF OPENWELL OF 6M DIA AND 20M DEPTH and PIPELINE IN VILLAGE MALUNI , GRAM PANCHYAT KALMANDA, UNDER SUB DIV. MALPURA MLA CONTITUENCY MALPURA. TODA</t>
        </is>
      </c>
      <c r="G161" t="inlineStr">
        <is>
          <t>Executive Engineer PHED Division Malpura</t>
        </is>
      </c>
    </row>
    <row r="162">
      <c r="A162" s="1" t="n">
        <v>160</v>
      </c>
      <c r="B162">
        <f>HYPERLINK("https://eproc.rajasthan.gov.in/nicgep/app?component=%24DirectLink&amp;page=FrontEndViewTender&amp;service=direct&amp;session=T&amp;sp=ST%2FvdahyTqwVw1svrTIgFRw%3D%3D", "CONSTRUCTION AND COMMISSIONING OF 3 NOS TUBEWELL 200 MM DIA 01NO AT SETIWAS and 2NO AT KERLI FOR BAS SONWA and GANESHGANJ TEHSIL TODARAISINGH, SUB DIVISION TODARAISINGH")</f>
        <v/>
      </c>
      <c r="C162" t="inlineStr">
        <is>
          <t>PHED-Chief Engineer(HQ),Jaipur||ACE Region Ajmer||SE, Bisalpur Project Cr. Ajmer</t>
        </is>
      </c>
      <c r="D162" t="inlineStr">
        <is>
          <t>21-May-2025 06:00 PM</t>
        </is>
      </c>
      <c r="E162" t="inlineStr">
        <is>
          <t>33,10,998</t>
        </is>
      </c>
      <c r="F162" t="inlineStr">
        <is>
          <t>CONSTRUCTION AND COMMISSIONING OF 3 NOS TUBEWELL 200 MM DIA 01NO AT SETIWAS and 2NO AT KERLI FOR BAS SONWA and GANESHGANJ TEHSIL TODARAISINGH, SUB DIVISION TODARAISINGH</t>
        </is>
      </c>
      <c r="G162" t="inlineStr">
        <is>
          <t>Executive Engineer PHED Division Malpura</t>
        </is>
      </c>
    </row>
    <row r="163">
      <c r="A163" s="1" t="n">
        <v>161</v>
      </c>
      <c r="B163">
        <f>HYPERLINK("https://eproc.rajasthan.gov.in/nicgep/app?component=%24DirectLink&amp;page=FrontEndViewTender&amp;service=direct&amp;session=T&amp;sp=SgsFKcns2XiIyWaG9lWEoWQ%3D%3D", "construction and commissioning of 1No open well of 6 mtrdia and 20 mtr depth and Pipe line in village Ojhhapura and Bagri Gram panchayatBassi under Division Toaraisingh")</f>
        <v/>
      </c>
      <c r="C163" t="inlineStr">
        <is>
          <t>PHED-Chief Engineer(HQ),Jaipur||ACE Region Ajmer||SE, Bisalpur Project Cr. Ajmer</t>
        </is>
      </c>
      <c r="D163" t="inlineStr">
        <is>
          <t>21-May-2025 06:00 PM</t>
        </is>
      </c>
      <c r="E163" t="inlineStr">
        <is>
          <t>49,27,132</t>
        </is>
      </c>
      <c r="F163" t="inlineStr">
        <is>
          <t>construction and commissioning of 1No open well of 6 mtrdia and 20 mtr depth and Pipe line in village Ojhhapura and Bagri Gram panchayatBassi under Division Toaraisingh</t>
        </is>
      </c>
      <c r="G163" t="inlineStr">
        <is>
          <t>Executive Engineer PHED Division Malpura</t>
        </is>
      </c>
    </row>
    <row r="164">
      <c r="A164" s="1" t="n">
        <v>162</v>
      </c>
      <c r="B164">
        <f>HYPERLINK("https://eproc.rajasthan.gov.in/nicgep/app?component=%24DirectLink&amp;page=FrontEndViewTender&amp;service=direct&amp;session=T&amp;sp=SdKCIB%2Bx9jK%2FkraOHyVaT8A%3D%3D", "CONSTRUCTION AND COMMISSIONING OF 4 NOS TUBEWELL 200 MM DIA AT VILLAGE TORDI, REENDLIYA BUJURG, BUDHA DEWAL TEHSIL MALPURA, SUB DIVISION MALPURA")</f>
        <v/>
      </c>
      <c r="C164" t="inlineStr">
        <is>
          <t>PHED-Chief Engineer(HQ),Jaipur||ACE Region Ajmer||SE, Bisalpur Project Cr. Ajmer</t>
        </is>
      </c>
      <c r="D164" t="inlineStr">
        <is>
          <t>21-May-2025 06:00 PM</t>
        </is>
      </c>
      <c r="E164" t="inlineStr">
        <is>
          <t>30,86,044</t>
        </is>
      </c>
      <c r="F164" t="inlineStr">
        <is>
          <t>CONSTRUCTION AND COMMISSIONING OF 4 NOS TUBEWELL 200 MM DIA AT VILLAGE TORDI, REENDLIYA BUJURG, BUDHA DEWAL TEHSIL MALPURA, SUB DIVISION MALPURA</t>
        </is>
      </c>
      <c r="G164" t="inlineStr">
        <is>
          <t>Executive Engineer PHED Division Malpura</t>
        </is>
      </c>
    </row>
    <row r="165">
      <c r="A165" s="1" t="n">
        <v>163</v>
      </c>
      <c r="B165">
        <f>HYPERLINK("https://eproc.rajasthan.gov.in/nicgep/app?component=%24DirectLink&amp;page=FrontEndViewTender&amp;service=direct&amp;session=T&amp;sp=SLj065uPyQih7UkKa4DTesw%3D%3D", "REPLACEMENT OF DAMAGED PIPELINE AT SAHODRA RIVER NEAR VILLAGE DOONDIYA, TEHSIL PEEPLU, DISTRICT TONK")</f>
        <v/>
      </c>
      <c r="C165" t="inlineStr">
        <is>
          <t>PHED-Chief Engineer(HQ),Jaipur||ACE Region Ajmer||SE, Bisalpur Project Cr. Ajmer</t>
        </is>
      </c>
      <c r="D165" t="inlineStr">
        <is>
          <t>21-May-2025 06:00 PM</t>
        </is>
      </c>
      <c r="E165" t="inlineStr">
        <is>
          <t>7,19,600</t>
        </is>
      </c>
      <c r="F165" t="inlineStr">
        <is>
          <t>REPLACEMENT OF DAMAGED PIPELINE AT SAHODRA RIVER NEAR VILLAGE DOONDIYA, TEHSIL PEEPLU, DISTRICT TONK</t>
        </is>
      </c>
      <c r="G165" t="inlineStr">
        <is>
          <t>Executive Engineer PHED Division Malpura</t>
        </is>
      </c>
    </row>
    <row r="166">
      <c r="A166" s="1" t="n">
        <v>164</v>
      </c>
      <c r="B166">
        <f>HYPERLINK("https://eproc.rajasthan.gov.in/nicgep/app?component=%24DirectLink&amp;page=FrontEndViewTender&amp;service=direct&amp;session=T&amp;sp=SnSamR%2B4V%2B7dQUpUPza8zJA%3D%3D", "CONSTRUCTION and COMISSIONING OF 01 NO. OF OPENWELL OF 6MDIA AND 20 M DEPTH and PIPELINE IN BASJHIRANA GRAM PANCHAYAT GANETI UNDER SUB DIV. MALPURA MLA CONTITUENCY MALPURA TODA, DISTRICT TONK")</f>
        <v/>
      </c>
      <c r="C166" t="inlineStr">
        <is>
          <t>PHED-Chief Engineer(HQ),Jaipur||ACE Region Ajmer||SE, Bisalpur Project Cr. Ajmer</t>
        </is>
      </c>
      <c r="D166" t="inlineStr">
        <is>
          <t>21-May-2025 06:00 PM</t>
        </is>
      </c>
      <c r="E166" t="inlineStr">
        <is>
          <t>51,09,088</t>
        </is>
      </c>
      <c r="F166" t="inlineStr">
        <is>
          <t>CONSTRUCTION and COMISSIONING OF 01 NO. OF OPENWELL OF 6MDIA AND 20 M DEPTH and PIPELINE IN BASJHIRANA GRAM PANCHAYAT GANETI UNDER SUB DIV. MALPURA MLA CONTITUENCY MALPURA TODA, DISTRICT TONK</t>
        </is>
      </c>
      <c r="G166" t="inlineStr">
        <is>
          <t>Executive Engineer PHED Division Malpura</t>
        </is>
      </c>
    </row>
    <row r="167">
      <c r="A167" s="1" t="n">
        <v>165</v>
      </c>
      <c r="B167">
        <f>HYPERLINK("https://eproc.rajasthan.gov.in/nicgep/app?component=%24DirectLink&amp;page=FrontEndViewTender&amp;service=direct&amp;session=T&amp;sp=SuFlQSCibWZcTLGB3vcBdQg%3D%3D", "Procurement of ISI Marked Deep well Hand pump Extra Deep EDWP sets with connecting Rods Conforming to IS 15500 part 2 2021 Amended Revised up to date")</f>
        <v/>
      </c>
      <c r="C167" t="inlineStr">
        <is>
          <t>PHED-Chief Engineer(HQ),Jaipur||ACE(Urban)||SE, (MM) Jaipur</t>
        </is>
      </c>
      <c r="D167" t="inlineStr">
        <is>
          <t>23-May-2025 02:00 PM</t>
        </is>
      </c>
      <c r="E167" t="inlineStr">
        <is>
          <t>1,00,00,000</t>
        </is>
      </c>
      <c r="F167" t="inlineStr">
        <is>
          <t>Procurement of ISI Marked Deep well Hand pump Extra Deep EDWP sets with connecting Rods Conforming to IS 15500 part 2 2021 Amended Revised up to date</t>
        </is>
      </c>
      <c r="G167" t="inlineStr">
        <is>
          <t>Divisional stores of PHED Rajasthan</t>
        </is>
      </c>
    </row>
    <row r="168">
      <c r="A168" s="1" t="n">
        <v>166</v>
      </c>
      <c r="B168">
        <f>HYPERLINK("https://eproc.rajasthan.gov.in/nicgep/app?component=%24DirectLink&amp;page=FrontEndViewTender&amp;service=direct&amp;session=T&amp;sp=StA017DTINeLByoaE7MGyyg%3D%3D", "Procurement of ISI MARKED GI PIPES MEDIUM CLASS 50mm 65mm 80mm As per IS 1239 Part I 2004 amended up to date")</f>
        <v/>
      </c>
      <c r="C168" t="inlineStr">
        <is>
          <t>PHED-Chief Engineer(HQ),Jaipur||ACE(Urban)||SE, (MM) Jaipur</t>
        </is>
      </c>
      <c r="D168" t="inlineStr">
        <is>
          <t>30-May-2025 12:00 PM</t>
        </is>
      </c>
      <c r="E168" t="inlineStr">
        <is>
          <t>10,00,00,000</t>
        </is>
      </c>
      <c r="F168" t="inlineStr">
        <is>
          <t>Procurement of ISI MARKED GI PIPES MEDIUM CLASS 50mm 65mm 80mm As per IS 1239 Part I 2004 amended up to date</t>
        </is>
      </c>
      <c r="G168" t="inlineStr">
        <is>
          <t>Divisional stores of PHED Rajasthan</t>
        </is>
      </c>
    </row>
    <row r="169">
      <c r="A169" s="1" t="n">
        <v>167</v>
      </c>
      <c r="B169">
        <f>HYPERLINK("https://eproc.rajasthan.gov.in/nicgep/app?component=%24DirectLink&amp;page=FrontEndViewTender&amp;service=direct&amp;session=T&amp;sp=SWn7Y0QG9eG3OQVOuORhNow%3D%3D", "Procurement of ISI marked Deep Well Hand Pump Standard SDWP sets with 15 connecting rods. Conforming to IS 15500 Part 2 2021 Amended Revised upto date")</f>
        <v/>
      </c>
      <c r="C169" t="inlineStr">
        <is>
          <t>PHED-Chief Engineer(HQ),Jaipur||ACE(Urban)||SE, (MM) Jaipur</t>
        </is>
      </c>
      <c r="D169" t="inlineStr">
        <is>
          <t>23-May-2025 12:00 PM</t>
        </is>
      </c>
      <c r="E169" t="inlineStr">
        <is>
          <t>1,00,00,000</t>
        </is>
      </c>
      <c r="F169" t="inlineStr">
        <is>
          <t>Procurement of ISI marked Deep Well Hand Pump Standard SDWP sets with 15 connecting rods. Conforming to IS 15500 Part 2 2021 Amended Revised upto date</t>
        </is>
      </c>
      <c r="G169" t="inlineStr">
        <is>
          <t>Divisional stores of PHED Rajasthan</t>
        </is>
      </c>
    </row>
    <row r="170">
      <c r="A170" s="1" t="n">
        <v>168</v>
      </c>
      <c r="B170">
        <f>HYPERLINK("https://eproc.rajasthan.gov.in/nicgep/app?component=%24DirectLink&amp;page=FrontEndViewTender&amp;service=direct&amp;session=T&amp;sp=S9a4lJrlXSYvkqUBwsJbEZw%3D%3D", "CONSTRUCTION AND COMMISSIONING OF 4 NOS TUBEWELL 200 MM DIA AT VILLAGE DIGGI, SODA BAWDI , BRIJLALNAGAR, CHANDSEN, TEHSIL MALPURA, SUB DIVISION MALPURA.")</f>
        <v/>
      </c>
      <c r="C170" t="inlineStr">
        <is>
          <t>PHED-Chief Engineer(HQ),Jaipur||ACE Region Ajmer||SE, Bisalpur Project Cr. Ajmer</t>
        </is>
      </c>
      <c r="D170" t="inlineStr">
        <is>
          <t>21-May-2025 06:00 PM</t>
        </is>
      </c>
      <c r="E170" t="inlineStr">
        <is>
          <t>36,04,191</t>
        </is>
      </c>
      <c r="F170" t="inlineStr">
        <is>
          <t>CONSTRUCTION AND COMMISSIONING OF 4 NOS TUBEWELL 200 MM DIA AT VILLAGE DIGGI, SODA BAWDI , BRIJLALNAGAR, CHANDSEN, TEHSIL MALPURA, SUB DIVISION MALPURA.</t>
        </is>
      </c>
      <c r="G170" t="inlineStr">
        <is>
          <t>Executive Engineer PHED Division Malpura</t>
        </is>
      </c>
    </row>
    <row r="171">
      <c r="A171" s="1" t="n">
        <v>169</v>
      </c>
      <c r="B171">
        <f>HYPERLINK("https://eproc.rajasthan.gov.in/nicgep/app?component=%24DirectLink&amp;page=FrontEndViewTender&amp;service=direct&amp;session=T&amp;sp=S3rX6Gqt9Itrjd8%2BShW%2Ftdw%3D%3D", "PROV, INST, COMM. OF MOBILE GPS BASED REAL TIME WATER TANKER TRACKING MANAGEMENT INFORMATION SYSTEM WITH A DEDICATED MOBILE AND WEB APPLICATION WITH TWO YEARS OPERATION MAINTENANCE UNDER THE JURISD. OF DISTT SIKAR")</f>
        <v/>
      </c>
      <c r="C171" t="inlineStr">
        <is>
          <t>PHED-Chief Engineer(HQ),Jaipur||ACE Region Jaipur||SE Cr. Sikar</t>
        </is>
      </c>
      <c r="D171" t="inlineStr">
        <is>
          <t>27-May-2025 06:00 PM</t>
        </is>
      </c>
      <c r="E171" t="inlineStr">
        <is>
          <t>20,00,000</t>
        </is>
      </c>
      <c r="F171" t="inlineStr">
        <is>
          <t>PROV, INST, COMM. OF MOBILE GPS BASED REAL TIME WATER TANKER TRACKING MANAGEMENT INFORMATION SYSTEM WITH A DEDICATED MOBILE AND WEB APPLICATION WITH TWO YEARS OPERATION MAINTENANCE UNDER THE JURISD. OF DISTT SIKAR</t>
        </is>
      </c>
      <c r="G171" t="inlineStr">
        <is>
          <t>District Sikar</t>
        </is>
      </c>
    </row>
    <row r="172">
      <c r="A172" s="1" t="n">
        <v>170</v>
      </c>
      <c r="B172">
        <f>HYPERLINK("https://eproc.rajasthan.gov.in/nicgep/app?component=%24DirectLink&amp;page=FrontEndViewTender&amp;service=direct&amp;session=T&amp;sp=SqdDHz2%2BctBJHswTMnIqWrQ%3D%3D", "CONSTRUCTION AND COMMISSIONING OF 4 NOS TUBEWELL 200 MM DIA AT VILLAGE DIGGI, CHAINPURA , CHOURUPURA, DECHWAS, TEHSIL MALPURA, SUB DIVISION MALPURA")</f>
        <v/>
      </c>
      <c r="C172" t="inlineStr">
        <is>
          <t>PHED-Chief Engineer(HQ),Jaipur||ACE Region Ajmer||SE, Bisalpur Project Cr. Ajmer</t>
        </is>
      </c>
      <c r="D172" t="inlineStr">
        <is>
          <t>21-May-2025 06:00 PM</t>
        </is>
      </c>
      <c r="E172" t="inlineStr">
        <is>
          <t>32,61,888</t>
        </is>
      </c>
      <c r="F172" t="inlineStr">
        <is>
          <t>CONSTRUCTION AND COMMISSIONING OF 4 NOS TUBEWELL 200 MM DIA AT VILLAGE DIGGI, CHAINPURA , CHOURUPURA, DECHWAS, TEHSIL MALPURA, SUB DIVISION MALPURA</t>
        </is>
      </c>
      <c r="G172" t="inlineStr">
        <is>
          <t>Executive Engineer PHED Division Malpura</t>
        </is>
      </c>
    </row>
    <row r="173">
      <c r="A173" s="1" t="n">
        <v>171</v>
      </c>
      <c r="B173">
        <f>HYPERLINK("https://eproc.rajasthan.gov.in/nicgep/app?component=%24DirectLink&amp;page=FrontEndViewTender&amp;service=direct&amp;session=T&amp;sp=SoMzFJzIZZTcQUO0B%2BMnRBg%3D%3D", "CONSTRUCTION AND COMMISSIONING OF 3 NOS TUBEWELL 200 MM DIA AT PUBLIC PLACE OF VILLAES BAORI, LAMBA KALAN, and HAMEERPUR TEHSIL TODARAISINGH, SUB DIVISION TODARAISINGH.")</f>
        <v/>
      </c>
      <c r="C173" t="inlineStr">
        <is>
          <t>PHED-Chief Engineer(HQ),Jaipur||ACE Region Ajmer||SE, Bisalpur Project Cr. Ajmer</t>
        </is>
      </c>
      <c r="D173" t="inlineStr">
        <is>
          <t>21-May-2025 06:00 PM</t>
        </is>
      </c>
      <c r="E173" t="inlineStr">
        <is>
          <t>32,18,056</t>
        </is>
      </c>
      <c r="F173" t="inlineStr">
        <is>
          <t>CONSTRUCTION AND COMMISSIONING OF 3 NOS TUBEWELL 200 MM DIA AT PUBLIC PLACE OF VILLAES BAORI, LAMBA KALAN, and HAMEERPUR TEHSIL TODARAISINGH, SUB DIVISION TODARAISINGH.</t>
        </is>
      </c>
      <c r="G173" t="inlineStr">
        <is>
          <t>Executive Engineer PHED Division Malpura</t>
        </is>
      </c>
    </row>
    <row r="174">
      <c r="A174" s="1" t="n">
        <v>172</v>
      </c>
      <c r="B174">
        <f>HYPERLINK("https://eproc.rajasthan.gov.in/nicgep/app?component=%24DirectLink&amp;page=FrontEndViewTender&amp;service=direct&amp;session=T&amp;sp=St0rIPY9u9T%2BPQhwfmf5v4g%3D%3D", "Construction and Commisioning of 3 NOS TW 200mm Dia. At Gram Aujhapura, Dabardooba, and new bibolaw, Tehsil Todaraisingh , Sub Division todaraisingh")</f>
        <v/>
      </c>
      <c r="C174" t="inlineStr">
        <is>
          <t>PHED-Chief Engineer(HQ),Jaipur||ACE Region Ajmer||SE, Bisalpur Project Cr. Ajmer</t>
        </is>
      </c>
      <c r="D174" t="inlineStr">
        <is>
          <t>21-May-2025 06:00 PM</t>
        </is>
      </c>
      <c r="E174" t="inlineStr">
        <is>
          <t>30,81,389</t>
        </is>
      </c>
      <c r="F174" t="inlineStr">
        <is>
          <t>Construction and Commisioning of 3 NOS TW 200mm Dia. At Gram Aujhapura, Dabardooba, and new bibolaw, Tehsil Todaraisingh , Sub Division todaraisingh</t>
        </is>
      </c>
      <c r="G174" t="inlineStr">
        <is>
          <t>Executive Engineer PHED Division Malpura</t>
        </is>
      </c>
    </row>
    <row r="175">
      <c r="A175" s="1" t="n">
        <v>173</v>
      </c>
      <c r="B175">
        <f>HYPERLINK("https://eproc.rajasthan.gov.in/nicgep/app?component=%24DirectLink&amp;page=FrontEndViewTender&amp;service=direct&amp;session=T&amp;sp=SOO7D4zzUFhGVGMR5bgiDVg%3D%3D", "Work of construction of Sources, rising main pipelines, ESRs, CWR internal village distribution pipeline and FHTC including one year Defect Liability period of Village Liwari- Barh Kesharpur under Panchayat Samiti Umrain under JJM in the jurisdiction")</f>
        <v/>
      </c>
      <c r="C175" t="inlineStr">
        <is>
          <t>PHED-Chief Engineer(HQ),Jaipur||ACE Region NCR Alwar</t>
        </is>
      </c>
      <c r="D175" t="inlineStr">
        <is>
          <t>28-May-2025 05:00 PM</t>
        </is>
      </c>
      <c r="E175" t="inlineStr">
        <is>
          <t>1,69,75,000</t>
        </is>
      </c>
      <c r="F175" t="inlineStr">
        <is>
          <t>Work of construction of Sources, rising main pipelines, ESRs, CWR internal village distribution pipeline and FHTC including one year Defect Liability period of Village Liwari- Barh Kesharpur under Panchayat Samiti Umrain under JJM in the jurisdiction</t>
        </is>
      </c>
      <c r="G175" t="inlineStr">
        <is>
          <t>umrain</t>
        </is>
      </c>
    </row>
    <row r="176">
      <c r="A176" s="1" t="n">
        <v>174</v>
      </c>
      <c r="B176">
        <f>HYPERLINK("https://eproc.rajasthan.gov.in/nicgep/app?component=%24DirectLink&amp;page=FrontEndViewTender&amp;service=direct&amp;session=T&amp;sp=SJ%2B%2BMCkp8DIArbYTDA5gLKA%3D%3D", "Supply Installation Commissioning of India Mark Second Extra Deep Well Hand Pumps complete with or without material with construction of platform and Soak Pit in Sub Division Aspur Under Division Sagwara District Dungarpur Annual Rate Contract")</f>
        <v/>
      </c>
      <c r="C176" t="inlineStr">
        <is>
          <t>PHED-Chief Engineer(HQ),Jaipur||ACE Region Udaipur||SE Bhagari Ka Naka Proj.Cr. Udaipur||EE, Dn.Dungarpur</t>
        </is>
      </c>
      <c r="D176" t="inlineStr">
        <is>
          <t>19-May-2025 06:00 PM</t>
        </is>
      </c>
      <c r="E176" t="inlineStr">
        <is>
          <t>30,00,000</t>
        </is>
      </c>
      <c r="F176" t="inlineStr">
        <is>
          <t>Supply Installation Commissioning of India Mark Second Extra Deep Well Hand Pumps complete with or without material with construction of platform and Soak Pit in Sub Division Aspur Under Division Sagwara District Dungarpur Annual Rate Contract</t>
        </is>
      </c>
      <c r="G176" t="inlineStr">
        <is>
          <t>Sagwara</t>
        </is>
      </c>
    </row>
    <row r="177">
      <c r="A177" s="1" t="n">
        <v>175</v>
      </c>
      <c r="B177">
        <f>HYPERLINK("https://eproc.rajasthan.gov.in/nicgep/app?component=%24DirectLink&amp;page=FrontEndViewTender&amp;service=direct&amp;session=T&amp;sp=SKaoUC9cyH7pSZwBSUY0sQw%3D%3D", "Supply Installation Commissioning of India Mark Second Extra Deep Well Hand Pumps complete with or without material with construction of platform and Soak Pit in Sub Division Sagwara Under Division Sagwara District Dungarpur Annual Rate Contract")</f>
        <v/>
      </c>
      <c r="C177" t="inlineStr">
        <is>
          <t>PHED-Chief Engineer(HQ),Jaipur||ACE Region Udaipur||SE Bhagari Ka Naka Proj.Cr. Udaipur||EE, Dn.Dungarpur</t>
        </is>
      </c>
      <c r="D177" t="inlineStr">
        <is>
          <t>19-May-2025 06:00 PM</t>
        </is>
      </c>
      <c r="E177" t="inlineStr">
        <is>
          <t>30,00,000</t>
        </is>
      </c>
      <c r="F177" t="inlineStr">
        <is>
          <t>Supply Installation Commissioning of India Mark Second Extra Deep Well Hand Pumps complete with or without material with construction of platform and Soak Pit in Sub Division Sagwara Under Division Sagwara District Dungarpur Annual Rate Contract</t>
        </is>
      </c>
      <c r="G177" t="inlineStr">
        <is>
          <t>Sagwara</t>
        </is>
      </c>
    </row>
    <row r="178">
      <c r="A178" s="1" t="n">
        <v>176</v>
      </c>
      <c r="B178">
        <f>HYPERLINK("https://eproc.rajasthan.gov.in/nicgep/app?component=%24DirectLink&amp;page=FrontEndViewTender&amp;service=direct&amp;session=T&amp;sp=SzF8uLrpVF2KFapAbBl6mZg%3D%3D", "Work for providing Bisalpur water to Gandhi nagar railway station by 200 mm feeder from Gandhi nagar pump house under the jurisdiction of city div-I(S), Gandhi Nagar, Jaipur.")</f>
        <v/>
      </c>
      <c r="C178" t="inlineStr">
        <is>
          <t>PHED-Chief Engineer(HQ),Jaipur||ACE Region Jaipur||SE City Cr. Jaipur||EE, City Dn-I(S) Jaipur</t>
        </is>
      </c>
      <c r="D178" t="inlineStr">
        <is>
          <t>19-May-2025 06:00 PM</t>
        </is>
      </c>
      <c r="E178" t="inlineStr">
        <is>
          <t>63,84,497</t>
        </is>
      </c>
      <c r="F178" t="inlineStr">
        <is>
          <t>Work for providing Bisalpur water to Gandhi nagar railway station by 200 mm feeder from Gandhi nagar pump house under the jurisdiction of city div-I(S), Gandhi Nagar, Jaipur.</t>
        </is>
      </c>
      <c r="G178" t="inlineStr">
        <is>
          <t>EE PHED City Div. I (S) Gandhi Nagar Jaipur.</t>
        </is>
      </c>
    </row>
    <row r="179">
      <c r="A179" s="1" t="n">
        <v>177</v>
      </c>
      <c r="B179">
        <f>HYPERLINK("https://eproc.rajasthan.gov.in/nicgep/app?component=%24DirectLink&amp;page=FrontEndViewTender&amp;service=direct&amp;session=T&amp;sp=SiX9F1v3G5M7yWd9S2GDFQg%3D%3D", "Work of deepening of existing 200 mm diameter tube wells (45 Nos) in all strata supply and other allied works as per financial offer for Summer contingency 2025 in UWSS Alwar under PHED Division Alwar")</f>
        <v/>
      </c>
      <c r="C179" t="inlineStr">
        <is>
          <t>PHED-Chief Engineer(HQ),Jaipur||ACE Region Jaipur||SE Cr. Alwar</t>
        </is>
      </c>
      <c r="D179" t="inlineStr">
        <is>
          <t>20-May-2025 05:00 PM</t>
        </is>
      </c>
      <c r="E179" t="inlineStr">
        <is>
          <t>1,89,78,000</t>
        </is>
      </c>
      <c r="F179" t="inlineStr">
        <is>
          <t>Work of deepening of existing 200 mm diameter tube wells (45 Nos) in all strata supply and other allied works as per financial offer for Summer contingency 2025 in UWSS Alwar under PHED Division Alwar</t>
        </is>
      </c>
      <c r="G179" t="inlineStr">
        <is>
          <t>Alwar</t>
        </is>
      </c>
    </row>
    <row r="180">
      <c r="A180" s="1" t="n">
        <v>178</v>
      </c>
      <c r="B180">
        <f>HYPERLINK("https://eproc.rajasthan.gov.in/nicgep/app?component=%24DirectLink&amp;page=FrontEndViewTender&amp;service=direct&amp;session=T&amp;sp=SM2xfnxGPR3k%2FM5TbhKkpTw%3D%3D", "AUGMENTATION OF PIPED WATER SUPPLY SCHEME MALSISAR, BLOCK-ALSISAR, DISTT- JHUNJHUNU")</f>
        <v/>
      </c>
      <c r="C180" t="inlineStr">
        <is>
          <t>PHED-Chief Engineer(HQ),Jaipur||ACE Region Jaipur||SE Cr. Sikar</t>
        </is>
      </c>
      <c r="D180" t="inlineStr">
        <is>
          <t>09-Jun-2025 06:00 PM</t>
        </is>
      </c>
      <c r="E180" t="inlineStr">
        <is>
          <t>11,34,38,000</t>
        </is>
      </c>
      <c r="F180" t="inlineStr">
        <is>
          <t>AUGMENTATION OF PIPED WATER SUPPLY SCHEME MALSISAR, BLOCK-ALSISAR, DISTT- JHUNJHUNU</t>
        </is>
      </c>
      <c r="G180" t="inlineStr">
        <is>
          <t>Malsisar</t>
        </is>
      </c>
    </row>
    <row r="181">
      <c r="A181" s="1" t="n">
        <v>179</v>
      </c>
      <c r="B181">
        <f>HYPERLINK("https://eproc.rajasthan.gov.in/nicgep/app?component=%24DirectLink&amp;page=FrontEndViewTender&amp;service=direct&amp;session=T&amp;sp=SVZ9creWswo%2BjZX16IBQJcA%3D%3D", "Work of providing and installation of material in deepening tubewell by GWD of 200 mm dia at uwss Bandikui under division Bandikui District Dausa")</f>
        <v/>
      </c>
      <c r="C181" t="inlineStr">
        <is>
          <t>PHED-Chief Engineer(HQ),Jaipur||ACE Region Jaipur||SE Cr. Alwar</t>
        </is>
      </c>
      <c r="D181" t="inlineStr">
        <is>
          <t>22-May-2025 06:00 PM</t>
        </is>
      </c>
      <c r="E181" t="inlineStr">
        <is>
          <t>21,72,000</t>
        </is>
      </c>
      <c r="F181" t="inlineStr">
        <is>
          <t>Work of providing and installation of material in deepening tubewell by GWD of 200 mm dia at uwss Bandikui under division Bandikui District Dausa</t>
        </is>
      </c>
      <c r="G181" t="inlineStr">
        <is>
          <t>Exen PHED DIV BANDIKUI</t>
        </is>
      </c>
    </row>
    <row r="182">
      <c r="A182" s="1" t="n">
        <v>180</v>
      </c>
      <c r="B182">
        <f>HYPERLINK("https://eproc.rajasthan.gov.in/nicgep/app?component=%24DirectLink&amp;page=FrontEndViewTender&amp;service=direct&amp;session=T&amp;sp=SCq%2BhysQTGQavv5c3PLryAw%3D%3D", "Work of Construction and commissioning of 200mm dia. 02 nos tube well at RWSS Peechupara Khurd under division Bandikui District Dausa")</f>
        <v/>
      </c>
      <c r="C182" t="inlineStr">
        <is>
          <t>PHED-Chief Engineer(HQ),Jaipur||ACE Region Jaipur||SE Cr. Alwar</t>
        </is>
      </c>
      <c r="D182" t="inlineStr">
        <is>
          <t>22-May-2025 06:00 PM</t>
        </is>
      </c>
      <c r="E182" t="inlineStr">
        <is>
          <t>20,72,000</t>
        </is>
      </c>
      <c r="F182" t="inlineStr">
        <is>
          <t>Work of Construction and commissioning of 200mm dia. 02 nos tube well at RWSS Peechupara Khurd under division Bandikui District Dausa</t>
        </is>
      </c>
      <c r="G182" t="inlineStr">
        <is>
          <t>Exen PHED DIV BANDIKUI</t>
        </is>
      </c>
    </row>
    <row r="183">
      <c r="A183" s="1" t="n">
        <v>181</v>
      </c>
      <c r="B183">
        <f>HYPERLINK("https://eproc.rajasthan.gov.in/nicgep/app?component=%24DirectLink&amp;page=FrontEndViewTender&amp;service=direct&amp;session=T&amp;sp=S3ElmoN%2FQBshHrJ2GcsoXIQ%3D%3D", "Construction of platform of Hand Pump and Supplying and Installation of India mark II hand pump in Verious location District Dungarpur NIT 30/2025-26")</f>
        <v/>
      </c>
      <c r="C183" t="inlineStr">
        <is>
          <t>PHED-Chief Engineer(HQ),Jaipur||ACE Region Udaipur||SE Bhagari Ka Naka Proj.Cr. Udaipur||EE, Dn.Dungarpur</t>
        </is>
      </c>
      <c r="D183" t="inlineStr">
        <is>
          <t>19-May-2025 06:00 PM</t>
        </is>
      </c>
      <c r="E183" t="inlineStr">
        <is>
          <t>38,99,000</t>
        </is>
      </c>
      <c r="F183" t="inlineStr">
        <is>
          <t>Construction of platform of Hand Pump and Supplying and Installation of India mark II hand pump in Verious location District Dungarpur NIT 30/2025-26</t>
        </is>
      </c>
      <c r="G183" t="inlineStr">
        <is>
          <t>Dungarpur</t>
        </is>
      </c>
    </row>
    <row r="184">
      <c r="A184" s="1" t="n">
        <v>182</v>
      </c>
      <c r="B184">
        <f>HYPERLINK("https://eproc.rajasthan.gov.in/nicgep/app?component=%24DirectLink&amp;page=FrontEndViewTender&amp;service=direct&amp;session=T&amp;sp=SvxPJPpTwLbKYYdMxy9cPiQ%3D%3D", "Nit No 03/2025-26")</f>
        <v/>
      </c>
      <c r="C184" t="inlineStr">
        <is>
          <t>PHED-Chief Engineer(HQ),Jaipur||ACE Region Ajmer||SE Cr. Nagaur</t>
        </is>
      </c>
      <c r="D184" t="inlineStr">
        <is>
          <t>21-May-2025 11:00 AM</t>
        </is>
      </c>
      <c r="E184" t="inlineStr">
        <is>
          <t>1,02,01,032</t>
        </is>
      </c>
      <c r="F184" t="inlineStr">
        <is>
          <t>Work of Contt and Comm of bore hole by DTH/Rotary/ Comb rig of 200 mm dia supply and installation of energy efficient Sub. Pump sets Panels Cables and other allied works of TW under Distt Sub Div I Nagaur with 2 year defect liability with 5 yr OandM</t>
        </is>
      </c>
      <c r="G184" t="inlineStr">
        <is>
          <t>Executive Engineer PHED Div. Nagaur</t>
        </is>
      </c>
    </row>
    <row r="185">
      <c r="A185" s="1" t="n">
        <v>183</v>
      </c>
      <c r="B185">
        <f>HYPERLINK("https://eproc.rajasthan.gov.in/nicgep/app?component=%24DirectLink&amp;page=FrontEndViewTender&amp;service=direct&amp;session=T&amp;sp=SDFsYa8tfe7xS5XpQHtnplw%3D%3D", "01/25-26 - Water Supply Scheme for Augmentation and Rehabilitation of UWSS Dhaulpur, Rajakhera, Baseri and Sarmathura including 05 years OnM after 01 year Defect Liability period under Amrut 2.0")</f>
        <v/>
      </c>
      <c r="C185" t="inlineStr">
        <is>
          <t>PHED-Chief Engineer(HQ),Jaipur||ACE Region Jaipur</t>
        </is>
      </c>
      <c r="D185" t="inlineStr">
        <is>
          <t>22-May-2025 06:00 PM</t>
        </is>
      </c>
      <c r="E185" t="inlineStr">
        <is>
          <t>93,79,04,000</t>
        </is>
      </c>
      <c r="F185" t="inlineStr">
        <is>
          <t>Water Supply Scheme for Augmentation and Rehabilitation of UWSS Dhaulpur, Rajakhera, Baseri and Sarmathura including 05 years OnM after 01 year Defect Liability period under Amrut 2.0</t>
        </is>
      </c>
      <c r="G185" t="inlineStr">
        <is>
          <t>Dholpur</t>
        </is>
      </c>
    </row>
    <row r="186">
      <c r="A186" s="1" t="n">
        <v>184</v>
      </c>
      <c r="B186">
        <f>HYPERLINK("https://eproc.rajasthan.gov.in/nicgep/app?component=%24DirectLink&amp;page=FrontEndViewTender&amp;service=direct&amp;session=T&amp;sp=S1eEdg31ldcLc6OaS82dk7Q%3D%3D", "Work of repair of 2 No VT pump sets at WTP for temporary works not included in the original Chambal Sawai madhopur Nadauti Project to supply 16 MLD water to 109 villages of Package II of this Project and partial supply to karauli and Gangapur")</f>
        <v/>
      </c>
      <c r="C186" t="inlineStr">
        <is>
          <t>PHED-Chief Engineer(HQ),Jaipur||ACE Region Bharatpur||SE Cr. Sawaimadhopur||EE, Dn.Kanod</t>
        </is>
      </c>
      <c r="D186" t="inlineStr">
        <is>
          <t>19-May-2025 06:00 PM</t>
        </is>
      </c>
      <c r="E186" t="inlineStr">
        <is>
          <t>9,21,012</t>
        </is>
      </c>
      <c r="F186" t="inlineStr">
        <is>
          <t>Work of repair of 2 No VT pump sets at WTP for temporary works not included in the original Chambal Sawai madhopur Nadauti Project to supply 16 MLD water to 109 villages of Package II of this Project and partial supply to karauli and Gangapur</t>
        </is>
      </c>
      <c r="G186" t="inlineStr">
        <is>
          <t>EE PHED Project Division Karauli HQ Todabhim</t>
        </is>
      </c>
    </row>
    <row r="187">
      <c r="A187" s="1" t="n">
        <v>185</v>
      </c>
      <c r="B187">
        <f>HYPERLINK("https://eproc.rajasthan.gov.in/nicgep/app?component=%24DirectLink&amp;page=FrontEndViewTender&amp;service=direct&amp;session=T&amp;sp=S8ANVekNxfQXSCQWF6prbRw%3D%3D", "Rejuvenation, Renovation, Modernization and strengthening of various units and providing Functional House water connection with one year Defect Liability period of Binjhbayala under JJM in the jurisdiction of Sub Divison Padampur")</f>
        <v/>
      </c>
      <c r="C187" t="inlineStr">
        <is>
          <t>PHED-Chief Engineer(HQ),Jaipur</t>
        </is>
      </c>
      <c r="D187" t="inlineStr">
        <is>
          <t>27-May-2025 12:00 PM</t>
        </is>
      </c>
      <c r="E187" t="inlineStr">
        <is>
          <t>6,11,03,000</t>
        </is>
      </c>
      <c r="F187" t="inlineStr">
        <is>
          <t>Rejuvenation, Renovation, Modernization and strengthening of various units and providing Functional House water connection with one year Defect Liability period of Binjhbayala under JJM in the jurisdiction of Sub Divison Padampur</t>
        </is>
      </c>
      <c r="G187" t="inlineStr">
        <is>
          <t>SriGanganagar</t>
        </is>
      </c>
    </row>
    <row r="188">
      <c r="A188" s="1" t="n">
        <v>186</v>
      </c>
      <c r="B188">
        <f>HYPERLINK("https://eproc.rajasthan.gov.in/nicgep/app?component=%24DirectLink&amp;page=FrontEndViewTender&amp;service=direct&amp;session=T&amp;sp=SWWxY22p5pm4pf2XoH5B8Vg%3D%3D", "Rejuvenation, Renovation, Modernization and strengthening of various units and providing Functional House water connection with one year Defect Liability period of 27 ML under JJM in the jurisdiction of Sub Divison Padampur")</f>
        <v/>
      </c>
      <c r="C188" t="inlineStr">
        <is>
          <t>PHED-Chief Engineer(HQ),Jaipur</t>
        </is>
      </c>
      <c r="D188" t="inlineStr">
        <is>
          <t>27-May-2025 12:00 PM</t>
        </is>
      </c>
      <c r="E188" t="inlineStr">
        <is>
          <t>8,91,27,000</t>
        </is>
      </c>
      <c r="F188" t="inlineStr">
        <is>
          <t>Rejuvenation, Renovation, Modernization and strengthening of various units and providing Functional House water connection with one year Defect Liability period of 27 ML under JJM in the jurisdiction of Sub Divison Padampur</t>
        </is>
      </c>
      <c r="G188" t="inlineStr">
        <is>
          <t>SriGanganagar</t>
        </is>
      </c>
    </row>
    <row r="189">
      <c r="A189" s="1" t="n">
        <v>187</v>
      </c>
      <c r="B189">
        <f>HYPERLINK("https://eproc.rajasthan.gov.in/nicgep/app?component=%24DirectLink&amp;page=FrontEndViewTender&amp;service=direct&amp;session=T&amp;sp=SDgbENXBE%2BUbwvzp6%2BtFnYQ%3D%3D", "nit26")</f>
        <v/>
      </c>
      <c r="C189" t="inlineStr">
        <is>
          <t>PHED-Chief Engineer(HQ),Jaipur||ACE Region Udaipur||SE Cr.Chittorgarh||EE, Dn.Chittorgarh</t>
        </is>
      </c>
      <c r="D189" t="inlineStr">
        <is>
          <t>19-May-2025 06:00 PM</t>
        </is>
      </c>
      <c r="E189" t="inlineStr">
        <is>
          <t>5,94,000</t>
        </is>
      </c>
      <c r="F189" t="inlineStr">
        <is>
          <t>gram thikriya pipe line work</t>
        </is>
      </c>
      <c r="G189" t="inlineStr">
        <is>
          <t>chittorgarh</t>
        </is>
      </c>
    </row>
    <row r="190">
      <c r="A190" s="1" t="n">
        <v>188</v>
      </c>
      <c r="B190">
        <f>HYPERLINK("https://eproc.rajasthan.gov.in/nicgep/app?component=%24DirectLink&amp;page=FrontEndViewTender&amp;service=direct&amp;session=T&amp;sp=SmVw0FoZD0XmPzmZGEV9jhQ%3D%3D", "Work of construction of Sources, rising main pipelines, CWR, OHSR, Pump house, internal village distribution pipeline and FHTC including one year Defect Liability period of Village Bhoodiyabas-Barhdoli under Sub division Thanagazi under JJM")</f>
        <v/>
      </c>
      <c r="C190" t="inlineStr">
        <is>
          <t>PHED-Chief Engineer(HQ),Jaipur||ACE Region NCR Alwar</t>
        </is>
      </c>
      <c r="D190" t="inlineStr">
        <is>
          <t>26-May-2025 05:00 PM</t>
        </is>
      </c>
      <c r="E190" t="inlineStr">
        <is>
          <t>1,34,03,000</t>
        </is>
      </c>
      <c r="F190" t="inlineStr">
        <is>
          <t>Work of construction of Sources, rising main pipelines, CWR, OHSR, Pump house, internal village distribution pipeline and FHTC including one year Defect Liability period of Village Bhoodiyabas-Barhdoli under Sub division Thanagazi under JJM</t>
        </is>
      </c>
      <c r="G190" t="inlineStr">
        <is>
          <t>THANAGAZI</t>
        </is>
      </c>
    </row>
    <row r="191">
      <c r="A191" s="1" t="n">
        <v>189</v>
      </c>
      <c r="B191">
        <f>HYPERLINK("https://eproc.rajasthan.gov.in/nicgep/app?component=%24DirectLink&amp;page=FrontEndViewTender&amp;service=direct&amp;session=T&amp;sp=SYGA6SoRcGbm8XSezkxqkqA%3D%3D", "Work of Construction of Source, PLJ of rising main pipelines, internal village distribution pipeline, Reservoir and FHTC including 01 year Defect Liability period of Village Bhooriawas under Subdivision Thanagaji under JJM in the jurisdiction of PHED")</f>
        <v/>
      </c>
      <c r="C191" t="inlineStr">
        <is>
          <t>PHED-Chief Engineer(HQ),Jaipur||ACE Region NCR Alwar</t>
        </is>
      </c>
      <c r="D191" t="inlineStr">
        <is>
          <t>26-May-2025 05:00 PM</t>
        </is>
      </c>
      <c r="E191" t="inlineStr">
        <is>
          <t>1,26,86,000</t>
        </is>
      </c>
      <c r="F191" t="inlineStr">
        <is>
          <t>Work of Construction of Source, PLJ of rising main pipelines, internal village distribution pipeline, Reservoir and FHTC including 01 year Defect Liability period of Village Bhooriawas under Subdivision Thanagaji under JJM in the jurisdiction of PHED</t>
        </is>
      </c>
      <c r="G191" t="inlineStr">
        <is>
          <t>THANAGAZI</t>
        </is>
      </c>
    </row>
    <row r="192">
      <c r="A192" s="1" t="n">
        <v>190</v>
      </c>
      <c r="B192">
        <f>HYPERLINK("https://eproc.rajasthan.gov.in/nicgep/app?component=%24DirectLink&amp;page=FrontEndViewTender&amp;service=direct&amp;session=T&amp;sp=S17fK6c6pwMb03UktLkTkdw%3D%3D", "NIT 26 WORK FOR REPLACEMENT OF OLD RUSTED AND POLLUTED PIPE LINE AT UWSS VIRATNAGAR UNDER DIVISION PAOTA DISTRICT KOTPUTLI-BEHROR")</f>
        <v/>
      </c>
      <c r="C192" t="inlineStr">
        <is>
          <t>PHED-Chief Engineer(HQ),Jaipur||ACE Region Jaipur||SE Cr. Kothputli-Behror</t>
        </is>
      </c>
      <c r="D192" t="inlineStr">
        <is>
          <t>26-May-2025 06:00 PM</t>
        </is>
      </c>
      <c r="E192" t="inlineStr">
        <is>
          <t>86,06,000</t>
        </is>
      </c>
      <c r="F192" t="inlineStr">
        <is>
          <t>NIT 26 WORK FOR REPLACEMENT OF OLD RUSTED AND POLLUTED PIPE LINE AT UWSS VIRATNAGAR UNDER DIVISION PAOTA DISTRICT KOTPUTLI-BEHROR</t>
        </is>
      </c>
      <c r="G192" t="inlineStr">
        <is>
          <t>EE PHED PAOTA KOTPUTLI-BEHROR</t>
        </is>
      </c>
    </row>
    <row r="193">
      <c r="A193" s="1" t="n">
        <v>191</v>
      </c>
      <c r="B193">
        <f>HYPERLINK("https://eproc.rajasthan.gov.in/nicgep/app?component=%24DirectLink&amp;page=FrontEndViewTender&amp;service=direct&amp;session=T&amp;sp=SS93GTinJJ981QvFSRRy1AQ%3D%3D", "nit32")</f>
        <v/>
      </c>
      <c r="C193" t="inlineStr">
        <is>
          <t>PHED-Chief Engineer(HQ),Jaipur||ACE Region Udaipur||SE Cr.Chittorgarh||EE, Dn.Chittorgarh</t>
        </is>
      </c>
      <c r="D193" t="inlineStr">
        <is>
          <t>19-May-2025 06:00 PM</t>
        </is>
      </c>
      <c r="E193" t="inlineStr">
        <is>
          <t>3,50,000</t>
        </is>
      </c>
      <c r="F193" t="inlineStr">
        <is>
          <t>jjy scheme chapri pipe line work</t>
        </is>
      </c>
      <c r="G193" t="inlineStr">
        <is>
          <t>chittorgarh</t>
        </is>
      </c>
    </row>
    <row r="194">
      <c r="A194" s="1" t="n">
        <v>192</v>
      </c>
      <c r="B194">
        <f>HYPERLINK("https://eproc.rajasthan.gov.in/nicgep/app?component=%24DirectLink&amp;page=FrontEndViewTender&amp;service=direct&amp;session=T&amp;sp=S4pXAoECnI3RridBnKI2mCw%3D%3D", "nit30")</f>
        <v/>
      </c>
      <c r="C194" t="inlineStr">
        <is>
          <t>PHED-Chief Engineer(HQ),Jaipur||ACE Region Udaipur||SE Cr.Chittorgarh||EE, Dn.Chittorgarh</t>
        </is>
      </c>
      <c r="D194" t="inlineStr">
        <is>
          <t>19-May-2025 06:00 PM</t>
        </is>
      </c>
      <c r="E194" t="inlineStr">
        <is>
          <t>19,84,000</t>
        </is>
      </c>
      <c r="F194" t="inlineStr">
        <is>
          <t>jjy scheme pandoli pipe line work</t>
        </is>
      </c>
      <c r="G194" t="inlineStr">
        <is>
          <t>chittorgarh</t>
        </is>
      </c>
    </row>
    <row r="195">
      <c r="A195" s="1" t="n">
        <v>193</v>
      </c>
      <c r="B195">
        <f>HYPERLINK("https://eproc.rajasthan.gov.in/nicgep/app?component=%24DirectLink&amp;page=FrontEndViewTender&amp;service=direct&amp;session=T&amp;sp=S462INNh2GGioKebkUwInaQ%3D%3D", "nit31")</f>
        <v/>
      </c>
      <c r="C195" t="inlineStr">
        <is>
          <t>PHED-Chief Engineer(HQ),Jaipur||ACE Region Udaipur||SE Cr.Chittorgarh||EE, Dn.Chittorgarh</t>
        </is>
      </c>
      <c r="D195" t="inlineStr">
        <is>
          <t>19-May-2025 06:00 PM</t>
        </is>
      </c>
      <c r="E195" t="inlineStr">
        <is>
          <t>17,57,000</t>
        </is>
      </c>
      <c r="F195" t="inlineStr">
        <is>
          <t>gram singhpur pipe line work</t>
        </is>
      </c>
      <c r="G195" t="inlineStr">
        <is>
          <t>chittorgarh</t>
        </is>
      </c>
    </row>
    <row r="196">
      <c r="A196" s="1" t="n">
        <v>194</v>
      </c>
      <c r="B196">
        <f>HYPERLINK("https://eproc.rajasthan.gov.in/nicgep/app?component=%24DirectLink&amp;page=FrontEndViewTender&amp;service=direct&amp;session=T&amp;sp=ScLzMh0pBp6UmdERWj97vsA%3D%3D", "nit29")</f>
        <v/>
      </c>
      <c r="C196" t="inlineStr">
        <is>
          <t>PHED-Chief Engineer(HQ),Jaipur||ACE Region Udaipur||SE Cr.Chittorgarh||EE, Dn.Chittorgarh</t>
        </is>
      </c>
      <c r="D196" t="inlineStr">
        <is>
          <t>19-May-2025 06:00 PM</t>
        </is>
      </c>
      <c r="E196" t="inlineStr">
        <is>
          <t>31,43,000</t>
        </is>
      </c>
      <c r="F196" t="inlineStr">
        <is>
          <t>gram mungana pipe line work</t>
        </is>
      </c>
      <c r="G196" t="inlineStr">
        <is>
          <t>chittorgarh</t>
        </is>
      </c>
    </row>
    <row r="197">
      <c r="A197" s="1" t="n">
        <v>195</v>
      </c>
      <c r="B197">
        <f>HYPERLINK("https://eproc.rajasthan.gov.in/nicgep/app?component=%24DirectLink&amp;page=FrontEndViewTender&amp;service=direct&amp;session=T&amp;sp=SAhMzAwc%2BSFETqBHTEZ95Bg%3D%3D", "nit28")</f>
        <v/>
      </c>
      <c r="C197" t="inlineStr">
        <is>
          <t>PHED-Chief Engineer(HQ),Jaipur||ACE Region Udaipur||SE Cr.Chittorgarh||EE, Dn.Chittorgarh</t>
        </is>
      </c>
      <c r="D197" t="inlineStr">
        <is>
          <t>19-May-2025 06:00 PM</t>
        </is>
      </c>
      <c r="E197" t="inlineStr">
        <is>
          <t>14,96,000</t>
        </is>
      </c>
      <c r="F197" t="inlineStr">
        <is>
          <t>gram dhamana pipe line work</t>
        </is>
      </c>
      <c r="G197" t="inlineStr">
        <is>
          <t>chittorgarh</t>
        </is>
      </c>
    </row>
    <row r="198">
      <c r="A198" s="1" t="n">
        <v>196</v>
      </c>
      <c r="B198">
        <f>HYPERLINK("https://eproc.rajasthan.gov.in/nicgep/app?component=%24DirectLink&amp;page=FrontEndViewTender&amp;service=direct&amp;session=T&amp;sp=SWEDohbLHlcbknNDUzcAnyg%3D%3D", "nit27")</f>
        <v/>
      </c>
      <c r="C198" t="inlineStr">
        <is>
          <t>PHED-Chief Engineer(HQ),Jaipur||ACE Region Udaipur||SE Cr.Chittorgarh||EE, Dn.Chittorgarh</t>
        </is>
      </c>
      <c r="D198" t="inlineStr">
        <is>
          <t>19-May-2025 06:00 PM</t>
        </is>
      </c>
      <c r="E198" t="inlineStr">
        <is>
          <t>7,98,000</t>
        </is>
      </c>
      <c r="F198" t="inlineStr">
        <is>
          <t>jjy bavlas open well work</t>
        </is>
      </c>
      <c r="G198" t="inlineStr">
        <is>
          <t>chittorgarh</t>
        </is>
      </c>
    </row>
    <row r="199">
      <c r="A199" s="1" t="n">
        <v>197</v>
      </c>
      <c r="B199">
        <f>HYPERLINK("https://eproc.rajasthan.gov.in/nicgep/app?component=%24DirectLink&amp;page=FrontEndViewTender&amp;service=direct&amp;session=T&amp;sp=SNWtddP8rRN9BrsT3JUPCuA%3D%3D", "Work of Construction of Source, PLJ of rising main pipelines, internal village distribution pipeline, Reservoir and FHTC including 01 year Defect Liability period of Village Heesla-Mankot under Subdivision Thanagaji under JJM in the jurisdiction of")</f>
        <v/>
      </c>
      <c r="C199" t="inlineStr">
        <is>
          <t>PHED-Chief Engineer(HQ),Jaipur||ACE Region NCR Alwar</t>
        </is>
      </c>
      <c r="D199" t="inlineStr">
        <is>
          <t>26-May-2025 05:00 PM</t>
        </is>
      </c>
      <c r="E199" t="inlineStr">
        <is>
          <t>2,19,24,000</t>
        </is>
      </c>
      <c r="F199" t="inlineStr">
        <is>
          <t>Work of Construction of Source, PLJ of rising main pipelines, internal village distribution pipeline, Reservoir and FHTC including 01 year Defect Liability period of Village Heesla-Mankot under Subdivision Thanagaji under JJM in the jurisdiction of</t>
        </is>
      </c>
      <c r="G199" t="inlineStr">
        <is>
          <t>THANAGAZI</t>
        </is>
      </c>
    </row>
    <row r="200">
      <c r="A200" s="1" t="n">
        <v>198</v>
      </c>
      <c r="B200">
        <f>HYPERLINK("https://eproc.rajasthan.gov.in/nicgep/app?component=%24DirectLink&amp;page=FrontEndViewTender&amp;service=direct&amp;session=T&amp;sp=SUP388rHWYj5eKE1I9kspdw%3D%3D", "Annual Rate Contract For Repairing and Rewinding Work of PumpMotor under PHED Sub Division Sarada")</f>
        <v/>
      </c>
      <c r="C200" t="inlineStr">
        <is>
          <t>PHED-Chief Engineer(HQ),Jaipur||ACE Region Udaipur||SE Cr.Udaipur||EE, Dn. Sahimbar</t>
        </is>
      </c>
      <c r="D200" t="inlineStr">
        <is>
          <t>19-May-2025 06:00 PM</t>
        </is>
      </c>
      <c r="E200" t="inlineStr">
        <is>
          <t>10,00,000</t>
        </is>
      </c>
      <c r="F200" t="inlineStr">
        <is>
          <t>EE PHED SAL 09/2025-26</t>
        </is>
      </c>
      <c r="G200" t="inlineStr">
        <is>
          <t>Salumber</t>
        </is>
      </c>
    </row>
    <row r="201">
      <c r="A201" s="1" t="n">
        <v>199</v>
      </c>
      <c r="B201">
        <f>HYPERLINK("https://eproc.rajasthan.gov.in/nicgep/app?component=%24DirectLink&amp;page=FrontEndViewTender&amp;service=direct&amp;session=T&amp;sp=StT0MzMzSBWtnjEnBOxe8Og%3D%3D", "Rate Contract for deepening of various size of pipe lines under Schemes of Division Sujangarh")</f>
        <v/>
      </c>
      <c r="C201" t="inlineStr">
        <is>
          <t>PHED-Chief Engineer(HQ),Jaipur||ACE Region Bikaner||SE,Cr.Churu||EE,Dn.Sujangarh</t>
        </is>
      </c>
      <c r="D201" t="inlineStr">
        <is>
          <t>19-May-2025 06:00 PM</t>
        </is>
      </c>
      <c r="E201" t="inlineStr">
        <is>
          <t>25,00,000</t>
        </is>
      </c>
      <c r="F201" t="inlineStr">
        <is>
          <t>Rate Contract for deepening of various size of pipe lines under Schemes of Division Sujangarh</t>
        </is>
      </c>
      <c r="G201" t="inlineStr">
        <is>
          <t>Sujangarh</t>
        </is>
      </c>
    </row>
    <row r="202">
      <c r="A202" s="1" t="n">
        <v>200</v>
      </c>
      <c r="B202">
        <f>HYPERLINK("https://eproc.rajasthan.gov.in/nicgep/app?component=%24DirectLink&amp;page=FrontEndViewTender&amp;service=direct&amp;session=T&amp;sp=SwXyoEOp5AExkvmYqR5z0Mg%3D%3D", "Rate Contract for Water Bill Distribution Under Schemes of Division Sujangarh")</f>
        <v/>
      </c>
      <c r="C202" t="inlineStr">
        <is>
          <t>PHED-Chief Engineer(HQ),Jaipur||ACE Region Bikaner||SE,Cr.Churu||EE,Dn.Sujangarh</t>
        </is>
      </c>
      <c r="D202" t="inlineStr">
        <is>
          <t>19-May-2025 06:00 PM</t>
        </is>
      </c>
      <c r="E202" t="inlineStr">
        <is>
          <t>10,00,000</t>
        </is>
      </c>
      <c r="F202" t="inlineStr">
        <is>
          <t>Rate Contract for Water Bill Distribution Under Schemes of Division Sujangarh</t>
        </is>
      </c>
      <c r="G202" t="inlineStr">
        <is>
          <t>Sujangarh</t>
        </is>
      </c>
    </row>
    <row r="203">
      <c r="A203" s="1" t="n">
        <v>201</v>
      </c>
      <c r="B203">
        <f>HYPERLINK("https://eproc.rajasthan.gov.in/nicgep/app?component=%24DirectLink&amp;page=FrontEndViewTender&amp;service=direct&amp;session=T&amp;sp=SCcSWd0yWPG18%2BT84jv9XnA%3D%3D", "Rate Contract for Preparation of Water Bill under Schemes of Division Sujangarh")</f>
        <v/>
      </c>
      <c r="C203" t="inlineStr">
        <is>
          <t>PHED-Chief Engineer(HQ),Jaipur||ACE Region Bikaner||SE,Cr.Churu||EE,Dn.Sujangarh</t>
        </is>
      </c>
      <c r="D203" t="inlineStr">
        <is>
          <t>19-May-2025 06:00 PM</t>
        </is>
      </c>
      <c r="E203" t="inlineStr">
        <is>
          <t>10,00,000</t>
        </is>
      </c>
      <c r="F203" t="inlineStr">
        <is>
          <t>Rate Contract for Preparation of Water Bill under Schemes of Division Sujangarh</t>
        </is>
      </c>
      <c r="G203" t="inlineStr">
        <is>
          <t>Sujangarh</t>
        </is>
      </c>
    </row>
    <row r="204">
      <c r="A204" s="1" t="n">
        <v>202</v>
      </c>
      <c r="B204">
        <f>HYPERLINK("https://eproc.rajasthan.gov.in/nicgep/app?component=%24DirectLink&amp;page=FrontEndViewTender&amp;service=direct&amp;session=T&amp;sp=StIvmBv5HXdK011lgSbfpkA%3D%3D", "Rate Contract for Road Repairing Under Schemes of Division Sujangarh")</f>
        <v/>
      </c>
      <c r="C204" t="inlineStr">
        <is>
          <t>PHED-Chief Engineer(HQ),Jaipur||ACE Region Bikaner||SE,Cr.Churu||EE,Dn.Sujangarh</t>
        </is>
      </c>
      <c r="D204" t="inlineStr">
        <is>
          <t>19-May-2025 06:00 PM</t>
        </is>
      </c>
      <c r="E204" t="inlineStr">
        <is>
          <t>10,00,000</t>
        </is>
      </c>
      <c r="F204" t="inlineStr">
        <is>
          <t>Rate Contract for Road Repairing Under Schemes of Division Sujangarh</t>
        </is>
      </c>
      <c r="G204" t="inlineStr">
        <is>
          <t>Sujangarh</t>
        </is>
      </c>
    </row>
    <row r="205">
      <c r="A205" s="1" t="n">
        <v>203</v>
      </c>
      <c r="B205">
        <f>HYPERLINK("https://eproc.rajasthan.gov.in/nicgep/app?component=%24DirectLink&amp;page=FrontEndViewTender&amp;service=direct&amp;session=T&amp;sp=SOvQTv0q64Av8IFKM6jW4Sg%3D%3D", "Rate Contract for Repairing of Electric panel and Starter Under Schemes of Division Sujangarh")</f>
        <v/>
      </c>
      <c r="C205" t="inlineStr">
        <is>
          <t>PHED-Chief Engineer(HQ),Jaipur||ACE Region Bikaner||SE,Cr.Churu||EE,Dn.Sujangarh</t>
        </is>
      </c>
      <c r="D205" t="inlineStr">
        <is>
          <t>19-May-2025 06:00 PM</t>
        </is>
      </c>
      <c r="E205" t="inlineStr">
        <is>
          <t>20,00,000</t>
        </is>
      </c>
      <c r="F205" t="inlineStr">
        <is>
          <t>Rate Contract for Repairing of Electric panel and Starter Under Schemes of Division Sujangarh</t>
        </is>
      </c>
      <c r="G205" t="inlineStr">
        <is>
          <t>Sujangarh</t>
        </is>
      </c>
    </row>
    <row r="206">
      <c r="A206" s="1" t="n">
        <v>204</v>
      </c>
      <c r="B206">
        <f>HYPERLINK("https://eproc.rajasthan.gov.in/nicgep/app?component=%24DirectLink&amp;page=FrontEndViewTender&amp;service=direct&amp;session=T&amp;sp=SZ2fKmw6LOs6xFpQI1Ur7EQ%3D%3D", "ARC for pipe line")</f>
        <v/>
      </c>
      <c r="C206" t="inlineStr">
        <is>
          <t>PHED-Chief Engineer(HQ),Jaipur||ACE Region Kota</t>
        </is>
      </c>
      <c r="D206" t="inlineStr">
        <is>
          <t>19-May-2025 06:00 PM</t>
        </is>
      </c>
      <c r="E206" t="inlineStr">
        <is>
          <t>1,00,00,000</t>
        </is>
      </c>
      <c r="F206" t="inlineStr">
        <is>
          <t>Annual Rate Contract for Providing, Laying, Jointing, testing and commissioning of pipe line and allied works at various schemes under jurisdiction of Division JHALAWAR, DISTT. JHALAWAR of Division Bhawani Mandi</t>
        </is>
      </c>
      <c r="G206" t="inlineStr">
        <is>
          <t>JHALAWAR</t>
        </is>
      </c>
    </row>
    <row r="207">
      <c r="A207" s="1" t="n">
        <v>205</v>
      </c>
      <c r="B207">
        <f>HYPERLINK("https://eproc.rajasthan.gov.in/nicgep/app?component=%24DirectLink&amp;page=FrontEndViewTender&amp;service=direct&amp;session=T&amp;sp=SlXxEWFzVNUt%2BvCFkSweUfg%3D%3D", "ARC for pipe line")</f>
        <v/>
      </c>
      <c r="C207" t="inlineStr">
        <is>
          <t>PHED-Chief Engineer(HQ),Jaipur||ACE Region Kota</t>
        </is>
      </c>
      <c r="D207" t="inlineStr">
        <is>
          <t>19-May-2025 06:00 PM</t>
        </is>
      </c>
      <c r="E207" t="inlineStr">
        <is>
          <t>1,00,00,000</t>
        </is>
      </c>
      <c r="F207" t="inlineStr">
        <is>
          <t>Annual Rate Contract for Providing, Laying, Jointing, testing and commissioning of pipe line and allied works at various schemes under jurisdiction of Division JHALAWAR</t>
        </is>
      </c>
      <c r="G207" t="inlineStr">
        <is>
          <t>JHALAWAR</t>
        </is>
      </c>
    </row>
    <row r="208">
      <c r="A208" s="1" t="n">
        <v>206</v>
      </c>
      <c r="B208">
        <f>HYPERLINK("https://eproc.rajasthan.gov.in/nicgep/app?component=%24DirectLink&amp;page=FrontEndViewTender&amp;service=direct&amp;session=T&amp;sp=SqmjJEqCw847xOtmnt6Ez0Q%3D%3D", "Work of construction of Sources rising main pipelines RCC reservoir")</f>
        <v/>
      </c>
      <c r="C208" t="inlineStr">
        <is>
          <t>PHED-Chief Engineer(HQ),Jaipur||ACE Region Jaipur</t>
        </is>
      </c>
      <c r="D208" t="inlineStr">
        <is>
          <t>22-May-2025 06:00 PM</t>
        </is>
      </c>
      <c r="E208" t="inlineStr">
        <is>
          <t>2,24,62,000</t>
        </is>
      </c>
      <c r="F208" t="inlineStr">
        <is>
          <t>Work of construction of Sources rising main pipelines RCC reservoir internal village distribution pipeline and FHTC including one year Defect Liability period of Village Kaysa under Subdivision Neemrana under JJM in the jurisdiction of PHED</t>
        </is>
      </c>
      <c r="G208" t="inlineStr">
        <is>
          <t>BEHROR</t>
        </is>
      </c>
    </row>
    <row r="209">
      <c r="A209" s="1" t="n">
        <v>207</v>
      </c>
      <c r="B209">
        <f>HYPERLINK("https://eproc.rajasthan.gov.in/nicgep/app?component=%24DirectLink&amp;page=FrontEndViewTender&amp;service=direct&amp;session=T&amp;sp=SUZDt7W7AiBMLmoUSX6ginw%3D%3D", "Work of construction of Sources rising main pipelines RCC reservoir")</f>
        <v/>
      </c>
      <c r="C209" t="inlineStr">
        <is>
          <t>PHED-Chief Engineer(HQ),Jaipur||ACE Region Jaipur</t>
        </is>
      </c>
      <c r="D209" t="inlineStr">
        <is>
          <t>22-May-2025 06:00 PM</t>
        </is>
      </c>
      <c r="E209" t="inlineStr">
        <is>
          <t>1,27,01,000</t>
        </is>
      </c>
      <c r="F209" t="inlineStr">
        <is>
          <t>Work of construction of Sources rising main pipelines RCC reservoir internal village distribution pipeline and FHTC including one year Defect Liability period of Village Bhagwari Kalan under Subdivision Behror under JJM in the jurisdiction of PHED</t>
        </is>
      </c>
      <c r="G209" t="inlineStr">
        <is>
          <t>BEHROR</t>
        </is>
      </c>
    </row>
    <row r="210">
      <c r="A210" s="1" t="n">
        <v>208</v>
      </c>
      <c r="B210">
        <f>HYPERLINK("https://eproc.rajasthan.gov.in/nicgep/app?component=%24DirectLink&amp;page=FrontEndViewTender&amp;service=direct&amp;session=T&amp;sp=Sep9NdfMkdlIIyqbvhrMj2w%3D%3D", "Work of construction of Sources rising main pipelines RCC reservoir")</f>
        <v/>
      </c>
      <c r="C210" t="inlineStr">
        <is>
          <t>PHED-Chief Engineer(HQ),Jaipur||ACE Region Jaipur</t>
        </is>
      </c>
      <c r="D210" t="inlineStr">
        <is>
          <t>22-May-2025 06:00 PM</t>
        </is>
      </c>
      <c r="E210" t="inlineStr">
        <is>
          <t>1,82,39,000</t>
        </is>
      </c>
      <c r="F210" t="inlineStr">
        <is>
          <t>Work of construction of Sources rising main pipelines RCC reservoir internal village distribution pipeline and FHTC including one year Defect Liability period of Village Hamjapur under Subdivision Behror under JJM in the jurisdiction of PHED</t>
        </is>
      </c>
      <c r="G210" t="inlineStr">
        <is>
          <t>BEHROR</t>
        </is>
      </c>
    </row>
    <row r="211">
      <c r="A211" s="1" t="n">
        <v>209</v>
      </c>
      <c r="B211">
        <f>HYPERLINK("https://eproc.rajasthan.gov.in/nicgep/app?component=%24DirectLink&amp;page=FrontEndViewTender&amp;service=direct&amp;session=T&amp;sp=SHwtAwZftEsBmittzSQNe4Q%3D%3D", "Work of construction of Sources, rising main pipelines, ESRs, CWR internal village distribution pipeline and FHTC including one year Defect Liability period of Village Machri under Panchayat Samiti Umrain under JJM")</f>
        <v/>
      </c>
      <c r="C211" t="inlineStr">
        <is>
          <t>PHED-Chief Engineer(HQ),Jaipur||ACE Region NCR Alwar</t>
        </is>
      </c>
      <c r="D211" t="inlineStr">
        <is>
          <t>22-May-2025 05:00 PM</t>
        </is>
      </c>
      <c r="E211" t="inlineStr">
        <is>
          <t>1,45,64,000</t>
        </is>
      </c>
      <c r="F211" t="inlineStr">
        <is>
          <t>Work of construction of Sources, rising main pipelines, ESRs, CWR internal village distribution pipeline and FHTC including one year Defect Liability period of Village Machri under Panchayat Samiti Umrain under JJM</t>
        </is>
      </c>
      <c r="G211" t="inlineStr">
        <is>
          <t>umrain</t>
        </is>
      </c>
    </row>
    <row r="212">
      <c r="A212" s="1" t="n">
        <v>210</v>
      </c>
      <c r="B212">
        <f>HYPERLINK("https://eproc.rajasthan.gov.in/nicgep/app?component=%24DirectLink&amp;page=FrontEndViewTender&amp;service=direct&amp;session=T&amp;sp=S5%2FE9m%2FtGtCKhQRQUDMLpYQ%3D%3D", "Work of construction of Sources, rising main pipelines, ESRs, CWR internal village distribution pipeline and FHTC including one year Defect Liability period of Village Baladehra-Rundh Madar under Panchayat Samiti Umrain under JJM")</f>
        <v/>
      </c>
      <c r="C212" t="inlineStr">
        <is>
          <t>PHED-Chief Engineer(HQ),Jaipur||ACE Region NCR Alwar</t>
        </is>
      </c>
      <c r="D212" t="inlineStr">
        <is>
          <t>22-May-2025 05:00 PM</t>
        </is>
      </c>
      <c r="E212" t="inlineStr">
        <is>
          <t>1,74,21,000</t>
        </is>
      </c>
      <c r="F212" t="inlineStr">
        <is>
          <t>Work of construction of Sources, rising main pipelines, ESRs, CWR internal village distribution pipeline and FHTC including one year Defect Liability period of Village Baladehra-Rundh Madar under Panchayat Samiti Umrain under JJM</t>
        </is>
      </c>
      <c r="G212" t="inlineStr">
        <is>
          <t>umrain</t>
        </is>
      </c>
    </row>
    <row r="213">
      <c r="A213" s="1" t="n">
        <v>211</v>
      </c>
      <c r="B213">
        <f>HYPERLINK("https://eproc.rajasthan.gov.in/nicgep/app?component=%24DirectLink&amp;page=FrontEndViewTender&amp;service=direct&amp;session=T&amp;sp=Sx1I1urNgbenxawCZkouFdg%3D%3D", "Work of construction of Sources, rising main pipelines, CWR, OHSR, Pump house, internal village distribution pipeline and FHTC including one year DLP of Rajpur Chhota under Sub division Reni under JJM in the jurisdiction of PHED Division Rajgarh")</f>
        <v/>
      </c>
      <c r="C213" t="inlineStr">
        <is>
          <t>PHED-Chief Engineer(HQ),Jaipur||ACE Region Jaipur||SE Cr. Alwar</t>
        </is>
      </c>
      <c r="D213" t="inlineStr">
        <is>
          <t>19-May-2025 06:00 PM</t>
        </is>
      </c>
      <c r="E213" t="inlineStr">
        <is>
          <t>2,00,82,000</t>
        </is>
      </c>
      <c r="F213" t="inlineStr">
        <is>
          <t>Work of construction of Sources, rising main pipelines, CWR, OHSR, Pump house, internal village distribution pipeline and FHTC including one year DLP of Rajpur Chhota under Sub division Reni under JJM in the jurisdiction of PHED Division Rajgarh</t>
        </is>
      </c>
      <c r="G213" t="inlineStr">
        <is>
          <t>Reni</t>
        </is>
      </c>
    </row>
    <row r="214">
      <c r="A214" s="1" t="n">
        <v>212</v>
      </c>
      <c r="B214">
        <f>HYPERLINK("https://eproc.rajasthan.gov.in/nicgep/app?component=%24DirectLink&amp;page=FrontEndViewTender&amp;service=direct&amp;session=T&amp;sp=SEvvIufJAQc%2FQojfT8YI6Rg%3D%3D", "Work of construction of Sources, rising main pipelines, CWR, OHSR, PH, internal village distribution pipeline and FHTC including one year DLP of Village Palwa under Sub div Rajgarh under JJM in the jurisdiction of PHED Division Rajgarh")</f>
        <v/>
      </c>
      <c r="C214" t="inlineStr">
        <is>
          <t>PHED-Chief Engineer(HQ),Jaipur||ACE Region Jaipur||SE Cr. Alwar</t>
        </is>
      </c>
      <c r="D214" t="inlineStr">
        <is>
          <t>19-May-2025 06:00 PM</t>
        </is>
      </c>
      <c r="E214" t="inlineStr">
        <is>
          <t>2,42,83,000</t>
        </is>
      </c>
      <c r="F214" t="inlineStr">
        <is>
          <t>Work of construction of Sources, rising main pipelines, CWR, OHSR, PH, internal village distribution pipeline and FHTC including one year DLP of Village Palwa under Sub div Rajgarh under JJM in the jurisdiction of PHED Division Rajgarh</t>
        </is>
      </c>
      <c r="G214" t="inlineStr">
        <is>
          <t>Rajgarh</t>
        </is>
      </c>
    </row>
    <row r="215">
      <c r="A215" s="1" t="n">
        <v>213</v>
      </c>
      <c r="B215">
        <f>HYPERLINK("https://eproc.rajasthan.gov.in/nicgep/app?component=%24DirectLink&amp;page=FrontEndViewTender&amp;service=direct&amp;session=T&amp;sp=SXqova7jkOX99QpF4NGaVQQ%3D%3D", "Work of construction of Sources, rising main pipelines, CWR, OHSR, PH, internal village distribution pipeline and FHTC including one year DLP of Village Toda Jaisinghpura under Sub div Rajgarh under JJM in the jurisdiction of PHED Division Rajgarh")</f>
        <v/>
      </c>
      <c r="C215" t="inlineStr">
        <is>
          <t>PHED-Chief Engineer(HQ),Jaipur||ACE Region Jaipur||SE Cr. Alwar</t>
        </is>
      </c>
      <c r="D215" t="inlineStr">
        <is>
          <t>19-May-2025 06:00 PM</t>
        </is>
      </c>
      <c r="E215" t="inlineStr">
        <is>
          <t>2,11,40,000</t>
        </is>
      </c>
      <c r="F215" t="inlineStr">
        <is>
          <t>Work of construction of Sources, rising main pipelines, CWR, OHSR, PH, internal village distribution pipeline and FHTC including one year DLP of Village Toda Jaisinghpura under Sub div Rajgarh under JJM in the jurisdiction of PHED Division Rajgarh</t>
        </is>
      </c>
      <c r="G215" t="inlineStr">
        <is>
          <t>Rajgarh</t>
        </is>
      </c>
    </row>
    <row r="216">
      <c r="A216" s="1" t="n">
        <v>214</v>
      </c>
      <c r="B216">
        <f>HYPERLINK("https://eproc.rajasthan.gov.in/nicgep/app?component=%24DirectLink&amp;page=FrontEndViewTender&amp;service=direct&amp;session=T&amp;sp=SHm9UzIxDyag7N3WyDxl54A%3D%3D", "Work of construction of Sources, rising main pipelines, CWR, OHSR,GLSR, Pump house, internal village distribution pipeline and FHTC including one year DLP of Village Bairer under Sub division Reni under JJM in the jurisdiction of PHED Div Rajgarh")</f>
        <v/>
      </c>
      <c r="C216" t="inlineStr">
        <is>
          <t>PHED-Chief Engineer(HQ),Jaipur||ACE Region Jaipur||SE Cr. Alwar</t>
        </is>
      </c>
      <c r="D216" t="inlineStr">
        <is>
          <t>19-May-2025 06:00 PM</t>
        </is>
      </c>
      <c r="E216" t="inlineStr">
        <is>
          <t>2,05,02,000</t>
        </is>
      </c>
      <c r="F216" t="inlineStr">
        <is>
          <t>Work of construction of Sources, rising main pipelines, CWR, OHSR,GLSR, Pump house, internal village distribution pipeline and FHTC including one year DLP of Village Bairer under Sub division Reni under JJM in the jurisdiction of PHED Div Rajgarh</t>
        </is>
      </c>
      <c r="G216" t="inlineStr">
        <is>
          <t>Reni</t>
        </is>
      </c>
    </row>
    <row r="217">
      <c r="A217" s="1" t="n">
        <v>215</v>
      </c>
      <c r="B217">
        <f>HYPERLINK("https://eproc.rajasthan.gov.in/nicgep/app?component=%24DirectLink&amp;page=FrontEndViewTender&amp;service=direct&amp;session=T&amp;sp=Sx18FcVffNvg5xh%2BpPfP1hw%3D%3D", "03/2025-26")</f>
        <v/>
      </c>
      <c r="C217" t="inlineStr">
        <is>
          <t>PHED-Chief Engineer(HQ),Jaipur||ACE Region Ajmer</t>
        </is>
      </c>
      <c r="D217" t="inlineStr">
        <is>
          <t>20-May-2025 06:00 PM</t>
        </is>
      </c>
      <c r="E217" t="inlineStr">
        <is>
          <t>6,28,37,000</t>
        </is>
      </c>
      <c r="F217" t="inlineStr">
        <is>
          <t>Work of Conversion from Regional Pump and Tank into Piped WSS Mehandipur-Gahroli to provide FHTCs including one year Defect Liability period under JJM in the jurisdiction of PHED Project Division Karauli HQ Todabhim Distt. Karauli.</t>
        </is>
      </c>
      <c r="G217" t="inlineStr">
        <is>
          <t>Mehnadipur-Gahroli</t>
        </is>
      </c>
    </row>
    <row r="218">
      <c r="A218" s="1" t="n">
        <v>216</v>
      </c>
      <c r="B218">
        <f>HYPERLINK("https://eproc.rajasthan.gov.in/nicgep/app?component=%24DirectLink&amp;page=FrontEndViewTender&amp;service=direct&amp;session=T&amp;sp=SUXCPMeqGCNbhmfb%2BHkyvGg%3D%3D", "04/2025-26")</f>
        <v/>
      </c>
      <c r="C218" t="inlineStr">
        <is>
          <t>PHED-Chief Engineer(HQ),Jaipur||ACE Region Ajmer</t>
        </is>
      </c>
      <c r="D218" t="inlineStr">
        <is>
          <t>20-May-2025 06:00 PM</t>
        </is>
      </c>
      <c r="E218" t="inlineStr">
        <is>
          <t>5,05,09,000</t>
        </is>
      </c>
      <c r="F218" t="inlineStr">
        <is>
          <t>Work of Conversion from P and T into piped WSS Tighriya- Ranmalpada to provide FHTCs including one year Defect Liability period under Tehsil Hindaun under JJM in the jurisdiction of PHED Division Hindaun City Distt. Karauli</t>
        </is>
      </c>
      <c r="G218" t="inlineStr">
        <is>
          <t>Tighriya- Ranmalpada</t>
        </is>
      </c>
    </row>
    <row r="219">
      <c r="A219" s="1" t="n">
        <v>217</v>
      </c>
      <c r="B219">
        <f>HYPERLINK("https://eproc.rajasthan.gov.in/nicgep/app?component=%24DirectLink&amp;page=FrontEndViewTender&amp;service=direct&amp;session=T&amp;sp=SfXIN7cerkPLviAtc8glaKw%3D%3D", "05/2025-26")</f>
        <v/>
      </c>
      <c r="C219" t="inlineStr">
        <is>
          <t>PHED-Chief Engineer(HQ),Jaipur||ACE Region Ajmer</t>
        </is>
      </c>
      <c r="D219" t="inlineStr">
        <is>
          <t>20-May-2025 06:00 PM</t>
        </is>
      </c>
      <c r="E219" t="inlineStr">
        <is>
          <t>3,09,17,000</t>
        </is>
      </c>
      <c r="F219" t="inlineStr">
        <is>
          <t>Work of Conversion of Hand pump into piped WSS Garhi ka gaon to provide FHTCs including one year Defect Liability period under Tehsil Mandrayal under JJM in the jurisdiction of PHED Division Karauli Distt. Karauli</t>
        </is>
      </c>
      <c r="G219" t="inlineStr">
        <is>
          <t>Garhi Ka Gaon</t>
        </is>
      </c>
    </row>
    <row r="220">
      <c r="A220" s="1" t="n">
        <v>218</v>
      </c>
      <c r="B220">
        <f>HYPERLINK("https://eproc.rajasthan.gov.in/nicgep/app?component=%24DirectLink&amp;page=FrontEndViewTender&amp;service=direct&amp;session=T&amp;sp=SNWc940DK0ZyXCBMm2V7q9g%3D%3D", "02/2025-26")</f>
        <v/>
      </c>
      <c r="C220" t="inlineStr">
        <is>
          <t>PHED-Chief Engineer(HQ),Jaipur||ACE Region Ajmer</t>
        </is>
      </c>
      <c r="D220" t="inlineStr">
        <is>
          <t>20-May-2025 06:00 PM</t>
        </is>
      </c>
      <c r="E220" t="inlineStr">
        <is>
          <t>4,83,44,000</t>
        </is>
      </c>
      <c r="F220" t="inlineStr">
        <is>
          <t>Work of Conversion from Regional Pump and Tank into Piped WSS Kariri-Gazipur to provide FHTCs including one year Defect Liability period under JJM in the jurisdiction of PHED Project Division Karauli HQ Todabhim Distt. Karauli</t>
        </is>
      </c>
      <c r="G220" t="inlineStr">
        <is>
          <t>Kariri Gazipur</t>
        </is>
      </c>
    </row>
    <row r="221">
      <c r="A221" s="1" t="n">
        <v>219</v>
      </c>
      <c r="B221">
        <f>HYPERLINK("https://eproc.rajasthan.gov.in/nicgep/app?component=%24DirectLink&amp;page=FrontEndViewTender&amp;service=direct&amp;session=T&amp;sp=S6Bv3r3m1f0yTXP6mwc7qmw%3D%3D", "01/2025-26 Mahaswa")</f>
        <v/>
      </c>
      <c r="C221" t="inlineStr">
        <is>
          <t>PHED-Chief Engineer(HQ),Jaipur||ACE Region Ajmer</t>
        </is>
      </c>
      <c r="D221" t="inlineStr">
        <is>
          <t>20-May-2025 06:00 PM</t>
        </is>
      </c>
      <c r="E221" t="inlineStr">
        <is>
          <t>6,36,23,000</t>
        </is>
      </c>
      <c r="F221" t="inlineStr">
        <is>
          <t>Work of Reorganization of RWSS Mahaswa to provide FHTCs including one year Defect Liability period under JJM in the jurisdiction of PHED Project Division Karauli HQ Todabhim Distt. Karauli</t>
        </is>
      </c>
      <c r="G221" t="inlineStr">
        <is>
          <t>Mahaswa</t>
        </is>
      </c>
    </row>
    <row r="222">
      <c r="A222" s="1" t="n">
        <v>220</v>
      </c>
      <c r="B222">
        <f>HYPERLINK("https://eproc.rajasthan.gov.in/nicgep/app?component=%24DirectLink&amp;page=FrontEndViewTender&amp;service=direct&amp;session=T&amp;sp=SIMhl8oHUyR1rULod%2BjdDqw%3D%3D", "Annual Rate Contract for Construction and Commissioning of Three Phase Tube Well under Sub Division Rural I Nokha, District Bikaner with 5 Year OandM including 2 Year Defect Liability Period")</f>
        <v/>
      </c>
      <c r="C222" t="inlineStr">
        <is>
          <t>PHED-Chief Engineer(HQ),Jaipur||ACE Region Bikaner||SE, Cr.Bikaner</t>
        </is>
      </c>
      <c r="D222" t="inlineStr">
        <is>
          <t>19-May-2025 06:00 PM</t>
        </is>
      </c>
      <c r="E222" t="inlineStr">
        <is>
          <t>2,50,00,000</t>
        </is>
      </c>
      <c r="F222" t="inlineStr">
        <is>
          <t>Annual Rate Contract for Construction and Commissioning of Three Phase Tube Well under Sub Division Rural I Nokha, District Bikaner with 5 Year OandM including 2 Year Defect Liability Period</t>
        </is>
      </c>
      <c r="G222" t="inlineStr">
        <is>
          <t>Bikaner</t>
        </is>
      </c>
    </row>
    <row r="223">
      <c r="A223" s="1" t="n">
        <v>221</v>
      </c>
      <c r="B223">
        <f>HYPERLINK("https://eproc.rajasthan.gov.in/nicgep/app?component=%24DirectLink&amp;page=FrontEndViewTender&amp;service=direct&amp;session=T&amp;sp=SKp%2FFNJAyDxxuRd9WbpDdhg%3D%3D", "Work for Shifting Of Utility Of Road Birdhwal-Pugal-Bajju Between Km 49.200 To Km 107.200 For Improvement Of Road From IW To National Highway Double Lane Specification")</f>
        <v/>
      </c>
      <c r="C223" t="inlineStr">
        <is>
          <t>PHED-Chief Engineer(HQ),Jaipur||ACE Region Bikaner||SE, Cr.Bikaner</t>
        </is>
      </c>
      <c r="D223" t="inlineStr">
        <is>
          <t>19-May-2025 06:00 PM</t>
        </is>
      </c>
      <c r="E223" t="inlineStr">
        <is>
          <t>1,78,47,000</t>
        </is>
      </c>
      <c r="F223" t="inlineStr">
        <is>
          <t>Work for Shifting Of Utility Of Road Birdhwal-Pugal-Bajju Between Km 49.200 To Km 107.200 For Improvement Of Road From IW To National Highway Double Lane Specification</t>
        </is>
      </c>
      <c r="G223" t="inlineStr">
        <is>
          <t>Bikaner</t>
        </is>
      </c>
    </row>
    <row r="224">
      <c r="A224" s="1" t="n">
        <v>222</v>
      </c>
      <c r="B224">
        <f>HYPERLINK("https://eproc.rajasthan.gov.in/nicgep/app?component=%24DirectLink&amp;page=FrontEndViewTender&amp;service=direct&amp;session=T&amp;sp=SuISixSypxfIe%2FSs4L9hOKg%3D%3D", "Providing Drinking Water to Bhawannimandi and Sunel town and 14 villages of Piplad Water Supply Scheme from Rajgarh dam, including 10 Years OnM after 1 year DLP, District Jhalawar.")</f>
        <v/>
      </c>
      <c r="C224" t="inlineStr">
        <is>
          <t>PHED-Chief Engineer(HQ),Jaipur||ACE Region Ajmer</t>
        </is>
      </c>
      <c r="D224" t="inlineStr">
        <is>
          <t>19-May-2025 06:00 PM</t>
        </is>
      </c>
      <c r="E224" t="inlineStr">
        <is>
          <t>17,59,20,000</t>
        </is>
      </c>
      <c r="F224" t="inlineStr">
        <is>
          <t>Providing Drinking Water to Bhawannimandi and Sunel town and 14 villages of Piplad Water Supply Scheme from Rajgarh dam, including 10 Years OnM after 1 year DLP, District Jhalawar.</t>
        </is>
      </c>
      <c r="G224" t="inlineStr">
        <is>
          <t>Jhalawar</t>
        </is>
      </c>
    </row>
    <row r="225">
      <c r="A225" s="1" t="n">
        <v>223</v>
      </c>
      <c r="B225">
        <f>HYPERLINK("https://eproc.rajasthan.gov.in/nicgep/app?component=%24DirectLink&amp;page=FrontEndViewTender&amp;service=direct&amp;session=T&amp;sp=S6BHoxyzu86qkClWeDGFJUw%3D%3D", "Work of Aug. of RWSS KOLUKHERI KALAN, Gram Panchayat KOLUKHERI KALAN Panchayat Samiti M.thana of Sub division Aklera to provide FHTC including one year Defect Liability period under JJM in the jurisdiction of PHED Division Jhalawar District Jhalawar")</f>
        <v/>
      </c>
      <c r="C225" t="inlineStr">
        <is>
          <t>PHED-Chief Engineer(HQ),Jaipur||ACE Region Kota</t>
        </is>
      </c>
      <c r="D225" t="inlineStr">
        <is>
          <t>19-May-2025 06:00 PM</t>
        </is>
      </c>
      <c r="E225" t="inlineStr">
        <is>
          <t>1,05,40,000</t>
        </is>
      </c>
      <c r="F225" t="inlineStr">
        <is>
          <t>Work of Aug. of RWSS KOLUKHERI KALAN, Gram Panchayat KOLUKHERI KALAN Panchayat Samiti M.thana of Sub division Aklera to provide FHTC including one year Defect Liability period under JJM in the jurisdiction of PHED Division Jhalawar District Jhalawar</t>
        </is>
      </c>
      <c r="G225" t="inlineStr">
        <is>
          <t>JHALAWAR</t>
        </is>
      </c>
    </row>
    <row r="226">
      <c r="A226" s="1" t="n">
        <v>224</v>
      </c>
      <c r="B226">
        <f>HYPERLINK("https://eproc.rajasthan.gov.in/nicgep/app?component=%24DirectLink&amp;page=FrontEndViewTender&amp;service=direct&amp;session=T&amp;sp=SwneAEuAscqlOjmnA8Ufppg%3D%3D", "Work of Aug of RWSS SARDA, Gram Panchayat SARDA Panchayat Samiti Aklera of Sub division Aklera to provide FHTC including one year Defect Liability period under JJM in the jurisdiction of PHED Division Jhalawar District Jhalawar on risk and cost")</f>
        <v/>
      </c>
      <c r="C226" t="inlineStr">
        <is>
          <t>PHED-Chief Engineer(HQ),Jaipur||ACE Region Kota</t>
        </is>
      </c>
      <c r="D226" t="inlineStr">
        <is>
          <t>19-May-2025 06:00 PM</t>
        </is>
      </c>
      <c r="E226" t="inlineStr">
        <is>
          <t>1,34,39,000</t>
        </is>
      </c>
      <c r="F226" t="inlineStr">
        <is>
          <t>Work of Aug of RWSS SARDA, Gram Panchayat SARDA Panchayat Samiti Aklera of Sub division Aklera to provide FHTC including one year Defect Liability period under JJM in the jurisdiction of PHED Division Jhalawar District Jhalawar on risk and cost</t>
        </is>
      </c>
      <c r="G226" t="inlineStr">
        <is>
          <t>JHALAWAR</t>
        </is>
      </c>
    </row>
    <row r="227">
      <c r="A227" s="1" t="n">
        <v>225</v>
      </c>
      <c r="B227">
        <f>HYPERLINK("https://eproc.rajasthan.gov.in/nicgep/app?component=%24DirectLink&amp;page=FrontEndViewTender&amp;service=direct&amp;session=T&amp;sp=SMK2ew8LzG8tSS2vsUFBcTg%3D%3D", "Drilling of bore hole by DTH Combination rig of 200 mm dia supply and installation of energy efficient Submersible Pump sets Panels Cables and other allied works including comm and testing of TW in Sub Div Malpura under jurisdiction Malpura")</f>
        <v/>
      </c>
      <c r="C227" t="inlineStr">
        <is>
          <t>PHED-Chief Engineer(HQ),Jaipur||ACE Region Ajmer||SE Cr. Ajmer</t>
        </is>
      </c>
      <c r="D227" t="inlineStr">
        <is>
          <t>20-May-2025 06:00 PM</t>
        </is>
      </c>
      <c r="E227" t="inlineStr">
        <is>
          <t>2,50,00,000</t>
        </is>
      </c>
      <c r="F227" t="inlineStr">
        <is>
          <t>Drilling of bore hole by DTH Combination rig of 200 mm dia supply and installation of energy efficient Submersible Pump sets Panels Cables and other allied works including comm and testing of TW in Sub Div Malpura under jurisdiction Malpura</t>
        </is>
      </c>
      <c r="G227" t="inlineStr">
        <is>
          <t>Malpura</t>
        </is>
      </c>
    </row>
    <row r="228">
      <c r="A228" s="1" t="n">
        <v>226</v>
      </c>
      <c r="B228">
        <f>HYPERLINK("https://eproc.rajasthan.gov.in/nicgep/app?component=%24DirectLink&amp;page=FrontEndViewTender&amp;service=direct&amp;session=T&amp;sp=SYOW8ldJUds9eiOceeeelAQ%3D%3D", "ANNUAL RATE CONTRACT FOR UPLIFTING AND PLATEFORM REPAIRING OF HANDPUMP UNDER DIVISION MALPURA")</f>
        <v/>
      </c>
      <c r="C228" t="inlineStr">
        <is>
          <t>PHED-Chief Engineer(HQ),Jaipur||ACE Region Ajmer||SE Cr. Ajmer</t>
        </is>
      </c>
      <c r="D228" t="inlineStr">
        <is>
          <t>20-May-2025 06:00 PM</t>
        </is>
      </c>
      <c r="E228" t="inlineStr">
        <is>
          <t>2,50,00,000</t>
        </is>
      </c>
      <c r="F228" t="inlineStr">
        <is>
          <t>ANNUAL RATE CONTRACT FOR UPLIFTING AND PLATEFORM REPAIRING OF HANDPUMP UNDER DIVISION MALPURA</t>
        </is>
      </c>
      <c r="G228" t="inlineStr">
        <is>
          <t>Malpura</t>
        </is>
      </c>
    </row>
    <row r="229">
      <c r="A229" s="1" t="n">
        <v>227</v>
      </c>
      <c r="B229">
        <f>HYPERLINK("https://eproc.rajasthan.gov.in/nicgep/app?component=%24DirectLink&amp;page=FrontEndViewTender&amp;service=direct&amp;session=T&amp;sp=SnpEAiJ5OyQ68Y8ZjmERlfA%3D%3D", "ANNUAL RATE CONTRACT FOR DEEPENING AND FLUSHING OF TUBEWELL AND HANDPUMP UNDER DIVISION MALPURA")</f>
        <v/>
      </c>
      <c r="C229" t="inlineStr">
        <is>
          <t>PHED-Chief Engineer(HQ),Jaipur||ACE Region Ajmer||SE Cr. Ajmer</t>
        </is>
      </c>
      <c r="D229" t="inlineStr">
        <is>
          <t>20-May-2025 06:00 PM</t>
        </is>
      </c>
      <c r="E229" t="inlineStr">
        <is>
          <t>2,50,00,000</t>
        </is>
      </c>
      <c r="F229" t="inlineStr">
        <is>
          <t>ANNUAL RATE CONTRACT FOR DEEPENING AND FLUSHING OF TUBEWELL AND HANDPUMP UNDER DIVISION MALPURA</t>
        </is>
      </c>
      <c r="G229" t="inlineStr">
        <is>
          <t>Malpura</t>
        </is>
      </c>
    </row>
    <row r="230">
      <c r="A230" s="1" t="n">
        <v>228</v>
      </c>
      <c r="B230">
        <f>HYPERLINK("https://eproc.rajasthan.gov.in/nicgep/app?component=%24DirectLink&amp;page=FrontEndViewTender&amp;service=direct&amp;session=T&amp;sp=SOnU8HqYmI9gT%2BUpeqYQT5g%3D%3D", "Drilling of bore hole by DTH Combination rig of 200 mm dia supply and installation of energy efficient Submersible Pump sets Panels Cables and other allied works including comm and testing of TW in Sub Division Todaraisingh under Malpura")</f>
        <v/>
      </c>
      <c r="C230" t="inlineStr">
        <is>
          <t>PHED-Chief Engineer(HQ),Jaipur||ACE Region Ajmer||SE Cr. Ajmer</t>
        </is>
      </c>
      <c r="D230" t="inlineStr">
        <is>
          <t>20-May-2025 06:00 PM</t>
        </is>
      </c>
      <c r="E230" t="inlineStr">
        <is>
          <t>2,50,00,000</t>
        </is>
      </c>
      <c r="F230" t="inlineStr">
        <is>
          <t>Drilling of bore hole by DTH Combination rig of 200 mm dia supply and installation of energy efficient Submersible Pump sets Panels Cables and other allied works including comm and testing of TW in Sub Division Todaraisingh under Malpura</t>
        </is>
      </c>
      <c r="G230" t="inlineStr">
        <is>
          <t>Todaraisingh</t>
        </is>
      </c>
    </row>
    <row r="231">
      <c r="A231" s="1" t="n">
        <v>229</v>
      </c>
      <c r="B231">
        <f>HYPERLINK("https://eproc.rajasthan.gov.in/nicgep/app?component=%24DirectLink&amp;page=FrontEndViewTender&amp;service=direct&amp;session=T&amp;sp=S%2Fa8LLnXhljvJBmtleVrEww%3D%3D", "Water Supply Scheme for Augmentation of UWSS Udaipur under District Udaipur including 05 years O and M after 01 year Defect Liability period under AMRUT 2.0")</f>
        <v/>
      </c>
      <c r="C231" t="inlineStr">
        <is>
          <t>PHED-Chief Engineer(HQ),Jaipur||ACE Region Udaipur||SE Bhagari Ka Naka Proj.Cr. Udaipur</t>
        </is>
      </c>
      <c r="D231" t="inlineStr">
        <is>
          <t>19-May-2025 06:00 PM</t>
        </is>
      </c>
      <c r="E231" t="inlineStr">
        <is>
          <t>2,00,41,29,000</t>
        </is>
      </c>
      <c r="F231" t="inlineStr">
        <is>
          <t>Water Supply Scheme for Augmentation of UWSS Udaipur under District Udaipur including 05 years O and M after 01 year Defect Liability period under AMRUT 2.0</t>
        </is>
      </c>
      <c r="G231" t="inlineStr">
        <is>
          <t>Udaipur</t>
        </is>
      </c>
    </row>
    <row r="232">
      <c r="A232" s="1" t="n">
        <v>230</v>
      </c>
      <c r="B232">
        <f>HYPERLINK("https://eproc.rajasthan.gov.in/nicgep/app?component=%24DirectLink&amp;page=FrontEndViewTender&amp;service=direct&amp;session=T&amp;sp=Sjzo3tPKp4%2FtdZMGFcjLkNw%3D%3D", "Design and Construction of 1 MLD Capacity Sewage Treatment Plant and Providing Laying and Jointing of Recycled Water Pipeline in the Zone-1 Campus Area of Rajasthan University.")</f>
        <v/>
      </c>
      <c r="C232" t="inlineStr">
        <is>
          <t>PHED-Chief Engineer(HQ),Jaipur||ACE Region-II Jaipur</t>
        </is>
      </c>
      <c r="D232" t="inlineStr">
        <is>
          <t>19-May-2025 06:00 PM</t>
        </is>
      </c>
      <c r="E232" t="inlineStr">
        <is>
          <t>5,73,33,000</t>
        </is>
      </c>
      <c r="F232" t="inlineStr">
        <is>
          <t>Design and Construction of 1 MLD Capacity Sewage Treatment Plant and Providing Laying and Jointing of Recycled Water Pipeline in the Zone-1 Campus Area of Rajasthan University.</t>
        </is>
      </c>
      <c r="G232" t="inlineStr">
        <is>
          <t>Rajasthan University Campus Jaipur</t>
        </is>
      </c>
    </row>
    <row r="233">
      <c r="A233" s="1" t="n">
        <v>231</v>
      </c>
      <c r="B233">
        <f>HYPERLINK("https://eproc.rajasthan.gov.in/nicgep/app?component=%24DirectLink&amp;page=FrontEndViewTender&amp;service=direct&amp;session=T&amp;sp=SDgzNigiqjQ6xs%2BWKrkx97g%3D%3D", "JJM KHOJAKA PS KISHANGARHBASS")</f>
        <v/>
      </c>
      <c r="C233" t="inlineStr">
        <is>
          <t>PHED-Chief Engineer(HQ),Jaipur||ACE Region Jaipur</t>
        </is>
      </c>
      <c r="D233" t="inlineStr">
        <is>
          <t>20-May-2025 05:00 PM</t>
        </is>
      </c>
      <c r="E233" t="inlineStr">
        <is>
          <t>27,92,000</t>
        </is>
      </c>
      <c r="F233" t="inlineStr">
        <is>
          <t>JJM KHOJAKA PS KISHANGARHBASS</t>
        </is>
      </c>
      <c r="G233" t="inlineStr">
        <is>
          <t>KISHANGARHBASS</t>
        </is>
      </c>
    </row>
    <row r="234">
      <c r="A234" s="1" t="n">
        <v>232</v>
      </c>
      <c r="B234">
        <f>HYPERLINK("https://eproc.rajasthan.gov.in/nicgep/app?component=%24DirectLink&amp;page=FrontEndViewTender&amp;service=direct&amp;session=T&amp;sp=SD2U8BTJ0UcmNLR8WRwRY2Q%3D%3D", "JJM SAHUWAS PS KISHANGARHBASS")</f>
        <v/>
      </c>
      <c r="C234" t="inlineStr">
        <is>
          <t>PHED-Chief Engineer(HQ),Jaipur||ACE Region Jaipur</t>
        </is>
      </c>
      <c r="D234" t="inlineStr">
        <is>
          <t>20-May-2025 05:00 PM</t>
        </is>
      </c>
      <c r="E234" t="inlineStr">
        <is>
          <t>21,59,000</t>
        </is>
      </c>
      <c r="F234" t="inlineStr">
        <is>
          <t>JJM SAHUWAS PS KISHANGARHBASS</t>
        </is>
      </c>
      <c r="G234" t="inlineStr">
        <is>
          <t>KISHANGARHBASS</t>
        </is>
      </c>
    </row>
    <row r="235">
      <c r="A235" s="1" t="n">
        <v>233</v>
      </c>
      <c r="B235">
        <f>HYPERLINK("https://eproc.rajasthan.gov.in/nicgep/app?component=%24DirectLink&amp;page=FrontEndViewTender&amp;service=direct&amp;session=T&amp;sp=SDpHp7wsReyHfV34aG7OUqg%3D%3D", "JJM NANGAL SINGHAL PS MUNDAWAR")</f>
        <v/>
      </c>
      <c r="C235" t="inlineStr">
        <is>
          <t>PHED-Chief Engineer(HQ),Jaipur||ACE Region Jaipur</t>
        </is>
      </c>
      <c r="D235" t="inlineStr">
        <is>
          <t>20-May-2025 05:00 PM</t>
        </is>
      </c>
      <c r="E235" t="inlineStr">
        <is>
          <t>19,90,000</t>
        </is>
      </c>
      <c r="F235" t="inlineStr">
        <is>
          <t>JJM NANGAL SINGHAL PS MUNDAWAR</t>
        </is>
      </c>
      <c r="G235" t="inlineStr">
        <is>
          <t>MUNDAWAR</t>
        </is>
      </c>
    </row>
    <row r="236">
      <c r="A236" s="1" t="n">
        <v>234</v>
      </c>
      <c r="B236">
        <f>HYPERLINK("https://eproc.rajasthan.gov.in/nicgep/app?component=%24DirectLink&amp;page=FrontEndViewTender&amp;service=direct&amp;session=T&amp;sp=Sf9iNHtUVK3znF9bAYulW6A%3D%3D", "Augmentation of Urban Water Supply Scheme BHADRA District Hanumangarh including 05 Years OnM after 01 year Defect Liability Period")</f>
        <v/>
      </c>
      <c r="C236" t="inlineStr">
        <is>
          <t>PHED-Chief Engineer(HQ),Jaipur||ACE Region Bikaner</t>
        </is>
      </c>
      <c r="D236" t="inlineStr">
        <is>
          <t>03-Jun-2025 06:00 PM</t>
        </is>
      </c>
      <c r="E236" t="inlineStr">
        <is>
          <t>78,49,24,000</t>
        </is>
      </c>
      <c r="F236" t="inlineStr">
        <is>
          <t>Augmentation of Urban Water Supply Scheme BHADRA District Hanumangarh including 05 Years OnM after 01 year Defect Liability Period</t>
        </is>
      </c>
      <c r="G236" t="inlineStr">
        <is>
          <t>EE PHED DIVISION Bhadra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2025-05-17T13:14:40Z</dcterms:created>
  <dcterms:modified xsi:type="dcterms:W3CDTF">2025-05-17T13:14:40Z</dcterms:modified>
</cp:coreProperties>
</file>