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HYPERLINK("https://eproc.rajasthan.gov.in/nicgep/app?component=%24DirectLink&amp;page=FrontEndViewTender&amp;service=direct&amp;session=T&amp;sp=Sl0r5TwFZ9x4warzX4iztVg%3D%3D", "Supply, Installation, Testing and Commissioning of IT and non-IT Paraphernalia in connection with setting up of Video Conferencing Booths in different Prisons of Rajasthan")</f>
        <v/>
      </c>
      <c r="C2" t="inlineStr">
        <is>
          <t>RAJASTHAN POLICE HOUSING AND CONSTRUCTION CORP. LTD.||MANAGING DIRECTOR||GENERAL MANAGER||DEPUTY GENERAL MANAGER</t>
        </is>
      </c>
      <c r="D2" t="inlineStr">
        <is>
          <t>21-May-2025 06:00 PM</t>
        </is>
      </c>
      <c r="E2" t="inlineStr">
        <is>
          <t>12,50,00,000</t>
        </is>
      </c>
      <c r="F2" t="inlineStr">
        <is>
          <t>Supply, Installation, Testing and Commissioning of IT and non-IT Paraphernalia in connection with setting up of Video Conferencing Booths in different Prisons of Rajasthan</t>
        </is>
      </c>
      <c r="G2" t="inlineStr">
        <is>
          <t>different Prisons of Rajasthan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HYPERLINK("https://eproc.rajasthan.gov.in/nicgep/app?component=%24DirectLink&amp;page=FrontEndViewTender&amp;service=direct&amp;session=T&amp;sp=SAlcQKgsDwzocUjHxlLLmKQ%3D%3D", "Minor construction work of 5 No. WC, 5 No. Bathroom and 2 No. Changing room at Police Line Sriganganagar.")</f>
        <v/>
      </c>
      <c r="C3" t="inlineStr">
        <is>
          <t>RAJASTHAN POLICE HOUSING AND CONSTRUCTION CORP. LTD.||MANAGING DIRECTOR||GENERAL MANAGER||DEPUTY GENERAL MANAGER</t>
        </is>
      </c>
      <c r="D3" t="inlineStr">
        <is>
          <t>19-May-2025 04:00 PM</t>
        </is>
      </c>
      <c r="E3" t="inlineStr">
        <is>
          <t>15,60,000</t>
        </is>
      </c>
      <c r="F3" t="inlineStr">
        <is>
          <t>Minor construction work of 5 No. WC, 5 No. Bathroom and 2 No. Changing room at Police Line Sriganganagar.</t>
        </is>
      </c>
      <c r="G3" t="inlineStr">
        <is>
          <t>Minor construction work of 5 No. WC, 5 No. Bathroo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HYPERLINK("https://eproc.rajasthan.gov.in/nicgep/app?component=%24DirectLink&amp;page=FrontEndViewTender&amp;service=direct&amp;session=T&amp;sp=SFLI6Vqff%2F8RP1fFiQptlaA%3D%3D", "Repair work of 6 USQ Quarters at Police Line Jalore")</f>
        <v/>
      </c>
      <c r="C4" t="inlineStr">
        <is>
          <t>RAJASTHAN POLICE HOUSING AND CONSTRUCTION CORP. LTD.||MANAGING DIRECTOR||GENERAL MANAGER||DEPUTY GENERAL MANAGER</t>
        </is>
      </c>
      <c r="D4" t="inlineStr">
        <is>
          <t>19-May-2025 04:00 PM</t>
        </is>
      </c>
      <c r="E4" t="inlineStr">
        <is>
          <t>8,45,000</t>
        </is>
      </c>
      <c r="F4" t="inlineStr">
        <is>
          <t>Repair work of 6 USQ Quarters at Police Line Jalore</t>
        </is>
      </c>
      <c r="G4" t="inlineStr">
        <is>
          <t>Repair work of 6 USQ Quarters at Police Line Jalor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HYPERLINK("https://eproc.rajasthan.gov.in/nicgep/app?component=%24DirectLink&amp;page=FrontEndViewTender&amp;service=direct&amp;session=T&amp;sp=Scbwa%2B%2BZ8p%2B1QcrfZeb6yMw%3D%3D", "Electric Repair work of out side Police commissinarate office at Jaipur")</f>
        <v/>
      </c>
      <c r="C5" t="inlineStr">
        <is>
          <t>RAJASTHAN POLICE HOUSING AND CONSTRUCTION CORP. LTD.||MANAGING DIRECTOR||GENERAL MANAGER||DEPUTY GENERAL MANAGER</t>
        </is>
      </c>
      <c r="D5" t="inlineStr">
        <is>
          <t>19-May-2025 04:00 PM</t>
        </is>
      </c>
      <c r="E5" t="inlineStr">
        <is>
          <t>8,75,000</t>
        </is>
      </c>
      <c r="F5" t="inlineStr">
        <is>
          <t>Electric Repair work of out side Police commissinarate office at Jaipur</t>
        </is>
      </c>
      <c r="G5" t="inlineStr">
        <is>
          <t>Electric Repair work of out side Police commissina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HYPERLINK("https://eproc.rajasthan.gov.in/nicgep/app?component=%24DirectLink&amp;page=FrontEndViewTender&amp;service=direct&amp;session=T&amp;sp=SP2wDMkxHUAEHkYhKd0WDqg%3D%3D", "Minor construction work of boundary Wall at Police chouki Akeda Dungar Road No 14, Police Station Vishavkarma, Jaipur East")</f>
        <v/>
      </c>
      <c r="C6" t="inlineStr">
        <is>
          <t>RAJASTHAN POLICE HOUSING AND CONSTRUCTION CORP. LTD.||MANAGING DIRECTOR||GENERAL MANAGER||DEPUTY GENERAL MANAGER</t>
        </is>
      </c>
      <c r="D6" t="inlineStr">
        <is>
          <t>19-May-2025 04:00 PM</t>
        </is>
      </c>
      <c r="E6" t="inlineStr">
        <is>
          <t>18,75,000</t>
        </is>
      </c>
      <c r="F6" t="inlineStr">
        <is>
          <t>Minor construction work of boundary Wall at Police chouki Akeda Dungar Road No 14, Police Station Vishavkarma, Jaipur East</t>
        </is>
      </c>
      <c r="G6" t="inlineStr">
        <is>
          <t>Minor construction work of boundary Wall at Police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HYPERLINK("https://eproc.rajasthan.gov.in/nicgep/app?component=%24DirectLink&amp;page=FrontEndViewTender&amp;service=direct&amp;session=T&amp;sp=SGqxt9aL08f6Q8nruE5iaJw%3D%3D", "Minor construction and repair work of tradesman shop at 7th BN. RAC Bharatpur.")</f>
        <v/>
      </c>
      <c r="C7" t="inlineStr">
        <is>
          <t>RAJASTHAN POLICE HOUSING AND CONSTRUCTION CORP. LTD.||MANAGING DIRECTOR||GENERAL MANAGER||DEPUTY GENERAL MANAGER</t>
        </is>
      </c>
      <c r="D7" t="inlineStr">
        <is>
          <t>19-May-2025 04:00 PM</t>
        </is>
      </c>
      <c r="E7" t="inlineStr">
        <is>
          <t>29,00,000</t>
        </is>
      </c>
      <c r="F7" t="inlineStr">
        <is>
          <t>Minor construction and repair work of tradesman shop at 7th BN. RAC Bharatpur.</t>
        </is>
      </c>
      <c r="G7" t="inlineStr">
        <is>
          <t>Minor construction and repair work of tradesman sh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HYPERLINK("https://eproc.rajasthan.gov.in/nicgep/app?component=%24DirectLink&amp;page=FrontEndViewTender&amp;service=direct&amp;session=T&amp;sp=Sju7pPArRVeY1r8iMIwPv5A%3D%3D", "Renovation and repair work of old building at Police Line Bharatpur")</f>
        <v/>
      </c>
      <c r="C8" t="inlineStr">
        <is>
          <t>RAJASTHAN POLICE HOUSING AND CONSTRUCTION CORP. LTD.||MANAGING DIRECTOR||GENERAL MANAGER||DEPUTY GENERAL MANAGER</t>
        </is>
      </c>
      <c r="D8" t="inlineStr">
        <is>
          <t>19-May-2025 04:00 PM</t>
        </is>
      </c>
      <c r="E8" t="inlineStr">
        <is>
          <t>12,45,000</t>
        </is>
      </c>
      <c r="F8" t="inlineStr">
        <is>
          <t>Renovation and repair work of old building at Police Line Bharatpur</t>
        </is>
      </c>
      <c r="G8" t="inlineStr">
        <is>
          <t>Renovation and repair work of old building at Poli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HYPERLINK("https://eproc.rajasthan.gov.in/nicgep/app?component=%24DirectLink&amp;page=FrontEndViewTender&amp;service=direct&amp;session=T&amp;sp=SVqfLRgqRVZ8SDhxDfo4bBA%3D%3D", "Repair work of residential building of Police Station Kailadevi District Karauli")</f>
        <v/>
      </c>
      <c r="C9" t="inlineStr">
        <is>
          <t>RAJASTHAN POLICE HOUSING AND CONSTRUCTION CORP. LTD.||MANAGING DIRECTOR||GENERAL MANAGER||DEPUTY GENERAL MANAGER</t>
        </is>
      </c>
      <c r="D9" t="inlineStr">
        <is>
          <t>19-May-2025 04:00 PM</t>
        </is>
      </c>
      <c r="E9" t="inlineStr">
        <is>
          <t>9,80,000</t>
        </is>
      </c>
      <c r="F9" t="inlineStr">
        <is>
          <t>Repair work of residential building of Police Station Kailadevi District Karauli</t>
        </is>
      </c>
      <c r="G9" t="inlineStr">
        <is>
          <t>Repair work of residential building of Police Stat</t>
        </is>
      </c>
    </row>
    <row r="10">
      <c r="A10" s="1" t="n">
        <v>8</v>
      </c>
      <c r="B10">
        <f>HYPERLINK("https://eproc.rajasthan.gov.in/nicgep/app?component=%24DirectLink&amp;page=FrontEndViewTender&amp;service=direct&amp;session=T&amp;sp=Slyv0iKhtLiSS9A%2FMI%2B%2B%2B7g%3D%3D", "Repair work of Deputy Superintendent of Police residential building at District Karauli")</f>
        <v/>
      </c>
      <c r="C10" t="inlineStr">
        <is>
          <t>RAJASTHAN POLICE HOUSING AND CONSTRUCTION CORP. LTD.||MANAGING DIRECTOR||GENERAL MANAGER||DEPUTY GENERAL MANAGER</t>
        </is>
      </c>
      <c r="D10" t="inlineStr">
        <is>
          <t>19-May-2025 04:00 PM</t>
        </is>
      </c>
      <c r="E10" t="inlineStr">
        <is>
          <t>5,30,000</t>
        </is>
      </c>
      <c r="F10" t="inlineStr">
        <is>
          <t>Repair work of Deputy Superintendent of Police residential building at District Karauli</t>
        </is>
      </c>
      <c r="G10" t="inlineStr">
        <is>
          <t>Repair work of Deputy Superintendent of Police res</t>
        </is>
      </c>
    </row>
    <row r="11">
      <c r="A11" s="1" t="n">
        <v>9</v>
      </c>
      <c r="B11">
        <f>HYPERLINK("https://eproc.rajasthan.gov.in/nicgep/app?component=%24DirectLink&amp;page=FrontEndViewTender&amp;service=direct&amp;session=T&amp;sp=Sz5rcjIlWk%2FQOQZNftxKnfA%3D%3D", "Remaining work for Construction of Police Chowki at Goner under Commisionerate, Jaipur.")</f>
        <v/>
      </c>
      <c r="C11" t="inlineStr">
        <is>
          <t>RAJASTHAN POLICE HOUSING AND CONSTRUCTION CORP. LTD.||MANAGING DIRECTOR||GENERAL MANAGER||DEPUTY GENERAL MANAGER</t>
        </is>
      </c>
      <c r="D11" t="inlineStr">
        <is>
          <t>19-May-2025 04:00 PM</t>
        </is>
      </c>
      <c r="E11" t="inlineStr">
        <is>
          <t>8,99,000</t>
        </is>
      </c>
      <c r="F11" t="inlineStr">
        <is>
          <t>Remaining work for Construction of Police Chowki at Goner under Commisionerate, Jaipur.</t>
        </is>
      </c>
      <c r="G11" t="inlineStr">
        <is>
          <t>Remaining work for Construction of Police Chowki a</t>
        </is>
      </c>
    </row>
    <row r="12">
      <c r="A12" s="1" t="n">
        <v>10</v>
      </c>
      <c r="B12">
        <f>HYPERLINK("https://eproc.rajasthan.gov.in/nicgep/app?component=%24DirectLink&amp;page=FrontEndViewTender&amp;service=direct&amp;session=T&amp;sp=SXkq398z8prgJwHl5Va%2BxQQ%3D%3D", "Repair work of barrack and administrative buildin of Police Thana Kudgaon District Karauli")</f>
        <v/>
      </c>
      <c r="C12" t="inlineStr">
        <is>
          <t>RAJASTHAN POLICE HOUSING AND CONSTRUCTION CORP. LTD.||MANAGING DIRECTOR||GENERAL MANAGER||DEPUTY GENERAL MANAGER</t>
        </is>
      </c>
      <c r="D12" t="inlineStr">
        <is>
          <t>19-May-2025 04:00 PM</t>
        </is>
      </c>
      <c r="E12" t="inlineStr">
        <is>
          <t>10,74,000</t>
        </is>
      </c>
      <c r="F12" t="inlineStr">
        <is>
          <t>Repair work of barrack and administrative buildin of Police Thana Kudgaon District Karauli</t>
        </is>
      </c>
      <c r="G12" t="inlineStr">
        <is>
          <t>Repair work of barrack and administrative buildin</t>
        </is>
      </c>
    </row>
    <row r="13">
      <c r="A13" s="1" t="n">
        <v>11</v>
      </c>
      <c r="B13">
        <f>HYPERLINK("https://eproc.rajasthan.gov.in/nicgep/app?component=%24DirectLink&amp;page=FrontEndViewTender&amp;service=direct&amp;session=T&amp;sp=Sj0AJTe6HazX714gdRqzFDQ%3D%3D", "Minor Construction Work of Boundary Wall Rear Side and Foundation work of west convetor machine of R.P.L. Jalore")</f>
        <v/>
      </c>
      <c r="C13" t="inlineStr">
        <is>
          <t>RAJASTHAN POLICE HOUSING AND CONSTRUCTION CORP. LTD.||MANAGING DIRECTOR||GENERAL MANAGER||DEPUTY GENERAL MANAGER</t>
        </is>
      </c>
      <c r="D13" t="inlineStr">
        <is>
          <t>19-May-2025 04:00 PM</t>
        </is>
      </c>
      <c r="E13" t="inlineStr">
        <is>
          <t>17,29,000</t>
        </is>
      </c>
      <c r="F13" t="inlineStr">
        <is>
          <t>Minor Construction Work of Boundary Wall Rear Side and Foundation work of west convetor machine of R.P.L. Jalore</t>
        </is>
      </c>
      <c r="G13" t="inlineStr">
        <is>
          <t>Minor Construction Work of Boundary Wall Rear Side</t>
        </is>
      </c>
    </row>
    <row r="14">
      <c r="A14" s="1" t="n">
        <v>12</v>
      </c>
      <c r="B14">
        <f>HYPERLINK("https://eproc.rajasthan.gov.in/nicgep/app?component=%24DirectLink&amp;page=FrontEndViewTender&amp;service=direct&amp;session=T&amp;sp=SX89hlrWtcgL1YstG%2FIV3yQ%3D%3D", "Minor construction and repair work of boundary Wall for MBC Kherwara land at village Pal Mathugamda Distt. Dungarpur.")</f>
        <v/>
      </c>
      <c r="C14" t="inlineStr">
        <is>
          <t>RAJASTHAN POLICE HOUSING AND CONSTRUCTION CORP. LTD.||MANAGING DIRECTOR||GENERAL MANAGER||DEPUTY GENERAL MANAGER</t>
        </is>
      </c>
      <c r="D14" t="inlineStr">
        <is>
          <t>19-May-2025 04:00 PM</t>
        </is>
      </c>
      <c r="E14" t="inlineStr">
        <is>
          <t>31,30,000</t>
        </is>
      </c>
      <c r="F14" t="inlineStr">
        <is>
          <t>Minor construction and repair work of boundary Wall for MBC Kherwara land at village Pal Mathugamda Distt. Dungarpur.</t>
        </is>
      </c>
      <c r="G14" t="inlineStr">
        <is>
          <t>Minor construction and repair work of boundary Wal</t>
        </is>
      </c>
    </row>
    <row r="15">
      <c r="A15" s="1" t="n">
        <v>13</v>
      </c>
      <c r="B15">
        <f>HYPERLINK("https://eproc.rajasthan.gov.in/nicgep/app?component=%24DirectLink&amp;page=FrontEndViewTender&amp;service=direct&amp;session=T&amp;sp=Sc24evhtqidMrxwJE6Jso1Q%3D%3D", "Repair of roof and Painting work at residential Quarter Police Line Rajsamand.")</f>
        <v/>
      </c>
      <c r="C15" t="inlineStr">
        <is>
          <t>RAJASTHAN POLICE HOUSING AND CONSTRUCTION CORP. LTD.||MANAGING DIRECTOR||GENERAL MANAGER||DEPUTY GENERAL MANAGER</t>
        </is>
      </c>
      <c r="D15" t="inlineStr">
        <is>
          <t>19-May-2025 04:00 PM</t>
        </is>
      </c>
      <c r="E15" t="inlineStr">
        <is>
          <t>15,65,000</t>
        </is>
      </c>
      <c r="F15" t="inlineStr">
        <is>
          <t>Repair of roof and Painting work at residential Quarter Police Line Rajsamand.</t>
        </is>
      </c>
      <c r="G15" t="inlineStr">
        <is>
          <t>Repair of roof and Painting work at residential</t>
        </is>
      </c>
    </row>
    <row r="16">
      <c r="A16" s="1" t="n">
        <v>14</v>
      </c>
      <c r="B16">
        <f>HYPERLINK("https://eproc.rajasthan.gov.in/nicgep/app?component=%24DirectLink&amp;page=FrontEndViewTender&amp;service=direct&amp;session=T&amp;sp=SAY4E2aaIcX360iPvSbTPmg%3D%3D", "Construction of boundry Wall at Home guard building chittorgarh")</f>
        <v/>
      </c>
      <c r="C16" t="inlineStr">
        <is>
          <t>RAJASTHAN POLICE HOUSING AND CONSTRUCTION CORP. LTD.||MANAGING DIRECTOR||GENERAL MANAGER||DEPUTY GENERAL MANAGER</t>
        </is>
      </c>
      <c r="D16" t="inlineStr">
        <is>
          <t>19-May-2025 04:00 PM</t>
        </is>
      </c>
      <c r="E16" t="inlineStr">
        <is>
          <t>19,15,000</t>
        </is>
      </c>
      <c r="F16" t="inlineStr">
        <is>
          <t>Construction of boundry Wall at Home guard building chittorgarh</t>
        </is>
      </c>
      <c r="G16" t="inlineStr">
        <is>
          <t>Construction of boundry Wall at Home guard buildin</t>
        </is>
      </c>
    </row>
    <row r="17">
      <c r="A17" s="1" t="n">
        <v>15</v>
      </c>
      <c r="B17">
        <f>HYPERLINK("https://eproc.rajasthan.gov.in/nicgep/app?component=%24DirectLink&amp;page=FrontEndViewTender&amp;service=direct&amp;session=T&amp;sp=SaKzdqt7daJrMPpb2SlMYFA%3D%3D", "Minor construction and repair work of boundary Wall at Police Station Bassi distt. Chittorgarh")</f>
        <v/>
      </c>
      <c r="C17" t="inlineStr">
        <is>
          <t>RAJASTHAN POLICE HOUSING AND CONSTRUCTION CORP. LTD.||MANAGING DIRECTOR||GENERAL MANAGER||DEPUTY GENERAL MANAGER</t>
        </is>
      </c>
      <c r="D17" t="inlineStr">
        <is>
          <t>19-May-2025 04:00 PM</t>
        </is>
      </c>
      <c r="E17" t="inlineStr">
        <is>
          <t>21,85,000</t>
        </is>
      </c>
      <c r="F17" t="inlineStr">
        <is>
          <t>Minor construction and repair work of boundary Wall at Police Station Bassi distt. Chittorgarh</t>
        </is>
      </c>
      <c r="G17" t="inlineStr">
        <is>
          <t>Minor construction and repair work of boundary Wal</t>
        </is>
      </c>
    </row>
    <row r="18">
      <c r="A18" s="1" t="n">
        <v>16</v>
      </c>
      <c r="B18">
        <f>HYPERLINK("https://eproc.rajasthan.gov.in/nicgep/app?component=%24DirectLink&amp;page=FrontEndViewTender&amp;service=direct&amp;session=T&amp;sp=SV3GOUVAMbHlMNa%2BjkS7zzQ%3D%3D", "Minor construction and repair work of. boundary Wall For MBC HQ Udaipur at village Balicha District Udaipur")</f>
        <v/>
      </c>
      <c r="C18" t="inlineStr">
        <is>
          <t>RAJASTHAN POLICE HOUSING AND CONSTRUCTION CORP. LTD.||MANAGING DIRECTOR||GENERAL MANAGER||DEPUTY GENERAL MANAGER</t>
        </is>
      </c>
      <c r="D18" t="inlineStr">
        <is>
          <t>19-May-2025 04:00 PM</t>
        </is>
      </c>
      <c r="E18" t="inlineStr">
        <is>
          <t>17,90,000</t>
        </is>
      </c>
      <c r="F18" t="inlineStr">
        <is>
          <t>Minor construction and repair work of. boundary Wall For MBC HQ Udaipur at village Balicha District Udaipur</t>
        </is>
      </c>
      <c r="G18" t="inlineStr">
        <is>
          <t>Minor construction and repair work of. boundary Wa</t>
        </is>
      </c>
    </row>
    <row r="19">
      <c r="A19" s="1" t="n">
        <v>17</v>
      </c>
      <c r="B19">
        <f>HYPERLINK("https://eproc.rajasthan.gov.in/nicgep/app?component=%24DirectLink&amp;page=FrontEndViewTender&amp;service=direct&amp;session=T&amp;sp=S5y2JRFRHgfeLpddREbeFeA%3D%3D", "Minor construction of boundary Wall of alloted land to Police line Mohan Magri distt. Chittorgarh")</f>
        <v/>
      </c>
      <c r="C19" t="inlineStr">
        <is>
          <t>RAJASTHAN POLICE HOUSING AND CONSTRUCTION CORP. LTD.||MANAGING DIRECTOR||GENERAL MANAGER||DEPUTY GENERAL MANAGER</t>
        </is>
      </c>
      <c r="D19" t="inlineStr">
        <is>
          <t>19-May-2025 04:00 PM</t>
        </is>
      </c>
      <c r="E19" t="inlineStr">
        <is>
          <t>26,85,000</t>
        </is>
      </c>
      <c r="F19" t="inlineStr">
        <is>
          <t>Minor construction of boundary Wall of alloted land to Police line Mohan Magri distt. Chittorgarh</t>
        </is>
      </c>
      <c r="G19" t="inlineStr">
        <is>
          <t>Minor construction of boundary Wall of alloted l</t>
        </is>
      </c>
    </row>
    <row r="20">
      <c r="A20" s="1" t="n">
        <v>18</v>
      </c>
      <c r="B20">
        <f>HYPERLINK("https://eproc.rajasthan.gov.in/nicgep/app?component=%24DirectLink&amp;page=FrontEndViewTender&amp;service=direct&amp;session=T&amp;sp=SnvVGVb%2Fu%2BM0onMEwO013hw%3D%3D", "Minor construction and repair work of boundary Wall of administrative building at Police Station Kathumbar Distt., Alwar")</f>
        <v/>
      </c>
      <c r="C20" t="inlineStr">
        <is>
          <t>RAJASTHAN POLICE HOUSING AND CONSTRUCTION CORP. LTD.||MANAGING DIRECTOR||GENERAL MANAGER||DEPUTY GENERAL MANAGER</t>
        </is>
      </c>
      <c r="D20" t="inlineStr">
        <is>
          <t>19-May-2025 04:00 PM</t>
        </is>
      </c>
      <c r="E20" t="inlineStr">
        <is>
          <t>13,00,000</t>
        </is>
      </c>
      <c r="F20" t="inlineStr">
        <is>
          <t>Minor construction and repair work of boundary Wall of administrative building at Police Station Kathumbar Distt., Alwar</t>
        </is>
      </c>
      <c r="G20" t="inlineStr">
        <is>
          <t>Minor construction and repair work of boundary Wal</t>
        </is>
      </c>
    </row>
    <row r="21">
      <c r="A21" s="1" t="n">
        <v>19</v>
      </c>
      <c r="B21">
        <f>HYPERLINK("https://eproc.rajasthan.gov.in/nicgep/app?component=%24DirectLink&amp;page=FrontEndViewTender&amp;service=direct&amp;session=T&amp;sp=SkXaGoHKCSmFJyR91QBAlZw%3D%3D", "Minor construction and repair work of boundary Wall of Police Station Ravanjana Dungar at Sawaimadhopur")</f>
        <v/>
      </c>
      <c r="C21" t="inlineStr">
        <is>
          <t>RAJASTHAN POLICE HOUSING AND CONSTRUCTION CORP. LTD.||MANAGING DIRECTOR||GENERAL MANAGER||DEPUTY GENERAL MANAGER</t>
        </is>
      </c>
      <c r="D21" t="inlineStr">
        <is>
          <t>19-May-2025 04:00 PM</t>
        </is>
      </c>
      <c r="E21" t="inlineStr">
        <is>
          <t>28,00,000</t>
        </is>
      </c>
      <c r="F21" t="inlineStr">
        <is>
          <t>Minor construction and repair work of boundary Wall of Police Station Ravanjana Dungar at Sawaimadhopur</t>
        </is>
      </c>
      <c r="G21" t="inlineStr">
        <is>
          <t>Minor construction and repair work of boundary Wal</t>
        </is>
      </c>
    </row>
    <row r="22">
      <c r="A22" s="1" t="n">
        <v>20</v>
      </c>
      <c r="B22">
        <f>HYPERLINK("https://eproc.rajasthan.gov.in/nicgep/app?component=%24DirectLink&amp;page=FrontEndViewTender&amp;service=direct&amp;session=T&amp;sp=SwAKOcbkuAqr2NSAq1X8MlQ%3D%3D", "Repair work of administrative building of Police Station Kotwali at Kota City")</f>
        <v/>
      </c>
      <c r="C22" t="inlineStr">
        <is>
          <t>RAJASTHAN POLICE HOUSING AND CONSTRUCTION CORP. LTD.||MANAGING DIRECTOR||GENERAL MANAGER||DEPUTY GENERAL MANAGER</t>
        </is>
      </c>
      <c r="D22" t="inlineStr">
        <is>
          <t>19-May-2025 04:00 PM</t>
        </is>
      </c>
      <c r="E22" t="inlineStr">
        <is>
          <t>25,17,000</t>
        </is>
      </c>
      <c r="F22" t="inlineStr">
        <is>
          <t>Repair work of administrative building of Police Station Kotwali at Kota City</t>
        </is>
      </c>
      <c r="G22" t="inlineStr">
        <is>
          <t>Repair work of administrative building of Police S</t>
        </is>
      </c>
    </row>
    <row r="23">
      <c r="A23" s="1" t="n">
        <v>21</v>
      </c>
      <c r="B23">
        <f>HYPERLINK("https://eproc.rajasthan.gov.in/nicgep/app?component=%24DirectLink&amp;page=FrontEndViewTender&amp;service=direct&amp;session=T&amp;sp=SbQPxGM1bz%2F%2BuIDJ4rNnSiw%3D%3D", "Repair work of the building of Women Safety and Advisory Centre at Mahila Thana Mansarovar Jaipur")</f>
        <v/>
      </c>
      <c r="C23" t="inlineStr">
        <is>
          <t>RAJASTHAN POLICE HOUSING AND CONSTRUCTION CORP. LTD.||MANAGING DIRECTOR||GENERAL MANAGER||DEPUTY GENERAL MANAGER</t>
        </is>
      </c>
      <c r="D23" t="inlineStr">
        <is>
          <t>19-May-2025 04:00 PM</t>
        </is>
      </c>
      <c r="E23" t="inlineStr">
        <is>
          <t>7,13,000</t>
        </is>
      </c>
      <c r="F23" t="inlineStr">
        <is>
          <t>Repair work of the building of Women Safety and Advisory Centre at Mahila Thana Mansarovar Jaipur</t>
        </is>
      </c>
      <c r="G23" t="inlineStr">
        <is>
          <t>Repair work of the building of Women Safety and Ad</t>
        </is>
      </c>
    </row>
    <row r="24">
      <c r="A24" s="1" t="n">
        <v>22</v>
      </c>
      <c r="B24">
        <f>HYPERLINK("https://eproc.rajasthan.gov.in/nicgep/app?component=%24DirectLink&amp;page=FrontEndViewTender&amp;service=direct&amp;session=T&amp;sp=SbUhnvsmIlAMxf87lui3GlQ%3D%3D", "Minor construction work of boundary Wall an repair of hall at PTS Thekda Distt., Alwar")</f>
        <v/>
      </c>
      <c r="C24" t="inlineStr">
        <is>
          <t>RAJASTHAN POLICE HOUSING AND CONSTRUCTION CORP. LTD.||MANAGING DIRECTOR||GENERAL MANAGER||DEPUTY GENERAL MANAGER</t>
        </is>
      </c>
      <c r="D24" t="inlineStr">
        <is>
          <t>19-May-2025 04:00 PM</t>
        </is>
      </c>
      <c r="E24" t="inlineStr">
        <is>
          <t>7,60,000</t>
        </is>
      </c>
      <c r="F24" t="inlineStr">
        <is>
          <t>Minor construction work of boundary Wall an repair of hall at PTS Thekda Distt., Alwar</t>
        </is>
      </c>
      <c r="G24" t="inlineStr">
        <is>
          <t>Minor construction work of boundary Wall an repair</t>
        </is>
      </c>
    </row>
    <row r="25">
      <c r="A25" s="1" t="n">
        <v>23</v>
      </c>
      <c r="B25">
        <f>HYPERLINK("https://eproc.rajasthan.gov.in/nicgep/app?component=%24DirectLink&amp;page=FrontEndViewTender&amp;service=direct&amp;session=T&amp;sp=SZf0PS3iTYbysjy16fJ%2Fgyg%3D%3D", "Minor construction work and building repair work at Thana Special Police Station Jhalana Mahal Jaipur")</f>
        <v/>
      </c>
      <c r="C25" t="inlineStr">
        <is>
          <t>RAJASTHAN POLICE HOUSING AND CONSTRUCTION CORP. LTD.||MANAGING DIRECTOR||GENERAL MANAGER||DEPUTY GENERAL MANAGER</t>
        </is>
      </c>
      <c r="D25" t="inlineStr">
        <is>
          <t>19-May-2025 04:00 PM</t>
        </is>
      </c>
      <c r="E25" t="inlineStr">
        <is>
          <t>8,10,000</t>
        </is>
      </c>
      <c r="F25" t="inlineStr">
        <is>
          <t>Minor construction work and building repair work at Thana Special Police Station Jhalana Mahal Jaipur</t>
        </is>
      </c>
      <c r="G25" t="inlineStr">
        <is>
          <t>Minor construction work and building repair work a</t>
        </is>
      </c>
    </row>
    <row r="26">
      <c r="A26" s="1" t="n">
        <v>24</v>
      </c>
      <c r="B26">
        <f>HYPERLINK("https://eproc.rajasthan.gov.in/nicgep/app?component=%24DirectLink&amp;page=FrontEndViewTender&amp;service=direct&amp;session=T&amp;sp=SaUp7o%2F3lFC4ucInd%2BRaYwg%3D%3D", "Minor construction work of 01 changing room and 01 female toilet at Police Telecommunication Kota Rural")</f>
        <v/>
      </c>
      <c r="C26" t="inlineStr">
        <is>
          <t>RAJASTHAN POLICE HOUSING AND CONSTRUCTION CORP. LTD.||MANAGING DIRECTOR||GENERAL MANAGER||DEPUTY GENERAL MANAGER</t>
        </is>
      </c>
      <c r="D26" t="inlineStr">
        <is>
          <t>19-May-2025 04:00 PM</t>
        </is>
      </c>
      <c r="E26" t="inlineStr">
        <is>
          <t>6,35,000</t>
        </is>
      </c>
      <c r="F26" t="inlineStr">
        <is>
          <t>Minor construction work of 01 changing room and 01 female toilet at Police Telecommunication Kota Rural</t>
        </is>
      </c>
      <c r="G26" t="inlineStr">
        <is>
          <t>Minor construction work of 01 changing room and 01</t>
        </is>
      </c>
    </row>
    <row r="27">
      <c r="A27" s="1" t="n">
        <v>25</v>
      </c>
      <c r="B27">
        <f>HYPERLINK("https://eproc.rajasthan.gov.in/nicgep/app?component=%24DirectLink&amp;page=FrontEndViewTender&amp;service=direct&amp;session=T&amp;sp=SQC5r6vodlutuaooyuU7SkA%3D%3D", "New light fitting work in administrative building of SP office Kota City")</f>
        <v/>
      </c>
      <c r="C27" t="inlineStr">
        <is>
          <t>RAJASTHAN POLICE HOUSING AND CONSTRUCTION CORP. LTD.||MANAGING DIRECTOR||GENERAL MANAGER||DEPUTY GENERAL MANAGER</t>
        </is>
      </c>
      <c r="D27" t="inlineStr">
        <is>
          <t>19-May-2025 04:00 PM</t>
        </is>
      </c>
      <c r="E27" t="inlineStr">
        <is>
          <t>6,47,000</t>
        </is>
      </c>
      <c r="F27" t="inlineStr">
        <is>
          <t>New light fitting work in administrative building of SP office Kota City</t>
        </is>
      </c>
      <c r="G27" t="inlineStr">
        <is>
          <t>New light fitting work in administrative building</t>
        </is>
      </c>
    </row>
    <row r="28">
      <c r="A28" s="1" t="n">
        <v>26</v>
      </c>
      <c r="B28">
        <f>HYPERLINK("https://eproc.rajasthan.gov.in/nicgep/app?component=%24DirectLink&amp;page=FrontEndViewTender&amp;service=direct&amp;session=T&amp;sp=S77htqnvhuziKDYYaUZv5mg%3D%3D", "Repair work of 10 LSQ residential quarters at 7th BN. RAC Bharatpur")</f>
        <v/>
      </c>
      <c r="C28" t="inlineStr">
        <is>
          <t>RAJASTHAN POLICE HOUSING AND CONSTRUCTION CORP. LTD.||MANAGING DIRECTOR||GENERAL MANAGER||DEPUTY GENERAL MANAGER</t>
        </is>
      </c>
      <c r="D28" t="inlineStr">
        <is>
          <t>19-May-2025 04:00 PM</t>
        </is>
      </c>
      <c r="E28" t="inlineStr">
        <is>
          <t>8,80,000</t>
        </is>
      </c>
      <c r="F28" t="inlineStr">
        <is>
          <t>Repair work of 10 LSQ residential quarters at 7th BN. RAC Bharatpur</t>
        </is>
      </c>
      <c r="G28" t="inlineStr">
        <is>
          <t>Repair work of 10 LSQ residential quarters at 7th</t>
        </is>
      </c>
    </row>
    <row r="29">
      <c r="A29" s="1" t="n">
        <v>27</v>
      </c>
      <c r="B29">
        <f>HYPERLINK("https://eproc.rajasthan.gov.in/nicgep/app?component=%24DirectLink&amp;page=FrontEndViewTender&amp;service=direct&amp;session=T&amp;sp=SbV2i13xNn6XU%2FAKpjJLPWQ%3D%3D", "For repair/ renovation work of the building of Police Telecommunication Broadcast Room, Near 5th BN. RAC, Jaipur")</f>
        <v/>
      </c>
      <c r="C29" t="inlineStr">
        <is>
          <t>RAJASTHAN POLICE HOUSING AND CONSTRUCTION CORP. LTD.||MANAGING DIRECTOR||GENERAL MANAGER||DEPUTY GENERAL MANAGER</t>
        </is>
      </c>
      <c r="D29" t="inlineStr">
        <is>
          <t>19-May-2025 04:00 PM</t>
        </is>
      </c>
      <c r="E29" t="inlineStr">
        <is>
          <t>10,29,000</t>
        </is>
      </c>
      <c r="F29" t="inlineStr">
        <is>
          <t>For repair/ renovation work of the building of Police Telecommunication Broadcast Room, Near 5th BN. RAC, Jaipur</t>
        </is>
      </c>
      <c r="G29" t="inlineStr">
        <is>
          <t>For repair/ renovation work of the building of Pol</t>
        </is>
      </c>
    </row>
    <row r="30">
      <c r="A30" s="1" t="n">
        <v>28</v>
      </c>
      <c r="B30">
        <f>HYPERLINK("https://eproc.rajasthan.gov.in/nicgep/app?component=%24DirectLink&amp;page=FrontEndViewTender&amp;service=direct&amp;session=T&amp;sp=SMrO2AAOBkwhQss6vHEWwgA%3D%3D", "Repair work of Sulaabh Complex at Police Line Kota City")</f>
        <v/>
      </c>
      <c r="C30" t="inlineStr">
        <is>
          <t>RAJASTHAN POLICE HOUSING AND CONSTRUCTION CORP. LTD.||MANAGING DIRECTOR||GENERAL MANAGER||DEPUTY GENERAL MANAGER</t>
        </is>
      </c>
      <c r="D30" t="inlineStr">
        <is>
          <t>19-May-2025 04:00 PM</t>
        </is>
      </c>
      <c r="E30" t="inlineStr">
        <is>
          <t>9,75,000</t>
        </is>
      </c>
      <c r="F30" t="inlineStr">
        <is>
          <t>Repair work of Sulaabh Complex at Police Line Kota City</t>
        </is>
      </c>
      <c r="G30" t="inlineStr">
        <is>
          <t>Repair work of Sulaabh Complex at Police Line Kota</t>
        </is>
      </c>
    </row>
    <row r="31">
      <c r="A31" s="1" t="n">
        <v>29</v>
      </c>
      <c r="B31">
        <f>HYPERLINK("https://eproc.rajasthan.gov.in/nicgep/app?component=%24DirectLink&amp;page=FrontEndViewTender&amp;service=direct&amp;session=T&amp;sp=SwbgIaAqjNZZP%2F8IkGizaHA%3D%3D", "Minor construction and repair work of 3 women toilets, 3 bathrooms and 2 changing rooms in Police Station Jobner Jaipur")</f>
        <v/>
      </c>
      <c r="C31" t="inlineStr">
        <is>
          <t>RAJASTHAN POLICE HOUSING AND CONSTRUCTION CORP. LTD.||MANAGING DIRECTOR||GENERAL MANAGER||DEPUTY GENERAL MANAGER</t>
        </is>
      </c>
      <c r="D31" t="inlineStr">
        <is>
          <t>19-May-2025 04:00 PM</t>
        </is>
      </c>
      <c r="E31" t="inlineStr">
        <is>
          <t>9,80,000</t>
        </is>
      </c>
      <c r="F31" t="inlineStr">
        <is>
          <t>Minor construction and repair work of 3 women toilets, 3 bathrooms and 2 changing rooms in Police Station Jobner Jaipur</t>
        </is>
      </c>
      <c r="G31" t="inlineStr">
        <is>
          <t>Minor construction and repair work of 3 women toil</t>
        </is>
      </c>
    </row>
    <row r="32">
      <c r="A32" s="1" t="n">
        <v>30</v>
      </c>
      <c r="B32">
        <f>HYPERLINK("https://eproc.rajasthan.gov.in/nicgep/app?component=%24DirectLink&amp;page=FrontEndViewTender&amp;service=direct&amp;session=T&amp;sp=S879tw%2Be0HH0DFsQ5mNaavQ%3D%3D", "Minor construction and repair work of 3 women toilets, 3 bathrooms and 2 changing rooms in Police Station Renwal Jaipur.")</f>
        <v/>
      </c>
      <c r="C32" t="inlineStr">
        <is>
          <t>RAJASTHAN POLICE HOUSING AND CONSTRUCTION CORP. LTD.||MANAGING DIRECTOR||GENERAL MANAGER||DEPUTY GENERAL MANAGER</t>
        </is>
      </c>
      <c r="D32" t="inlineStr">
        <is>
          <t>19-May-2025 04:00 PM</t>
        </is>
      </c>
      <c r="E32" t="inlineStr">
        <is>
          <t>9,80,000</t>
        </is>
      </c>
      <c r="F32" t="inlineStr">
        <is>
          <t>Minor construction and repair work of 3 women toilets, 3 bathrooms and 2 changing rooms in Police Station Renwal Jaipur.</t>
        </is>
      </c>
      <c r="G32" t="inlineStr">
        <is>
          <t>Minor construction and repair work of 3 women toil</t>
        </is>
      </c>
    </row>
    <row r="33">
      <c r="A33" s="1" t="n">
        <v>31</v>
      </c>
      <c r="B33">
        <f>HYPERLINK("https://eproc.rajasthan.gov.in/nicgep/app?component=%24DirectLink&amp;page=FrontEndViewTender&amp;service=direct&amp;session=T&amp;sp=ST4ajNvS94KvYLdEJ7W1fLg%3D%3D", "Repair of M.T. Branch, Misc. Store and CPC canteen at Police Line Pali.")</f>
        <v/>
      </c>
      <c r="C33" t="inlineStr">
        <is>
          <t>RAJASTHAN POLICE HOUSING AND CONSTRUCTION CORP. LTD.||MANAGING DIRECTOR||GENERAL MANAGER||DEPUTY GENERAL MANAGER</t>
        </is>
      </c>
      <c r="D33" t="inlineStr">
        <is>
          <t>19-May-2025 04:00 PM</t>
        </is>
      </c>
      <c r="E33" t="inlineStr">
        <is>
          <t>9,55,000</t>
        </is>
      </c>
      <c r="F33" t="inlineStr">
        <is>
          <t>Repair of M.T. Branch, Misc. Store and CPC canteen at Police Line Pali.</t>
        </is>
      </c>
      <c r="G33" t="inlineStr">
        <is>
          <t>Repair of M.T. Branch, Misc. Store and CPC canteen</t>
        </is>
      </c>
    </row>
    <row r="34">
      <c r="A34" s="1" t="n">
        <v>32</v>
      </c>
      <c r="B34">
        <f>HYPERLINK("https://eproc.rajasthan.gov.in/nicgep/app?component=%24DirectLink&amp;page=FrontEndViewTender&amp;service=direct&amp;session=T&amp;sp=SaxbgB9rpFUHVD83xTNjJzg%3D%3D", "Repair work of bandi barrack no 1,3,4 and 7 in District Jail Pratapgarh.")</f>
        <v/>
      </c>
      <c r="C34" t="inlineStr">
        <is>
          <t>RAJASTHAN POLICE HOUSING AND CONSTRUCTION CORP. LTD.||MANAGING DIRECTOR||GENERAL MANAGER||DEPUTY GENERAL MANAGER</t>
        </is>
      </c>
      <c r="D34" t="inlineStr">
        <is>
          <t>19-May-2025 04:00 PM</t>
        </is>
      </c>
      <c r="E34" t="inlineStr">
        <is>
          <t>9,20,000</t>
        </is>
      </c>
      <c r="F34" t="inlineStr">
        <is>
          <t>Repair work of bandi barrack no 1,3,4 and 7 in District Jail Pratapgarh.</t>
        </is>
      </c>
      <c r="G34" t="inlineStr">
        <is>
          <t>Repair work of bandi barrack no 1,3,4 and 7 in Dis</t>
        </is>
      </c>
    </row>
    <row r="35">
      <c r="A35" s="1" t="n">
        <v>33</v>
      </c>
      <c r="B35">
        <f>HYPERLINK("https://eproc.rajasthan.gov.in/nicgep/app?component=%24DirectLink&amp;page=FrontEndViewTender&amp;service=direct&amp;session=T&amp;sp=SGK50sxgffSI%2BFYL8oLoaTQ%3D%3D", "Additional , Alteration and renovation work in the meeting hall at Police Line Sri Ganganagar")</f>
        <v/>
      </c>
      <c r="C35" t="inlineStr">
        <is>
          <t>RAJASTHAN POLICE HOUSING AND CONSTRUCTION CORP. LTD.||MANAGING DIRECTOR||GENERAL MANAGER||DEPUTY GENERAL MANAGER</t>
        </is>
      </c>
      <c r="D35" t="inlineStr">
        <is>
          <t>19-May-2025 04:00 PM</t>
        </is>
      </c>
      <c r="E35" t="inlineStr">
        <is>
          <t>38,35,000</t>
        </is>
      </c>
      <c r="F35" t="inlineStr">
        <is>
          <t>Additional , Alteration and renovation work in the meeting hall at Police Line Sri Ganganagar</t>
        </is>
      </c>
      <c r="G35" t="inlineStr">
        <is>
          <t>Additional , Alteration and renovation work in th</t>
        </is>
      </c>
    </row>
    <row r="36">
      <c r="A36" s="1" t="n">
        <v>34</v>
      </c>
      <c r="B36">
        <f>HYPERLINK("https://eproc.rajasthan.gov.in/nicgep/app?component=%24DirectLink&amp;page=FrontEndViewTender&amp;service=direct&amp;session=T&amp;sp=SBmhOULVtn31bAnhf2wr%2Fnw%3D%3D", "Minor Construction of 02 Nos. toilet block and other miscellaneous work at Chamble Hostel RPA Jaipur")</f>
        <v/>
      </c>
      <c r="C36" t="inlineStr">
        <is>
          <t>RAJASTHAN POLICE HOUSING AND CONSTRUCTION CORP. LTD.||MANAGING DIRECTOR||GENERAL MANAGER||DEPUTY GENERAL MANAGER</t>
        </is>
      </c>
      <c r="D36" t="inlineStr">
        <is>
          <t>19-May-2025 04:00 PM</t>
        </is>
      </c>
      <c r="E36" t="inlineStr">
        <is>
          <t>39,19,000</t>
        </is>
      </c>
      <c r="F36" t="inlineStr">
        <is>
          <t>Minor Construction of 02 Nos. toilet block and other miscellaneous work at Chamble Hostel RPA Jaipur</t>
        </is>
      </c>
      <c r="G36" t="inlineStr">
        <is>
          <t>Minor Construction of 02 Nos. toilet block and oth</t>
        </is>
      </c>
    </row>
    <row r="37">
      <c r="A37" s="1" t="n">
        <v>35</v>
      </c>
      <c r="B37">
        <f>HYPERLINK("https://eproc.rajasthan.gov.in/nicgep/app?component=%24DirectLink&amp;page=FrontEndViewTender&amp;service=direct&amp;session=T&amp;sp=SwoYHygPUnvTQA3%2FKU0V%2BjA%3D%3D", "Repair work of 15 USQ and 30 LSQ at 1st BN.RAC Jodhpur")</f>
        <v/>
      </c>
      <c r="C37" t="inlineStr">
        <is>
          <t>RAJASTHAN POLICE HOUSING AND CONSTRUCTION CORP. LTD.||MANAGING DIRECTOR||GENERAL MANAGER||DEPUTY GENERAL MANAGER</t>
        </is>
      </c>
      <c r="D37" t="inlineStr">
        <is>
          <t>19-May-2025 04:00 PM</t>
        </is>
      </c>
      <c r="E37" t="inlineStr">
        <is>
          <t>34,00,000</t>
        </is>
      </c>
      <c r="F37" t="inlineStr">
        <is>
          <t>Repair work of 15 USQ and 30 LSQ at 1st BN.RAC Jodhpur</t>
        </is>
      </c>
      <c r="G37" t="inlineStr">
        <is>
          <t>Repair work of 15 USQ and 30 LSQ at 1st BN.RAC Jod</t>
        </is>
      </c>
    </row>
    <row r="38">
      <c r="A38" s="1" t="n">
        <v>36</v>
      </c>
      <c r="B38">
        <f>HYPERLINK("https://eproc.rajasthan.gov.in/nicgep/app?component=%24DirectLink&amp;page=FrontEndViewTender&amp;service=direct&amp;session=T&amp;sp=SEDE%2FqwRX9c%2Bvzo4J2gxmtQ%3D%3D", "Repairing work of STF barrack at 3rd RAC Bikaner")</f>
        <v/>
      </c>
      <c r="C38" t="inlineStr">
        <is>
          <t>RAJASTHAN POLICE HOUSING AND CONSTRUCTION CORP. LTD.||MANAGING DIRECTOR||GENERAL MANAGER||DEPUTY GENERAL MANAGER</t>
        </is>
      </c>
      <c r="D38" t="inlineStr">
        <is>
          <t>19-May-2025 04:00 PM</t>
        </is>
      </c>
      <c r="E38" t="inlineStr">
        <is>
          <t>12,39,000</t>
        </is>
      </c>
      <c r="F38" t="inlineStr">
        <is>
          <t>Repairing work of STF barrack at 3rd RAC Bikaner</t>
        </is>
      </c>
      <c r="G38" t="inlineStr">
        <is>
          <t>Repairing work of STF barrack at 3rd RAC Bikaner</t>
        </is>
      </c>
    </row>
    <row r="39">
      <c r="A39" s="1" t="n">
        <v>37</v>
      </c>
      <c r="B39">
        <f>HYPERLINK("https://eproc.rajasthan.gov.in/nicgep/app?component=%24DirectLink&amp;page=FrontEndViewTender&amp;service=direct&amp;session=T&amp;sp=StYcL49KK7M0KUXzPZ9d%2BWw%3D%3D", "Minor construction and repair work of Quarter Guard in PTS Thekda Distt., Alwar")</f>
        <v/>
      </c>
      <c r="C39" t="inlineStr">
        <is>
          <t>RAJASTHAN POLICE HOUSING AND CONSTRUCTION CORP. LTD.||MANAGING DIRECTOR||GENERAL MANAGER||DEPUTY GENERAL MANAGER</t>
        </is>
      </c>
      <c r="D39" t="inlineStr">
        <is>
          <t>19-May-2025 04:00 PM</t>
        </is>
      </c>
      <c r="E39" t="inlineStr">
        <is>
          <t>10,20,000</t>
        </is>
      </c>
      <c r="F39" t="inlineStr">
        <is>
          <t>Minor construction and repair work of Quarter Guard in PTS Thekda Distt., Alwar</t>
        </is>
      </c>
      <c r="G39" t="inlineStr">
        <is>
          <t>Minor construction and repair work of Quarter Guar</t>
        </is>
      </c>
    </row>
    <row r="40">
      <c r="A40" s="1" t="n">
        <v>38</v>
      </c>
      <c r="B40">
        <f>HYPERLINK("https://eproc.rajasthan.gov.in/nicgep/app?component=%24DirectLink&amp;page=FrontEndViewTender&amp;service=direct&amp;session=T&amp;sp=SDbv1yWfW6hERmaeboorbsw%3D%3D", "Repair of 10 LSQ residential Qurrters at Police Thana Sadar Distt Bundi")</f>
        <v/>
      </c>
      <c r="C40" t="inlineStr">
        <is>
          <t>RAJASTHAN POLICE HOUSING AND CONSTRUCTION CORP. LTD.||MANAGING DIRECTOR||GENERAL MANAGER||DEPUTY GENERAL MANAGER</t>
        </is>
      </c>
      <c r="D40" t="inlineStr">
        <is>
          <t>19-May-2025 04:00 PM</t>
        </is>
      </c>
      <c r="E40" t="inlineStr">
        <is>
          <t>8,95,000</t>
        </is>
      </c>
      <c r="F40" t="inlineStr">
        <is>
          <t>Repair of 10 LSQ residential Qurrters at Police Thana Sadar Distt Bundi</t>
        </is>
      </c>
      <c r="G40" t="inlineStr">
        <is>
          <t>Repair of 10 LSQ residential Qurrters at Police Th</t>
        </is>
      </c>
    </row>
    <row r="41">
      <c r="A41" s="1" t="n">
        <v>39</v>
      </c>
      <c r="B41">
        <f>HYPERLINK("https://eproc.rajasthan.gov.in/nicgep/app?component=%24DirectLink&amp;page=FrontEndViewTender&amp;service=direct&amp;session=T&amp;sp=SFfvpR3urFTJNEefh3So5UA%3D%3D", "Repair work of residential Quarters of Police thana Sadar Distt. Baran")</f>
        <v/>
      </c>
      <c r="C41" t="inlineStr">
        <is>
          <t>RAJASTHAN POLICE HOUSING AND CONSTRUCTION CORP. LTD.||MANAGING DIRECTOR||GENERAL MANAGER||DEPUTY GENERAL MANAGER</t>
        </is>
      </c>
      <c r="D41" t="inlineStr">
        <is>
          <t>19-May-2025 04:00 PM</t>
        </is>
      </c>
      <c r="E41" t="inlineStr">
        <is>
          <t>29,15,000</t>
        </is>
      </c>
      <c r="F41" t="inlineStr">
        <is>
          <t>Repair work of residential Quarters of Police thana Sadar Distt. Baran</t>
        </is>
      </c>
      <c r="G41" t="inlineStr">
        <is>
          <t>Repair work of residential Quarters of Police than</t>
        </is>
      </c>
    </row>
    <row r="42">
      <c r="A42" s="1" t="n">
        <v>40</v>
      </c>
      <c r="B42">
        <f>HYPERLINK("https://eproc.rajasthan.gov.in/nicgep/app?component=%24DirectLink&amp;page=FrontEndViewTender&amp;service=direct&amp;session=T&amp;sp=SzFvtMKHqKS1waKVj2vzu4w%3D%3D", "Repair work of residential quarters at Police Line Alwar")</f>
        <v/>
      </c>
      <c r="C42" t="inlineStr">
        <is>
          <t>RAJASTHAN POLICE HOUSING AND CONSTRUCTION CORP. LTD.||MANAGING DIRECTOR||GENERAL MANAGER||DEPUTY GENERAL MANAGER</t>
        </is>
      </c>
      <c r="D42" t="inlineStr">
        <is>
          <t>19-May-2025 04:00 PM</t>
        </is>
      </c>
      <c r="E42" t="inlineStr">
        <is>
          <t>31,30,000</t>
        </is>
      </c>
      <c r="F42" t="inlineStr">
        <is>
          <t>Repair work of residential quarters at Police Line Alwar</t>
        </is>
      </c>
      <c r="G42" t="inlineStr">
        <is>
          <t>Repair work of residential quarters at Police Line</t>
        </is>
      </c>
    </row>
    <row r="43">
      <c r="A43" s="1" t="n">
        <v>41</v>
      </c>
      <c r="B43">
        <f>HYPERLINK("https://eproc.rajasthan.gov.in/nicgep/app?component=%24DirectLink&amp;page=FrontEndViewTender&amp;service=direct&amp;session=T&amp;sp=S2bzpq%2BkH3L34Yi3xpLwAMA%3D%3D", "Repair of roof and Gumbaj from G company to canteen,Q Branch and Other repair work in Administrative building at Vth RAC Jaipur")</f>
        <v/>
      </c>
      <c r="C43" t="inlineStr">
        <is>
          <t>RAJASTHAN POLICE HOUSING AND CONSTRUCTION CORP. LTD.||MANAGING DIRECTOR||GENERAL MANAGER||DEPUTY GENERAL MANAGER</t>
        </is>
      </c>
      <c r="D43" t="inlineStr">
        <is>
          <t>19-May-2025 04:00 PM</t>
        </is>
      </c>
      <c r="E43" t="inlineStr">
        <is>
          <t>25,50,000</t>
        </is>
      </c>
      <c r="F43" t="inlineStr">
        <is>
          <t>Repair of roof and Gumbaj from G company to canteen,Q Branch and Other repair work in Administrative building at Vth RAC Jaipur</t>
        </is>
      </c>
      <c r="G43" t="inlineStr">
        <is>
          <t>Repair of roof and Gumbaj from G company to cantee</t>
        </is>
      </c>
    </row>
    <row r="44">
      <c r="A44" s="1" t="n">
        <v>42</v>
      </c>
      <c r="B44">
        <f>HYPERLINK("https://eproc.rajasthan.gov.in/nicgep/app?component=%24DirectLink&amp;page=FrontEndViewTender&amp;service=direct&amp;session=T&amp;sp=SpGm3G9DEDgyw9E%2F6KCkV2w%3D%3D", "Minor construction and repair work in guard room No. 02 with south side opening at PoliceLine Udaipur")</f>
        <v/>
      </c>
      <c r="C44" t="inlineStr">
        <is>
          <t>RAJASTHAN POLICE HOUSING AND CONSTRUCTION CORP. LTD.||MANAGING DIRECTOR||GENERAL MANAGER||DEPUTY GENERAL MANAGER</t>
        </is>
      </c>
      <c r="D44" t="inlineStr">
        <is>
          <t>19-May-2025 04:00 PM</t>
        </is>
      </c>
      <c r="E44" t="inlineStr">
        <is>
          <t>32,63,000</t>
        </is>
      </c>
      <c r="F44" t="inlineStr">
        <is>
          <t>Minor construction and repair work in guard room No. 02 with south side opening at PoliceLine Udaipur</t>
        </is>
      </c>
      <c r="G44" t="inlineStr">
        <is>
          <t>Minor construction and repair work in guard room N</t>
        </is>
      </c>
    </row>
    <row r="45">
      <c r="A45" s="1" t="n">
        <v>43</v>
      </c>
      <c r="B45">
        <f>HYPERLINK("https://eproc.rajasthan.gov.in/nicgep/app?component=%24DirectLink&amp;page=FrontEndViewTender&amp;service=direct&amp;session=T&amp;sp=SFUV84qPJZAz%2BwpF4tmhkOw%3D%3D", "Repairing work of 6 No. LSQ at Police Station Jamsar Bikaner.")</f>
        <v/>
      </c>
      <c r="C45" t="inlineStr">
        <is>
          <t>RAJASTHAN POLICE HOUSING AND CONSTRUCTION CORP. LTD.||MANAGING DIRECTOR||GENERAL MANAGER||DEPUTY GENERAL MANAGER</t>
        </is>
      </c>
      <c r="D45" t="inlineStr">
        <is>
          <t>19-May-2025 04:00 PM</t>
        </is>
      </c>
      <c r="E45" t="inlineStr">
        <is>
          <t>22,28,000</t>
        </is>
      </c>
      <c r="F45" t="inlineStr">
        <is>
          <t>Repairing work of 6 No. LSQ at Police Station Jamsar Bikaner.</t>
        </is>
      </c>
      <c r="G45" t="inlineStr">
        <is>
          <t>Repairing work of 6 No. LSQ at Police Station Jam</t>
        </is>
      </c>
    </row>
    <row r="46">
      <c r="A46" s="1" t="n">
        <v>44</v>
      </c>
      <c r="B46">
        <f>HYPERLINK("https://eproc.rajasthan.gov.in/nicgep/app?component=%24DirectLink&amp;page=FrontEndViewTender&amp;service=direct&amp;session=T&amp;sp=SKwl1zgxklfEpbRR70JewHg%3D%3D", "Repair work of administrative building of SP Office, Jaipur Rural.")</f>
        <v/>
      </c>
      <c r="C46" t="inlineStr">
        <is>
          <t>RAJASTHAN POLICE HOUSING AND CONSTRUCTION CORP. LTD.||MANAGING DIRECTOR||GENERAL MANAGER||DEPUTY GENERAL MANAGER</t>
        </is>
      </c>
      <c r="D46" t="inlineStr">
        <is>
          <t>19-May-2025 04:00 PM</t>
        </is>
      </c>
      <c r="E46" t="inlineStr">
        <is>
          <t>12,79,000</t>
        </is>
      </c>
      <c r="F46" t="inlineStr">
        <is>
          <t>Repair work of administrative building of SP Office, Jaipur Rural.</t>
        </is>
      </c>
      <c r="G46" t="inlineStr">
        <is>
          <t>Repair work of administrative building of SP Offic</t>
        </is>
      </c>
    </row>
    <row r="47">
      <c r="A47" s="1" t="n">
        <v>45</v>
      </c>
      <c r="B47">
        <f>HYPERLINK("https://eproc.rajasthan.gov.in/nicgep/app?component=%24DirectLink&amp;page=FrontEndViewTender&amp;service=direct&amp;session=T&amp;sp=SiaVZ4sW%2FoJsjlg%2F8Vff2Hg%3D%3D", "Repair of GD office Pavlion and Dispensory at Police Line Pali")</f>
        <v/>
      </c>
      <c r="C47" t="inlineStr">
        <is>
          <t>RAJASTHAN POLICE HOUSING AND CONSTRUCTION CORP. LTD.||MANAGING DIRECTOR||GENERAL MANAGER||DEPUTY GENERAL MANAGER</t>
        </is>
      </c>
      <c r="D47" t="inlineStr">
        <is>
          <t>19-May-2025 04:00 PM</t>
        </is>
      </c>
      <c r="E47" t="inlineStr">
        <is>
          <t>13,42,000</t>
        </is>
      </c>
      <c r="F47" t="inlineStr">
        <is>
          <t>Repair of GD office Pavlion and Dispensory at Police Line Pali</t>
        </is>
      </c>
      <c r="G47" t="inlineStr">
        <is>
          <t>Repair of GD office Pavlion and Dispensory at Poli</t>
        </is>
      </c>
    </row>
    <row r="48">
      <c r="A48" s="1" t="n">
        <v>46</v>
      </c>
      <c r="B48">
        <f>HYPERLINK("https://eproc.rajasthan.gov.in/nicgep/app?component=%24DirectLink&amp;page=FrontEndViewTender&amp;service=direct&amp;session=T&amp;sp=SFSCggxIEdRiDZ1%2Flb8FOmQ%3D%3D", "Upgradation of training infrastructure for skill developement in horse riding at RPA Jaipur.")</f>
        <v/>
      </c>
      <c r="C48" t="inlineStr">
        <is>
          <t>RAJASTHAN POLICE HOUSING AND CONSTRUCTION CORP. LTD.||MANAGING DIRECTOR||GENERAL MANAGER||DEPUTY GENERAL MANAGER</t>
        </is>
      </c>
      <c r="D48" t="inlineStr">
        <is>
          <t>19-May-2025 04:00 PM</t>
        </is>
      </c>
      <c r="E48" t="inlineStr">
        <is>
          <t>24,55,000</t>
        </is>
      </c>
      <c r="F48" t="inlineStr">
        <is>
          <t>Upgradation of training infrastructure for skill developement in horse riding at RPA Jaipur.</t>
        </is>
      </c>
      <c r="G48" t="inlineStr">
        <is>
          <t>Upgradation of training infrastructure for skill d</t>
        </is>
      </c>
    </row>
    <row r="49">
      <c r="A49" s="1" t="n">
        <v>47</v>
      </c>
      <c r="B49">
        <f>HYPERLINK("https://eproc.rajasthan.gov.in/nicgep/app?component=%24DirectLink&amp;page=FrontEndViewTender&amp;service=direct&amp;session=T&amp;sp=SuRFa5hPGXeeCec%2FthSh1Kg%3D%3D", "Renovation work of 104 residential quarters of Intelligence (CID,SSB) at RPA Jaipur")</f>
        <v/>
      </c>
      <c r="C49" t="inlineStr">
        <is>
          <t>RAJASTHAN POLICE HOUSING AND CONSTRUCTION CORP. LTD.||MANAGING DIRECTOR||GENERAL MANAGER||DEPUTY GENERAL MANAGER</t>
        </is>
      </c>
      <c r="D49" t="inlineStr">
        <is>
          <t>19-May-2025 04:00 PM</t>
        </is>
      </c>
      <c r="E49" t="inlineStr">
        <is>
          <t>42,62,000</t>
        </is>
      </c>
      <c r="F49" t="inlineStr">
        <is>
          <t>Renovation work of 104 residential quarters of Intelligence CID,SSB at RPA Jaipur</t>
        </is>
      </c>
      <c r="G49" t="inlineStr">
        <is>
          <t>Intelligence CID,SSB at RPA Jaipur</t>
        </is>
      </c>
    </row>
    <row r="50">
      <c r="A50" s="1" t="n">
        <v>48</v>
      </c>
      <c r="B50">
        <f>HYPERLINK("https://eproc.rajasthan.gov.in/nicgep/app?component=%24DirectLink&amp;page=FrontEndViewTender&amp;service=direct&amp;session=T&amp;sp=SZNK0GPvuBCT4Q%2BkdM7hdbA%3D%3D", "Repairing work of 103 No. Out of 199 No. Residential Qtrs. at 10th RAC Bikaner")</f>
        <v/>
      </c>
      <c r="C50" t="inlineStr">
        <is>
          <t>RAJASTHAN POLICE HOUSING AND CONSTRUCTION CORP. LTD.||MANAGING DIRECTOR||GENERAL MANAGER||DEPUTY GENERAL MANAGER</t>
        </is>
      </c>
      <c r="D50" t="inlineStr">
        <is>
          <t>19-May-2025 04:00 PM</t>
        </is>
      </c>
      <c r="E50" t="inlineStr">
        <is>
          <t>44,00,000</t>
        </is>
      </c>
      <c r="F50" t="inlineStr">
        <is>
          <t>Repairing work of 103 No. Out of 199 No. Residential Qtrs. at 10th RAC Bikaner</t>
        </is>
      </c>
      <c r="G50" t="inlineStr">
        <is>
          <t>Residential Qtrs. at 10th RAC Bikaner</t>
        </is>
      </c>
    </row>
    <row r="51">
      <c r="A51" s="1" t="n">
        <v>49</v>
      </c>
      <c r="B51">
        <f>HYPERLINK("https://eproc.rajasthan.gov.in/nicgep/app?component=%24DirectLink&amp;page=FrontEndViewTender&amp;service=direct&amp;session=T&amp;sp=SwqG56YyQ4m0Ggxlj%2Fi6ZNw%3D%3D", "Repair work of 24 USQ and 36 LSQ quarters at PTS Kherwara District Udaipur")</f>
        <v/>
      </c>
      <c r="C51" t="inlineStr">
        <is>
          <t>RAJASTHAN POLICE HOUSING AND CONSTRUCTION CORP. LTD.||MANAGING DIRECTOR||GENERAL MANAGER||DEPUTY GENERAL MANAGER</t>
        </is>
      </c>
      <c r="D51" t="inlineStr">
        <is>
          <t>19-May-2025 04:00 PM</t>
        </is>
      </c>
      <c r="E51" t="inlineStr">
        <is>
          <t>44,00,000</t>
        </is>
      </c>
      <c r="F51" t="inlineStr">
        <is>
          <t>Repair work of 24 USQ and 36 LSQ quarters at PTS Kherwara District Udaipur</t>
        </is>
      </c>
      <c r="G51" t="inlineStr">
        <is>
          <t>Police Commissionerate Jaipur.</t>
        </is>
      </c>
    </row>
    <row r="52">
      <c r="A52" s="1" t="n">
        <v>50</v>
      </c>
      <c r="B52">
        <f>HYPERLINK("https://eproc.rajasthan.gov.in/nicgep/app?component=%24DirectLink&amp;page=FrontEndViewTender&amp;service=direct&amp;session=T&amp;sp=S4RZkHplBaTiTzOP5AcN%2F4g%3D%3D", "Repair and maintenance of 6 USQ and 31 LSQ at Police thana Malviya Nagar Jaipur East commissionerate Jaipur.")</f>
        <v/>
      </c>
      <c r="C52" t="inlineStr">
        <is>
          <t>RAJASTHAN POLICE HOUSING AND CONSTRUCTION CORP. LTD.||MANAGING DIRECTOR||GENERAL MANAGER||DEPUTY GENERAL MANAGER</t>
        </is>
      </c>
      <c r="D52" t="inlineStr">
        <is>
          <t>19-May-2025 04:00 PM</t>
        </is>
      </c>
      <c r="E52" t="inlineStr">
        <is>
          <t>41,00,000</t>
        </is>
      </c>
      <c r="F52" t="inlineStr">
        <is>
          <t>Repair and maintenance of 6 USQ and 31 LSQ at Police thana Malviya Nagar Jaipur East commissionerate Jaipur.</t>
        </is>
      </c>
      <c r="G52" t="inlineStr">
        <is>
          <t>Repair and maintenance of 6 USQ and 31 LSQ at Pol</t>
        </is>
      </c>
    </row>
    <row r="53">
      <c r="A53" s="1" t="n">
        <v>51</v>
      </c>
      <c r="B53">
        <f>HYPERLINK("https://eproc.rajasthan.gov.in/nicgep/app?component=%24DirectLink&amp;page=FrontEndViewTender&amp;service=direct&amp;session=T&amp;sp=SeqDXKw9Ws7GV0VV5hRGYzw%3D%3D", "Repair of 30 quarters near Majistrted colony and home gaurd building Police Line Bundi.")</f>
        <v/>
      </c>
      <c r="C53" t="inlineStr">
        <is>
          <t>RAJASTHAN POLICE HOUSING AND CONSTRUCTION CORP. LTD.||MANAGING DIRECTOR||GENERAL MANAGER||DEPUTY GENERAL MANAGER</t>
        </is>
      </c>
      <c r="D53" t="inlineStr">
        <is>
          <t>19-May-2025 04:00 PM</t>
        </is>
      </c>
      <c r="E53" t="inlineStr">
        <is>
          <t>41,65,000</t>
        </is>
      </c>
      <c r="F53" t="inlineStr">
        <is>
          <t>Repair of 30 quarters near Majistrted colony and home gaurd building Police Line Bundi.</t>
        </is>
      </c>
      <c r="G53" t="inlineStr">
        <is>
          <t>Repair of 30 quarters near Majistrted colony and h</t>
        </is>
      </c>
    </row>
    <row r="54">
      <c r="A54" s="1" t="n">
        <v>52</v>
      </c>
      <c r="B54">
        <f>HYPERLINK("https://eproc.rajasthan.gov.in/nicgep/app?component=%24DirectLink&amp;page=FrontEndViewTender&amp;service=direct&amp;session=T&amp;sp=SNdcBUGDt788cloRC8ICAzw%3D%3D", "Remaining Repair and Maintenance of 6 USQ and 34 LSQ")</f>
        <v/>
      </c>
      <c r="C54" t="inlineStr">
        <is>
          <t>RAJASTHAN POLICE HOUSING AND CONSTRUCTION CORP. LTD.||MANAGING DIRECTOR||GENERAL MANAGER||DEPUTY GENERAL MANAGER</t>
        </is>
      </c>
      <c r="D54" t="inlineStr">
        <is>
          <t>19-May-2025 04:00 PM</t>
        </is>
      </c>
      <c r="E54" t="inlineStr">
        <is>
          <t>44,00,000</t>
        </is>
      </c>
      <c r="F54" t="inlineStr">
        <is>
          <t>Remaining Repair and Maintenance of 6 USq and 34 LSq</t>
        </is>
      </c>
      <c r="G54" t="inlineStr">
        <is>
          <t>Police Commissionerate Jaipur.</t>
        </is>
      </c>
    </row>
    <row r="55">
      <c r="A55" s="1" t="n">
        <v>53</v>
      </c>
      <c r="B55">
        <f>HYPERLINK("https://eproc.rajasthan.gov.in/nicgep/app?component=%24DirectLink&amp;page=FrontEndViewTender&amp;service=direct&amp;session=T&amp;sp=S%2FmdPDIpleHteC35HgHFkNA%3D%3D", "Repair work of residential building at Police Line Kota Rural District Kota")</f>
        <v/>
      </c>
      <c r="C55" t="inlineStr">
        <is>
          <t>RAJASTHAN POLICE HOUSING AND CONSTRUCTION CORP. LTD.||MANAGING DIRECTOR||GENERAL MANAGER||DEPUTY GENERAL MANAGER</t>
        </is>
      </c>
      <c r="D55" t="inlineStr">
        <is>
          <t>19-May-2025 04:00 PM</t>
        </is>
      </c>
      <c r="E55" t="inlineStr">
        <is>
          <t>60,00,000</t>
        </is>
      </c>
      <c r="F55" t="inlineStr">
        <is>
          <t>Repair work of residential building at Police Line Kota Rural District Kota</t>
        </is>
      </c>
      <c r="G55" t="inlineStr">
        <is>
          <t>Kota</t>
        </is>
      </c>
    </row>
    <row r="56">
      <c r="A56" s="1" t="n">
        <v>54</v>
      </c>
      <c r="B56">
        <f>HYPERLINK("https://eproc.rajasthan.gov.in/nicgep/app?component=%24DirectLink&amp;page=FrontEndViewTender&amp;service=direct&amp;session=T&amp;sp=SybiefGJnvQwSDesy48uDtA%3D%3D", "Repair work of Arjun barrack at 2nd BN. RAC Kota")</f>
        <v/>
      </c>
      <c r="C56" t="inlineStr">
        <is>
          <t>RAJASTHAN POLICE HOUSING AND CONSTRUCTION CORP. LTD.||MANAGING DIRECTOR||GENERAL MANAGER||DEPUTY GENERAL MANAGER</t>
        </is>
      </c>
      <c r="D56" t="inlineStr">
        <is>
          <t>19-May-2025 04:00 PM</t>
        </is>
      </c>
      <c r="E56" t="inlineStr">
        <is>
          <t>45,65,000</t>
        </is>
      </c>
      <c r="F56" t="inlineStr">
        <is>
          <t>Repair work of Arjun barrack at 2nd BN. RAC Kota</t>
        </is>
      </c>
      <c r="G56" t="inlineStr">
        <is>
          <t>Police Commissionerate Jaipur.</t>
        </is>
      </c>
    </row>
    <row r="57">
      <c r="A57" s="1" t="n">
        <v>55</v>
      </c>
      <c r="B57">
        <f>HYPERLINK("https://eproc.rajasthan.gov.in/nicgep/app?component=%24DirectLink&amp;page=FrontEndViewTender&amp;service=direct&amp;session=T&amp;sp=Sx15PzYE9FmsOugIXsCUhyg%3D%3D", "Repair of Civil work in various office of Yadgar Bhawan at Police Commissionerate Jaipur.")</f>
        <v/>
      </c>
      <c r="C57" t="inlineStr">
        <is>
          <t>RAJASTHAN POLICE HOUSING AND CONSTRUCTION CORP. LTD.||MANAGING DIRECTOR||GENERAL MANAGER||DEPUTY GENERAL MANAGER</t>
        </is>
      </c>
      <c r="D57" t="inlineStr">
        <is>
          <t>19-May-2025 04:00 PM</t>
        </is>
      </c>
      <c r="E57" t="inlineStr">
        <is>
          <t>50,00,000</t>
        </is>
      </c>
      <c r="F57" t="inlineStr">
        <is>
          <t>Repair of Civil work in various office of Yadgar Bhawan at Police Commissionerate Jaipur.</t>
        </is>
      </c>
      <c r="G57" t="inlineStr">
        <is>
          <t>Police Commissionerate Jaipur.</t>
        </is>
      </c>
    </row>
    <row r="58">
      <c r="A58" s="1" t="n">
        <v>56</v>
      </c>
      <c r="B58">
        <f>HYPERLINK("https://eproc.rajasthan.gov.in/nicgep/app?component=%24DirectLink&amp;page=FrontEndViewTender&amp;service=direct&amp;session=T&amp;sp=S923NWRJb9DtiPsciz5r1mw%3D%3D", "Repair Works in barracks (Mahi Sadan, Kavreri Sadan, Godavari Sadan) at PTS Kherawara, Udaipur")</f>
        <v/>
      </c>
      <c r="C58" t="inlineStr">
        <is>
          <t>RAJASTHAN POLICE HOUSING AND CONSTRUCTION CORP. LTD.||MANAGING DIRECTOR||GENERAL MANAGER||DEPUTY GENERAL MANAGER</t>
        </is>
      </c>
      <c r="D58" t="inlineStr">
        <is>
          <t>19-May-2025 04:00 PM</t>
        </is>
      </c>
      <c r="E58" t="inlineStr">
        <is>
          <t>57,60,000</t>
        </is>
      </c>
      <c r="F58" t="inlineStr">
        <is>
          <t>Repair Works in barracks (Mahi Sadan, Kavreri Sadan, Godavari Sadan) at PTS Kherawara, Udaipur</t>
        </is>
      </c>
      <c r="G58" t="inlineStr">
        <is>
          <t>Kota</t>
        </is>
      </c>
    </row>
    <row r="59">
      <c r="A59" s="1" t="n">
        <v>57</v>
      </c>
      <c r="B59">
        <f>HYPERLINK("https://eproc.rajasthan.gov.in/nicgep/app?component=%24DirectLink&amp;page=FrontEndViewTender&amp;service=direct&amp;session=T&amp;sp=SCnajdMwN4npcsVzF12xuvQ%3D%3D", "Repair work of 64 residential building at Unit Headquarter MBC Kherwara udaipur")</f>
        <v/>
      </c>
      <c r="C59" t="inlineStr">
        <is>
          <t>RAJASTHAN POLICE HOUSING AND CONSTRUCTION CORP. LTD.||MANAGING DIRECTOR||GENERAL MANAGER||DEPUTY GENERAL MANAGER</t>
        </is>
      </c>
      <c r="D59" t="inlineStr">
        <is>
          <t>19-May-2025 04:00 PM</t>
        </is>
      </c>
      <c r="E59" t="inlineStr">
        <is>
          <t>60,00,000</t>
        </is>
      </c>
      <c r="F59" t="inlineStr">
        <is>
          <t>Repair work of 64 residential building at Unit Headquarter MBC Kherwara udaipur</t>
        </is>
      </c>
      <c r="G59" t="inlineStr">
        <is>
          <t>udaipure</t>
        </is>
      </c>
    </row>
    <row r="60">
      <c r="A60" s="1" t="n">
        <v>58</v>
      </c>
      <c r="B60">
        <f>HYPERLINK("https://eproc.rajasthan.gov.in/nicgep/app?component=%24DirectLink&amp;page=FrontEndViewTender&amp;service=direct&amp;session=T&amp;sp=Sid%2Fm49AsST5aof8MblKyzA%3D%3D", "Remaining repair of residential quarters at 2nd BN. RAC Kota")</f>
        <v/>
      </c>
      <c r="C60" t="inlineStr">
        <is>
          <t>RAJASTHAN POLICE HOUSING AND CONSTRUCTION CORP. LTD.||MANAGING DIRECTOR||GENERAL MANAGER||DEPUTY GENERAL MANAGER</t>
        </is>
      </c>
      <c r="D60" t="inlineStr">
        <is>
          <t>19-May-2025 04:00 PM</t>
        </is>
      </c>
      <c r="E60" t="inlineStr">
        <is>
          <t>62,00,000</t>
        </is>
      </c>
      <c r="F60" t="inlineStr">
        <is>
          <t>Remaining repair of residential quarters at 2nd BN. RAC Kota</t>
        </is>
      </c>
      <c r="G60" t="inlineStr">
        <is>
          <t>Kota</t>
        </is>
      </c>
    </row>
    <row r="61">
      <c r="A61" s="1" t="n">
        <v>59</v>
      </c>
      <c r="B61">
        <f>HYPERLINK("https://eproc.rajasthan.gov.in/nicgep/app?component=%24DirectLink&amp;page=FrontEndViewTender&amp;service=direct&amp;session=T&amp;sp=SYqPso8r1eQzYxMVaSX%2FQew%3D%3D", "Repair work of 17 USQ and 48 LSQ at 2nd BN. RAC Kota")</f>
        <v/>
      </c>
      <c r="C61" t="inlineStr">
        <is>
          <t>RAJASTHAN POLICE HOUSING AND CONSTRUCTION CORP. LTD.||MANAGING DIRECTOR||GENERAL MANAGER||DEPUTY GENERAL MANAGER</t>
        </is>
      </c>
      <c r="D61" t="inlineStr">
        <is>
          <t>19-May-2025 04:00 PM</t>
        </is>
      </c>
      <c r="E61" t="inlineStr">
        <is>
          <t>83,25,000</t>
        </is>
      </c>
      <c r="F61" t="inlineStr">
        <is>
          <t>Repair work of 17 USQ and 48 LSQ at 2nd BN. RAC Kota</t>
        </is>
      </c>
      <c r="G61" t="inlineStr">
        <is>
          <t>Kota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2025-05-17T13:17:57Z</dcterms:created>
  <dcterms:modified xsi:type="dcterms:W3CDTF">2025-05-17T13:17:57Z</dcterms:modified>
</cp:coreProperties>
</file>