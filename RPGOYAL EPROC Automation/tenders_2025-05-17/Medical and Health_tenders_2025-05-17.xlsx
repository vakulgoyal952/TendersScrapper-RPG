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HYPERLINK("https://eproc.rajasthan.gov.in/nicgep/app?component=%24DirectLink&amp;page=FrontEndViewTender&amp;service=direct&amp;session=T&amp;sp=SQhfBf46E6YUkUGC2vJC0fw%3D%3D", "Construction of New CHC at Jamba, District Phalodi")</f>
        <v/>
      </c>
      <c r="C2" t="inlineStr">
        <is>
          <t>Medical and Health||Chief Engineer</t>
        </is>
      </c>
      <c r="D2" t="inlineStr">
        <is>
          <t>02-Jun-2025 06:00 PM</t>
        </is>
      </c>
      <c r="E2" t="inlineStr">
        <is>
          <t>7,12,00,000</t>
        </is>
      </c>
      <c r="F2" t="inlineStr">
        <is>
          <t>Construction of New CHC at Jamba, District Phalodi</t>
        </is>
      </c>
      <c r="G2" t="inlineStr">
        <is>
          <t>Phalodi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HYPERLINK("https://eproc.rajasthan.gov.in/nicgep/app?component=%24DirectLink&amp;page=FrontEndViewTender&amp;service=direct&amp;session=T&amp;sp=SPf3xdy08aK8IZ7EAbel8IQ%3D%3D", "ni02srno02")</f>
        <v/>
      </c>
      <c r="C3" t="inlineStr">
        <is>
          <t>Medical and Health||Director (F.W.) Medical Health and Family Welfare Services</t>
        </is>
      </c>
      <c r="D3" t="inlineStr">
        <is>
          <t>26-May-2025 05:00 PM</t>
        </is>
      </c>
      <c r="E3" t="inlineStr">
        <is>
          <t>75,00,000</t>
        </is>
      </c>
      <c r="F3" t="inlineStr">
        <is>
          <t>nursing and paramedical margdarshak ki sevayen work in govt hospital chittorgarh</t>
        </is>
      </c>
      <c r="G3" t="inlineStr">
        <is>
          <t>chittorgarh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HYPERLINK("https://eproc.rajasthan.gov.in/nicgep/app?component=%24DirectLink&amp;page=FrontEndViewTender&amp;service=direct&amp;session=T&amp;sp=SoYOF1SRzqJuXzkbYMN89Ew%3D%3D", "nib02srno01")</f>
        <v/>
      </c>
      <c r="C4" t="inlineStr">
        <is>
          <t>Medical and Health||Director (F.W.) Medical Health and Family Welfare Services</t>
        </is>
      </c>
      <c r="D4" t="inlineStr">
        <is>
          <t>26-May-2025 05:00 PM</t>
        </is>
      </c>
      <c r="E4" t="inlineStr">
        <is>
          <t>1,15,00,000</t>
        </is>
      </c>
      <c r="F4" t="inlineStr">
        <is>
          <t>any sanwarg karmic sevayen work in govt hospital chittorgarh</t>
        </is>
      </c>
      <c r="G4" t="inlineStr">
        <is>
          <t>chittorgarh</t>
        </is>
      </c>
    </row>
    <row r="5">
      <c r="A5" s="1" t="n">
        <v>3</v>
      </c>
      <c r="B5">
        <f>HYPERLINK("https://eproc.rajasthan.gov.in/nicgep/app?component=%24DirectLink&amp;page=FrontEndViewTender&amp;service=direct&amp;session=T&amp;sp=SS%2FfgtCSkYa8W4kgc1YyRrw%3D%3D", "COTTAN NIVIDA CMHO BARAN")</f>
        <v/>
      </c>
      <c r="C5" t="inlineStr">
        <is>
          <t>Medical and Health||MD-NRHM||PD, NRHM||SPM, NRHM</t>
        </is>
      </c>
      <c r="D5" t="inlineStr">
        <is>
          <t>27-May-2025 05:00 PM</t>
        </is>
      </c>
      <c r="E5" t="inlineStr">
        <is>
          <t>70,00,000</t>
        </is>
      </c>
      <c r="F5" t="inlineStr">
        <is>
          <t>COTTAN BANDAGE ETC</t>
        </is>
      </c>
      <c r="G5" t="inlineStr">
        <is>
          <t>BARAN</t>
        </is>
      </c>
    </row>
    <row r="6">
      <c r="A6" s="1" t="n">
        <v>4</v>
      </c>
      <c r="B6">
        <f>HYPERLINK("https://eproc.rajasthan.gov.in/nicgep/app?component=%24DirectLink&amp;page=FrontEndViewTender&amp;service=direct&amp;session=T&amp;sp=SqJiJZJkg4e2BvgW7PvB4eA%3D%3D", "PURCHASE OF MEDICAL EQUIPMENTS")</f>
        <v/>
      </c>
      <c r="C6" t="inlineStr">
        <is>
          <t>Medical and Health||Director (F.W.) Medical Health and Family Welfare Services</t>
        </is>
      </c>
      <c r="D6" t="inlineStr">
        <is>
          <t>27-May-2025 12:00 PM</t>
        </is>
      </c>
      <c r="E6" t="inlineStr">
        <is>
          <t>15,00,000</t>
        </is>
      </c>
      <c r="F6" t="inlineStr">
        <is>
          <t>PURCHASE OF MEDICAL EQUIPMENTS</t>
        </is>
      </c>
      <c r="G6" t="inlineStr">
        <is>
          <t>CMHO OFFICE KHAIRTHAL-TIJARA</t>
        </is>
      </c>
    </row>
    <row r="7">
      <c r="A7" s="1" t="n">
        <v>5</v>
      </c>
      <c r="B7">
        <f>HYPERLINK("https://eproc.rajasthan.gov.in/nicgep/app?component=%24DirectLink&amp;page=FrontEndViewTender&amp;service=direct&amp;session=T&amp;sp=SDEWOw3CFe6%2FiUIlPGStNpw%3D%3D", "Construction of New SHC Building at Khokrana District Bikaner")</f>
        <v/>
      </c>
      <c r="C7" t="inlineStr">
        <is>
          <t>Medical and Health||Chief Engineer</t>
        </is>
      </c>
      <c r="D7" t="inlineStr">
        <is>
          <t>22-May-2025 06:00 PM</t>
        </is>
      </c>
      <c r="E7" t="inlineStr">
        <is>
          <t>47,00,000</t>
        </is>
      </c>
      <c r="F7" t="inlineStr">
        <is>
          <t>Construction of New SHC Building at Khokrana District Bikaner</t>
        </is>
      </c>
      <c r="G7" t="inlineStr">
        <is>
          <t>Bikaner</t>
        </is>
      </c>
    </row>
    <row r="8">
      <c r="A8" s="1" t="n">
        <v>6</v>
      </c>
      <c r="B8">
        <f>HYPERLINK("https://eproc.rajasthan.gov.in/nicgep/app?component=%24DirectLink&amp;page=FrontEndViewTender&amp;service=direct&amp;session=T&amp;sp=SSE%2Fx0R%2BFlcCjbNIw%2F%2FJH6w%3D%3D", "srno01")</f>
        <v/>
      </c>
      <c r="C8" t="inlineStr">
        <is>
          <t>Medical and Health||Director (F.W.) Medical Health and Family Welfare Services</t>
        </is>
      </c>
      <c r="D8" t="inlineStr">
        <is>
          <t>25-May-2025 05:00 PM</t>
        </is>
      </c>
      <c r="E8" t="inlineStr">
        <is>
          <t>62,00,000</t>
        </is>
      </c>
      <c r="F8" t="inlineStr">
        <is>
          <t>cleaning work in shree sanwaliya ji hospital chittorgarh</t>
        </is>
      </c>
      <c r="G8" t="inlineStr">
        <is>
          <t>chittorgarh</t>
        </is>
      </c>
    </row>
    <row r="9">
      <c r="A9" s="1" t="n">
        <v>7</v>
      </c>
      <c r="B9">
        <f>HYPERLINK("https://eproc.rajasthan.gov.in/nicgep/app?component=%24DirectLink&amp;page=FrontEndViewTender&amp;service=direct&amp;session=T&amp;sp=SGGIvp56t9c20by5xGoFTaQ%3D%3D", "srno07")</f>
        <v/>
      </c>
      <c r="C9" t="inlineStr">
        <is>
          <t>Medical and Health||Director (F.W.) Medical Health and Family Welfare Services</t>
        </is>
      </c>
      <c r="D9" t="inlineStr">
        <is>
          <t>25-May-2025 05:00 PM</t>
        </is>
      </c>
      <c r="E9" t="inlineStr">
        <is>
          <t>12,00,000</t>
        </is>
      </c>
      <c r="F9" t="inlineStr">
        <is>
          <t>canteen work in shree sanwaliya ji hospital chittorgarh</t>
        </is>
      </c>
      <c r="G9" t="inlineStr">
        <is>
          <t>chittorgarh</t>
        </is>
      </c>
    </row>
    <row r="10">
      <c r="A10" s="1" t="n">
        <v>8</v>
      </c>
      <c r="B10">
        <f>HYPERLINK("https://eproc.rajasthan.gov.in/nicgep/app?component=%24DirectLink&amp;page=FrontEndViewTender&amp;service=direct&amp;session=T&amp;sp=SgqSZRo84pXyWqo0SyVJeYw%3D%3D", "srno06")</f>
        <v/>
      </c>
      <c r="C10" t="inlineStr">
        <is>
          <t>Medical and Health||Director (F.W.) Medical Health and Family Welfare Services</t>
        </is>
      </c>
      <c r="D10" t="inlineStr">
        <is>
          <t>25-May-2025 05:00 PM</t>
        </is>
      </c>
      <c r="E10" t="inlineStr">
        <is>
          <t>45,00,000</t>
        </is>
      </c>
      <c r="F10" t="inlineStr">
        <is>
          <t>rate contract for sale fresh frozen plasma</t>
        </is>
      </c>
      <c r="G10" t="inlineStr">
        <is>
          <t>chittorgarh</t>
        </is>
      </c>
    </row>
    <row r="11">
      <c r="A11" s="1" t="n">
        <v>9</v>
      </c>
      <c r="B11">
        <f>HYPERLINK("https://eproc.rajasthan.gov.in/nicgep/app?component=%24DirectLink&amp;page=FrontEndViewTender&amp;service=direct&amp;session=T&amp;sp=Su7wT3Rvem0NrPPx9e0hDoQ%3D%3D", "srno05")</f>
        <v/>
      </c>
      <c r="C11" t="inlineStr">
        <is>
          <t>Medical and Health||Director (F.W.) Medical Health and Family Welfare Services</t>
        </is>
      </c>
      <c r="D11" t="inlineStr">
        <is>
          <t>25-May-2025 05:00 PM</t>
        </is>
      </c>
      <c r="E11" t="inlineStr">
        <is>
          <t>40,00,000</t>
        </is>
      </c>
      <c r="F11" t="inlineStr">
        <is>
          <t>medicine and surjical items supply in shree sanwliya ji hospital chittorgarh</t>
        </is>
      </c>
      <c r="G11" t="inlineStr">
        <is>
          <t>chittorgarh</t>
        </is>
      </c>
    </row>
    <row r="12">
      <c r="A12" s="1" t="n">
        <v>10</v>
      </c>
      <c r="B12">
        <f>HYPERLINK("https://eproc.rajasthan.gov.in/nicgep/app?component=%24DirectLink&amp;page=FrontEndViewTender&amp;service=direct&amp;session=T&amp;sp=SXZnt%2B4rMJaawx19ab2%2BYTQ%3D%3D", "srno03")</f>
        <v/>
      </c>
      <c r="C12" t="inlineStr">
        <is>
          <t>Medical and Health||Director (F.W.) Medical Health and Family Welfare Services</t>
        </is>
      </c>
      <c r="D12" t="inlineStr">
        <is>
          <t>25-May-2025 05:00 PM</t>
        </is>
      </c>
      <c r="E12" t="inlineStr">
        <is>
          <t>53,00,000</t>
        </is>
      </c>
      <c r="F12" t="inlineStr">
        <is>
          <t>security guard sevices in shree sanwaliya ji hospital chittorgarh</t>
        </is>
      </c>
      <c r="G12" t="inlineStr">
        <is>
          <t>chittorgarh</t>
        </is>
      </c>
    </row>
    <row r="13">
      <c r="A13" s="1" t="n">
        <v>11</v>
      </c>
      <c r="B13">
        <f>HYPERLINK("https://eproc.rajasthan.gov.in/nicgep/app?component=%24DirectLink&amp;page=FrontEndViewTender&amp;service=direct&amp;session=T&amp;sp=SuDwWHhEupptKH%2BMThcfBhA%3D%3D", "supplire of manpower in janta clinic kotputli")</f>
        <v/>
      </c>
      <c r="C13" t="inlineStr">
        <is>
          <t>Medical and Health||Director (F.W.) Medical Health and Family Welfare Services</t>
        </is>
      </c>
      <c r="D13" t="inlineStr">
        <is>
          <t>06-Jun-2025 10:00 AM</t>
        </is>
      </c>
      <c r="E13" t="inlineStr">
        <is>
          <t>1,80,00,000</t>
        </is>
      </c>
      <c r="F13" t="inlineStr">
        <is>
          <t>supplire of manpower in janta clinic kotputli</t>
        </is>
      </c>
      <c r="G13" t="inlineStr">
        <is>
          <t>kotputli</t>
        </is>
      </c>
    </row>
    <row r="14">
      <c r="A14" s="1" t="n">
        <v>12</v>
      </c>
      <c r="B14">
        <f>HYPERLINK("https://eproc.rajasthan.gov.in/nicgep/app?component=%24DirectLink&amp;page=FrontEndViewTender&amp;service=direct&amp;session=T&amp;sp=SEhgaRBFP3f3VYB2Hc1UStQ%3D%3D", "srno02")</f>
        <v/>
      </c>
      <c r="C14" t="inlineStr">
        <is>
          <t>Medical and Health||Director (F.W.) Medical Health and Family Welfare Services</t>
        </is>
      </c>
      <c r="D14" t="inlineStr">
        <is>
          <t>25-May-2025 05:00 PM</t>
        </is>
      </c>
      <c r="E14" t="inlineStr">
        <is>
          <t>34,00,000</t>
        </is>
      </c>
      <c r="F14" t="inlineStr">
        <is>
          <t>nursing tutor services work</t>
        </is>
      </c>
      <c r="G14" t="inlineStr">
        <is>
          <t>chittorgarh</t>
        </is>
      </c>
    </row>
    <row r="15">
      <c r="A15" s="1" t="n">
        <v>13</v>
      </c>
      <c r="B15">
        <f>HYPERLINK("https://eproc.rajasthan.gov.in/nicgep/app?component=%24DirectLink&amp;page=FrontEndViewTender&amp;service=direct&amp;session=T&amp;sp=SCRnyL%2FYmzviNST8DKLvl8w%3D%3D", "srno04")</f>
        <v/>
      </c>
      <c r="C15" t="inlineStr">
        <is>
          <t>Medical and Health||Director (F.W.) Medical Health and Family Welfare Services</t>
        </is>
      </c>
      <c r="D15" t="inlineStr">
        <is>
          <t>25-May-2025 05:00 PM</t>
        </is>
      </c>
      <c r="E15" t="inlineStr">
        <is>
          <t>60,00,000</t>
        </is>
      </c>
      <c r="F15" t="inlineStr">
        <is>
          <t>MTS services work in shree sanwliya ji hospital chittorgarh</t>
        </is>
      </c>
      <c r="G15" t="inlineStr">
        <is>
          <t>chittorgarh</t>
        </is>
      </c>
    </row>
    <row r="16">
      <c r="A16" s="1" t="n">
        <v>14</v>
      </c>
      <c r="B16">
        <f>HYPERLINK("https://eproc.rajasthan.gov.in/nicgep/app?component=%24DirectLink&amp;page=FrontEndViewTender&amp;service=direct&amp;session=T&amp;sp=ScDssV0Deb00RJKcVF%2FFG5w%3D%3D", "SUPPLY OF STATIONERY")</f>
        <v/>
      </c>
      <c r="C16" t="inlineStr">
        <is>
          <t>Medical and Health||Director (F.W.) Medical Health and Family Welfare Services</t>
        </is>
      </c>
      <c r="D16" t="inlineStr">
        <is>
          <t>27-May-2025 03:00 PM</t>
        </is>
      </c>
      <c r="E16" t="inlineStr">
        <is>
          <t>4,00,000</t>
        </is>
      </c>
      <c r="F16" t="inlineStr">
        <is>
          <t>SUPPLY OF STATIONERY</t>
        </is>
      </c>
      <c r="G16" t="inlineStr">
        <is>
          <t>KOTA</t>
        </is>
      </c>
    </row>
    <row r="17">
      <c r="A17" s="1" t="n">
        <v>15</v>
      </c>
      <c r="B17">
        <f>HYPERLINK("https://eproc.rajasthan.gov.in/nicgep/app?component=%24DirectLink&amp;page=FrontEndViewTender&amp;service=direct&amp;session=T&amp;sp=S%2B8yMjy8DEh%2FFti9GWRWQMg%3D%3D", "FOOD ARRANGMENT , TRAINING HALL AND PROJECTOR WITH SOUND SYSTEM")</f>
        <v/>
      </c>
      <c r="C17" t="inlineStr">
        <is>
          <t>Medical and Health||Director (F.W.) Medical Health and Family Welfare Services</t>
        </is>
      </c>
      <c r="D17" t="inlineStr">
        <is>
          <t>27-May-2025 03:00 PM</t>
        </is>
      </c>
      <c r="E17" t="inlineStr">
        <is>
          <t>9,00,000</t>
        </is>
      </c>
      <c r="F17" t="inlineStr">
        <is>
          <t>FOOD ARRANGMENT , TRAINING HALL AND PROJECTOR WITH SOUND SYSTEM</t>
        </is>
      </c>
      <c r="G17" t="inlineStr">
        <is>
          <t>KOTA</t>
        </is>
      </c>
    </row>
    <row r="18">
      <c r="A18" s="1" t="n">
        <v>16</v>
      </c>
      <c r="B18">
        <f>HYPERLINK("https://eproc.rajasthan.gov.in/nicgep/app?component=%24DirectLink&amp;page=FrontEndViewTender&amp;service=direct&amp;session=T&amp;sp=SHSsc1nOjQ8WlW75KqByHKQ%3D%3D", "PHOTO COPY AND SPIRAL BAINDING WORK")</f>
        <v/>
      </c>
      <c r="C18" t="inlineStr">
        <is>
          <t>Medical and Health||Director (F.W.) Medical Health and Family Welfare Services</t>
        </is>
      </c>
      <c r="D18" t="inlineStr">
        <is>
          <t>27-May-2025 03:00 PM</t>
        </is>
      </c>
      <c r="E18" t="inlineStr">
        <is>
          <t>3,00,000</t>
        </is>
      </c>
      <c r="F18" t="inlineStr">
        <is>
          <t>PHOTO COPY AND SPIRAL BAINDING WORK</t>
        </is>
      </c>
      <c r="G18" t="inlineStr">
        <is>
          <t>KOTA</t>
        </is>
      </c>
    </row>
    <row r="19">
      <c r="A19" s="1" t="n">
        <v>17</v>
      </c>
      <c r="B19">
        <f>HYPERLINK("https://eproc.rajasthan.gov.in/nicgep/app?component=%24DirectLink&amp;page=FrontEndViewTender&amp;service=direct&amp;session=T&amp;sp=SW67gDblglhn%2FBVKQCTrF2g%3D%3D", "Construction of Block Public Health Unit, Block Public Health Laboratory and HMIS Unit at PHC Bagwada (Block Amer), Distt. Jaipur.")</f>
        <v/>
      </c>
      <c r="C19" t="inlineStr">
        <is>
          <t>Medical and Health||Chief Engineer</t>
        </is>
      </c>
      <c r="D19" t="inlineStr">
        <is>
          <t>27-May-2025 06:00 PM</t>
        </is>
      </c>
      <c r="E19" t="inlineStr">
        <is>
          <t>50,60,000</t>
        </is>
      </c>
      <c r="F19" t="inlineStr">
        <is>
          <t>Construction of Block Public Health Unit, Block Public Health Laboratory and HMIS Unit at PHC Bagwada (Block Amer), Distt. Jaipur.</t>
        </is>
      </c>
      <c r="G19" t="inlineStr">
        <is>
          <t>Jaipur</t>
        </is>
      </c>
    </row>
    <row r="20">
      <c r="A20" s="1" t="n">
        <v>18</v>
      </c>
      <c r="B20">
        <f>HYPERLINK("https://eproc.rajasthan.gov.in/nicgep/app?component=%24DirectLink&amp;page=FrontEndViewTender&amp;service=direct&amp;session=T&amp;sp=SpF8xq7dSWIKEfjFwcOTVtQ%3D%3D", "ARRANGMENT OF RESIDANCE")</f>
        <v/>
      </c>
      <c r="C20" t="inlineStr">
        <is>
          <t>Medical and Health||Director (F.W.) Medical Health and Family Welfare Services</t>
        </is>
      </c>
      <c r="D20" t="inlineStr">
        <is>
          <t>27-May-2025 03:00 PM</t>
        </is>
      </c>
      <c r="E20" t="inlineStr">
        <is>
          <t>9,00,000</t>
        </is>
      </c>
      <c r="F20" t="inlineStr">
        <is>
          <t>ARRANGMENT OF RESIDANCE</t>
        </is>
      </c>
      <c r="G20" t="inlineStr">
        <is>
          <t>KOTA</t>
        </is>
      </c>
    </row>
    <row r="21">
      <c r="A21" s="1" t="n">
        <v>19</v>
      </c>
      <c r="B21">
        <f>HYPERLINK("https://eproc.rajasthan.gov.in/nicgep/app?component=%24DirectLink&amp;page=FrontEndViewTender&amp;service=direct&amp;session=T&amp;sp=Sha6X6XUl7ec3%2BDdHSNRgew%3D%3D", "Electrical work in the constructin of Mortuary at Jaipuria Hospital, Distt. Jaipur")</f>
        <v/>
      </c>
      <c r="C21" t="inlineStr">
        <is>
          <t>Medical and Health||Chief Engineer</t>
        </is>
      </c>
      <c r="D21" t="inlineStr">
        <is>
          <t>27-May-2025 06:00 PM</t>
        </is>
      </c>
      <c r="E21" t="inlineStr">
        <is>
          <t>8,19,000</t>
        </is>
      </c>
      <c r="F21" t="inlineStr">
        <is>
          <t>Electrical work in the constructin of Mortuary at Jaipuria Hospital, Distt. Jaipur</t>
        </is>
      </c>
      <c r="G21" t="inlineStr">
        <is>
          <t>Jaipur</t>
        </is>
      </c>
    </row>
    <row r="22">
      <c r="A22" s="1" t="n">
        <v>20</v>
      </c>
      <c r="B22">
        <f>HYPERLINK("https://eproc.rajasthan.gov.in/nicgep/app?component=%24DirectLink&amp;page=FrontEndViewTender&amp;service=direct&amp;session=T&amp;sp=SUKOqr07g5hcjD0rD%2B6n%2BRA%3D%3D", "Construction of Block Public Health Unit, Block Public Health Laboratory and HMIS Unit at PHC Bhavni (Block Andhi), Distt. Jaipur.")</f>
        <v/>
      </c>
      <c r="C22" t="inlineStr">
        <is>
          <t>Medical and Health||Chief Engineer</t>
        </is>
      </c>
      <c r="D22" t="inlineStr">
        <is>
          <t>27-May-2025 06:00 PM</t>
        </is>
      </c>
      <c r="E22" t="inlineStr">
        <is>
          <t>50,60,000</t>
        </is>
      </c>
      <c r="F22" t="inlineStr">
        <is>
          <t>Construction of Block Public Health Unit, Block Public Health Laboratory and HMIS Unit at PHC Bhavni (Block Andhi), Distt. Jaipur.</t>
        </is>
      </c>
      <c r="G22" t="inlineStr">
        <is>
          <t>Jaipur</t>
        </is>
      </c>
    </row>
    <row r="23">
      <c r="A23" s="1" t="n">
        <v>21</v>
      </c>
      <c r="B23">
        <f>HYPERLINK("https://eproc.rajasthan.gov.in/nicgep/app?component=%24DirectLink&amp;page=FrontEndViewTender&amp;service=direct&amp;session=T&amp;sp=SOC0UpQ%2F7BE5epU6wroT%2BKQ%3D%3D", "Construction of New CHC Building at Tatgarh, Distt. Beawar")</f>
        <v/>
      </c>
      <c r="C23" t="inlineStr">
        <is>
          <t>Medical and Health||Chief Engineer</t>
        </is>
      </c>
      <c r="D23" t="inlineStr">
        <is>
          <t>02-Jun-2025 06:00 PM</t>
        </is>
      </c>
      <c r="E23" t="inlineStr">
        <is>
          <t>7,13,50,000</t>
        </is>
      </c>
      <c r="F23" t="inlineStr">
        <is>
          <t>Construction of New CHC Building at Tatgarh, Distt. Beawar</t>
        </is>
      </c>
      <c r="G23" t="inlineStr">
        <is>
          <t>Beawar</t>
        </is>
      </c>
    </row>
    <row r="24">
      <c r="A24" s="1" t="n">
        <v>22</v>
      </c>
      <c r="B24">
        <f>HYPERLINK("https://eproc.rajasthan.gov.in/nicgep/app?component=%24DirectLink&amp;page=FrontEndViewTender&amp;service=direct&amp;session=T&amp;sp=SFpEPX4TfymiLuWNyq0A%2FFQ%3D%3D", "Construction of New CHC Building at Pisangan, Distt. Ajmer")</f>
        <v/>
      </c>
      <c r="C24" t="inlineStr">
        <is>
          <t>Medical and Health||Chief Engineer</t>
        </is>
      </c>
      <c r="D24" t="inlineStr">
        <is>
          <t>02-Jun-2025 06:00 PM</t>
        </is>
      </c>
      <c r="E24" t="inlineStr">
        <is>
          <t>7,13,50,000</t>
        </is>
      </c>
      <c r="F24" t="inlineStr">
        <is>
          <t>Construction of New CHC Building at Pisangan, Distt. Ajmer</t>
        </is>
      </c>
      <c r="G24" t="inlineStr">
        <is>
          <t>Ajmer</t>
        </is>
      </c>
    </row>
    <row r="25">
      <c r="A25" s="1" t="n">
        <v>23</v>
      </c>
      <c r="B25">
        <f>HYPERLINK("https://eproc.rajasthan.gov.in/nicgep/app?component=%24DirectLink&amp;page=FrontEndViewTender&amp;service=direct&amp;session=T&amp;sp=SuHw09HL2U9kMf1E5mgypTA%3D%3D", "Construction of SHC at Tika wali Dhani, (Bandikui), Distt. Dausa")</f>
        <v/>
      </c>
      <c r="C25" t="inlineStr">
        <is>
          <t>Medical and Health||Chief Engineer</t>
        </is>
      </c>
      <c r="D25" t="inlineStr">
        <is>
          <t>25-May-2025 06:00 PM</t>
        </is>
      </c>
      <c r="E25" t="inlineStr">
        <is>
          <t>52,00,000</t>
        </is>
      </c>
      <c r="F25" t="inlineStr">
        <is>
          <t>Construction of SHC at Tika wali Dhani, (Bandikui), Distt. Dausa</t>
        </is>
      </c>
      <c r="G25" t="inlineStr">
        <is>
          <t>DAUSA</t>
        </is>
      </c>
    </row>
    <row r="26">
      <c r="A26" s="1" t="n">
        <v>24</v>
      </c>
      <c r="B26">
        <f>HYPERLINK("https://eproc.rajasthan.gov.in/nicgep/app?component=%24DirectLink&amp;page=FrontEndViewTender&amp;service=direct&amp;session=T&amp;sp=SykXFwZjhJIJgkKNPf2Dy7A%3D%3D", "RATE CONTRACT FOR MAN POWER SUPPLY FOR SDH CHHABRA")</f>
        <v/>
      </c>
      <c r="C26" t="inlineStr">
        <is>
          <t>Medical and Health||Director (F.W.) Medical Health and Family Welfare Services</t>
        </is>
      </c>
      <c r="D26" t="inlineStr">
        <is>
          <t>24-May-2025 02:00 PM</t>
        </is>
      </c>
      <c r="E26" t="inlineStr">
        <is>
          <t>25,00,000</t>
        </is>
      </c>
      <c r="F26" t="inlineStr">
        <is>
          <t>RATE CONTRACT FOR MAN POWER SUPPLY FOR SDH CHHABRA</t>
        </is>
      </c>
      <c r="G26" t="inlineStr">
        <is>
          <t>SDH CHHABRA</t>
        </is>
      </c>
    </row>
    <row r="27">
      <c r="A27" s="1" t="n">
        <v>25</v>
      </c>
      <c r="B27">
        <f>HYPERLINK("https://eproc.rajasthan.gov.in/nicgep/app?component=%24DirectLink&amp;page=FrontEndViewTender&amp;service=direct&amp;session=T&amp;sp=SK5LL%2FTKs2NZE%2Bkv67SwAUg%3D%3D", "Construction of SHC at Jageer Bandikui,(Bandikui) Distt. Dausa")</f>
        <v/>
      </c>
      <c r="C27" t="inlineStr">
        <is>
          <t>Medical and Health||Chief Engineer</t>
        </is>
      </c>
      <c r="D27" t="inlineStr">
        <is>
          <t>25-May-2025 06:00 PM</t>
        </is>
      </c>
      <c r="E27" t="inlineStr">
        <is>
          <t>52,00,000</t>
        </is>
      </c>
      <c r="F27" t="inlineStr">
        <is>
          <t>Construction of SHC at Jageer Bandikui,(Bandikui) Distt. Dausa</t>
        </is>
      </c>
      <c r="G27" t="inlineStr">
        <is>
          <t>DAUSA</t>
        </is>
      </c>
    </row>
    <row r="28">
      <c r="A28" s="1" t="n">
        <v>26</v>
      </c>
      <c r="B28">
        <f>HYPERLINK("https://eproc.rajasthan.gov.in/nicgep/app?component=%24DirectLink&amp;page=FrontEndViewTender&amp;service=direct&amp;session=T&amp;sp=S%2F4dFk3dSDaqKxW63V4%2FA2g%3D%3D", "Construction of New SHC at Kalakhunta, Dist. Banswara. Bud, Head-ABHIM 2021-22")</f>
        <v/>
      </c>
      <c r="C28" t="inlineStr">
        <is>
          <t>Medical and Health||Chief Engineer</t>
        </is>
      </c>
      <c r="D28" t="inlineStr">
        <is>
          <t>27-May-2025 06:00 PM</t>
        </is>
      </c>
      <c r="E28" t="inlineStr">
        <is>
          <t>53,28,000</t>
        </is>
      </c>
      <c r="F28" t="inlineStr">
        <is>
          <t>Construction of New SHC at Kalakhunta, Dist. Banswara. Bud, Head-ABHIM 2021-22</t>
        </is>
      </c>
      <c r="G28" t="inlineStr">
        <is>
          <t>BANSWARA</t>
        </is>
      </c>
    </row>
    <row r="29">
      <c r="A29" s="1" t="n">
        <v>27</v>
      </c>
      <c r="B29">
        <f>HYPERLINK("https://eproc.rajasthan.gov.in/nicgep/app?component=%24DirectLink&amp;page=FrontEndViewTender&amp;service=direct&amp;session=T&amp;sp=SpGcQu0CJwcHyMKmPbdV3Cg%3D%3D", "Construction of New SHC at Ram ka Muna, Dist. Banswara. Bud, Head-ABHIM 2021-22")</f>
        <v/>
      </c>
      <c r="C29" t="inlineStr">
        <is>
          <t>Medical and Health||Chief Engineer</t>
        </is>
      </c>
      <c r="D29" t="inlineStr">
        <is>
          <t>27-May-2025 06:00 PM</t>
        </is>
      </c>
      <c r="E29" t="inlineStr">
        <is>
          <t>53,28,000</t>
        </is>
      </c>
      <c r="F29" t="inlineStr">
        <is>
          <t>Construction of New SHC at Ram ka Muna, Dist. Banswara. Bud, Head-ABHIM 2021-22</t>
        </is>
      </c>
      <c r="G29" t="inlineStr">
        <is>
          <t>BANSWARA</t>
        </is>
      </c>
    </row>
    <row r="30">
      <c r="A30" s="1" t="n">
        <v>28</v>
      </c>
      <c r="B30">
        <f>HYPERLINK("https://eproc.rajasthan.gov.in/nicgep/app?component=%24DirectLink&amp;page=FrontEndViewTender&amp;service=direct&amp;session=T&amp;sp=STqSH%2Fvdq6xweawcssFJnaw%3D%3D", "Construction of New SHC at Barigama, Dist. Banswara. Bud, Head-ABHIM 2021-22")</f>
        <v/>
      </c>
      <c r="C30" t="inlineStr">
        <is>
          <t>Medical and Health||Chief Engineer</t>
        </is>
      </c>
      <c r="D30" t="inlineStr">
        <is>
          <t>27-May-2025 06:00 PM</t>
        </is>
      </c>
      <c r="E30" t="inlineStr">
        <is>
          <t>53,28,000</t>
        </is>
      </c>
      <c r="F30" t="inlineStr">
        <is>
          <t>Construction of New SHC at Barigama, Dist. Banswara. Bud, Head-ABHIM 2021-22</t>
        </is>
      </c>
      <c r="G30" t="inlineStr">
        <is>
          <t>BANSWARA</t>
        </is>
      </c>
    </row>
    <row r="31">
      <c r="A31" s="1" t="n">
        <v>29</v>
      </c>
      <c r="B31">
        <f>HYPERLINK("https://eproc.rajasthan.gov.in/nicgep/app?component=%24DirectLink&amp;page=FrontEndViewTender&amp;service=direct&amp;session=T&amp;sp=S1P3t2OTXSwkhrwcsN1ZQnA%3D%3D", "Construction of New SHC at Biyapada, Dist. Banswara. Bud, Head-ABHIM 2021-22")</f>
        <v/>
      </c>
      <c r="C31" t="inlineStr">
        <is>
          <t>Medical and Health||Chief Engineer</t>
        </is>
      </c>
      <c r="D31" t="inlineStr">
        <is>
          <t>27-May-2025 06:00 PM</t>
        </is>
      </c>
      <c r="E31" t="inlineStr">
        <is>
          <t>53,28,000</t>
        </is>
      </c>
      <c r="F31" t="inlineStr">
        <is>
          <t>Construction of New SHC at Biyapada, Dist. Banswara. Bud, Head-ABHIM 2021-22</t>
        </is>
      </c>
      <c r="G31" t="inlineStr">
        <is>
          <t>BANSWARA</t>
        </is>
      </c>
    </row>
    <row r="32">
      <c r="A32" s="1" t="n">
        <v>30</v>
      </c>
      <c r="B32">
        <f>HYPERLINK("https://eproc.rajasthan.gov.in/nicgep/app?component=%24DirectLink&amp;page=FrontEndViewTender&amp;service=direct&amp;session=T&amp;sp=SLQvh2KIRFJwO1k5yLorgSg%3D%3D", "Construction of New SHC at Khodalim, Dist. Banswara. Bud, Head-ABHIM 2021-22")</f>
        <v/>
      </c>
      <c r="C32" t="inlineStr">
        <is>
          <t>Medical and Health||Chief Engineer</t>
        </is>
      </c>
      <c r="D32" t="inlineStr">
        <is>
          <t>27-May-2025 06:00 PM</t>
        </is>
      </c>
      <c r="E32" t="inlineStr">
        <is>
          <t>53,28,000</t>
        </is>
      </c>
      <c r="F32" t="inlineStr">
        <is>
          <t>Construction of New SHC at Khodalim, Dist. Banswara. Bud, Head-ABHIM 2021-22</t>
        </is>
      </c>
      <c r="G32" t="inlineStr">
        <is>
          <t>BANSWARA</t>
        </is>
      </c>
    </row>
    <row r="33">
      <c r="A33" s="1" t="n">
        <v>31</v>
      </c>
      <c r="B33">
        <f>HYPERLINK("https://eproc.rajasthan.gov.in/nicgep/app?component=%24DirectLink&amp;page=FrontEndViewTender&amp;service=direct&amp;session=T&amp;sp=S%2BYJW1YJbAVmY7RHOn2d3%2Bg%3D%3D", "Construction of New SHC at Chilkari, Dist. Banswara. Bud, Head-ABHIM 2021-22")</f>
        <v/>
      </c>
      <c r="C33" t="inlineStr">
        <is>
          <t>Medical and Health||Chief Engineer</t>
        </is>
      </c>
      <c r="D33" t="inlineStr">
        <is>
          <t>27-May-2025 06:00 PM</t>
        </is>
      </c>
      <c r="E33" t="inlineStr">
        <is>
          <t>53,28,000</t>
        </is>
      </c>
      <c r="F33" t="inlineStr">
        <is>
          <t>Construction of New SHC at Chilkari, Dist. Banswara. Bud, Head-ABHIM 2021-22</t>
        </is>
      </c>
      <c r="G33" t="inlineStr">
        <is>
          <t>BANSWARA</t>
        </is>
      </c>
    </row>
    <row r="34">
      <c r="A34" s="1" t="n">
        <v>32</v>
      </c>
      <c r="B34">
        <f>HYPERLINK("https://eproc.rajasthan.gov.in/nicgep/app?component=%24DirectLink&amp;page=FrontEndViewTender&amp;service=direct&amp;session=T&amp;sp=Sp0edsNDg1Ia5Mv4awc%2FjWA%3D%3D", "Construction of New SHC at Paraheda, Dist. Banswara. Bud, Head-ABHIM 2021-22")</f>
        <v/>
      </c>
      <c r="C34" t="inlineStr">
        <is>
          <t>Medical and Health||Chief Engineer</t>
        </is>
      </c>
      <c r="D34" t="inlineStr">
        <is>
          <t>27-May-2025 06:00 PM</t>
        </is>
      </c>
      <c r="E34" t="inlineStr">
        <is>
          <t>53,28,000</t>
        </is>
      </c>
      <c r="F34" t="inlineStr">
        <is>
          <t>Construction of New SHC at Paraheda, Dist. Banswara. Bud, Head-ABHIM 2021-22</t>
        </is>
      </c>
      <c r="G34" t="inlineStr">
        <is>
          <t>BANSWARA</t>
        </is>
      </c>
    </row>
    <row r="35">
      <c r="A35" s="1" t="n">
        <v>33</v>
      </c>
      <c r="B35">
        <f>HYPERLINK("https://eproc.rajasthan.gov.in/nicgep/app?component=%24DirectLink&amp;page=FrontEndViewTender&amp;service=direct&amp;session=T&amp;sp=SEeJfSTHV2PYmHwhNbHMibA%3D%3D", "Construction of New SHC at Somjipada, Dist. Banswara. Bud, Head-ABHIM 2021-22")</f>
        <v/>
      </c>
      <c r="C35" t="inlineStr">
        <is>
          <t>Medical and Health||Chief Engineer</t>
        </is>
      </c>
      <c r="D35" t="inlineStr">
        <is>
          <t>27-May-2025 06:00 PM</t>
        </is>
      </c>
      <c r="E35" t="inlineStr">
        <is>
          <t>53,28,000</t>
        </is>
      </c>
      <c r="F35" t="inlineStr">
        <is>
          <t>Construction of New SHC at Somjipada, Dist. Banswara. Bud, Head-ABHIM 2021-22</t>
        </is>
      </c>
      <c r="G35" t="inlineStr">
        <is>
          <t>BANSWARA</t>
        </is>
      </c>
    </row>
    <row r="36">
      <c r="A36" s="1" t="n">
        <v>34</v>
      </c>
      <c r="B36">
        <f>HYPERLINK("https://eproc.rajasthan.gov.in/nicgep/app?component=%24DirectLink&amp;page=FrontEndViewTender&amp;service=direct&amp;session=T&amp;sp=STRsmT5ulZV0R0uDnx0C4Gg%3D%3D", "Construction of New SHC at Pindarama, Dist. Banswara. Bud, Head-ABHIM 2021-22")</f>
        <v/>
      </c>
      <c r="C36" t="inlineStr">
        <is>
          <t>Medical and Health||Chief Engineer</t>
        </is>
      </c>
      <c r="D36" t="inlineStr">
        <is>
          <t>27-May-2025 06:00 PM</t>
        </is>
      </c>
      <c r="E36" t="inlineStr">
        <is>
          <t>53,28,000</t>
        </is>
      </c>
      <c r="F36" t="inlineStr">
        <is>
          <t>Construction of New SHC at Pindarama, Dist. Banswara. Bud, Head-ABHIM 2021-22</t>
        </is>
      </c>
      <c r="G36" t="inlineStr">
        <is>
          <t>BANSWARA</t>
        </is>
      </c>
    </row>
    <row r="37">
      <c r="A37" s="1" t="n">
        <v>35</v>
      </c>
      <c r="B37">
        <f>HYPERLINK("https://eproc.rajasthan.gov.in/nicgep/app?component=%24DirectLink&amp;page=FrontEndViewTender&amp;service=direct&amp;session=T&amp;sp=SgStnlZExqzMzrrlDfGizBw%3D%3D", "Construction of New SHC at Itaala, Dist. Banswara. Bud, Head-ABHIM 2021-22")</f>
        <v/>
      </c>
      <c r="C37" t="inlineStr">
        <is>
          <t>Medical and Health||Chief Engineer</t>
        </is>
      </c>
      <c r="D37" t="inlineStr">
        <is>
          <t>27-May-2025 06:00 PM</t>
        </is>
      </c>
      <c r="E37" t="inlineStr">
        <is>
          <t>53,28,000</t>
        </is>
      </c>
      <c r="F37" t="inlineStr">
        <is>
          <t>Construction of New SHC at Itaala, Dist. Banswara. Bud, Head-ABHIM 2021-22</t>
        </is>
      </c>
      <c r="G37" t="inlineStr">
        <is>
          <t>BANSWARA</t>
        </is>
      </c>
    </row>
    <row r="38">
      <c r="A38" s="1" t="n">
        <v>36</v>
      </c>
      <c r="B38">
        <f>HYPERLINK("https://eproc.rajasthan.gov.in/nicgep/app?component=%24DirectLink&amp;page=FrontEndViewTender&amp;service=direct&amp;session=T&amp;sp=SPYqNb0TLmSvSvcre5%2BffPg%3D%3D", "Construction of New SHC at Samagada, Dist. Banswara. Bud, Head-ABHIM 2021-22")</f>
        <v/>
      </c>
      <c r="C38" t="inlineStr">
        <is>
          <t>Medical and Health||Chief Engineer</t>
        </is>
      </c>
      <c r="D38" t="inlineStr">
        <is>
          <t>27-May-2025 06:00 PM</t>
        </is>
      </c>
      <c r="E38" t="inlineStr">
        <is>
          <t>53,28,000</t>
        </is>
      </c>
      <c r="F38" t="inlineStr">
        <is>
          <t>Construction of New SHC at Samagada, Dist. Banswara. Bud, Head-ABHIM 2021-22</t>
        </is>
      </c>
      <c r="G38" t="inlineStr">
        <is>
          <t>BANSWARA</t>
        </is>
      </c>
    </row>
    <row r="39">
      <c r="A39" s="1" t="n">
        <v>37</v>
      </c>
      <c r="B39">
        <f>HYPERLINK("https://eproc.rajasthan.gov.in/nicgep/app?component=%24DirectLink&amp;page=FrontEndViewTender&amp;service=direct&amp;session=T&amp;sp=SN6Qy0Q4RU8dXKrG5ANCNGw%3D%3D", "Construction of New SHC at Aasan, Dist. Banswara. Bud, Head-ABHIM 2021-22")</f>
        <v/>
      </c>
      <c r="C39" t="inlineStr">
        <is>
          <t>Medical and Health||Chief Engineer</t>
        </is>
      </c>
      <c r="D39" t="inlineStr">
        <is>
          <t>27-May-2025 06:00 PM</t>
        </is>
      </c>
      <c r="E39" t="inlineStr">
        <is>
          <t>53,28,000</t>
        </is>
      </c>
      <c r="F39" t="inlineStr">
        <is>
          <t>Construction of New SHC at Aasan, Dist. Banswara. Bud, Head-ABHIM 2021-22</t>
        </is>
      </c>
      <c r="G39" t="inlineStr">
        <is>
          <t>BANSWARA</t>
        </is>
      </c>
    </row>
    <row r="40">
      <c r="A40" s="1" t="n">
        <v>38</v>
      </c>
      <c r="B40">
        <f>HYPERLINK("https://eproc.rajasthan.gov.in/nicgep/app?component=%24DirectLink&amp;page=FrontEndViewTender&amp;service=direct&amp;session=T&amp;sp=SGJUkG8Se1BU3y%2BIC478gXg%3D%3D", "Construction of New SHC at Adoor, Dist. Banswara. Bud, Head-ABHIM 2021-22")</f>
        <v/>
      </c>
      <c r="C40" t="inlineStr">
        <is>
          <t>Medical and Health||Chief Engineer</t>
        </is>
      </c>
      <c r="D40" t="inlineStr">
        <is>
          <t>27-May-2025 06:00 PM</t>
        </is>
      </c>
      <c r="E40" t="inlineStr">
        <is>
          <t>53,28,000</t>
        </is>
      </c>
      <c r="F40" t="inlineStr">
        <is>
          <t>Construction of New SHC at Adoor, Dist. Banswara. Bud, Head-ABHIM 2021-22</t>
        </is>
      </c>
      <c r="G40" t="inlineStr">
        <is>
          <t>BANSWARA</t>
        </is>
      </c>
    </row>
    <row r="41">
      <c r="A41" s="1" t="n">
        <v>39</v>
      </c>
      <c r="B41">
        <f>HYPERLINK("https://eproc.rajasthan.gov.in/nicgep/app?component=%24DirectLink&amp;page=FrontEndViewTender&amp;service=direct&amp;session=T&amp;sp=ScWpV1dwS7gDqw%2B%2B1QogROA%3D%3D", "drug medicine")</f>
        <v/>
      </c>
      <c r="C41" t="inlineStr">
        <is>
          <t>Medical and Health||Director (F.W.) Medical Health and Family Welfare Services</t>
        </is>
      </c>
      <c r="D41" t="inlineStr">
        <is>
          <t>30-May-2025 12:00 PM</t>
        </is>
      </c>
      <c r="E41" t="inlineStr">
        <is>
          <t>98,00,000</t>
        </is>
      </c>
      <c r="F41" t="inlineStr">
        <is>
          <t>drug medicine</t>
        </is>
      </c>
      <c r="G41" t="inlineStr">
        <is>
          <t>DRHS BARMER</t>
        </is>
      </c>
    </row>
    <row r="42">
      <c r="A42" s="1" t="n">
        <v>40</v>
      </c>
      <c r="B42">
        <f>HYPERLINK("https://eproc.rajasthan.gov.in/nicgep/app?component=%24DirectLink&amp;page=FrontEndViewTender&amp;service=direct&amp;session=T&amp;sp=Se9bYzSKedX8CLHp%2BlD90PA%3D%3D", "Sale for fresh Frozen Plasma")</f>
        <v/>
      </c>
      <c r="C42" t="inlineStr">
        <is>
          <t>Medical and Health||MD-NRHM||PD, NRHM||SPM, NRHM</t>
        </is>
      </c>
      <c r="D42" t="inlineStr">
        <is>
          <t>26-May-2025 05:00 PM</t>
        </is>
      </c>
      <c r="E42" t="inlineStr">
        <is>
          <t>28,00,000</t>
        </is>
      </c>
      <c r="F42" t="inlineStr">
        <is>
          <t>Sale for fresh Frozen Plasma</t>
        </is>
      </c>
      <c r="G42" t="inlineStr">
        <is>
          <t>PMO BDK HOSPITAL JHUNJHUNU</t>
        </is>
      </c>
    </row>
    <row r="43">
      <c r="A43" s="1" t="n">
        <v>41</v>
      </c>
      <c r="B43">
        <f>HYPERLINK("https://eproc.rajasthan.gov.in/nicgep/app?component=%24DirectLink&amp;page=FrontEndViewTender&amp;service=direct&amp;session=T&amp;sp=S8ukl3WJ954TsSNFHVnVsCA%3D%3D", "Construction of New CHC at Bawri Khurd, District Jodhpur")</f>
        <v/>
      </c>
      <c r="C43" t="inlineStr">
        <is>
          <t>Medical and Health||Chief Engineer</t>
        </is>
      </c>
      <c r="D43" t="inlineStr">
        <is>
          <t>02-Jun-2025 06:00 PM</t>
        </is>
      </c>
      <c r="E43" t="inlineStr">
        <is>
          <t>4,23,00,000</t>
        </is>
      </c>
      <c r="F43" t="inlineStr">
        <is>
          <t>Construction of New CHC at Bawri Khurd, District Jodhpur</t>
        </is>
      </c>
      <c r="G43" t="inlineStr">
        <is>
          <t>Phalodi</t>
        </is>
      </c>
    </row>
    <row r="44">
      <c r="A44" s="1" t="n">
        <v>42</v>
      </c>
      <c r="B44">
        <f>HYPERLINK("https://eproc.rajasthan.gov.in/nicgep/app?component=%24DirectLink&amp;page=FrontEndViewTender&amp;service=direct&amp;session=T&amp;sp=SH9AXLmpokIoUktDXdis9pQ%3D%3D", "Construction of New SHC at Mahuaala, Dist. Banswara. Bud Head-ABHIM 2021-22")</f>
        <v/>
      </c>
      <c r="C44" t="inlineStr">
        <is>
          <t>Medical and Health||Chief Engineer</t>
        </is>
      </c>
      <c r="D44" t="inlineStr">
        <is>
          <t>26-May-2025 06:00 PM</t>
        </is>
      </c>
      <c r="E44" t="inlineStr">
        <is>
          <t>53,28,000</t>
        </is>
      </c>
      <c r="F44" t="inlineStr">
        <is>
          <t>Construction of New SHC at Mahuaala, Dist. Banswara. Bud Head-ABHIM 2021-22</t>
        </is>
      </c>
      <c r="G44" t="inlineStr">
        <is>
          <t>BANSWARA</t>
        </is>
      </c>
    </row>
    <row r="45">
      <c r="A45" s="1" t="n">
        <v>43</v>
      </c>
      <c r="B45">
        <f>HYPERLINK("https://eproc.rajasthan.gov.in/nicgep/app?component=%24DirectLink&amp;page=FrontEndViewTender&amp;service=direct&amp;session=T&amp;sp=STfDeWrH%2BgkQ24XLnc7BXyQ%3D%3D", "Construction of New SHC at Tamatiya Rathor, Dist. Banswara. Bud Head-ABHIM 2021-22")</f>
        <v/>
      </c>
      <c r="C45" t="inlineStr">
        <is>
          <t>Medical and Health||Chief Engineer</t>
        </is>
      </c>
      <c r="D45" t="inlineStr">
        <is>
          <t>26-May-2025 06:00 PM</t>
        </is>
      </c>
      <c r="E45" t="inlineStr">
        <is>
          <t>53,28,000</t>
        </is>
      </c>
      <c r="F45" t="inlineStr">
        <is>
          <t>Construction of New SHC at Tamatiya Rathor, Dist. Banswara. Bud Head-ABHIM 2021-22</t>
        </is>
      </c>
      <c r="G45" t="inlineStr">
        <is>
          <t>BANSWARA</t>
        </is>
      </c>
    </row>
    <row r="46">
      <c r="A46" s="1" t="n">
        <v>44</v>
      </c>
      <c r="B46">
        <f>HYPERLINK("https://eproc.rajasthan.gov.in/nicgep/app?component=%24DirectLink&amp;page=FrontEndViewTender&amp;service=direct&amp;session=T&amp;sp=SwtdMZBEJSwchgh3Rs8%2BK0Q%3D%3D", "Construction of New SHC at Kuwaliya, Dist. Banswara. Bud Head-ABHIM 2021-22")</f>
        <v/>
      </c>
      <c r="C46" t="inlineStr">
        <is>
          <t>Medical and Health||Chief Engineer</t>
        </is>
      </c>
      <c r="D46" t="inlineStr">
        <is>
          <t>26-May-2025 06:00 PM</t>
        </is>
      </c>
      <c r="E46" t="inlineStr">
        <is>
          <t>53,28,000</t>
        </is>
      </c>
      <c r="F46" t="inlineStr">
        <is>
          <t>Construction of New SHC at Kuwaliya, Dist. Banswara. Bud Head-ABHIM 2021-22</t>
        </is>
      </c>
      <c r="G46" t="inlineStr">
        <is>
          <t>BANSWARA</t>
        </is>
      </c>
    </row>
    <row r="47">
      <c r="A47" s="1" t="n">
        <v>45</v>
      </c>
      <c r="B47">
        <f>HYPERLINK("https://eproc.rajasthan.gov.in/nicgep/app?component=%24DirectLink&amp;page=FrontEndViewTender&amp;service=direct&amp;session=T&amp;sp=SYAD%2Fwdd2iIWiuqpj%2BvGPKw%3D%3D", "For purchasing X-ray machines and equipment in the hospital")</f>
        <v/>
      </c>
      <c r="C47" t="inlineStr">
        <is>
          <t>Medical and Health||Director (F.W.) Medical Health and Family Welfare Services</t>
        </is>
      </c>
      <c r="D47" t="inlineStr">
        <is>
          <t>21-May-2025 06:00 PM</t>
        </is>
      </c>
      <c r="E47" t="inlineStr">
        <is>
          <t>8,00,000</t>
        </is>
      </c>
      <c r="F47" t="inlineStr">
        <is>
          <t>For purchasing X-ray machines and equipment in the hospital</t>
        </is>
      </c>
      <c r="G47" t="inlineStr">
        <is>
          <t>Office Senior Medical Officer and Member Secretary</t>
        </is>
      </c>
    </row>
    <row r="48">
      <c r="A48" s="1" t="n">
        <v>46</v>
      </c>
      <c r="B48">
        <f>HYPERLINK("https://eproc.rajasthan.gov.in/nicgep/app?component=%24DirectLink&amp;page=FrontEndViewTender&amp;service=direct&amp;session=T&amp;sp=SvgfiZSruuPSBWlR6N3ej7g%3D%3D", "To purchase five part hematology analyzer in the hospital")</f>
        <v/>
      </c>
      <c r="C48" t="inlineStr">
        <is>
          <t>Medical and Health||Director (F.W.) Medical Health and Family Welfare Services</t>
        </is>
      </c>
      <c r="D48" t="inlineStr">
        <is>
          <t>21-May-2025 06:00 PM</t>
        </is>
      </c>
      <c r="E48" t="inlineStr">
        <is>
          <t>7,00,000</t>
        </is>
      </c>
      <c r="F48" t="inlineStr">
        <is>
          <t>To purchase five part haematology analyser in the hospital</t>
        </is>
      </c>
      <c r="G48" t="inlineStr">
        <is>
          <t>Office Senior Medical Officer and Member Secretary</t>
        </is>
      </c>
    </row>
    <row r="49">
      <c r="A49" s="1" t="n">
        <v>47</v>
      </c>
      <c r="B49">
        <f>HYPERLINK("https://eproc.rajasthan.gov.in/nicgep/app?component=%24DirectLink&amp;page=FrontEndViewTender&amp;service=direct&amp;session=T&amp;sp=SVYPniN8lexmjGAlsWU%2Bg7A%3D%3D", "To purchase a fully automatic chemistry analyzer in the hospital")</f>
        <v/>
      </c>
      <c r="C49" t="inlineStr">
        <is>
          <t>Medical and Health||Director (F.W.) Medical Health and Family Welfare Services</t>
        </is>
      </c>
      <c r="D49" t="inlineStr">
        <is>
          <t>21-May-2025 06:00 PM</t>
        </is>
      </c>
      <c r="E49" t="inlineStr">
        <is>
          <t>8,00,000</t>
        </is>
      </c>
      <c r="F49" t="inlineStr">
        <is>
          <t>To purchase a fully automatic chemistry analyser in the hospital</t>
        </is>
      </c>
      <c r="G49" t="inlineStr">
        <is>
          <t>Office Senior Medical Officer and Member Secretary</t>
        </is>
      </c>
    </row>
    <row r="50">
      <c r="A50" s="1" t="n">
        <v>48</v>
      </c>
      <c r="B50">
        <f>HYPERLINK("https://eproc.rajasthan.gov.in/nicgep/app?component=%24DirectLink&amp;page=FrontEndViewTender&amp;service=direct&amp;session=T&amp;sp=S4UvOIiIf8sj%2BdSMt6KJKGQ%3D%3D", "Construction of SHC Building at Ranasar Bikan P.s Sardarshahar Distt. Churu. S No.2")</f>
        <v/>
      </c>
      <c r="C50" t="inlineStr">
        <is>
          <t>Medical and Health||Chief Engineer</t>
        </is>
      </c>
      <c r="D50" t="inlineStr">
        <is>
          <t>22-May-2025 06:00 PM</t>
        </is>
      </c>
      <c r="E50" t="inlineStr">
        <is>
          <t>48,50,000</t>
        </is>
      </c>
      <c r="F50" t="inlineStr">
        <is>
          <t>Construction of SHC Building at Ranasar Bikan P.s Sardarshahar Distt. Churu. S No.2</t>
        </is>
      </c>
      <c r="G50" t="inlineStr">
        <is>
          <t>Churu</t>
        </is>
      </c>
    </row>
    <row r="51">
      <c r="A51" s="1" t="n">
        <v>49</v>
      </c>
      <c r="B51">
        <f>HYPERLINK("https://eproc.rajasthan.gov.in/nicgep/app?component=%24DirectLink&amp;page=FrontEndViewTender&amp;service=direct&amp;session=T&amp;sp=S2gutRK76RV%2BFLPehF%2BXXPg%3D%3D", "Construction of SHC Building at Dhani Kalera P.s Bidasar Distt. Churu. S No. 02")</f>
        <v/>
      </c>
      <c r="C51" t="inlineStr">
        <is>
          <t>Medical and Health||Chief Engineer</t>
        </is>
      </c>
      <c r="D51" t="inlineStr">
        <is>
          <t>22-May-2025 06:00 PM</t>
        </is>
      </c>
      <c r="E51" t="inlineStr">
        <is>
          <t>48,50,000</t>
        </is>
      </c>
      <c r="F51" t="inlineStr">
        <is>
          <t>Construction of SHC Building at Dhani Kalera P.s Bidasar Distt. Churu. S No. 02</t>
        </is>
      </c>
      <c r="G51" t="inlineStr">
        <is>
          <t>Churu</t>
        </is>
      </c>
    </row>
    <row r="52">
      <c r="A52" s="1" t="n">
        <v>50</v>
      </c>
      <c r="B52">
        <f>HYPERLINK("https://eproc.rajasthan.gov.in/nicgep/app?component=%24DirectLink&amp;page=FrontEndViewTender&amp;service=direct&amp;session=T&amp;sp=SMgXIcaOIIkJTde6pkviq4w%3D%3D", "MANAV SANSDHAN")</f>
        <v/>
      </c>
      <c r="C52" t="inlineStr">
        <is>
          <t>Medical and Health||Director (F.W.) Medical Health and Family Welfare Services</t>
        </is>
      </c>
      <c r="D52" t="inlineStr">
        <is>
          <t>05-Jun-2025 06:00 PM</t>
        </is>
      </c>
      <c r="E52" t="inlineStr">
        <is>
          <t>2,00,00,000</t>
        </is>
      </c>
      <c r="F52" t="inlineStr">
        <is>
          <t>MANAV SANSDHAN</t>
        </is>
      </c>
      <c r="G52" t="inlineStr">
        <is>
          <t>DHOLPUR</t>
        </is>
      </c>
    </row>
    <row r="53">
      <c r="A53" s="1" t="n">
        <v>51</v>
      </c>
      <c r="B53">
        <f>HYPERLINK("https://eproc.rajasthan.gov.in/nicgep/app?component=%24DirectLink&amp;page=FrontEndViewTender&amp;service=direct&amp;session=T&amp;sp=S0Kl5tSVNesvoS%2Fk8uiGB4w%3D%3D", "For annual tender for purchase of surgical equipment and replacement for treatment of patients under MAAY/other scheme")</f>
        <v/>
      </c>
      <c r="C53" t="inlineStr">
        <is>
          <t>Medical and Health||Director (F.W.) Medical Health and Family Welfare Services</t>
        </is>
      </c>
      <c r="D53" t="inlineStr">
        <is>
          <t>26-May-2025 05:00 PM</t>
        </is>
      </c>
      <c r="E53" t="inlineStr">
        <is>
          <t>35,00,000</t>
        </is>
      </c>
      <c r="F53" t="inlineStr">
        <is>
          <t>For annual tender for purchase of surgical equipment and replacement for treatment of patients under MAAY/other scheme</t>
        </is>
      </c>
      <c r="G53" t="inlineStr">
        <is>
          <t>Medical Superintendent, Govt. D.B. Hospital Churu</t>
        </is>
      </c>
    </row>
    <row r="54">
      <c r="A54" s="1" t="n">
        <v>52</v>
      </c>
      <c r="B54">
        <f>HYPERLINK("https://eproc.rajasthan.gov.in/nicgep/app?component=%24DirectLink&amp;page=FrontEndViewTender&amp;service=direct&amp;session=T&amp;sp=SSdC6z1DyPpOoi6KvvizZfg%3D%3D", "Construction of PHC With MO Qtr at PHC Atari - Distt. Bharatpur")</f>
        <v/>
      </c>
      <c r="C54" t="inlineStr">
        <is>
          <t>Medical and Health||Chief Engineer</t>
        </is>
      </c>
      <c r="D54" t="inlineStr">
        <is>
          <t>28-May-2025 06:00 PM</t>
        </is>
      </c>
      <c r="E54" t="inlineStr">
        <is>
          <t>1,35,00,000</t>
        </is>
      </c>
      <c r="F54" t="inlineStr">
        <is>
          <t>Construction of PHC With MO Qtr at PHC Atari - Distt. Bharatpur</t>
        </is>
      </c>
      <c r="G54" t="inlineStr">
        <is>
          <t>Bharatpur</t>
        </is>
      </c>
    </row>
    <row r="55">
      <c r="A55" s="1" t="n">
        <v>53</v>
      </c>
      <c r="B55">
        <f>HYPERLINK("https://eproc.rajasthan.gov.in/nicgep/app?component=%24DirectLink&amp;page=FrontEndViewTender&amp;service=direct&amp;session=T&amp;sp=SpKiSNMHZSC1CDkrMUTsP8w%3D%3D", "FOOD ARRENGMENTS IN TRAINING")</f>
        <v/>
      </c>
      <c r="C55" t="inlineStr">
        <is>
          <t>Medical and Health||Director (F.W.) Medical Health and Family Welfare Services</t>
        </is>
      </c>
      <c r="D55" t="inlineStr">
        <is>
          <t>03-Jun-2025 03:00 PM</t>
        </is>
      </c>
      <c r="E55" t="inlineStr">
        <is>
          <t>50,00,000</t>
        </is>
      </c>
      <c r="F55" t="inlineStr">
        <is>
          <t>FOOD ARRENGMENTS IN TRAINING</t>
        </is>
      </c>
      <c r="G55" t="inlineStr">
        <is>
          <t>BEAWAR</t>
        </is>
      </c>
    </row>
    <row r="56">
      <c r="A56" s="1" t="n">
        <v>54</v>
      </c>
      <c r="B56">
        <f>HYPERLINK("https://eproc.rajasthan.gov.in/nicgep/app?component=%24DirectLink&amp;page=FrontEndViewTender&amp;service=direct&amp;session=T&amp;sp=SR88MznLjGYzCLLtIX8JcGA%3D%3D", "BOARDING ARRENGMENTS IN TRAINING")</f>
        <v/>
      </c>
      <c r="C56" t="inlineStr">
        <is>
          <t>Medical and Health||Director (F.W.) Medical Health and Family Welfare Services</t>
        </is>
      </c>
      <c r="D56" t="inlineStr">
        <is>
          <t>03-Jun-2025 03:00 PM</t>
        </is>
      </c>
      <c r="E56" t="inlineStr">
        <is>
          <t>50,00,000</t>
        </is>
      </c>
      <c r="F56" t="inlineStr">
        <is>
          <t>BOARDING ARRENGMENTS IN TRAINING</t>
        </is>
      </c>
      <c r="G56" t="inlineStr">
        <is>
          <t>BEAWAR</t>
        </is>
      </c>
    </row>
    <row r="57">
      <c r="A57" s="1" t="n">
        <v>55</v>
      </c>
      <c r="B57">
        <f>HYPERLINK("https://eproc.rajasthan.gov.in/nicgep/app?component=%24DirectLink&amp;page=FrontEndViewTender&amp;service=direct&amp;session=T&amp;sp=SH2AmC9L3nByyZ0bzsyguFw%3D%3D", "PRINTING WORK")</f>
        <v/>
      </c>
      <c r="C57" t="inlineStr">
        <is>
          <t>Medical and Health||Director (F.W.) Medical Health and Family Welfare Services</t>
        </is>
      </c>
      <c r="D57" t="inlineStr">
        <is>
          <t>03-Jun-2025 03:00 PM</t>
        </is>
      </c>
      <c r="E57" t="inlineStr">
        <is>
          <t>50,00,000</t>
        </is>
      </c>
      <c r="F57" t="inlineStr">
        <is>
          <t>PRINTING WORK</t>
        </is>
      </c>
      <c r="G57" t="inlineStr">
        <is>
          <t>BEAWAR</t>
        </is>
      </c>
    </row>
    <row r="58">
      <c r="A58" s="1" t="n">
        <v>56</v>
      </c>
      <c r="B58">
        <f>HYPERLINK("https://eproc.rajasthan.gov.in/nicgep/app?component=%24DirectLink&amp;page=FrontEndViewTender&amp;service=direct&amp;session=T&amp;sp=SIWASjIGHNE6d6hklAvK00Q%3D%3D", "supply of othorpedic Implant")</f>
        <v/>
      </c>
      <c r="C58" t="inlineStr">
        <is>
          <t>Medical and Health||Director (F.W.) Medical Health and Family Welfare Services</t>
        </is>
      </c>
      <c r="D58" t="inlineStr">
        <is>
          <t>22-May-2025 06:00 PM</t>
        </is>
      </c>
      <c r="E58" t="inlineStr">
        <is>
          <t>40,00,000</t>
        </is>
      </c>
      <c r="F58" t="inlineStr">
        <is>
          <t>supply of othorpedic Implant in PMO RK Hospital Rajsamand</t>
        </is>
      </c>
      <c r="G58" t="inlineStr">
        <is>
          <t>PMO RK Hospital Rajsamand</t>
        </is>
      </c>
    </row>
    <row r="59">
      <c r="A59" s="1" t="n">
        <v>57</v>
      </c>
      <c r="B59">
        <f>HYPERLINK("https://eproc.rajasthan.gov.in/nicgep/app?component=%24DirectLink&amp;page=FrontEndViewTender&amp;service=direct&amp;session=T&amp;sp=SGQs3n66d2Mp60RD1QqedqA%3D%3D", "Supply of Bio medical waste collection bags")</f>
        <v/>
      </c>
      <c r="C59" t="inlineStr">
        <is>
          <t>Medical and Health||Director (F.W.) Medical Health and Family Welfare Services</t>
        </is>
      </c>
      <c r="D59" t="inlineStr">
        <is>
          <t>22-May-2025 06:00 PM</t>
        </is>
      </c>
      <c r="E59" t="inlineStr">
        <is>
          <t>20,00,000</t>
        </is>
      </c>
      <c r="F59" t="inlineStr">
        <is>
          <t>Supply of Bio medical waste collection bags at RK hospital Dist Rajsamnad</t>
        </is>
      </c>
      <c r="G59" t="inlineStr">
        <is>
          <t>PMO Rk Hospital Dist Rajsamand</t>
        </is>
      </c>
    </row>
    <row r="60">
      <c r="A60" s="1" t="n">
        <v>58</v>
      </c>
      <c r="B60">
        <f>HYPERLINK("https://eproc.rajasthan.gov.in/nicgep/app?component=%24DirectLink&amp;page=FrontEndViewTender&amp;service=direct&amp;session=T&amp;sp=Soa%2FhQvm9lN7H5rLh8Wdesg%3D%3D", "C ARM MACHINE FOR ORTHOPADIC X RAY")</f>
        <v/>
      </c>
      <c r="C60" t="inlineStr">
        <is>
          <t>Medical and Health||MD-NRHM||PD, NRHM||SPM, NRHM</t>
        </is>
      </c>
      <c r="D60" t="inlineStr">
        <is>
          <t>22-May-2025 02:00 PM</t>
        </is>
      </c>
      <c r="E60" t="inlineStr">
        <is>
          <t>15,00,000</t>
        </is>
      </c>
      <c r="F60" t="inlineStr">
        <is>
          <t>C ARM MACHINE FOR ORTHOPADIC X RAY</t>
        </is>
      </c>
      <c r="G60" t="inlineStr">
        <is>
          <t>BARAN</t>
        </is>
      </c>
    </row>
    <row r="61">
      <c r="A61" s="1" t="n">
        <v>59</v>
      </c>
      <c r="B61">
        <f>HYPERLINK("https://eproc.rajasthan.gov.in/nicgep/app?component=%24DirectLink&amp;page=FrontEndViewTender&amp;service=direct&amp;session=T&amp;sp=S9nm7HDI5tm0knszoooTQfg%3D%3D", "ALS BLS AMBULANCE")</f>
        <v/>
      </c>
      <c r="C61" t="inlineStr">
        <is>
          <t>Medical and Health||MD-NRHM||PD, NRHM||SPM, NRHM</t>
        </is>
      </c>
      <c r="D61" t="inlineStr">
        <is>
          <t>22-May-2025 02:00 PM</t>
        </is>
      </c>
      <c r="E61" t="inlineStr">
        <is>
          <t>87,00,000</t>
        </is>
      </c>
      <c r="F61" t="inlineStr">
        <is>
          <t>ALS BLS AMBULANCE</t>
        </is>
      </c>
      <c r="G61" t="inlineStr">
        <is>
          <t>BARAN</t>
        </is>
      </c>
    </row>
    <row r="62">
      <c r="A62" s="1" t="n">
        <v>60</v>
      </c>
      <c r="B62">
        <f>HYPERLINK("https://eproc.rajasthan.gov.in/nicgep/app?component=%24DirectLink&amp;page=FrontEndViewTender&amp;service=direct&amp;session=T&amp;sp=ST69fzNhWJXowZvMHeKTymw%3D%3D", "SITC of Access Control, CCTV and UPS work at BPHU Laboratary at CHC Sainthal, Distt. Dausa")</f>
        <v/>
      </c>
      <c r="C62" t="inlineStr">
        <is>
          <t>Medical and Health||Chief Engineer</t>
        </is>
      </c>
      <c r="D62" t="inlineStr">
        <is>
          <t>21-May-2025 06:00 PM</t>
        </is>
      </c>
      <c r="E62" t="inlineStr">
        <is>
          <t>7,52,000</t>
        </is>
      </c>
      <c r="F62" t="inlineStr">
        <is>
          <t>SITC of Access Control, CCTV and UPS work at BPHU Laboratary at CHC Sainthal, Distt. Dausa</t>
        </is>
      </c>
      <c r="G62" t="inlineStr">
        <is>
          <t>dausa</t>
        </is>
      </c>
    </row>
    <row r="63">
      <c r="A63" s="1" t="n">
        <v>61</v>
      </c>
      <c r="B63">
        <f>HYPERLINK("https://eproc.rajasthan.gov.in/nicgep/app?component=%24DirectLink&amp;page=FrontEndViewTender&amp;service=direct&amp;session=T&amp;sp=SSVrvhugRqo0Zn5K2mfsbhQ%3D%3D", "SITC of Access Control, CCTV and UPS work at BPHU Laboratary at CHC Mundawar, Distt. Khairthal -Tijara")</f>
        <v/>
      </c>
      <c r="C63" t="inlineStr">
        <is>
          <t>Medical and Health||Chief Engineer</t>
        </is>
      </c>
      <c r="D63" t="inlineStr">
        <is>
          <t>21-May-2025 06:00 PM</t>
        </is>
      </c>
      <c r="E63" t="inlineStr">
        <is>
          <t>7,52,000</t>
        </is>
      </c>
      <c r="F63" t="inlineStr">
        <is>
          <t>SITC of Access Control, CCTV and UPS work at BPHU Laboratary at CHC Mundawar, Distt. Khairthal -Tijara</t>
        </is>
      </c>
      <c r="G63" t="inlineStr">
        <is>
          <t>khairthal-tijara</t>
        </is>
      </c>
    </row>
    <row r="64">
      <c r="A64" s="1" t="n">
        <v>62</v>
      </c>
      <c r="B64">
        <f>HYPERLINK("https://eproc.rajasthan.gov.in/nicgep/app?component=%24DirectLink&amp;page=FrontEndViewTender&amp;service=direct&amp;session=T&amp;sp=SLymzharH%2BjI56MVecPnJmA%3D%3D", "SITC of Access Control, CCTV and UPS work at BPHU Laboratary at Khairhtal Satelltie Hospital, Distt. Khairthal-Tijara")</f>
        <v/>
      </c>
      <c r="C64" t="inlineStr">
        <is>
          <t>Medical and Health||Chief Engineer</t>
        </is>
      </c>
      <c r="D64" t="inlineStr">
        <is>
          <t>21-May-2025 06:00 PM</t>
        </is>
      </c>
      <c r="E64" t="inlineStr">
        <is>
          <t>7,52,000</t>
        </is>
      </c>
      <c r="F64" t="inlineStr">
        <is>
          <t>SITC of Access Control, CCTV and UPS work at BPHU Laboratary at Khairhtal Satelltie Hospital, Distt. Khairthal-Tijara</t>
        </is>
      </c>
      <c r="G64" t="inlineStr">
        <is>
          <t>khairthal-tijara</t>
        </is>
      </c>
    </row>
    <row r="65">
      <c r="A65" s="1" t="n">
        <v>63</v>
      </c>
      <c r="B65">
        <f>HYPERLINK("https://eproc.rajasthan.gov.in/nicgep/app?component=%24DirectLink&amp;page=FrontEndViewTender&amp;service=direct&amp;session=T&amp;sp=SSODK1COBxKcM%2FGRLb9JnNQ%3D%3D", "SITC of Access Control, CCTV and UPS work at BPHU Laboratary at CHC Bibirani, Distt. Khairthal-Tijara")</f>
        <v/>
      </c>
      <c r="C65" t="inlineStr">
        <is>
          <t>Medical and Health||Chief Engineer</t>
        </is>
      </c>
      <c r="D65" t="inlineStr">
        <is>
          <t>21-May-2025 06:00 PM</t>
        </is>
      </c>
      <c r="E65" t="inlineStr">
        <is>
          <t>7,52,000</t>
        </is>
      </c>
      <c r="F65" t="inlineStr">
        <is>
          <t>SITC of Access Control, CCTV and UPS work at BPHU Laboratary at CHC Bibirani, Distt. Khairthal-Tijara</t>
        </is>
      </c>
      <c r="G65" t="inlineStr">
        <is>
          <t>khairthal-tijara</t>
        </is>
      </c>
    </row>
    <row r="66">
      <c r="A66" s="1" t="n">
        <v>64</v>
      </c>
      <c r="B66">
        <f>HYPERLINK("https://eproc.rajasthan.gov.in/nicgep/app?component=%24DirectLink&amp;page=FrontEndViewTender&amp;service=direct&amp;session=T&amp;sp=Sb%2FgJxWUuFO%2BFJWLTsfD5GQ%3D%3D", "Constriction of SHC Mangalwada, Distt Jaipur-II. (ABHIM)")</f>
        <v/>
      </c>
      <c r="C66" t="inlineStr">
        <is>
          <t>Medical and Health||Chief Engineer</t>
        </is>
      </c>
      <c r="D66" t="inlineStr">
        <is>
          <t>22-May-2025 06:00 PM</t>
        </is>
      </c>
      <c r="E66" t="inlineStr">
        <is>
          <t>52,00,000</t>
        </is>
      </c>
      <c r="F66" t="inlineStr">
        <is>
          <t>Constriction of SHC Mangalwada, Distt Jaipur-II. (ABHIM)</t>
        </is>
      </c>
      <c r="G66" t="inlineStr">
        <is>
          <t>Jaipur</t>
        </is>
      </c>
    </row>
    <row r="67">
      <c r="A67" s="1" t="n">
        <v>65</v>
      </c>
      <c r="B67">
        <f>HYPERLINK("https://eproc.rajasthan.gov.in/nicgep/app?component=%24DirectLink&amp;page=FrontEndViewTender&amp;service=direct&amp;session=T&amp;sp=S8gpnFMEIU7eDiRUgTFLbuQ%3D%3D", "Constriction of SHC Udrasar,, Distt Deedwana-Kuchaman (ABHIM)")</f>
        <v/>
      </c>
      <c r="C67" t="inlineStr">
        <is>
          <t>Medical and Health||Chief Engineer</t>
        </is>
      </c>
      <c r="D67" t="inlineStr">
        <is>
          <t>22-May-2025 06:00 PM</t>
        </is>
      </c>
      <c r="E67" t="inlineStr">
        <is>
          <t>52,00,000</t>
        </is>
      </c>
      <c r="F67" t="inlineStr">
        <is>
          <t>Constriction of SHC Udrasar,, Distt Deedwana-Kuchaman (ABHIM)</t>
        </is>
      </c>
      <c r="G67" t="inlineStr">
        <is>
          <t>Deedwana-Kuchaman</t>
        </is>
      </c>
    </row>
    <row r="68">
      <c r="A68" s="1" t="n">
        <v>66</v>
      </c>
      <c r="B68">
        <f>HYPERLINK("https://eproc.rajasthan.gov.in/nicgep/app?component=%24DirectLink&amp;page=FrontEndViewTender&amp;service=direct&amp;session=T&amp;sp=SBEryl6pdqIxHlmFXx9mItQ%3D%3D", "Constriction of SHC Kachroda, Distt Jaipur-II. (ABHIM)")</f>
        <v/>
      </c>
      <c r="C68" t="inlineStr">
        <is>
          <t>Medical and Health||Chief Engineer</t>
        </is>
      </c>
      <c r="D68" t="inlineStr">
        <is>
          <t>22-May-2025 06:00 PM</t>
        </is>
      </c>
      <c r="E68" t="inlineStr">
        <is>
          <t>52,00,000</t>
        </is>
      </c>
      <c r="F68" t="inlineStr">
        <is>
          <t>Constriction of SHC Kachroda, Distt Jaipur-II. (ABHIM)</t>
        </is>
      </c>
      <c r="G68" t="inlineStr">
        <is>
          <t>Jaipur</t>
        </is>
      </c>
    </row>
    <row r="69">
      <c r="A69" s="1" t="n">
        <v>67</v>
      </c>
      <c r="B69">
        <f>HYPERLINK("https://eproc.rajasthan.gov.in/nicgep/app?component=%24DirectLink&amp;page=FrontEndViewTender&amp;service=direct&amp;session=T&amp;sp=S%2BlFKKHIfnw9mnI2wYBhjKw%3D%3D", "Constriction of SHC Hachukada, Distt Jaipur-II. (ABHIM)")</f>
        <v/>
      </c>
      <c r="C69" t="inlineStr">
        <is>
          <t>Medical and Health||Chief Engineer</t>
        </is>
      </c>
      <c r="D69" t="inlineStr">
        <is>
          <t>22-May-2025 06:00 PM</t>
        </is>
      </c>
      <c r="E69" t="inlineStr">
        <is>
          <t>52,00,000</t>
        </is>
      </c>
      <c r="F69" t="inlineStr">
        <is>
          <t>Constriction of SHC Hachukada, Distt Jaipur-II. (ABHIM)</t>
        </is>
      </c>
      <c r="G69" t="inlineStr">
        <is>
          <t>Jaipur</t>
        </is>
      </c>
    </row>
    <row r="70">
      <c r="A70" s="1" t="n">
        <v>68</v>
      </c>
      <c r="B70">
        <f>HYPERLINK("https://eproc.rajasthan.gov.in/nicgep/app?component=%24DirectLink&amp;page=FrontEndViewTender&amp;service=direct&amp;session=T&amp;sp=SD47AAxdnNxpFb0U251hpkQ%3D%3D", "Constriction of SHC Dayadi, Distt Jaipur-II (ABHIM)")</f>
        <v/>
      </c>
      <c r="C70" t="inlineStr">
        <is>
          <t>Medical and Health||Chief Engineer</t>
        </is>
      </c>
      <c r="D70" t="inlineStr">
        <is>
          <t>22-May-2025 06:00 PM</t>
        </is>
      </c>
      <c r="E70" t="inlineStr">
        <is>
          <t>52,00,000</t>
        </is>
      </c>
      <c r="F70" t="inlineStr">
        <is>
          <t>Constriction of SHC Dayadi, Distt Jaipur-II (ABHIM)</t>
        </is>
      </c>
      <c r="G70" t="inlineStr">
        <is>
          <t>Jaipur</t>
        </is>
      </c>
    </row>
    <row r="71">
      <c r="A71" s="1" t="n">
        <v>69</v>
      </c>
      <c r="B71">
        <f>HYPERLINK("https://eproc.rajasthan.gov.in/nicgep/app?component=%24DirectLink&amp;page=FrontEndViewTender&amp;service=direct&amp;session=T&amp;sp=S5x6yfsHqMnbroijyynrwZg%3D%3D", "Electrical work in the construction of BPHU Kotkhawda Distt Jaipur.")</f>
        <v/>
      </c>
      <c r="C71" t="inlineStr">
        <is>
          <t>Medical and Health||Chief Engineer</t>
        </is>
      </c>
      <c r="D71" t="inlineStr">
        <is>
          <t>22-May-2025 06:00 PM</t>
        </is>
      </c>
      <c r="E71" t="inlineStr">
        <is>
          <t>22,47,000</t>
        </is>
      </c>
      <c r="F71" t="inlineStr">
        <is>
          <t>Electrical work in the construction of BPHU Kotkhawda Distt Jaipur.</t>
        </is>
      </c>
      <c r="G71" t="inlineStr">
        <is>
          <t>jaipur</t>
        </is>
      </c>
    </row>
    <row r="72">
      <c r="A72" s="1" t="n">
        <v>70</v>
      </c>
      <c r="B72">
        <f>HYPERLINK("https://eproc.rajasthan.gov.in/nicgep/app?component=%24DirectLink&amp;page=FrontEndViewTender&amp;service=direct&amp;session=T&amp;sp=Sz%2FuKLAEw9LDwSwoxWdK17A%3D%3D", "Electrical work in the construction of BPHU Shivdaspura, Distt Jaipur.")</f>
        <v/>
      </c>
      <c r="C72" t="inlineStr">
        <is>
          <t>Medical and Health||Chief Engineer</t>
        </is>
      </c>
      <c r="D72" t="inlineStr">
        <is>
          <t>22-May-2025 06:00 PM</t>
        </is>
      </c>
      <c r="E72" t="inlineStr">
        <is>
          <t>22,47,000</t>
        </is>
      </c>
      <c r="F72" t="inlineStr">
        <is>
          <t>Electrical work in the construction of BPHU Shivdaspura, Distt Jaipur.</t>
        </is>
      </c>
      <c r="G72" t="inlineStr">
        <is>
          <t>jaipur</t>
        </is>
      </c>
    </row>
    <row r="73">
      <c r="A73" s="1" t="n">
        <v>71</v>
      </c>
      <c r="B73">
        <f>HYPERLINK("https://eproc.rajasthan.gov.in/nicgep/app?component=%24DirectLink&amp;page=FrontEndViewTender&amp;service=direct&amp;session=T&amp;sp=S744banR0UHtUAkURhD9GbA%3D%3D", "Constriction of SHC Habaspura, Distt Jaipur-II. (ABHIM)")</f>
        <v/>
      </c>
      <c r="C73" t="inlineStr">
        <is>
          <t>Medical and Health||Chief Engineer</t>
        </is>
      </c>
      <c r="D73" t="inlineStr">
        <is>
          <t>22-May-2025 06:00 PM</t>
        </is>
      </c>
      <c r="E73" t="inlineStr">
        <is>
          <t>52,00,000</t>
        </is>
      </c>
      <c r="F73" t="inlineStr">
        <is>
          <t>Constriction of SHC Habaspura, Distt Jaipur-II. (ABHIM)</t>
        </is>
      </c>
      <c r="G73" t="inlineStr">
        <is>
          <t>Jaipur</t>
        </is>
      </c>
    </row>
    <row r="74">
      <c r="A74" s="1" t="n">
        <v>72</v>
      </c>
      <c r="B74">
        <f>HYPERLINK("https://eproc.rajasthan.gov.in/nicgep/app?component=%24DirectLink&amp;page=FrontEndViewTender&amp;service=direct&amp;session=T&amp;sp=SVM5Tq5%2FX3yrmenSG6YGONw%3D%3D", "Constriction of SHC Nalot, Distt Deedwana-Kuchaman (ABHIM)")</f>
        <v/>
      </c>
      <c r="C74" t="inlineStr">
        <is>
          <t>Medical and Health||Chief Engineer</t>
        </is>
      </c>
      <c r="D74" t="inlineStr">
        <is>
          <t>22-May-2025 06:00 PM</t>
        </is>
      </c>
      <c r="E74" t="inlineStr">
        <is>
          <t>52,00,000</t>
        </is>
      </c>
      <c r="F74" t="inlineStr">
        <is>
          <t>Constriction of SHC Nalot, Distt Deedwana-Kuchaman (ABHIM)</t>
        </is>
      </c>
      <c r="G74" t="inlineStr">
        <is>
          <t>Deedwana-Kuchaman</t>
        </is>
      </c>
    </row>
    <row r="75">
      <c r="A75" s="1" t="n">
        <v>73</v>
      </c>
      <c r="B75">
        <f>HYPERLINK("https://eproc.rajasthan.gov.in/nicgep/app?component=%24DirectLink&amp;page=FrontEndViewTender&amp;service=direct&amp;session=T&amp;sp=SeBTUEnO94p%2B9LS7Gso8UUA%3D%3D", "Constriction of SHC Gokulpura, Distt Jaipur-II. (ABHIM)")</f>
        <v/>
      </c>
      <c r="C75" t="inlineStr">
        <is>
          <t>Medical and Health||Chief Engineer</t>
        </is>
      </c>
      <c r="D75" t="inlineStr">
        <is>
          <t>22-May-2025 06:00 PM</t>
        </is>
      </c>
      <c r="E75" t="inlineStr">
        <is>
          <t>52,00,000</t>
        </is>
      </c>
      <c r="F75" t="inlineStr">
        <is>
          <t>Constriction of SHC Gokulpura, Distt Jaipur-II. (ABHIM)</t>
        </is>
      </c>
      <c r="G75" t="inlineStr">
        <is>
          <t>Jaipur</t>
        </is>
      </c>
    </row>
    <row r="76">
      <c r="A76" s="1" t="n">
        <v>74</v>
      </c>
      <c r="B76">
        <f>HYPERLINK("https://eproc.rajasthan.gov.in/nicgep/app?component=%24DirectLink&amp;page=FrontEndViewTender&amp;service=direct&amp;session=T&amp;sp=SkNjPSqHO8d5tgnvKDvr2Ug%3D%3D", "Constriction of SHC Dugarsi Ka Bas, Distt Jaipur-II. (ABHIM")</f>
        <v/>
      </c>
      <c r="C76" t="inlineStr">
        <is>
          <t>Medical and Health||Chief Engineer</t>
        </is>
      </c>
      <c r="D76" t="inlineStr">
        <is>
          <t>22-May-2025 06:00 PM</t>
        </is>
      </c>
      <c r="E76" t="inlineStr">
        <is>
          <t>52,00,000</t>
        </is>
      </c>
      <c r="F76" t="inlineStr">
        <is>
          <t>Constriction of SHC Dugarsi Ka Bas, Distt Jaipur-II. (ABHIM</t>
        </is>
      </c>
      <c r="G76" t="inlineStr">
        <is>
          <t>Jaipur</t>
        </is>
      </c>
    </row>
    <row r="77">
      <c r="A77" s="1" t="n">
        <v>75</v>
      </c>
      <c r="B77">
        <f>HYPERLINK("https://eproc.rajasthan.gov.in/nicgep/app?component=%24DirectLink&amp;page=FrontEndViewTender&amp;service=direct&amp;session=T&amp;sp=SrKo0Bk%2BQrKcMzXH29DPe9Q%3D%3D", "Elect work in the construction of PHC Govindi, Distt Deedwana-Kuchaman.")</f>
        <v/>
      </c>
      <c r="C77" t="inlineStr">
        <is>
          <t>Medical and Health||Chief Engineer</t>
        </is>
      </c>
      <c r="D77" t="inlineStr">
        <is>
          <t>22-May-2025 06:00 PM</t>
        </is>
      </c>
      <c r="E77" t="inlineStr">
        <is>
          <t>11,21,000</t>
        </is>
      </c>
      <c r="F77" t="inlineStr">
        <is>
          <t>Elect work in the construction of PHC Govindi, Distt Deedwana-Kuchaman.</t>
        </is>
      </c>
      <c r="G77" t="inlineStr">
        <is>
          <t>Deedwana-Kuchaman</t>
        </is>
      </c>
    </row>
    <row r="78">
      <c r="A78" s="1" t="n">
        <v>76</v>
      </c>
      <c r="B78">
        <f>HYPERLINK("https://eproc.rajasthan.gov.in/nicgep/app?component=%24DirectLink&amp;page=FrontEndViewTender&amp;service=direct&amp;session=T&amp;sp=Sf%2F9EK3fn93jQWAs9zka9iQ%3D%3D", "Construction of SHC Meetha Manjra, Distt. Nagaur. (15th FC)")</f>
        <v/>
      </c>
      <c r="C78" t="inlineStr">
        <is>
          <t>Medical and Health||Chief Engineer</t>
        </is>
      </c>
      <c r="D78" t="inlineStr">
        <is>
          <t>22-May-2025 06:00 PM</t>
        </is>
      </c>
      <c r="E78" t="inlineStr">
        <is>
          <t>52,00,000</t>
        </is>
      </c>
      <c r="F78" t="inlineStr">
        <is>
          <t>Construction of SHC Meetha Manjra, Distt. Nagaur. (15th FC)</t>
        </is>
      </c>
      <c r="G78" t="inlineStr">
        <is>
          <t>Nagaur</t>
        </is>
      </c>
    </row>
    <row r="79">
      <c r="A79" s="1" t="n">
        <v>77</v>
      </c>
      <c r="B79">
        <f>HYPERLINK("https://eproc.rajasthan.gov.in/nicgep/app?component=%24DirectLink&amp;page=FrontEndViewTender&amp;service=direct&amp;session=T&amp;sp=SnPDaCHTXbBEDhVvz4JG61g%3D%3D", "Construction of SHC Pawaliya, Distt. Jaipur. (15th FC)")</f>
        <v/>
      </c>
      <c r="C79" t="inlineStr">
        <is>
          <t>Medical and Health||Chief Engineer</t>
        </is>
      </c>
      <c r="D79" t="inlineStr">
        <is>
          <t>22-May-2025 06:00 PM</t>
        </is>
      </c>
      <c r="E79" t="inlineStr">
        <is>
          <t>52,00,000</t>
        </is>
      </c>
      <c r="F79" t="inlineStr">
        <is>
          <t>Construction of SHC Pawaliya, Distt. Jaipur. (15th FC)</t>
        </is>
      </c>
      <c r="G79" t="inlineStr">
        <is>
          <t>Jaipur</t>
        </is>
      </c>
    </row>
    <row r="80">
      <c r="A80" s="1" t="n">
        <v>78</v>
      </c>
      <c r="B80">
        <f>HYPERLINK("https://eproc.rajasthan.gov.in/nicgep/app?component=%24DirectLink&amp;page=FrontEndViewTender&amp;service=direct&amp;session=T&amp;sp=SAr77LvXQt63d6DltI2beow%3D%3D", "Construction of SHC Kabro Ka Bas, Distt. Jaipur. (15th FC)")</f>
        <v/>
      </c>
      <c r="C80" t="inlineStr">
        <is>
          <t>Medical and Health||Chief Engineer</t>
        </is>
      </c>
      <c r="D80" t="inlineStr">
        <is>
          <t>22-May-2025 06:00 PM</t>
        </is>
      </c>
      <c r="E80" t="inlineStr">
        <is>
          <t>52,00,000</t>
        </is>
      </c>
      <c r="F80" t="inlineStr">
        <is>
          <t>Construction of SHC Kabro Ka Bas, Distt. Jaipur. (15th FC)</t>
        </is>
      </c>
      <c r="G80" t="inlineStr">
        <is>
          <t>Jaipur</t>
        </is>
      </c>
    </row>
    <row r="81">
      <c r="A81" s="1" t="n">
        <v>79</v>
      </c>
      <c r="B81">
        <f>HYPERLINK("https://eproc.rajasthan.gov.in/nicgep/app?component=%24DirectLink&amp;page=FrontEndViewTender&amp;service=direct&amp;session=T&amp;sp=SAFd69Igh%2BgZLpTRzw1mqCg%3D%3D", "Construction Work of Sub Health Center at Tundila District Sawai Madhopur")</f>
        <v/>
      </c>
      <c r="C81" t="inlineStr">
        <is>
          <t>Medical and Health||Chief Engineer</t>
        </is>
      </c>
      <c r="D81" t="inlineStr">
        <is>
          <t>21-May-2025 06:00 PM</t>
        </is>
      </c>
      <c r="E81" t="inlineStr">
        <is>
          <t>52,00,000</t>
        </is>
      </c>
      <c r="F81" t="inlineStr">
        <is>
          <t>Construction Work of Sub Health Center at Tundila District Sawai Madhopur</t>
        </is>
      </c>
      <c r="G81" t="inlineStr">
        <is>
          <t>SAWAI MADHOPUR</t>
        </is>
      </c>
    </row>
    <row r="82">
      <c r="A82" s="1" t="n">
        <v>80</v>
      </c>
      <c r="B82">
        <f>HYPERLINK("https://eproc.rajasthan.gov.in/nicgep/app?component=%24DirectLink&amp;page=FrontEndViewTender&amp;service=direct&amp;session=T&amp;sp=SxypXUrHgvPHU0myXsTzNMg%3D%3D", "Construction Work of Sub Health Center at Radhopura District Sawai Madhopur")</f>
        <v/>
      </c>
      <c r="C82" t="inlineStr">
        <is>
          <t>Medical and Health||Chief Engineer</t>
        </is>
      </c>
      <c r="D82" t="inlineStr">
        <is>
          <t>21-May-2025 06:00 PM</t>
        </is>
      </c>
      <c r="E82" t="inlineStr">
        <is>
          <t>52,00,000</t>
        </is>
      </c>
      <c r="F82" t="inlineStr">
        <is>
          <t>Construction Work of Sub Health Center at Radhopura District Sawai Madhopur</t>
        </is>
      </c>
      <c r="G82" t="inlineStr">
        <is>
          <t>SAWAI MADHOPUR</t>
        </is>
      </c>
    </row>
    <row r="83">
      <c r="A83" s="1" t="n">
        <v>81</v>
      </c>
      <c r="B83">
        <f>HYPERLINK("https://eproc.rajasthan.gov.in/nicgep/app?component=%24DirectLink&amp;page=FrontEndViewTender&amp;service=direct&amp;session=T&amp;sp=Sp6VC4ty4jmACT2u4ed36fQ%3D%3D", "Construction Work of Sub Health Center at Saarsala District Bundi")</f>
        <v/>
      </c>
      <c r="C83" t="inlineStr">
        <is>
          <t>Medical and Health||Chief Engineer</t>
        </is>
      </c>
      <c r="D83" t="inlineStr">
        <is>
          <t>21-May-2025 06:00 PM</t>
        </is>
      </c>
      <c r="E83" t="inlineStr">
        <is>
          <t>52,00,000</t>
        </is>
      </c>
      <c r="F83" t="inlineStr">
        <is>
          <t>Construction Work of Sub Health Center at Saarsala District Bundi</t>
        </is>
      </c>
      <c r="G83" t="inlineStr">
        <is>
          <t>Bundi</t>
        </is>
      </c>
    </row>
    <row r="84">
      <c r="A84" s="1" t="n">
        <v>82</v>
      </c>
      <c r="B84">
        <f>HYPERLINK("https://eproc.rajasthan.gov.in/nicgep/app?component=%24DirectLink&amp;page=FrontEndViewTender&amp;service=direct&amp;session=T&amp;sp=SAxmqvAgJYcFFu3cbYwnqYg%3D%3D", "Construction Work of Sub Health Center at Sirsali District Sawai Madhopur")</f>
        <v/>
      </c>
      <c r="C84" t="inlineStr">
        <is>
          <t>Medical and Health||Chief Engineer</t>
        </is>
      </c>
      <c r="D84" t="inlineStr">
        <is>
          <t>21-May-2025 06:00 PM</t>
        </is>
      </c>
      <c r="E84" t="inlineStr">
        <is>
          <t>52,00,000</t>
        </is>
      </c>
      <c r="F84" t="inlineStr">
        <is>
          <t>Construction Work of Sub Health Center at Sirsali District Sawai Madhopur</t>
        </is>
      </c>
      <c r="G84" t="inlineStr">
        <is>
          <t>SAWAI MADHOPUR</t>
        </is>
      </c>
    </row>
    <row r="85">
      <c r="A85" s="1" t="n">
        <v>83</v>
      </c>
      <c r="B85">
        <f>HYPERLINK("https://eproc.rajasthan.gov.in/nicgep/app?component=%24DirectLink&amp;page=FrontEndViewTender&amp;service=direct&amp;session=T&amp;sp=SZeyDdGP4YRwUh9bmSUZ3PQ%3D%3D", "Internal Electrification work IPHL Dholpur Distt. Dholpur")</f>
        <v/>
      </c>
      <c r="C85" t="inlineStr">
        <is>
          <t>Medical and Health||Chief Engineer</t>
        </is>
      </c>
      <c r="D85" t="inlineStr">
        <is>
          <t>28-May-2025 06:00 PM</t>
        </is>
      </c>
      <c r="E85" t="inlineStr">
        <is>
          <t>40,35,000</t>
        </is>
      </c>
      <c r="F85" t="inlineStr">
        <is>
          <t>Internal Electrification work IPHL Dholpur Distt. Dholpur</t>
        </is>
      </c>
      <c r="G85" t="inlineStr">
        <is>
          <t>Dholpur</t>
        </is>
      </c>
    </row>
    <row r="86">
      <c r="A86" s="1" t="n">
        <v>84</v>
      </c>
      <c r="B86">
        <f>HYPERLINK("https://eproc.rajasthan.gov.in/nicgep/app?component=%24DirectLink&amp;page=FrontEndViewTender&amp;service=direct&amp;session=T&amp;sp=SW80eqcweuLPKyktVZnltSg%3D%3D", "SITC of access CCTV and UPS Work at BPHU Rarah Distt. Deeg")</f>
        <v/>
      </c>
      <c r="C86" t="inlineStr">
        <is>
          <t>Medical and Health||Chief Engineer</t>
        </is>
      </c>
      <c r="D86" t="inlineStr">
        <is>
          <t>28-May-2025 06:00 PM</t>
        </is>
      </c>
      <c r="E86" t="inlineStr">
        <is>
          <t>7,53,000</t>
        </is>
      </c>
      <c r="F86" t="inlineStr">
        <is>
          <t>SITC of access CCTV and UPS Work at BPHU Rarah Distt. Deeg</t>
        </is>
      </c>
      <c r="G86" t="inlineStr">
        <is>
          <t>Deeg</t>
        </is>
      </c>
    </row>
    <row r="87">
      <c r="A87" s="1" t="n">
        <v>85</v>
      </c>
      <c r="B87">
        <f>HYPERLINK("https://eproc.rajasthan.gov.in/nicgep/app?component=%24DirectLink&amp;page=FrontEndViewTender&amp;service=direct&amp;session=T&amp;sp=SlwXNoT4bukESgSht63yFxw%3D%3D", "SITC of access CCTV and UPS Work at BPHU Basai Nabab Distt. Dholpur")</f>
        <v/>
      </c>
      <c r="C87" t="inlineStr">
        <is>
          <t>Medical and Health||Chief Engineer</t>
        </is>
      </c>
      <c r="D87" t="inlineStr">
        <is>
          <t>28-May-2025 06:00 PM</t>
        </is>
      </c>
      <c r="E87" t="inlineStr">
        <is>
          <t>7,53,000</t>
        </is>
      </c>
      <c r="F87" t="inlineStr">
        <is>
          <t>SITC of access CCTV and UPS Work at BPHU Basai Nabab Distt. Dholpur</t>
        </is>
      </c>
      <c r="G87" t="inlineStr">
        <is>
          <t>Dholpur</t>
        </is>
      </c>
    </row>
    <row r="88">
      <c r="A88" s="1" t="n">
        <v>86</v>
      </c>
      <c r="B88">
        <f>HYPERLINK("https://eproc.rajasthan.gov.in/nicgep/app?component=%24DirectLink&amp;page=FrontEndViewTender&amp;service=direct&amp;session=T&amp;sp=S6ExuyspQ7aI72nfeQNyk8g%3D%3D", "Construction Work of Sub Health Center at Gudla District Sawai Madhopur")</f>
        <v/>
      </c>
      <c r="C88" t="inlineStr">
        <is>
          <t>Medical and Health||Chief Engineer</t>
        </is>
      </c>
      <c r="D88" t="inlineStr">
        <is>
          <t>21-May-2025 06:00 PM</t>
        </is>
      </c>
      <c r="E88" t="inlineStr">
        <is>
          <t>52,00,000</t>
        </is>
      </c>
      <c r="F88" t="inlineStr">
        <is>
          <t>Construction Work of Sub Health Center at Gudla District Sawai Madhopur</t>
        </is>
      </c>
      <c r="G88" t="inlineStr">
        <is>
          <t>SAWAI MADHOPUR</t>
        </is>
      </c>
    </row>
    <row r="89">
      <c r="A89" s="1" t="n">
        <v>87</v>
      </c>
      <c r="B89">
        <f>HYPERLINK("https://eproc.rajasthan.gov.in/nicgep/app?component=%24DirectLink&amp;page=FrontEndViewTender&amp;service=direct&amp;session=T&amp;sp=SalqGZPKw85Zmho1dw3GUEA%3D%3D", "Construction of SHC Building Kasba Nagar-Distt. Dholpur")</f>
        <v/>
      </c>
      <c r="C89" t="inlineStr">
        <is>
          <t>Medical and Health||Chief Engineer</t>
        </is>
      </c>
      <c r="D89" t="inlineStr">
        <is>
          <t>28-May-2025 06:00 PM</t>
        </is>
      </c>
      <c r="E89" t="inlineStr">
        <is>
          <t>35,00,000</t>
        </is>
      </c>
      <c r="F89" t="inlineStr">
        <is>
          <t>Construction of SHC Building Kasba Nagar-Distt. Dholpur</t>
        </is>
      </c>
      <c r="G89" t="inlineStr">
        <is>
          <t>Dholpur</t>
        </is>
      </c>
    </row>
    <row r="90">
      <c r="A90" s="1" t="n">
        <v>88</v>
      </c>
      <c r="B90">
        <f>HYPERLINK("https://eproc.rajasthan.gov.in/nicgep/app?component=%24DirectLink&amp;page=FrontEndViewTender&amp;service=direct&amp;session=T&amp;sp=SuiEA3ij2EUHW3aCJ%2B%2FABNw%3D%3D", "Manpower Supply")</f>
        <v/>
      </c>
      <c r="C90" t="inlineStr">
        <is>
          <t>Medical and Health||Director (F.W.) Medical Health and Family Welfare Services</t>
        </is>
      </c>
      <c r="D90" t="inlineStr">
        <is>
          <t>23-May-2025 02:00 PM</t>
        </is>
      </c>
      <c r="E90" t="inlineStr">
        <is>
          <t>2,50,00,000</t>
        </is>
      </c>
      <c r="F90" t="inlineStr">
        <is>
          <t>Manpower Supply</t>
        </is>
      </c>
      <c r="G90" t="inlineStr">
        <is>
          <t>CMHO AJMER</t>
        </is>
      </c>
    </row>
    <row r="91">
      <c r="A91" s="1" t="n">
        <v>89</v>
      </c>
      <c r="B91">
        <f>HYPERLINK("https://eproc.rajasthan.gov.in/nicgep/app?component=%24DirectLink&amp;page=FrontEndViewTender&amp;service=direct&amp;session=T&amp;sp=SBnpHdQgiz%2FZCIWOa9Pff%2Bg%3D%3D", "Construction Work of Sub Health Center at Ajanda District Bundi")</f>
        <v/>
      </c>
      <c r="C91" t="inlineStr">
        <is>
          <t>Medical and Health||Chief Engineer</t>
        </is>
      </c>
      <c r="D91" t="inlineStr">
        <is>
          <t>21-May-2025 06:00 PM</t>
        </is>
      </c>
      <c r="E91" t="inlineStr">
        <is>
          <t>52,00,000</t>
        </is>
      </c>
      <c r="F91" t="inlineStr">
        <is>
          <t>Construction Work of Sub Health Center at Ajanda District Bundi</t>
        </is>
      </c>
      <c r="G91" t="inlineStr">
        <is>
          <t>Bundi</t>
        </is>
      </c>
    </row>
    <row r="92">
      <c r="A92" s="1" t="n">
        <v>90</v>
      </c>
      <c r="B92">
        <f>HYPERLINK("https://eproc.rajasthan.gov.in/nicgep/app?component=%24DirectLink&amp;page=FrontEndViewTender&amp;service=direct&amp;session=T&amp;sp=SuI6y09H%2FN2y9sQsjL3nKtw%3D%3D", "Construction Work of Sub Health Center at Himmatpura District Bundi")</f>
        <v/>
      </c>
      <c r="C92" t="inlineStr">
        <is>
          <t>Medical and Health||Chief Engineer</t>
        </is>
      </c>
      <c r="D92" t="inlineStr">
        <is>
          <t>21-May-2025 06:00 PM</t>
        </is>
      </c>
      <c r="E92" t="inlineStr">
        <is>
          <t>52,00,000</t>
        </is>
      </c>
      <c r="F92" t="inlineStr">
        <is>
          <t>Construction Work of Sub Health Center at Himmatpura District Bundi</t>
        </is>
      </c>
      <c r="G92" t="inlineStr">
        <is>
          <t>Bundi</t>
        </is>
      </c>
    </row>
    <row r="93">
      <c r="A93" s="1" t="n">
        <v>91</v>
      </c>
      <c r="B93">
        <f>HYPERLINK("https://eproc.rajasthan.gov.in/nicgep/app?component=%24DirectLink&amp;page=FrontEndViewTender&amp;service=direct&amp;session=T&amp;sp=SENZ93GQIEPJKQq%2FDzOLVyw%3D%3D", "Construction Work of Sub Health Center at Jaysthal District Bundi")</f>
        <v/>
      </c>
      <c r="C93" t="inlineStr">
        <is>
          <t>Medical and Health||Chief Engineer</t>
        </is>
      </c>
      <c r="D93" t="inlineStr">
        <is>
          <t>21-May-2025 06:00 PM</t>
        </is>
      </c>
      <c r="E93" t="inlineStr">
        <is>
          <t>52,00,000</t>
        </is>
      </c>
      <c r="F93" t="inlineStr">
        <is>
          <t>Construction Work of Sub Health Center at Jaysthal District Bundi</t>
        </is>
      </c>
      <c r="G93" t="inlineStr">
        <is>
          <t>Bundi</t>
        </is>
      </c>
    </row>
    <row r="94">
      <c r="A94" s="1" t="n">
        <v>92</v>
      </c>
      <c r="B94">
        <f>HYPERLINK("https://eproc.rajasthan.gov.in/nicgep/app?component=%24DirectLink&amp;page=FrontEndViewTender&amp;service=direct&amp;session=T&amp;sp=SnjT7nU%2BNHnIaV9a4g7QAow%3D%3D", "Internal Electrification work IPHL Karauli Distt. Karauli")</f>
        <v/>
      </c>
      <c r="C94" t="inlineStr">
        <is>
          <t>Medical and Health||Chief Engineer</t>
        </is>
      </c>
      <c r="D94" t="inlineStr">
        <is>
          <t>28-May-2025 06:00 PM</t>
        </is>
      </c>
      <c r="E94" t="inlineStr">
        <is>
          <t>35,00,000</t>
        </is>
      </c>
      <c r="F94" t="inlineStr">
        <is>
          <t>Internal Electrification work IPHL Karauli Distt. Karauli</t>
        </is>
      </c>
      <c r="G94" t="inlineStr">
        <is>
          <t>Karauli</t>
        </is>
      </c>
    </row>
    <row r="95">
      <c r="A95" s="1" t="n">
        <v>93</v>
      </c>
      <c r="B95">
        <f>HYPERLINK("https://eproc.rajasthan.gov.in/nicgep/app?component=%24DirectLink&amp;page=FrontEndViewTender&amp;service=direct&amp;session=T&amp;sp=SPOOesZ%2FbuzAfp1xdOGlRDA%3D%3D", "Construction Work of Sub Health Center at Doongarpatti District Sawai Madhopur")</f>
        <v/>
      </c>
      <c r="C95" t="inlineStr">
        <is>
          <t>Medical and Health||Chief Engineer</t>
        </is>
      </c>
      <c r="D95" t="inlineStr">
        <is>
          <t>21-May-2025 06:00 PM</t>
        </is>
      </c>
      <c r="E95" t="inlineStr">
        <is>
          <t>52,00,000</t>
        </is>
      </c>
      <c r="F95" t="inlineStr">
        <is>
          <t>Construction Work of Sub Health Center at Doongarpatti District Sawai Madhopur</t>
        </is>
      </c>
      <c r="G95" t="inlineStr">
        <is>
          <t>SAWAI MADHOPUR</t>
        </is>
      </c>
    </row>
    <row r="96">
      <c r="A96" s="1" t="n">
        <v>94</v>
      </c>
      <c r="B96">
        <f>HYPERLINK("https://eproc.rajasthan.gov.in/nicgep/app?component=%24DirectLink&amp;page=FrontEndViewTender&amp;service=direct&amp;session=T&amp;sp=SqfcFggB5rByl8IgSe%2FXbwQ%3D%3D", "Construction Work of Sub Health Center at Toda District Sawai Madhopur")</f>
        <v/>
      </c>
      <c r="C96" t="inlineStr">
        <is>
          <t>Medical and Health||Chief Engineer</t>
        </is>
      </c>
      <c r="D96" t="inlineStr">
        <is>
          <t>21-May-2025 06:00 PM</t>
        </is>
      </c>
      <c r="E96" t="inlineStr">
        <is>
          <t>52,00,000</t>
        </is>
      </c>
      <c r="F96" t="inlineStr">
        <is>
          <t>Construction Work of Sub Health Center at Toda District Sawai Madhopur</t>
        </is>
      </c>
      <c r="G96" t="inlineStr">
        <is>
          <t>SAWAI MADHOPUR</t>
        </is>
      </c>
    </row>
    <row r="97">
      <c r="A97" s="1" t="n">
        <v>95</v>
      </c>
      <c r="B97">
        <f>HYPERLINK("https://eproc.rajasthan.gov.in/nicgep/app?component=%24DirectLink&amp;page=FrontEndViewTender&amp;service=direct&amp;session=T&amp;sp=SvRiBDSwOtfhhcVaB3sZdtw%3D%3D", "MANPOWER TENDER")</f>
        <v/>
      </c>
      <c r="C97" t="inlineStr">
        <is>
          <t>Medical and Health||MD-NRHM||PD, NRHM||SPM, NRHM</t>
        </is>
      </c>
      <c r="D97" t="inlineStr">
        <is>
          <t>26-May-2025 02:00 PM</t>
        </is>
      </c>
      <c r="E97" t="inlineStr">
        <is>
          <t>1,76,00,000</t>
        </is>
      </c>
      <c r="F97" t="inlineStr">
        <is>
          <t>MANPOWER SERVICES</t>
        </is>
      </c>
      <c r="G97" t="inlineStr">
        <is>
          <t>BARAN</t>
        </is>
      </c>
    </row>
    <row r="98">
      <c r="A98" s="1" t="n">
        <v>96</v>
      </c>
      <c r="B98">
        <f>HYPERLINK("https://eproc.rajasthan.gov.in/nicgep/app?component=%24DirectLink&amp;page=FrontEndViewTender&amp;service=direct&amp;session=T&amp;sp=SwVsMl%2BAVDvTbVunaG%2BwDrw%3D%3D", "Construction work of New PHC at Barbodiniya, Dist. Dungarpur")</f>
        <v/>
      </c>
      <c r="C98" t="inlineStr">
        <is>
          <t>Medical and Health||Chief Engineer</t>
        </is>
      </c>
      <c r="D98" t="inlineStr">
        <is>
          <t>19-May-2025 06:00 PM</t>
        </is>
      </c>
      <c r="E98" t="inlineStr">
        <is>
          <t>1,44,00,000</t>
        </is>
      </c>
      <c r="F98" t="inlineStr">
        <is>
          <t>Construction work of New PHC at Barbodiniya, Dist. Dungarpur</t>
        </is>
      </c>
      <c r="G98" t="inlineStr">
        <is>
          <t>DUNGARPUR</t>
        </is>
      </c>
    </row>
    <row r="99">
      <c r="A99" s="1" t="n">
        <v>97</v>
      </c>
      <c r="B99">
        <f>HYPERLINK("https://eproc.rajasthan.gov.in/nicgep/app?component=%24DirectLink&amp;page=FrontEndViewTender&amp;service=direct&amp;session=T&amp;sp=ScsilcuRx4xEhejCopQyTtw%3D%3D", "Electric Repair and Maintenance work in compliance of Electrical Power Audit at CHC Tijara, Bhiwadi, Tapukda and Gehankar, Distt. Alwar")</f>
        <v/>
      </c>
      <c r="C99" t="inlineStr">
        <is>
          <t>Medical and Health||Chief Engineer</t>
        </is>
      </c>
      <c r="D99" t="inlineStr">
        <is>
          <t>21-May-2025 06:00 PM</t>
        </is>
      </c>
      <c r="E99" t="inlineStr">
        <is>
          <t>32,69,000</t>
        </is>
      </c>
      <c r="F99" t="inlineStr">
        <is>
          <t>Electric Repair and Maintenance work in compliance of Electrical Power Audit at CHC Tijara, Bhiwadi, Tapukda and Gehankar, Distt. Alwar</t>
        </is>
      </c>
      <c r="G99" t="inlineStr">
        <is>
          <t>alwar</t>
        </is>
      </c>
    </row>
    <row r="100">
      <c r="A100" s="1" t="n">
        <v>98</v>
      </c>
      <c r="B100">
        <f>HYPERLINK("https://eproc.rajasthan.gov.in/nicgep/app?component=%24DirectLink&amp;page=FrontEndViewTender&amp;service=direct&amp;session=T&amp;sp=SUuIGRNehYxmNedgKg4Sd6g%3D%3D", "RATE CONTRACT LAB REGENTS AND CONSUMABLE ITEM")</f>
        <v/>
      </c>
      <c r="C100" t="inlineStr">
        <is>
          <t>Medical and Health||Director (F.W.) Medical Health and Family Welfare Services</t>
        </is>
      </c>
      <c r="D100" t="inlineStr">
        <is>
          <t>04-Jun-2025 02:00 PM</t>
        </is>
      </c>
      <c r="E100" t="inlineStr">
        <is>
          <t>3,50,00,000</t>
        </is>
      </c>
      <c r="F100" t="inlineStr">
        <is>
          <t>RATE CONTRACT LAB REGENTS AND CONSUMABLE ITEM</t>
        </is>
      </c>
      <c r="G100" t="inlineStr">
        <is>
          <t>KOTA</t>
        </is>
      </c>
    </row>
    <row r="101">
      <c r="A101" s="1" t="n">
        <v>99</v>
      </c>
      <c r="B101">
        <f>HYPERLINK("https://eproc.rajasthan.gov.in/nicgep/app?component=%24DirectLink&amp;page=FrontEndViewTender&amp;service=direct&amp;session=T&amp;sp=SfDUvMlKKFUNTUkYAuA4FgA%3D%3D", "Electrical work in the Construction of PHC Building at Chhareda, Distt. Dausa")</f>
        <v/>
      </c>
      <c r="C101" t="inlineStr">
        <is>
          <t>Medical and Health||Chief Engineer</t>
        </is>
      </c>
      <c r="D101" t="inlineStr">
        <is>
          <t>21-May-2025 06:00 PM</t>
        </is>
      </c>
      <c r="E101" t="inlineStr">
        <is>
          <t>56,80,000</t>
        </is>
      </c>
      <c r="F101" t="inlineStr">
        <is>
          <t>Electrical work in the Construction of PHC Building at Chhareda, Distt. Dausa</t>
        </is>
      </c>
      <c r="G101" t="inlineStr">
        <is>
          <t>dausa</t>
        </is>
      </c>
    </row>
    <row r="102">
      <c r="A102" s="1" t="n">
        <v>100</v>
      </c>
      <c r="B102">
        <f>HYPERLINK("https://eproc.rajasthan.gov.in/nicgep/app?component=%24DirectLink&amp;page=FrontEndViewTender&amp;service=direct&amp;session=T&amp;sp=SASGwNoBiEbXLUlgPipUKQw%3D%3D", "Electrical work in the construction of BPHU Building at Baijupura, Distt. Dausa")</f>
        <v/>
      </c>
      <c r="C102" t="inlineStr">
        <is>
          <t>Medical and Health||Chief Engineer</t>
        </is>
      </c>
      <c r="D102" t="inlineStr">
        <is>
          <t>21-May-2025 06:00 PM</t>
        </is>
      </c>
      <c r="E102" t="inlineStr">
        <is>
          <t>16,77,000</t>
        </is>
      </c>
      <c r="F102" t="inlineStr">
        <is>
          <t>Electrical work in the construction of BPHU Building at Baijupura, Distt. Dausa</t>
        </is>
      </c>
      <c r="G102" t="inlineStr">
        <is>
          <t>dausa</t>
        </is>
      </c>
    </row>
    <row r="103">
      <c r="A103" s="1" t="n">
        <v>101</v>
      </c>
      <c r="B103">
        <f>HYPERLINK("https://eproc.rajasthan.gov.in/nicgep/app?component=%24DirectLink&amp;page=FrontEndViewTender&amp;service=direct&amp;session=T&amp;sp=S0TErWxWyEJEGKSQpgPJcOA%3D%3D", "Electrical work in the construction of BPHU Building at Tapukada, Distt. Khairthal-Tijara")</f>
        <v/>
      </c>
      <c r="C103" t="inlineStr">
        <is>
          <t>Medical and Health||Chief Engineer</t>
        </is>
      </c>
      <c r="D103" t="inlineStr">
        <is>
          <t>21-May-2025 06:00 PM</t>
        </is>
      </c>
      <c r="E103" t="inlineStr">
        <is>
          <t>16,77,000</t>
        </is>
      </c>
      <c r="F103" t="inlineStr">
        <is>
          <t>Electrical work in the construction of BPHU Building at Tapukada, Distt. Khairthal-Tijara</t>
        </is>
      </c>
      <c r="G103" t="inlineStr">
        <is>
          <t>KHAIRTHAL-TIJARA</t>
        </is>
      </c>
    </row>
    <row r="104">
      <c r="A104" s="1" t="n">
        <v>102</v>
      </c>
      <c r="B104">
        <f>HYPERLINK("https://eproc.rajasthan.gov.in/nicgep/app?component=%24DirectLink&amp;page=FrontEndViewTender&amp;service=direct&amp;session=T&amp;sp=Sl3ZFij3I4A5ZZGe54X%2FNaw%3D%3D", "Electric Repair and Maintenance work in compliance of Electrical Power Audit at CHC Ramgarh, Naogaon and Mubarikpur Distt. Alwar")</f>
        <v/>
      </c>
      <c r="C104" t="inlineStr">
        <is>
          <t>Medical and Health||Chief Engineer</t>
        </is>
      </c>
      <c r="D104" t="inlineStr">
        <is>
          <t>21-May-2025 06:00 PM</t>
        </is>
      </c>
      <c r="E104" t="inlineStr">
        <is>
          <t>23,08,000</t>
        </is>
      </c>
      <c r="F104" t="inlineStr">
        <is>
          <t>Electric Repair and Maintenance work in compliance of Electrical Power Audit at CHC Ramgarh, Naogaon and Mubarikpur Distt. Alwar</t>
        </is>
      </c>
      <c r="G104" t="inlineStr">
        <is>
          <t>alwar</t>
        </is>
      </c>
    </row>
    <row r="105">
      <c r="A105" s="1" t="n">
        <v>103</v>
      </c>
      <c r="B105">
        <f>HYPERLINK("https://eproc.rajasthan.gov.in/nicgep/app?component=%24DirectLink&amp;page=FrontEndViewTender&amp;service=direct&amp;session=T&amp;sp=SqACcb36fclebBtP5ehe5VQ%3D%3D", "Electric Repair and Maintenance work in compliance of Electrical Power Audit at CHC Mandawar, Tatarpur, Bahadurpur and Pratapgarh Distt. Alwar")</f>
        <v/>
      </c>
      <c r="C105" t="inlineStr">
        <is>
          <t>Medical and Health||Chief Engineer</t>
        </is>
      </c>
      <c r="D105" t="inlineStr">
        <is>
          <t>21-May-2025 06:00 PM</t>
        </is>
      </c>
      <c r="E105" t="inlineStr">
        <is>
          <t>26,92,000</t>
        </is>
      </c>
      <c r="F105" t="inlineStr">
        <is>
          <t>Electric Repair and Maintenance work in compliance of Electrical Power Audit at CHC Mandawar, Tatarpur, Bahadurpur and Pratapgarh Distt. Alwar</t>
        </is>
      </c>
      <c r="G105" t="inlineStr">
        <is>
          <t>alwar</t>
        </is>
      </c>
    </row>
    <row r="106">
      <c r="A106" s="1" t="n">
        <v>104</v>
      </c>
      <c r="B106">
        <f>HYPERLINK("https://eproc.rajasthan.gov.in/nicgep/app?component=%24DirectLink&amp;page=FrontEndViewTender&amp;service=direct&amp;session=T&amp;sp=SQpqPJVcFHb%2FIIhguQzDewg%3D%3D", "Electric Repair and Maintenance work in compliance of Electrical Power Audit at CHC Reni, Pinan, Umren and Akbarpur, Distt. Alwar")</f>
        <v/>
      </c>
      <c r="C106" t="inlineStr">
        <is>
          <t>Medical and Health||Chief Engineer</t>
        </is>
      </c>
      <c r="D106" t="inlineStr">
        <is>
          <t>21-May-2025 06:00 PM</t>
        </is>
      </c>
      <c r="E106" t="inlineStr">
        <is>
          <t>26,92,000</t>
        </is>
      </c>
      <c r="F106" t="inlineStr">
        <is>
          <t>Electric Repair and Maintenance work in compliance of Electrical Power Audit at CHC Reni, Pinan, Umren and Akbarpur, Distt. Alwar</t>
        </is>
      </c>
      <c r="G106" t="inlineStr">
        <is>
          <t>alwar</t>
        </is>
      </c>
    </row>
    <row r="107">
      <c r="A107" s="1" t="n">
        <v>105</v>
      </c>
      <c r="B107">
        <f>HYPERLINK("https://eproc.rajasthan.gov.in/nicgep/app?component=%24DirectLink&amp;page=FrontEndViewTender&amp;service=direct&amp;session=T&amp;sp=SHERcobJnAjs2c%2FtlPdeIsw%3D%3D", "Electrification work in Construction of IPHL Building at District Hospital, Jalore.")</f>
        <v/>
      </c>
      <c r="C107" t="inlineStr">
        <is>
          <t>Medical and Health||Chief Engineer</t>
        </is>
      </c>
      <c r="D107" t="inlineStr">
        <is>
          <t>20-May-2025 06:00 PM</t>
        </is>
      </c>
      <c r="E107" t="inlineStr">
        <is>
          <t>15,73,000</t>
        </is>
      </c>
      <c r="F107" t="inlineStr">
        <is>
          <t>Electrification work in Construction of IPHL Building at District Hospital, Jalore.</t>
        </is>
      </c>
      <c r="G107" t="inlineStr">
        <is>
          <t>Jalore</t>
        </is>
      </c>
    </row>
    <row r="108">
      <c r="A108" s="1" t="n">
        <v>106</v>
      </c>
      <c r="B108">
        <f>HYPERLINK("https://eproc.rajasthan.gov.in/nicgep/app?component=%24DirectLink&amp;page=FrontEndViewTender&amp;service=direct&amp;session=T&amp;sp=S4y%2BktA%2FWCfL72FAzXDmAzQ%3D%3D", "Electric Repair and Maintenance work in compliance of Electrical Power Audit at CHC Khedli Mandi, Kathumar and Thanagazi, Distt. Alwar, Kishangarhbas and Khairthal, Distt. Khairthal Tijara")</f>
        <v/>
      </c>
      <c r="C108" t="inlineStr">
        <is>
          <t>Medical and Health||Chief Engineer</t>
        </is>
      </c>
      <c r="D108" t="inlineStr">
        <is>
          <t>21-May-2025 06:00 PM</t>
        </is>
      </c>
      <c r="E108" t="inlineStr">
        <is>
          <t>48,08,000</t>
        </is>
      </c>
      <c r="F108" t="inlineStr">
        <is>
          <t>Electric Repair and Maintenance work in compliance of Electrical Power Audit at CHC Khedli Mandi, Kathumar and Thanagazi, Distt. Alwar, Kishangarhbas and Khairthal, Distt. Khairthal Tijara</t>
        </is>
      </c>
      <c r="G108" t="inlineStr">
        <is>
          <t>alwar and khairthal-tijara</t>
        </is>
      </c>
    </row>
    <row r="109">
      <c r="A109" s="1" t="n">
        <v>107</v>
      </c>
      <c r="B109">
        <f>HYPERLINK("https://eproc.rajasthan.gov.in/nicgep/app?component=%24DirectLink&amp;page=FrontEndViewTender&amp;service=direct&amp;session=T&amp;sp=ScuZaMprxVJxQhPb0qvxRcg%3D%3D", "Electric Repair and Maintenance work in compliance of Electrical Power Audit at CHC Bhandarej, Paparda, Kundal, Mandawari, Ramgarh Pachwara, Deedwana and Lawana Distt. Dausa")</f>
        <v/>
      </c>
      <c r="C109" t="inlineStr">
        <is>
          <t>Medical and Health||Chief Engineer</t>
        </is>
      </c>
      <c r="D109" t="inlineStr">
        <is>
          <t>21-May-2025 06:00 PM</t>
        </is>
      </c>
      <c r="E109" t="inlineStr">
        <is>
          <t>47,11,000</t>
        </is>
      </c>
      <c r="F109" t="inlineStr">
        <is>
          <t>Electric Repair and Maintenance work in compliance of Electrical Power Audit at CHC Bhandarej, Paparda, Kundal, Mandawari, Ramgarh Pachwara, Deedwana and Lawana Distt. Dausa</t>
        </is>
      </c>
      <c r="G109" t="inlineStr">
        <is>
          <t>dausa</t>
        </is>
      </c>
    </row>
    <row r="110">
      <c r="A110" s="1" t="n">
        <v>108</v>
      </c>
      <c r="B110">
        <f>HYPERLINK("https://eproc.rajasthan.gov.in/nicgep/app?component=%24DirectLink&amp;page=FrontEndViewTender&amp;service=direct&amp;session=T&amp;sp=SggPzYE5BehlZSXnFWq%2FErg%3D%3D", "Construction of Sub Health Center at Lalaniyo Ki Dhani, District Barmer")</f>
        <v/>
      </c>
      <c r="C110" t="inlineStr">
        <is>
          <t>Medical and Health||Chief Engineer</t>
        </is>
      </c>
      <c r="D110" t="inlineStr">
        <is>
          <t>20-May-2025 06:00 PM</t>
        </is>
      </c>
      <c r="E110" t="inlineStr">
        <is>
          <t>52,00,000</t>
        </is>
      </c>
      <c r="F110" t="inlineStr">
        <is>
          <t>Construction of Sub Health Center at Lalaniyo Ki Dhani, District Barmer</t>
        </is>
      </c>
      <c r="G110" t="inlineStr">
        <is>
          <t>Lalaniyo Ki Dhani</t>
        </is>
      </c>
    </row>
    <row r="111">
      <c r="A111" s="1" t="n">
        <v>109</v>
      </c>
      <c r="B111">
        <f>HYPERLINK("https://eproc.rajasthan.gov.in/nicgep/app?component=%24DirectLink&amp;page=FrontEndViewTender&amp;service=direct&amp;session=T&amp;sp=SjMrEOcMDeMy6HR8%2FNd4YNQ%3D%3D", "Electric Repair and Maintenance work in compliance of Electrical Power Audit at CHC Rajgarh, Laxmangarh, Malakheda, Tahla, Sakat, Badodamev and Govindgarh Distt. Alwar")</f>
        <v/>
      </c>
      <c r="C111" t="inlineStr">
        <is>
          <t>Medical and Health||Chief Engineer</t>
        </is>
      </c>
      <c r="D111" t="inlineStr">
        <is>
          <t>21-May-2025 06:00 PM</t>
        </is>
      </c>
      <c r="E111" t="inlineStr">
        <is>
          <t>55,77,000</t>
        </is>
      </c>
      <c r="F111" t="inlineStr">
        <is>
          <t>Electric Repair and Maintenance work in compliance of Electrical Power Audit at CHC Rajgarh, Laxmangarh, Malakheda, Tahla, Sakat, Badodamev and Govindgarh Distt. Alwar</t>
        </is>
      </c>
      <c r="G111" t="inlineStr">
        <is>
          <t>alwar</t>
        </is>
      </c>
    </row>
    <row r="112">
      <c r="A112" s="1" t="n">
        <v>110</v>
      </c>
      <c r="B112">
        <f>HYPERLINK("https://eproc.rajasthan.gov.in/nicgep/app?component=%24DirectLink&amp;page=FrontEndViewTender&amp;service=direct&amp;session=T&amp;sp=SjjnrroEU%2BP946h8dF7AEww%3D%3D", "Electric Repair and Maintenance work in compliance of Electrical Power Audit at CHC Mahuwa, Sikrai, Baswa, Mandawar, Sikandra and Geejgarh Distt. Dausa")</f>
        <v/>
      </c>
      <c r="C112" t="inlineStr">
        <is>
          <t>Medical and Health||Chief Engineer</t>
        </is>
      </c>
      <c r="D112" t="inlineStr">
        <is>
          <t>21-May-2025 06:00 PM</t>
        </is>
      </c>
      <c r="E112" t="inlineStr">
        <is>
          <t>46,15,000</t>
        </is>
      </c>
      <c r="F112" t="inlineStr">
        <is>
          <t>Electric Repair and Maintenance work in compliance of Electrical Power Audit at CHC Mahuwa, Sikrai, Baswa, Mandawar, Sikandra and Geejgarh Distt. Dausa</t>
        </is>
      </c>
      <c r="G112" t="inlineStr">
        <is>
          <t>dausa</t>
        </is>
      </c>
    </row>
    <row r="113">
      <c r="A113" s="1" t="n">
        <v>111</v>
      </c>
      <c r="B113">
        <f>HYPERLINK("https://eproc.rajasthan.gov.in/nicgep/app?component=%24DirectLink&amp;page=FrontEndViewTender&amp;service=direct&amp;session=T&amp;sp=SMXE06p3SXwBhZxQ2eJWD3A%3D%3D", "Electrification work in Construction of BCMO Office Building at Bhinmal, District Jalore.")</f>
        <v/>
      </c>
      <c r="C113" t="inlineStr">
        <is>
          <t>Medical and Health||Chief Engineer</t>
        </is>
      </c>
      <c r="D113" t="inlineStr">
        <is>
          <t>20-May-2025 06:00 PM</t>
        </is>
      </c>
      <c r="E113" t="inlineStr">
        <is>
          <t>11,00,000</t>
        </is>
      </c>
      <c r="F113" t="inlineStr">
        <is>
          <t>Electrification work in Construction of BCMO Office Building at Bhinmal, District Jalore.</t>
        </is>
      </c>
      <c r="G113" t="inlineStr">
        <is>
          <t>Bhinmal</t>
        </is>
      </c>
    </row>
    <row r="114">
      <c r="A114" s="1" t="n">
        <v>112</v>
      </c>
      <c r="B114">
        <f>HYPERLINK("https://eproc.rajasthan.gov.in/nicgep/app?component=%24DirectLink&amp;page=FrontEndViewTender&amp;service=direct&amp;session=T&amp;sp=SdERmiIHBp%2B8s9xFLVrdRqg%3D%3D", "Construction of PHC Building at Norwa, P.S. Ahore, District Jalore")</f>
        <v/>
      </c>
      <c r="C114" t="inlineStr">
        <is>
          <t>Medical and Health||Chief Engineer</t>
        </is>
      </c>
      <c r="D114" t="inlineStr">
        <is>
          <t>19-May-2025 06:00 PM</t>
        </is>
      </c>
      <c r="E114" t="inlineStr">
        <is>
          <t>1,40,37,000</t>
        </is>
      </c>
      <c r="F114" t="inlineStr">
        <is>
          <t>Construction of PHC Building at Norwa, P.S. Ahore, District Jalore</t>
        </is>
      </c>
      <c r="G114" t="inlineStr">
        <is>
          <t>Norwa</t>
        </is>
      </c>
    </row>
    <row r="115">
      <c r="A115" s="1" t="n">
        <v>113</v>
      </c>
      <c r="B115">
        <f>HYPERLINK("https://eproc.rajasthan.gov.in/nicgep/app?component=%24DirectLink&amp;page=FrontEndViewTender&amp;service=direct&amp;session=T&amp;sp=SR769sP%2BtVgy886yNEL2Ijw%3D%3D", "Manpower Supply")</f>
        <v/>
      </c>
      <c r="C115" t="inlineStr">
        <is>
          <t>Medical and Health||Director (F.W.) Medical Health and Family Welfare Services</t>
        </is>
      </c>
      <c r="D115" t="inlineStr">
        <is>
          <t>24-May-2025 12:00 PM</t>
        </is>
      </c>
      <c r="E115" t="inlineStr">
        <is>
          <t>14,00,000</t>
        </is>
      </c>
      <c r="F115" t="inlineStr">
        <is>
          <t>Manpower Supply</t>
        </is>
      </c>
      <c r="G115" t="inlineStr">
        <is>
          <t>CHC Mukundgarh</t>
        </is>
      </c>
    </row>
    <row r="116">
      <c r="A116" s="1" t="n">
        <v>114</v>
      </c>
      <c r="B116">
        <f>HYPERLINK("https://eproc.rajasthan.gov.in/nicgep/app?component=%24DirectLink&amp;page=FrontEndViewTender&amp;service=direct&amp;session=T&amp;sp=STVu7kpAegV1G6fqln539gw%3D%3D", "Construction of SHC Raghuvanshi, Distt- karauli")</f>
        <v/>
      </c>
      <c r="C116" t="inlineStr">
        <is>
          <t>Medical and Health||Chief Engineer</t>
        </is>
      </c>
      <c r="D116" t="inlineStr">
        <is>
          <t>21-May-2025 06:00 PM</t>
        </is>
      </c>
      <c r="E116" t="inlineStr">
        <is>
          <t>52,00,000</t>
        </is>
      </c>
      <c r="F116" t="inlineStr">
        <is>
          <t>Construction of SHC Raghuvanshi, Distt- karauli</t>
        </is>
      </c>
      <c r="G116" t="inlineStr">
        <is>
          <t>Karauli</t>
        </is>
      </c>
    </row>
    <row r="117">
      <c r="A117" s="1" t="n">
        <v>115</v>
      </c>
      <c r="B117">
        <f>HYPERLINK("https://eproc.rajasthan.gov.in/nicgep/app?component=%24DirectLink&amp;page=FrontEndViewTender&amp;service=direct&amp;session=T&amp;sp=SzbraNuroJ997lV6jhboXqA%3D%3D", "Construction of SHC Bhavanwada, Distt- karauli")</f>
        <v/>
      </c>
      <c r="C117" t="inlineStr">
        <is>
          <t>Medical and Health||Chief Engineer</t>
        </is>
      </c>
      <c r="D117" t="inlineStr">
        <is>
          <t>21-May-2025 06:00 PM</t>
        </is>
      </c>
      <c r="E117" t="inlineStr">
        <is>
          <t>52,00,000</t>
        </is>
      </c>
      <c r="F117" t="inlineStr">
        <is>
          <t>Construction of SHC Bhavanwada, Distt- karauli</t>
        </is>
      </c>
      <c r="G117" t="inlineStr">
        <is>
          <t>Karauli</t>
        </is>
      </c>
    </row>
    <row r="118">
      <c r="A118" s="1" t="n">
        <v>116</v>
      </c>
      <c r="B118">
        <f>HYPERLINK("https://eproc.rajasthan.gov.in/nicgep/app?component=%24DirectLink&amp;page=FrontEndViewTender&amp;service=direct&amp;session=T&amp;sp=SuKgNjuxYHiZ6O2uwKvsueg%3D%3D", "Construction of SHC Bhainsada, Distt- Deeg")</f>
        <v/>
      </c>
      <c r="C118" t="inlineStr">
        <is>
          <t>Medical and Health||Chief Engineer</t>
        </is>
      </c>
      <c r="D118" t="inlineStr">
        <is>
          <t>21-May-2025 06:00 PM</t>
        </is>
      </c>
      <c r="E118" t="inlineStr">
        <is>
          <t>52,00,000</t>
        </is>
      </c>
      <c r="F118" t="inlineStr">
        <is>
          <t>Construction of SHC Bhainsada, Distt- Deeg</t>
        </is>
      </c>
      <c r="G118" t="inlineStr">
        <is>
          <t>Deeg</t>
        </is>
      </c>
    </row>
    <row r="119">
      <c r="A119" s="1" t="n">
        <v>117</v>
      </c>
      <c r="B119">
        <f>HYPERLINK("https://eproc.rajasthan.gov.in/nicgep/app?component=%24DirectLink&amp;page=FrontEndViewTender&amp;service=direct&amp;session=T&amp;sp=S5PgJogkQSiP4kmHw0rRCvA%3D%3D", "Construction of SHC Shahpura, Distt- Dholpur")</f>
        <v/>
      </c>
      <c r="C119" t="inlineStr">
        <is>
          <t>Medical and Health||Chief Engineer</t>
        </is>
      </c>
      <c r="D119" t="inlineStr">
        <is>
          <t>21-May-2025 06:00 PM</t>
        </is>
      </c>
      <c r="E119" t="inlineStr">
        <is>
          <t>52,00,000</t>
        </is>
      </c>
      <c r="F119" t="inlineStr">
        <is>
          <t>Construction of SHC Shahpura, Distt- Dholpur</t>
        </is>
      </c>
      <c r="G119" t="inlineStr">
        <is>
          <t>Dholpur</t>
        </is>
      </c>
    </row>
    <row r="120">
      <c r="A120" s="1" t="n">
        <v>118</v>
      </c>
      <c r="B120">
        <f>HYPERLINK("https://eproc.rajasthan.gov.in/nicgep/app?component=%24DirectLink&amp;page=FrontEndViewTender&amp;service=direct&amp;session=T&amp;sp=SduD85McdA8sEvka2oQ7Ffw%3D%3D", "Construction of SHC Sundarpur, Distt- Dholpur")</f>
        <v/>
      </c>
      <c r="C120" t="inlineStr">
        <is>
          <t>Medical and Health||Chief Engineer</t>
        </is>
      </c>
      <c r="D120" t="inlineStr">
        <is>
          <t>21-May-2025 06:00 PM</t>
        </is>
      </c>
      <c r="E120" t="inlineStr">
        <is>
          <t>52,00,000</t>
        </is>
      </c>
      <c r="F120" t="inlineStr">
        <is>
          <t>Construction of SHC Sundarpur, Distt- Dholpur</t>
        </is>
      </c>
      <c r="G120" t="inlineStr">
        <is>
          <t>Dholpur</t>
        </is>
      </c>
    </row>
    <row r="121">
      <c r="A121" s="1" t="n">
        <v>119</v>
      </c>
      <c r="B121">
        <f>HYPERLINK("https://eproc.rajasthan.gov.in/nicgep/app?component=%24DirectLink&amp;page=FrontEndViewTender&amp;service=direct&amp;session=T&amp;sp=S9%2FiTTxLsiV0D5qZCP%2FQFhA%3D%3D", "Construction of SHC Aashaki, Distt- karauli")</f>
        <v/>
      </c>
      <c r="C121" t="inlineStr">
        <is>
          <t>Medical and Health||Chief Engineer</t>
        </is>
      </c>
      <c r="D121" t="inlineStr">
        <is>
          <t>21-May-2025 06:00 PM</t>
        </is>
      </c>
      <c r="E121" t="inlineStr">
        <is>
          <t>52,00,000</t>
        </is>
      </c>
      <c r="F121" t="inlineStr">
        <is>
          <t>Construction of SHC Aashaki, Distt- karauli</t>
        </is>
      </c>
      <c r="G121" t="inlineStr">
        <is>
          <t>Karauli</t>
        </is>
      </c>
    </row>
    <row r="122">
      <c r="A122" s="1" t="n">
        <v>120</v>
      </c>
      <c r="B122">
        <f>HYPERLINK("https://eproc.rajasthan.gov.in/nicgep/app?component=%24DirectLink&amp;page=FrontEndViewTender&amp;service=direct&amp;session=T&amp;sp=Sc9driUfCcTrpqp%2FujfGmIw%3D%3D", "Electric Repair and Maintenance work in compliance of Electrical Power Audit at CHC Aklera, Asnawar, Sarolakalan, Bakani Distt. Jhalawar")</f>
        <v/>
      </c>
      <c r="C122" t="inlineStr">
        <is>
          <t>Medical and Health</t>
        </is>
      </c>
      <c r="D122" t="inlineStr">
        <is>
          <t>21-May-2025 06:00 PM</t>
        </is>
      </c>
      <c r="E122" t="inlineStr">
        <is>
          <t>31,00,000</t>
        </is>
      </c>
      <c r="F122" t="inlineStr">
        <is>
          <t>Electric Repair and Maintenance work in compliance of Electrical Power Audit at CHC Aklera, Asnawar, Sarolakalan, Bakani Distt. Jhalawar</t>
        </is>
      </c>
      <c r="G122" t="inlineStr">
        <is>
          <t>Kota</t>
        </is>
      </c>
    </row>
    <row r="123">
      <c r="A123" s="1" t="n">
        <v>121</v>
      </c>
      <c r="B123">
        <f>HYPERLINK("https://eproc.rajasthan.gov.in/nicgep/app?component=%24DirectLink&amp;page=FrontEndViewTender&amp;service=direct&amp;session=T&amp;sp=SQs8OvcwCcOj7MbrQW6GOig%3D%3D", "Electric Repair and Maintenance work in compliance of Electrical Power Audit at CHC Dag, Chohmela , Bhawanimandi Distt. Jhalawar")</f>
        <v/>
      </c>
      <c r="C123" t="inlineStr">
        <is>
          <t>Medical and Health</t>
        </is>
      </c>
      <c r="D123" t="inlineStr">
        <is>
          <t>21-May-2025 06:00 PM</t>
        </is>
      </c>
      <c r="E123" t="inlineStr">
        <is>
          <t>24,00,000</t>
        </is>
      </c>
      <c r="F123" t="inlineStr">
        <is>
          <t>Electric Repair and Maintenance work in compliance of Electrical Power Audit at CHC Dag, Chohmela , Bhawanimandi Distt. Jhalawar</t>
        </is>
      </c>
      <c r="G123" t="inlineStr">
        <is>
          <t>Kota</t>
        </is>
      </c>
    </row>
    <row r="124">
      <c r="A124" s="1" t="n">
        <v>122</v>
      </c>
      <c r="B124">
        <f>HYPERLINK("https://eproc.rajasthan.gov.in/nicgep/app?component=%24DirectLink&amp;page=FrontEndViewTender&amp;service=direct&amp;session=T&amp;sp=S%2FzTbkX%2FCjXZjJ5iktBIJmg%3D%3D", "Electric Repair and Maintenance work in compliance of Electrical Power Audit at CHC Pidawa, Sunel, Raipura, Khanpur Distt. Jhalawar")</f>
        <v/>
      </c>
      <c r="C124" t="inlineStr">
        <is>
          <t>Medical and Health</t>
        </is>
      </c>
      <c r="D124" t="inlineStr">
        <is>
          <t>21-May-2025 06:00 PM</t>
        </is>
      </c>
      <c r="E124" t="inlineStr">
        <is>
          <t>37,00,000</t>
        </is>
      </c>
      <c r="F124" t="inlineStr">
        <is>
          <t>Electric Repair and Maintenance work in compliance of Electrical Power Audit at CHC Pidawa, Sunel, Raipura, Khanpur Distt. Jhalawar</t>
        </is>
      </c>
      <c r="G124" t="inlineStr">
        <is>
          <t>Kota</t>
        </is>
      </c>
    </row>
    <row r="125">
      <c r="A125" s="1" t="n">
        <v>123</v>
      </c>
      <c r="B125">
        <f>HYPERLINK("https://eproc.rajasthan.gov.in/nicgep/app?component=%24DirectLink&amp;page=FrontEndViewTender&amp;service=direct&amp;session=T&amp;sp=STTyYWsnWvLDBL%2B2u7JOrWA%3D%3D", "Electric Repair and Maintenance work in compliance of Electrical Power Audit at CHC Chhipabarod, Harnawda Shahji, Kishanganj Distt. Baran")</f>
        <v/>
      </c>
      <c r="C125" t="inlineStr">
        <is>
          <t>Medical and Health</t>
        </is>
      </c>
      <c r="D125" t="inlineStr">
        <is>
          <t>21-May-2025 06:00 PM</t>
        </is>
      </c>
      <c r="E125" t="inlineStr">
        <is>
          <t>21,00,000</t>
        </is>
      </c>
      <c r="F125" t="inlineStr">
        <is>
          <t>Electric Repair and Maintenance work in compliance of Electrical Power Audit at CHC Chhipabarod, Harnawda Shahji, Kishanganj Distt. Baran</t>
        </is>
      </c>
      <c r="G125" t="inlineStr">
        <is>
          <t>Kota</t>
        </is>
      </c>
    </row>
    <row r="126">
      <c r="A126" s="1" t="n">
        <v>124</v>
      </c>
      <c r="B126">
        <f>HYPERLINK("https://eproc.rajasthan.gov.in/nicgep/app?component=%24DirectLink&amp;page=FrontEndViewTender&amp;service=direct&amp;session=T&amp;sp=SQ2Ma2EOa214EGC8lvOVFBg%3D%3D", "Electric Repair and Maintenance work in compliance of Electrical Power Audit at CHC Bhimganjmandi, Dadabari, Mandana, Distt. Kota")</f>
        <v/>
      </c>
      <c r="C126" t="inlineStr">
        <is>
          <t>Medical and Health</t>
        </is>
      </c>
      <c r="D126" t="inlineStr">
        <is>
          <t>21-May-2025 06:00 PM</t>
        </is>
      </c>
      <c r="E126" t="inlineStr">
        <is>
          <t>21,00,000</t>
        </is>
      </c>
      <c r="F126" t="inlineStr">
        <is>
          <t>Electric Repair and Maintenance work in compliance of Electrical Power Audit at CHC Bhimganjmandi, Dadabari, Mandana, Distt. Kota</t>
        </is>
      </c>
      <c r="G126" t="inlineStr">
        <is>
          <t>Kota</t>
        </is>
      </c>
    </row>
    <row r="127">
      <c r="A127" s="1" t="n">
        <v>125</v>
      </c>
      <c r="B127">
        <f>HYPERLINK("https://eproc.rajasthan.gov.in/nicgep/app?component=%24DirectLink&amp;page=FrontEndViewTender&amp;service=direct&amp;session=T&amp;sp=SBs5u383VfXm63rvNJI5PLg%3D%3D", "Electric Repair and Maintenance work in compliance of Electrical Power Audit at CHC Atru, Kawai, Chhabra Distt. Baran")</f>
        <v/>
      </c>
      <c r="C127" t="inlineStr">
        <is>
          <t>Medical and Health</t>
        </is>
      </c>
      <c r="D127" t="inlineStr">
        <is>
          <t>21-May-2025 06:00 PM</t>
        </is>
      </c>
      <c r="E127" t="inlineStr">
        <is>
          <t>27,00,000</t>
        </is>
      </c>
      <c r="F127" t="inlineStr">
        <is>
          <t>Electric Repair and Maintenance work in compliance of Electrical Power Audit at CHC Atru, Kawai, Chhabra Distt. Baran</t>
        </is>
      </c>
      <c r="G127" t="inlineStr">
        <is>
          <t>Kota</t>
        </is>
      </c>
    </row>
    <row r="128">
      <c r="A128" s="1" t="n">
        <v>126</v>
      </c>
      <c r="B128">
        <f>HYPERLINK("https://eproc.rajasthan.gov.in/nicgep/app?component=%24DirectLink&amp;page=FrontEndViewTender&amp;service=direct&amp;session=T&amp;sp=SBTcZ3RxpnZKy4NWB6cljpA%3D%3D", "Electric Repair and Maintenance work in compliance of Electrical Power Audit at CHC Anta, Mirjapur, Seeswali, Mangrol Distt. Baran")</f>
        <v/>
      </c>
      <c r="C128" t="inlineStr">
        <is>
          <t>Medical and Health</t>
        </is>
      </c>
      <c r="D128" t="inlineStr">
        <is>
          <t>21-May-2025 06:00 PM</t>
        </is>
      </c>
      <c r="E128" t="inlineStr">
        <is>
          <t>34,00,000</t>
        </is>
      </c>
      <c r="F128" t="inlineStr">
        <is>
          <t>Electric Repair and Maintenance work in compliance of Electrical Power Audit at CHC Anta, Mirjapur, Seeswali, Mangrol Distt. Baran</t>
        </is>
      </c>
      <c r="G128" t="inlineStr">
        <is>
          <t>Kota</t>
        </is>
      </c>
    </row>
    <row r="129">
      <c r="A129" s="1" t="n">
        <v>127</v>
      </c>
      <c r="B129">
        <f>HYPERLINK("https://eproc.rajasthan.gov.in/nicgep/app?component=%24DirectLink&amp;page=FrontEndViewTender&amp;service=direct&amp;session=T&amp;sp=SStkBxi787RcDKPTUF2GzzQ%3D%3D", "Electric Repair and Maintenance work in compliance of Electrical Power Audit at CHC Shahbad, Kelwara Distt. Baran")</f>
        <v/>
      </c>
      <c r="C129" t="inlineStr">
        <is>
          <t>Medical and Health</t>
        </is>
      </c>
      <c r="D129" t="inlineStr">
        <is>
          <t>21-May-2025 06:00 PM</t>
        </is>
      </c>
      <c r="E129" t="inlineStr">
        <is>
          <t>20,50,000</t>
        </is>
      </c>
      <c r="F129" t="inlineStr">
        <is>
          <t>Electric Repair and Maintenance work in compliance of Electrical Power Audit at CHC Shahbad, Kelwara Distt. Baran</t>
        </is>
      </c>
      <c r="G129" t="inlineStr">
        <is>
          <t>Kota</t>
        </is>
      </c>
    </row>
    <row r="130">
      <c r="A130" s="1" t="n">
        <v>128</v>
      </c>
      <c r="B130">
        <f>HYPERLINK("https://eproc.rajasthan.gov.in/nicgep/app?component=%24DirectLink&amp;page=FrontEndViewTender&amp;service=direct&amp;session=T&amp;sp=SnoZHnQCRgKyAYo9pce3hJg%3D%3D", "Electric Repair and Maintenance work in compliance of Electrical Power Audit at CHC Ramganjmandi, Suket, Kanwas Distt. Kota")</f>
        <v/>
      </c>
      <c r="C130" t="inlineStr">
        <is>
          <t>Medical and Health</t>
        </is>
      </c>
      <c r="D130" t="inlineStr">
        <is>
          <t>21-May-2025 06:00 PM</t>
        </is>
      </c>
      <c r="E130" t="inlineStr">
        <is>
          <t>24,00,000</t>
        </is>
      </c>
      <c r="F130" t="inlineStr">
        <is>
          <t>Electric Repair and Maintenance work in compliance of Electrical Power Audit at CHC Ramganjmandi, Suket, Kanwas Distt. Kota</t>
        </is>
      </c>
      <c r="G130" t="inlineStr">
        <is>
          <t>Kota</t>
        </is>
      </c>
    </row>
    <row r="131">
      <c r="A131" s="1" t="n">
        <v>129</v>
      </c>
      <c r="B131">
        <f>HYPERLINK("https://eproc.rajasthan.gov.in/nicgep/app?component=%24DirectLink&amp;page=FrontEndViewTender&amp;service=direct&amp;session=T&amp;sp=SOQePatApm1%2ByCWOE%2F3%2BnPg%3D%3D", "Electric Repair and Maintenance work in compliance of Electrical Power Audit at CHC Itawa , PHC Budhadeet, CHC Sangod, Kaithoon Distt. Kota")</f>
        <v/>
      </c>
      <c r="C131" t="inlineStr">
        <is>
          <t>Medical and Health</t>
        </is>
      </c>
      <c r="D131" t="inlineStr">
        <is>
          <t>21-May-2025 06:00 PM</t>
        </is>
      </c>
      <c r="E131" t="inlineStr">
        <is>
          <t>34,00,000</t>
        </is>
      </c>
      <c r="F131" t="inlineStr">
        <is>
          <t>Electric Repair and Maintenance work in compliance of Electrical Power Audit at CHC Itawa , PHC Budhadeet, CHC Sangod, Kaithoon Distt. Kota</t>
        </is>
      </c>
      <c r="G131" t="inlineStr">
        <is>
          <t>Kota</t>
        </is>
      </c>
    </row>
    <row r="132">
      <c r="A132" s="1" t="n">
        <v>130</v>
      </c>
      <c r="B132">
        <f>HYPERLINK("https://eproc.rajasthan.gov.in/nicgep/app?component=%24DirectLink&amp;page=FrontEndViewTender&amp;service=direct&amp;session=T&amp;sp=SdsaqyZtRGI5KVld4BaPp3Q%3D%3D", "Electric work Construction of CHC Building at Bapawar Distt. Kota")</f>
        <v/>
      </c>
      <c r="C132" t="inlineStr">
        <is>
          <t>Medical and Health</t>
        </is>
      </c>
      <c r="D132" t="inlineStr">
        <is>
          <t>21-May-2025 06:00 PM</t>
        </is>
      </c>
      <c r="E132" t="inlineStr">
        <is>
          <t>67,00,000</t>
        </is>
      </c>
      <c r="F132" t="inlineStr">
        <is>
          <t>Electric work Construction of CHC Building at Bapawar Distt. Kota</t>
        </is>
      </c>
      <c r="G132" t="inlineStr">
        <is>
          <t>Kota</t>
        </is>
      </c>
    </row>
    <row r="133">
      <c r="A133" s="1" t="n">
        <v>131</v>
      </c>
      <c r="B133">
        <f>HYPERLINK("https://eproc.rajasthan.gov.in/nicgep/app?component=%24DirectLink&amp;page=FrontEndViewTender&amp;service=direct&amp;session=T&amp;sp=SMDaSbOvv4Q7DK4c1lBxrIg%3D%3D", "SITC of 08 Passenger Elevator at GNMTC to BSC Nursing College Distt. Kota")</f>
        <v/>
      </c>
      <c r="C133" t="inlineStr">
        <is>
          <t>Medical and Health</t>
        </is>
      </c>
      <c r="D133" t="inlineStr">
        <is>
          <t>21-May-2025 06:00 PM</t>
        </is>
      </c>
      <c r="E133" t="inlineStr">
        <is>
          <t>15,70,000</t>
        </is>
      </c>
      <c r="F133" t="inlineStr">
        <is>
          <t>SITC of 08 Passenger Elevator at GNMTC to BSC Nursing College Distt. Kota</t>
        </is>
      </c>
      <c r="G133" t="inlineStr">
        <is>
          <t>Kota</t>
        </is>
      </c>
    </row>
    <row r="134">
      <c r="A134" s="1" t="n">
        <v>132</v>
      </c>
      <c r="B134">
        <f>HYPERLINK("https://eproc.rajasthan.gov.in/nicgep/app?component=%24DirectLink&amp;page=FrontEndViewTender&amp;service=direct&amp;session=T&amp;sp=SjE7WZuBriHO3Xgxxv7FX0w%3D%3D", "Electric work of BPHU Khanpur Distt. Jhalawar")</f>
        <v/>
      </c>
      <c r="C134" t="inlineStr">
        <is>
          <t>Medical and Health</t>
        </is>
      </c>
      <c r="D134" t="inlineStr">
        <is>
          <t>21-May-2025 06:00 PM</t>
        </is>
      </c>
      <c r="E134" t="inlineStr">
        <is>
          <t>16,70,000</t>
        </is>
      </c>
      <c r="F134" t="inlineStr">
        <is>
          <t>Electric work of BPHU Khanpur Distt. Jhalawar</t>
        </is>
      </c>
      <c r="G134" t="inlineStr">
        <is>
          <t>Kota</t>
        </is>
      </c>
    </row>
    <row r="135">
      <c r="A135" s="1" t="n">
        <v>133</v>
      </c>
      <c r="B135">
        <f>HYPERLINK("https://eproc.rajasthan.gov.in/nicgep/app?component=%24DirectLink&amp;page=FrontEndViewTender&amp;service=direct&amp;session=T&amp;sp=SdOqO%2Bu6gFwXW20zFr%2FMAtA%3D%3D", "Electrical work for PHC Baldara Distt Baran")</f>
        <v/>
      </c>
      <c r="C135" t="inlineStr">
        <is>
          <t>Medical and Health</t>
        </is>
      </c>
      <c r="D135" t="inlineStr">
        <is>
          <t>21-May-2025 06:00 PM</t>
        </is>
      </c>
      <c r="E135" t="inlineStr">
        <is>
          <t>15,50,000</t>
        </is>
      </c>
      <c r="F135" t="inlineStr">
        <is>
          <t>Electrical work for PHC Baldara Distt Baran</t>
        </is>
      </c>
      <c r="G135" t="inlineStr">
        <is>
          <t>Kota</t>
        </is>
      </c>
    </row>
    <row r="136">
      <c r="A136" s="1" t="n">
        <v>134</v>
      </c>
      <c r="B136">
        <f>HYPERLINK("https://eproc.rajasthan.gov.in/nicgep/app?component=%24DirectLink&amp;page=FrontEndViewTender&amp;service=direct&amp;session=T&amp;sp=Sy2NMNZxuxaiK%2B95Ima2Kjw%3D%3D", "Electric work of BPHU Jhalrapatan Distt. Jhalawar")</f>
        <v/>
      </c>
      <c r="C136" t="inlineStr">
        <is>
          <t>Medical and Health</t>
        </is>
      </c>
      <c r="D136" t="inlineStr">
        <is>
          <t>21-May-2025 06:00 PM</t>
        </is>
      </c>
      <c r="E136" t="inlineStr">
        <is>
          <t>16,70,000</t>
        </is>
      </c>
      <c r="F136" t="inlineStr">
        <is>
          <t>Electric work of BPHU Jhalrapatan Distt. Jhalawar</t>
        </is>
      </c>
      <c r="G136" t="inlineStr">
        <is>
          <t>Kota</t>
        </is>
      </c>
    </row>
    <row r="137">
      <c r="A137" s="1" t="n">
        <v>135</v>
      </c>
      <c r="B137">
        <f>HYPERLINK("https://eproc.rajasthan.gov.in/nicgep/app?component=%24DirectLink&amp;page=FrontEndViewTender&amp;service=direct&amp;session=T&amp;sp=S8VrA1qzFm9PgHnlkk9WwDA%3D%3D", "Electrical work for PHC Banjari Distt Baran")</f>
        <v/>
      </c>
      <c r="C137" t="inlineStr">
        <is>
          <t>Medical and Health</t>
        </is>
      </c>
      <c r="D137" t="inlineStr">
        <is>
          <t>21-May-2025 06:00 PM</t>
        </is>
      </c>
      <c r="E137" t="inlineStr">
        <is>
          <t>14,40,000</t>
        </is>
      </c>
      <c r="F137" t="inlineStr">
        <is>
          <t>Electrical work for PHC Banjari Distt Baran</t>
        </is>
      </c>
      <c r="G137" t="inlineStr">
        <is>
          <t>Kota</t>
        </is>
      </c>
    </row>
    <row r="138">
      <c r="A138" s="1" t="n">
        <v>136</v>
      </c>
      <c r="B138">
        <f>HYPERLINK("https://eproc.rajasthan.gov.in/nicgep/app?component=%24DirectLink&amp;page=FrontEndViewTender&amp;service=direct&amp;session=T&amp;sp=SJmLj%2B8EyvO0cNHp0hYyaTA%3D%3D", "Electrical work for PHC Jorawarpura, Distt. Kota")</f>
        <v/>
      </c>
      <c r="C138" t="inlineStr">
        <is>
          <t>Medical and Health</t>
        </is>
      </c>
      <c r="D138" t="inlineStr">
        <is>
          <t>21-May-2025 06:00 PM</t>
        </is>
      </c>
      <c r="E138" t="inlineStr">
        <is>
          <t>15,50,000</t>
        </is>
      </c>
      <c r="F138" t="inlineStr">
        <is>
          <t>Electrical work for PHC Jorawarpura, Distt. Kota</t>
        </is>
      </c>
      <c r="G138" t="inlineStr">
        <is>
          <t>Kota</t>
        </is>
      </c>
    </row>
    <row r="139">
      <c r="A139" s="1" t="n">
        <v>137</v>
      </c>
      <c r="B139">
        <f>HYPERLINK("https://eproc.rajasthan.gov.in/nicgep/app?component=%24DirectLink&amp;page=FrontEndViewTender&amp;service=direct&amp;session=T&amp;sp=StjzcnyuvfK1Y4S24IgAifQ%3D%3D", "Construction work of Public Clinic by Repairing of Government Hospital at Aklera , District- Jhalawar")</f>
        <v/>
      </c>
      <c r="C139" t="inlineStr">
        <is>
          <t>Medical and Health</t>
        </is>
      </c>
      <c r="D139" t="inlineStr">
        <is>
          <t>21-May-2025 06:00 PM</t>
        </is>
      </c>
      <c r="E139" t="inlineStr">
        <is>
          <t>24,00,000</t>
        </is>
      </c>
      <c r="F139" t="inlineStr">
        <is>
          <t>Construction work of Public Clinic by Repairing of Government Hospital at Aklera , District- Jhalawar</t>
        </is>
      </c>
      <c r="G139" t="inlineStr">
        <is>
          <t>Kota</t>
        </is>
      </c>
    </row>
    <row r="140">
      <c r="A140" s="1" t="n">
        <v>138</v>
      </c>
      <c r="B140">
        <f>HYPERLINK("https://eproc.rajasthan.gov.in/nicgep/app?component=%24DirectLink&amp;page=FrontEndViewTender&amp;service=direct&amp;session=T&amp;sp=SmKc0VYMz%2FThSpIbNbXDyqQ%3D%3D", "Construction Work of New Drug Distribution Center at CHC Bhimganj Mandi, CHC Itawa, CHC Kaithun and UPHC Shoping Center District Kota")</f>
        <v/>
      </c>
      <c r="C140" t="inlineStr">
        <is>
          <t>Medical and Health</t>
        </is>
      </c>
      <c r="D140" t="inlineStr">
        <is>
          <t>21-May-2025 06:00 PM</t>
        </is>
      </c>
      <c r="E140" t="inlineStr">
        <is>
          <t>28,80,000</t>
        </is>
      </c>
      <c r="F140" t="inlineStr">
        <is>
          <t>Construction Work of New Drug Distribution Center at CHC Bhimganj Mandi, CHC Itawa, CHC Kaithun and UPHC Shoping Center District Kota</t>
        </is>
      </c>
      <c r="G140" t="inlineStr">
        <is>
          <t>Kota</t>
        </is>
      </c>
    </row>
    <row r="141">
      <c r="A141" s="1" t="n">
        <v>139</v>
      </c>
      <c r="B141">
        <f>HYPERLINK("https://eproc.rajasthan.gov.in/nicgep/app?component=%24DirectLink&amp;page=FrontEndViewTender&amp;service=direct&amp;session=T&amp;sp=SCXvX6U1zRy%2F%2FS9uNaNFCAw%3D%3D", "Construction work of 06 PMS Quarter at PHC Kundanpur District Kota")</f>
        <v/>
      </c>
      <c r="C141" t="inlineStr">
        <is>
          <t>Medical and Health</t>
        </is>
      </c>
      <c r="D141" t="inlineStr">
        <is>
          <t>21-May-2025 06:00 PM</t>
        </is>
      </c>
      <c r="E141" t="inlineStr">
        <is>
          <t>1,44,00,000</t>
        </is>
      </c>
      <c r="F141" t="inlineStr">
        <is>
          <t>Construction work of 06 PMS Quarter at PHC Kundanpur District Kota</t>
        </is>
      </c>
      <c r="G141" t="inlineStr">
        <is>
          <t>Kota</t>
        </is>
      </c>
    </row>
    <row r="142">
      <c r="A142" s="1" t="n">
        <v>140</v>
      </c>
      <c r="B142">
        <f>HYPERLINK("https://eproc.rajasthan.gov.in/nicgep/app?component=%24DirectLink&amp;page=FrontEndViewTender&amp;service=direct&amp;session=T&amp;sp=S5WU47ZokEzFyChrZDlx69Q%3D%3D", "Cleaning Work")</f>
        <v/>
      </c>
      <c r="C142" t="inlineStr">
        <is>
          <t>Medical and Health||Director (F.W.) Medical Health and Family Welfare Services</t>
        </is>
      </c>
      <c r="D142" t="inlineStr">
        <is>
          <t>19-May-2025 12:00 PM</t>
        </is>
      </c>
      <c r="E142" t="inlineStr">
        <is>
          <t>36,00,000</t>
        </is>
      </c>
      <c r="F142" t="inlineStr">
        <is>
          <t>Cleaning work at Shri jawahir hospital jaisalmer</t>
        </is>
      </c>
      <c r="G142" t="inlineStr">
        <is>
          <t>Shri jawahir hospital jaisalmer</t>
        </is>
      </c>
    </row>
    <row r="143">
      <c r="A143" s="1" t="n">
        <v>141</v>
      </c>
      <c r="B143">
        <f>HYPERLINK("https://eproc.rajasthan.gov.in/nicgep/app?component=%24DirectLink&amp;page=FrontEndViewTender&amp;service=direct&amp;session=T&amp;sp=Skt3oCA9IWM7%2BsB8z%2Bfr%2FmA%3D%3D", "Manpower Supply")</f>
        <v/>
      </c>
      <c r="C143" t="inlineStr">
        <is>
          <t>Medical and Health||Director (F.W.) Medical Health and Family Welfare Services</t>
        </is>
      </c>
      <c r="D143" t="inlineStr">
        <is>
          <t>19-May-2025 12:00 PM</t>
        </is>
      </c>
      <c r="E143" t="inlineStr">
        <is>
          <t>60,00,000</t>
        </is>
      </c>
      <c r="F143" t="inlineStr">
        <is>
          <t>Manpower Supply</t>
        </is>
      </c>
      <c r="G143" t="inlineStr">
        <is>
          <t>Principal Medical Officer, Jaisalmer</t>
        </is>
      </c>
    </row>
    <row r="144">
      <c r="A144" s="1" t="n">
        <v>142</v>
      </c>
      <c r="B144">
        <f>HYPERLINK("https://eproc.rajasthan.gov.in/nicgep/app?component=%24DirectLink&amp;page=FrontEndViewTender&amp;service=direct&amp;session=T&amp;sp=S8XrKPdV7ZmtrdUrsKmNk6Q%3D%3D", "Construction work of SHC Aasida (Rampuriya ) Distt. Kota")</f>
        <v/>
      </c>
      <c r="C144" t="inlineStr">
        <is>
          <t>Medical and Health</t>
        </is>
      </c>
      <c r="D144" t="inlineStr">
        <is>
          <t>21-May-2025 06:00 PM</t>
        </is>
      </c>
      <c r="E144" t="inlineStr">
        <is>
          <t>52,00,000</t>
        </is>
      </c>
      <c r="F144" t="inlineStr">
        <is>
          <t>Construction work of SHC Aasida (Rampuriya ) Distt. Kota</t>
        </is>
      </c>
      <c r="G144" t="inlineStr">
        <is>
          <t>Kota</t>
        </is>
      </c>
    </row>
    <row r="145">
      <c r="A145" s="1" t="n">
        <v>143</v>
      </c>
      <c r="B145">
        <f>HYPERLINK("https://eproc.rajasthan.gov.in/nicgep/app?component=%24DirectLink&amp;page=FrontEndViewTender&amp;service=direct&amp;session=T&amp;sp=SHQfcpRaxK%2Bzmu3IzU8EhjA%3D%3D", "Construction work of SHC Ghatoliya Distt. Kota")</f>
        <v/>
      </c>
      <c r="C145" t="inlineStr">
        <is>
          <t>Medical and Health</t>
        </is>
      </c>
      <c r="D145" t="inlineStr">
        <is>
          <t>21-May-2025 06:00 PM</t>
        </is>
      </c>
      <c r="E145" t="inlineStr">
        <is>
          <t>52,00,000</t>
        </is>
      </c>
      <c r="F145" t="inlineStr">
        <is>
          <t>Construction work of SHC Ghatoliya Distt. Kota</t>
        </is>
      </c>
      <c r="G145" t="inlineStr">
        <is>
          <t>Kota</t>
        </is>
      </c>
    </row>
    <row r="146">
      <c r="A146" s="1" t="n">
        <v>144</v>
      </c>
      <c r="B146">
        <f>HYPERLINK("https://eproc.rajasthan.gov.in/nicgep/app?component=%24DirectLink&amp;page=FrontEndViewTender&amp;service=direct&amp;session=T&amp;sp=SliYK6wSHWF8AkUTJG6JAbg%3D%3D", "Construction work of SHC Kishanpura Distt. Jhalawar")</f>
        <v/>
      </c>
      <c r="C146" t="inlineStr">
        <is>
          <t>Medical and Health</t>
        </is>
      </c>
      <c r="D146" t="inlineStr">
        <is>
          <t>21-May-2025 06:00 PM</t>
        </is>
      </c>
      <c r="E146" t="inlineStr">
        <is>
          <t>52,00,000</t>
        </is>
      </c>
      <c r="F146" t="inlineStr">
        <is>
          <t>Construction work of SHC Kishanpura Distt. Jhalawar</t>
        </is>
      </c>
      <c r="G146" t="inlineStr">
        <is>
          <t>Kota</t>
        </is>
      </c>
    </row>
    <row r="147">
      <c r="A147" s="1" t="n">
        <v>145</v>
      </c>
      <c r="B147">
        <f>HYPERLINK("https://eproc.rajasthan.gov.in/nicgep/app?component=%24DirectLink&amp;page=FrontEndViewTender&amp;service=direct&amp;session=T&amp;sp=STPkrs0fxGssqIoVnB0fI5Q%3D%3D", "Construction work of SHC Mundli Distt. Kota")</f>
        <v/>
      </c>
      <c r="C147" t="inlineStr">
        <is>
          <t>Medical and Health</t>
        </is>
      </c>
      <c r="D147" t="inlineStr">
        <is>
          <t>21-May-2025 06:00 PM</t>
        </is>
      </c>
      <c r="E147" t="inlineStr">
        <is>
          <t>52,00,000</t>
        </is>
      </c>
      <c r="F147" t="inlineStr">
        <is>
          <t>Construction work of SHC Mundli Distt. Kota</t>
        </is>
      </c>
      <c r="G147" t="inlineStr">
        <is>
          <t>Kota</t>
        </is>
      </c>
    </row>
    <row r="148">
      <c r="A148" s="1" t="n">
        <v>146</v>
      </c>
      <c r="B148">
        <f>HYPERLINK("https://eproc.rajasthan.gov.in/nicgep/app?component=%24DirectLink&amp;page=FrontEndViewTender&amp;service=direct&amp;session=T&amp;sp=SXyc7mbZFCG7pL3hG%2B9uo9A%3D%3D", "Construction work of SHC Kakarwada Distt. Kota")</f>
        <v/>
      </c>
      <c r="C148" t="inlineStr">
        <is>
          <t>Medical and Health</t>
        </is>
      </c>
      <c r="D148" t="inlineStr">
        <is>
          <t>21-May-2025 06:00 PM</t>
        </is>
      </c>
      <c r="E148" t="inlineStr">
        <is>
          <t>52,00,000</t>
        </is>
      </c>
      <c r="F148" t="inlineStr">
        <is>
          <t>Construction work of SHC Kakarwada Distt. Kota</t>
        </is>
      </c>
      <c r="G148" t="inlineStr">
        <is>
          <t>Kota</t>
        </is>
      </c>
    </row>
    <row r="149">
      <c r="A149" s="1" t="n">
        <v>147</v>
      </c>
      <c r="B149">
        <f>HYPERLINK("https://eproc.rajasthan.gov.in/nicgep/app?component=%24DirectLink&amp;page=FrontEndViewTender&amp;service=direct&amp;session=T&amp;sp=SzXIptwFn4zpnfVwQK57XMw%3D%3D", "Construction work of PHC Kurad District Kota")</f>
        <v/>
      </c>
      <c r="C149" t="inlineStr">
        <is>
          <t>Medical and Health</t>
        </is>
      </c>
      <c r="D149" t="inlineStr">
        <is>
          <t>21-May-2025 06:00 PM</t>
        </is>
      </c>
      <c r="E149" t="inlineStr">
        <is>
          <t>1,40,00,000</t>
        </is>
      </c>
      <c r="F149" t="inlineStr">
        <is>
          <t>Construction work of PHC Kurad District Kota</t>
        </is>
      </c>
      <c r="G149" t="inlineStr">
        <is>
          <t>Kota</t>
        </is>
      </c>
    </row>
    <row r="150">
      <c r="A150" s="1" t="n">
        <v>148</v>
      </c>
      <c r="B150">
        <f>HYPERLINK("https://eproc.rajasthan.gov.in/nicgep/app?component=%24DirectLink&amp;page=FrontEndViewTender&amp;service=direct&amp;session=T&amp;sp=SrFUzCp3uPyQuox0V3e0TYg%3D%3D", "Construction work of SHC Banra Distt. Kota")</f>
        <v/>
      </c>
      <c r="C150" t="inlineStr">
        <is>
          <t>Medical and Health</t>
        </is>
      </c>
      <c r="D150" t="inlineStr">
        <is>
          <t>21-May-2025 06:00 PM</t>
        </is>
      </c>
      <c r="E150" t="inlineStr">
        <is>
          <t>52,00,000</t>
        </is>
      </c>
      <c r="F150" t="inlineStr">
        <is>
          <t>Construction work of SHC Banra Distt. Kota</t>
        </is>
      </c>
      <c r="G150" t="inlineStr">
        <is>
          <t>Kota</t>
        </is>
      </c>
    </row>
    <row r="151">
      <c r="A151" s="1" t="n">
        <v>149</v>
      </c>
      <c r="B151">
        <f>HYPERLINK("https://eproc.rajasthan.gov.in/nicgep/app?component=%24DirectLink&amp;page=FrontEndViewTender&amp;service=direct&amp;session=T&amp;sp=STkQETtmqeFPdQsq7kAk3yw%3D%3D", "Construction of Satellite Hospital at Kotda, Distt. Ajmer (State Head 2025-26)")</f>
        <v/>
      </c>
      <c r="C151" t="inlineStr">
        <is>
          <t>Medical and Health||Chief Engineer</t>
        </is>
      </c>
      <c r="D151" t="inlineStr">
        <is>
          <t>27-May-2025 06:00 PM</t>
        </is>
      </c>
      <c r="E151" t="inlineStr">
        <is>
          <t>13,32,00,000</t>
        </is>
      </c>
      <c r="F151" t="inlineStr">
        <is>
          <t>Construction of Satellite Hospital at Kotda, Distt. Ajmer (State Head 2025-26)</t>
        </is>
      </c>
      <c r="G151" t="inlineStr">
        <is>
          <t>Ajmer</t>
        </is>
      </c>
    </row>
    <row r="152">
      <c r="A152" s="1" t="n">
        <v>150</v>
      </c>
      <c r="B152">
        <f>HYPERLINK("https://eproc.rajasthan.gov.in/nicgep/app?component=%24DirectLink&amp;page=FrontEndViewTender&amp;service=direct&amp;session=T&amp;sp=SAlO2M%2BwtklCYoMpaehBtSw%3D%3D", "drug medicine")</f>
        <v/>
      </c>
      <c r="C152" t="inlineStr">
        <is>
          <t>Medical and Health||Director (F.W.) Medical Health and Family Welfare Services</t>
        </is>
      </c>
      <c r="D152" t="inlineStr">
        <is>
          <t>21-May-2025 12:00 PM</t>
        </is>
      </c>
      <c r="E152" t="inlineStr">
        <is>
          <t>65,00,000</t>
        </is>
      </c>
      <c r="F152" t="inlineStr">
        <is>
          <t>DRUG MEDICINE</t>
        </is>
      </c>
      <c r="G152" t="inlineStr">
        <is>
          <t>DRHS BARMER</t>
        </is>
      </c>
    </row>
    <row r="153">
      <c r="A153" s="1" t="n">
        <v>151</v>
      </c>
      <c r="B153">
        <f>HYPERLINK("https://eproc.rajasthan.gov.in/nicgep/app?component=%24DirectLink&amp;page=FrontEndViewTender&amp;service=direct&amp;session=T&amp;sp=SsA8Q%2BGdN7xkpxRTdExUWQw%3D%3D", "Construction Sub Health Center at Sherpura Block Shrimadhopur, District Sikar")</f>
        <v/>
      </c>
      <c r="C153" t="inlineStr">
        <is>
          <t>Medical and Health||Director (F.W.) Medical Health and Family Welfare Services</t>
        </is>
      </c>
      <c r="D153" t="inlineStr">
        <is>
          <t>22-May-2025 06:00 PM</t>
        </is>
      </c>
      <c r="E153" t="inlineStr">
        <is>
          <t>52,00,000</t>
        </is>
      </c>
      <c r="F153" t="inlineStr">
        <is>
          <t>Construction Sub Health Center at Sherpura Block Shrimadhopur, District Sikar</t>
        </is>
      </c>
      <c r="G153" t="inlineStr">
        <is>
          <t>Sikar</t>
        </is>
      </c>
    </row>
    <row r="154">
      <c r="A154" s="1" t="n">
        <v>152</v>
      </c>
      <c r="B154">
        <f>HYPERLINK("https://eproc.rajasthan.gov.in/nicgep/app?component=%24DirectLink&amp;page=FrontEndViewTender&amp;service=direct&amp;session=T&amp;sp=S1chFLcQ0NNYNYzbkBi9I3w%3D%3D", "Construction Sub Health Center at Sadiyawas Block Khandela, District Sikar")</f>
        <v/>
      </c>
      <c r="C154" t="inlineStr">
        <is>
          <t>Medical and Health||Director (F.W.) Medical Health and Family Welfare Services</t>
        </is>
      </c>
      <c r="D154" t="inlineStr">
        <is>
          <t>22-May-2025 06:00 PM</t>
        </is>
      </c>
      <c r="E154" t="inlineStr">
        <is>
          <t>52,00,000</t>
        </is>
      </c>
      <c r="F154" t="inlineStr">
        <is>
          <t>Construction Sub Health Center at Sadiyawas Block Khandela, District Sikar</t>
        </is>
      </c>
      <c r="G154" t="inlineStr">
        <is>
          <t>Sikar</t>
        </is>
      </c>
    </row>
    <row r="155">
      <c r="A155" s="1" t="n">
        <v>153</v>
      </c>
      <c r="B155">
        <f>HYPERLINK("https://eproc.rajasthan.gov.in/nicgep/app?component=%24DirectLink&amp;page=FrontEndViewTender&amp;service=direct&amp;session=T&amp;sp=S10QIW1NhsjASrWzEekjTHA%3D%3D", "Construction Sub Health Center at Adwana Block Udaipurwati, District Jhunjhunu")</f>
        <v/>
      </c>
      <c r="C155" t="inlineStr">
        <is>
          <t>Medical and Health||Director (F.W.) Medical Health and Family Welfare Services</t>
        </is>
      </c>
      <c r="D155" t="inlineStr">
        <is>
          <t>22-May-2025 06:00 PM</t>
        </is>
      </c>
      <c r="E155" t="inlineStr">
        <is>
          <t>52,00,000</t>
        </is>
      </c>
      <c r="F155" t="inlineStr">
        <is>
          <t>Construction Sub Health Center at Adwana Block Udaipurwati, District Jhunjhunu</t>
        </is>
      </c>
      <c r="G155" t="inlineStr">
        <is>
          <t>Jhunjhunu</t>
        </is>
      </c>
    </row>
    <row r="156">
      <c r="A156" s="1" t="n">
        <v>154</v>
      </c>
      <c r="B156">
        <f>HYPERLINK("https://eproc.rajasthan.gov.in/nicgep/app?component=%24DirectLink&amp;page=FrontEndViewTender&amp;service=direct&amp;session=T&amp;sp=S3I%2FJwGvy83Z4BohC2rl3qA%3D%3D", "Construction work of SHC Ghatal District Kota")</f>
        <v/>
      </c>
      <c r="C156" t="inlineStr">
        <is>
          <t>Medical and Health</t>
        </is>
      </c>
      <c r="D156" t="inlineStr">
        <is>
          <t>21-May-2025 05:00 PM</t>
        </is>
      </c>
      <c r="E156" t="inlineStr">
        <is>
          <t>52,00,000</t>
        </is>
      </c>
      <c r="F156" t="inlineStr">
        <is>
          <t>Construction work of SHC Ghatal District Kota</t>
        </is>
      </c>
      <c r="G156" t="inlineStr">
        <is>
          <t>Kota</t>
        </is>
      </c>
    </row>
    <row r="157">
      <c r="A157" s="1" t="n">
        <v>155</v>
      </c>
      <c r="B157">
        <f>HYPERLINK("https://eproc.rajasthan.gov.in/nicgep/app?component=%24DirectLink&amp;page=FrontEndViewTender&amp;service=direct&amp;session=T&amp;sp=S1dPSOhup8kRZSdpriSYkLQ%3D%3D", "Construction Sub Health Center at Malsiwas Block Laxmangarh, District Sikar")</f>
        <v/>
      </c>
      <c r="C157" t="inlineStr">
        <is>
          <t>Medical and Health||Director (F.W.) Medical Health and Family Welfare Services</t>
        </is>
      </c>
      <c r="D157" t="inlineStr">
        <is>
          <t>22-May-2025 06:00 PM</t>
        </is>
      </c>
      <c r="E157" t="inlineStr">
        <is>
          <t>52,00,000</t>
        </is>
      </c>
      <c r="F157" t="inlineStr">
        <is>
          <t>Construction Sub Health Center at Malsiwas Block Laxmangarh, District Sikar</t>
        </is>
      </c>
      <c r="G157" t="inlineStr">
        <is>
          <t>Sikar</t>
        </is>
      </c>
    </row>
    <row r="158">
      <c r="A158" s="1" t="n">
        <v>156</v>
      </c>
      <c r="B158">
        <f>HYPERLINK("https://eproc.rajasthan.gov.in/nicgep/app?component=%24DirectLink&amp;page=FrontEndViewTender&amp;service=direct&amp;session=T&amp;sp=SqaHEMUq3cGNYswuH%2B%2BdWDA%3D%3D", "Construction Sub Health Center at Santoshpura Block Khandela, District Sikar")</f>
        <v/>
      </c>
      <c r="C158" t="inlineStr">
        <is>
          <t>Medical and Health||Director (F.W.) Medical Health and Family Welfare Services</t>
        </is>
      </c>
      <c r="D158" t="inlineStr">
        <is>
          <t>22-May-2025 06:00 PM</t>
        </is>
      </c>
      <c r="E158" t="inlineStr">
        <is>
          <t>52,00,000</t>
        </is>
      </c>
      <c r="F158" t="inlineStr">
        <is>
          <t>Construction Sub Health Center at Santoshpura Block Khandela, District Sikar</t>
        </is>
      </c>
      <c r="G158" t="inlineStr">
        <is>
          <t>Sikar</t>
        </is>
      </c>
    </row>
    <row r="159">
      <c r="A159" s="1" t="n">
        <v>157</v>
      </c>
      <c r="B159">
        <f>HYPERLINK("https://eproc.rajasthan.gov.in/nicgep/app?component=%24DirectLink&amp;page=FrontEndViewTender&amp;service=direct&amp;session=T&amp;sp=SmJbj4aU6VwiM5tzTHNyvxw%3D%3D", "Construction Sub Health Center at Khyaliyanau Block Laxmangarh, District Sikar")</f>
        <v/>
      </c>
      <c r="C159" t="inlineStr">
        <is>
          <t>Medical and Health||Director (F.W.) Medical Health and Family Welfare Services</t>
        </is>
      </c>
      <c r="D159" t="inlineStr">
        <is>
          <t>22-May-2025 06:00 PM</t>
        </is>
      </c>
      <c r="E159" t="inlineStr">
        <is>
          <t>52,00,000</t>
        </is>
      </c>
      <c r="F159" t="inlineStr">
        <is>
          <t>Construction Sub Health Center at Khyaliyanau Block Laxmangarh, District Sikar</t>
        </is>
      </c>
      <c r="G159" t="inlineStr">
        <is>
          <t>Sikar</t>
        </is>
      </c>
    </row>
    <row r="160">
      <c r="A160" s="1" t="n">
        <v>158</v>
      </c>
      <c r="B160">
        <f>HYPERLINK("https://eproc.rajasthan.gov.in/nicgep/app?component=%24DirectLink&amp;page=FrontEndViewTender&amp;service=direct&amp;session=T&amp;sp=SMZQISGdjUmIYJaIS4FCAkg%3D%3D", "Construction work of SHC Goverdhanpura Distt. Baran")</f>
        <v/>
      </c>
      <c r="C160" t="inlineStr">
        <is>
          <t>Medical and Health</t>
        </is>
      </c>
      <c r="D160" t="inlineStr">
        <is>
          <t>21-May-2025 05:00 PM</t>
        </is>
      </c>
      <c r="E160" t="inlineStr">
        <is>
          <t>52,00,000</t>
        </is>
      </c>
      <c r="F160" t="inlineStr">
        <is>
          <t>Construction work of SHC Goverdhanpura Distt. Baran</t>
        </is>
      </c>
      <c r="G160" t="inlineStr">
        <is>
          <t>Kota</t>
        </is>
      </c>
    </row>
    <row r="161">
      <c r="A161" s="1" t="n">
        <v>159</v>
      </c>
      <c r="B161">
        <f>HYPERLINK("https://eproc.rajasthan.gov.in/nicgep/app?component=%24DirectLink&amp;page=FrontEndViewTender&amp;service=direct&amp;session=T&amp;sp=SVg%2BECpBTMaE%2BD8M2Pymp3A%3D%3D", "Construction Sub Health Center at Sujawas Block Piprali, District Sikar")</f>
        <v/>
      </c>
      <c r="C161" t="inlineStr">
        <is>
          <t>Medical and Health||Director (F.W.) Medical Health and Family Welfare Services</t>
        </is>
      </c>
      <c r="D161" t="inlineStr">
        <is>
          <t>22-May-2025 06:00 PM</t>
        </is>
      </c>
      <c r="E161" t="inlineStr">
        <is>
          <t>52,00,000</t>
        </is>
      </c>
      <c r="F161" t="inlineStr">
        <is>
          <t>Construction Sub Health Center at Sujawas Block Piprali, District Sikar</t>
        </is>
      </c>
      <c r="G161" t="inlineStr">
        <is>
          <t>Sikar</t>
        </is>
      </c>
    </row>
    <row r="162">
      <c r="A162" s="1" t="n">
        <v>160</v>
      </c>
      <c r="B162">
        <f>HYPERLINK("https://eproc.rajasthan.gov.in/nicgep/app?component=%24DirectLink&amp;page=FrontEndViewTender&amp;service=direct&amp;session=T&amp;sp=S7jtkzjIrawthtithRd5URg%3D%3D", "Construction Sub Health Center at Meelon Ki Dhani Block Jhunjhunu, District Jhunjhunu.")</f>
        <v/>
      </c>
      <c r="C162" t="inlineStr">
        <is>
          <t>Medical and Health||Director (F.W.) Medical Health and Family Welfare Services</t>
        </is>
      </c>
      <c r="D162" t="inlineStr">
        <is>
          <t>22-May-2025 06:00 PM</t>
        </is>
      </c>
      <c r="E162" t="inlineStr">
        <is>
          <t>52,00,000</t>
        </is>
      </c>
      <c r="F162" t="inlineStr">
        <is>
          <t>Construction Sub Health Center at Meelon Ki Dhani Block Jhunjhunu, District Jhunjhunu.</t>
        </is>
      </c>
      <c r="G162" t="inlineStr">
        <is>
          <t>Jhunjhunu</t>
        </is>
      </c>
    </row>
    <row r="163">
      <c r="A163" s="1" t="n">
        <v>161</v>
      </c>
      <c r="B163">
        <f>HYPERLINK("https://eproc.rajasthan.gov.in/nicgep/app?component=%24DirectLink&amp;page=FrontEndViewTender&amp;service=direct&amp;session=T&amp;sp=SD%2FQOkdBtocUkgfN%2BLnypvA%3D%3D", "Construction Sub Health Center at Badpura Block Pilani, District Jhunjhunu")</f>
        <v/>
      </c>
      <c r="C163" t="inlineStr">
        <is>
          <t>Medical and Health||Director (F.W.) Medical Health and Family Welfare Services</t>
        </is>
      </c>
      <c r="D163" t="inlineStr">
        <is>
          <t>22-May-2025 06:00 PM</t>
        </is>
      </c>
      <c r="E163" t="inlineStr">
        <is>
          <t>52,00,000</t>
        </is>
      </c>
      <c r="F163" t="inlineStr">
        <is>
          <t>Construction Sub Health Center at Badpura Block Pilani, District Jhunjhunu</t>
        </is>
      </c>
      <c r="G163" t="inlineStr">
        <is>
          <t>Jhunjhunu</t>
        </is>
      </c>
    </row>
    <row r="164">
      <c r="A164" s="1" t="n">
        <v>162</v>
      </c>
      <c r="B164">
        <f>HYPERLINK("https://eproc.rajasthan.gov.in/nicgep/app?component=%24DirectLink&amp;page=FrontEndViewTender&amp;service=direct&amp;session=T&amp;sp=S%2BZhPD%2BnVdB5jBiTxyHyPAw%3D%3D", "Construction work of SHC Kishanpura Masaldaran Distt. Baran")</f>
        <v/>
      </c>
      <c r="C164" t="inlineStr">
        <is>
          <t>Medical and Health</t>
        </is>
      </c>
      <c r="D164" t="inlineStr">
        <is>
          <t>21-May-2025 05:00 PM</t>
        </is>
      </c>
      <c r="E164" t="inlineStr">
        <is>
          <t>52,00,000</t>
        </is>
      </c>
      <c r="F164" t="inlineStr">
        <is>
          <t>Construction work of SHC Kishanpura Masaldaran Distt. Baran</t>
        </is>
      </c>
      <c r="G164" t="inlineStr">
        <is>
          <t>Kota</t>
        </is>
      </c>
    </row>
    <row r="165">
      <c r="A165" s="1" t="n">
        <v>163</v>
      </c>
      <c r="B165">
        <f>HYPERLINK("https://eproc.rajasthan.gov.in/nicgep/app?component=%24DirectLink&amp;page=FrontEndViewTender&amp;service=direct&amp;session=T&amp;sp=SbLo5rgTySdI6Ds4Kn361Uw%3D%3D", "Construction work of SHC Banskhera Maal Distt. Baran")</f>
        <v/>
      </c>
      <c r="C165" t="inlineStr">
        <is>
          <t>Medical and Health</t>
        </is>
      </c>
      <c r="D165" t="inlineStr">
        <is>
          <t>21-May-2025 05:00 PM</t>
        </is>
      </c>
      <c r="E165" t="inlineStr">
        <is>
          <t>52,00,000</t>
        </is>
      </c>
      <c r="F165" t="inlineStr">
        <is>
          <t>Construction work of SHC Banskhera Maal Distt. Baran</t>
        </is>
      </c>
      <c r="G165" t="inlineStr">
        <is>
          <t>Kota</t>
        </is>
      </c>
    </row>
    <row r="166">
      <c r="A166" s="1" t="n">
        <v>164</v>
      </c>
      <c r="B166">
        <f>HYPERLINK("https://eproc.rajasthan.gov.in/nicgep/app?component=%24DirectLink&amp;page=FrontEndViewTender&amp;service=direct&amp;session=T&amp;sp=SnzyOVCF3vw4Ld2PwSKdJ8w%3D%3D", "Purchase of Cotton Roll")</f>
        <v/>
      </c>
      <c r="C166" t="inlineStr">
        <is>
          <t>Medical and Health||Director (F.W.) Medical Health and Family Welfare Services</t>
        </is>
      </c>
      <c r="D166" t="inlineStr">
        <is>
          <t>19-May-2025 04:30 PM</t>
        </is>
      </c>
      <c r="E166" t="inlineStr">
        <is>
          <t>80,00,000</t>
        </is>
      </c>
      <c r="F166" t="inlineStr">
        <is>
          <t>Purchase of Cotton Roll</t>
        </is>
      </c>
      <c r="G166" t="inlineStr">
        <is>
          <t>CMHO AJMER</t>
        </is>
      </c>
    </row>
    <row r="167">
      <c r="A167" s="1" t="n">
        <v>165</v>
      </c>
      <c r="B167">
        <f>HYPERLINK("https://eproc.rajasthan.gov.in/nicgep/app?component=%24DirectLink&amp;page=FrontEndViewTender&amp;service=direct&amp;session=T&amp;sp=S%2FD66ZoiVfvKspGqt2Lm%2Fwg%3D%3D", "purchase of gauze and bandages")</f>
        <v/>
      </c>
      <c r="C167" t="inlineStr">
        <is>
          <t>Medical and Health||Director (F.W.) Medical Health and Family Welfare Services</t>
        </is>
      </c>
      <c r="D167" t="inlineStr">
        <is>
          <t>27-May-2025 04:30 PM</t>
        </is>
      </c>
      <c r="E167" t="inlineStr">
        <is>
          <t>5,00,00,000</t>
        </is>
      </c>
      <c r="F167" t="inlineStr">
        <is>
          <t>purchase of gauze and bandages</t>
        </is>
      </c>
      <c r="G167" t="inlineStr">
        <is>
          <t>CMHO AJMER</t>
        </is>
      </c>
    </row>
    <row r="168">
      <c r="A168" s="1" t="n">
        <v>166</v>
      </c>
      <c r="B168">
        <f>HYPERLINK("https://eproc.rajasthan.gov.in/nicgep/app?component=%24DirectLink&amp;page=FrontEndViewTender&amp;service=direct&amp;session=T&amp;sp=SEt6sYkb5SYIPad3Anqg9pw%3D%3D", "MAN POWER SUPPLY")</f>
        <v/>
      </c>
      <c r="C168" t="inlineStr">
        <is>
          <t>Medical and Health||Director (F.W.) Medical Health and Family Welfare Services</t>
        </is>
      </c>
      <c r="D168" t="inlineStr">
        <is>
          <t>26-May-2025 11:00 AM</t>
        </is>
      </c>
      <c r="E168" t="inlineStr">
        <is>
          <t>5,00,00,000</t>
        </is>
      </c>
      <c r="F168" t="inlineStr">
        <is>
          <t>MAN POWER SUPPLY</t>
        </is>
      </c>
      <c r="G168" t="inlineStr">
        <is>
          <t>Bhilwara</t>
        </is>
      </c>
    </row>
    <row r="169">
      <c r="A169" s="1" t="n">
        <v>167</v>
      </c>
      <c r="B169">
        <f>HYPERLINK("https://eproc.rajasthan.gov.in/nicgep/app?component=%24DirectLink&amp;page=FrontEndViewTender&amp;service=direct&amp;session=T&amp;sp=SmzUCEbIld0e3Z6ZGFfPjtA%3D%3D", "Construction of PHC Building Biloth Block Nadbai - Distt. Bharatpur")</f>
        <v/>
      </c>
      <c r="C169" t="inlineStr">
        <is>
          <t>Medical and Health||Chief Engineer</t>
        </is>
      </c>
      <c r="D169" t="inlineStr">
        <is>
          <t>20-May-2025 06:00 PM</t>
        </is>
      </c>
      <c r="E169" t="inlineStr">
        <is>
          <t>1,35,00,000</t>
        </is>
      </c>
      <c r="F169" t="inlineStr">
        <is>
          <t>Construction of PHC Building Biloth Block Nadbai - Distt. Bharatpur</t>
        </is>
      </c>
      <c r="G169" t="inlineStr">
        <is>
          <t>Bharatpur</t>
        </is>
      </c>
    </row>
    <row r="170">
      <c r="A170" s="1" t="n">
        <v>168</v>
      </c>
      <c r="B170">
        <f>HYPERLINK("https://eproc.rajasthan.gov.in/nicgep/app?component=%24DirectLink&amp;page=FrontEndViewTender&amp;service=direct&amp;session=T&amp;sp=SX2q16%2BRcsf7MGCSd1FiGIA%3D%3D", "Internal Electrification work PHC Milakpur distt Bharatpu")</f>
        <v/>
      </c>
      <c r="C170" t="inlineStr">
        <is>
          <t>Medical and Health||Chief Engineer</t>
        </is>
      </c>
      <c r="D170" t="inlineStr">
        <is>
          <t>20-May-2025 06:00 PM</t>
        </is>
      </c>
      <c r="E170" t="inlineStr">
        <is>
          <t>11,75,000</t>
        </is>
      </c>
      <c r="F170" t="inlineStr">
        <is>
          <t>Internal Electrification work PHC Milakpur distt Bharatpu</t>
        </is>
      </c>
      <c r="G170" t="inlineStr">
        <is>
          <t>Bharatpur</t>
        </is>
      </c>
    </row>
    <row r="171">
      <c r="A171" s="1" t="n">
        <v>169</v>
      </c>
      <c r="B171">
        <f>HYPERLINK("https://eproc.rajasthan.gov.in/nicgep/app?component=%24DirectLink&amp;page=FrontEndViewTender&amp;service=direct&amp;session=T&amp;sp=SWwlgOOuMdib5UAL9wC2FZg%3D%3D", "Internal Electrification work PHC Dabra distt Karauli")</f>
        <v/>
      </c>
      <c r="C171" t="inlineStr">
        <is>
          <t>Medical and Health||Chief Engineer</t>
        </is>
      </c>
      <c r="D171" t="inlineStr">
        <is>
          <t>20-May-2025 06:00 PM</t>
        </is>
      </c>
      <c r="E171" t="inlineStr">
        <is>
          <t>11,75,000</t>
        </is>
      </c>
      <c r="F171" t="inlineStr">
        <is>
          <t>Internal Electrification work PHC Dabra distt Karauli</t>
        </is>
      </c>
      <c r="G171" t="inlineStr">
        <is>
          <t>Karauli</t>
        </is>
      </c>
    </row>
    <row r="172">
      <c r="A172" s="1" t="n">
        <v>170</v>
      </c>
      <c r="B172">
        <f>HYPERLINK("https://eproc.rajasthan.gov.in/nicgep/app?component=%24DirectLink&amp;page=FrontEndViewTender&amp;service=direct&amp;session=T&amp;sp=SaL9CdHilo2fo4G8ZprvUvQ%3D%3D", "Supply of C Arm Machine in Govt BDM DH Kotputli")</f>
        <v/>
      </c>
      <c r="C172" t="inlineStr">
        <is>
          <t>Medical and Health||Director (F.W.) Medical Health and Family Welfare Services</t>
        </is>
      </c>
      <c r="D172" t="inlineStr">
        <is>
          <t>19-May-2025 10:00 AM</t>
        </is>
      </c>
      <c r="E172" t="inlineStr">
        <is>
          <t>13,00,000</t>
        </is>
      </c>
      <c r="F172" t="inlineStr">
        <is>
          <t>Supply of C Arm Machine in Govt BDM DH Kotputli</t>
        </is>
      </c>
      <c r="G172" t="inlineStr">
        <is>
          <t>Govt BDM DH Kotputli</t>
        </is>
      </c>
    </row>
    <row r="173">
      <c r="A173" s="1" t="n">
        <v>171</v>
      </c>
      <c r="B173">
        <f>HYPERLINK("https://eproc.rajasthan.gov.in/nicgep/app?component=%24DirectLink&amp;page=FrontEndViewTender&amp;service=direct&amp;session=T&amp;sp=S7%2BMa7NGkfwjHvhXz48m7Tw%3D%3D", "Notice inviting Tender for Printing Work")</f>
        <v/>
      </c>
      <c r="C173" t="inlineStr">
        <is>
          <t>Medical and Health</t>
        </is>
      </c>
      <c r="D173" t="inlineStr">
        <is>
          <t>21-May-2025 06:00 PM</t>
        </is>
      </c>
      <c r="E173" t="inlineStr">
        <is>
          <t>40,00,000</t>
        </is>
      </c>
      <c r="F173" t="inlineStr">
        <is>
          <t>As per Bid Documents</t>
        </is>
      </c>
      <c r="G173" t="inlineStr">
        <is>
          <t>karauli</t>
        </is>
      </c>
    </row>
    <row r="174">
      <c r="A174" s="1" t="n">
        <v>172</v>
      </c>
      <c r="B174">
        <f>HYPERLINK("https://eproc.rajasthan.gov.in/nicgep/app?component=%24DirectLink&amp;page=FrontEndViewTender&amp;service=direct&amp;session=T&amp;sp=SxhY0APCQMrbkdFCM48jjwA%3D%3D", "HIRING OF MANPOWER")</f>
        <v/>
      </c>
      <c r="C174" t="inlineStr">
        <is>
          <t>Medical and Health||Director (F.W.) Medical Health and Family Welfare Services</t>
        </is>
      </c>
      <c r="D174" t="inlineStr">
        <is>
          <t>23-May-2025 11:00 AM</t>
        </is>
      </c>
      <c r="E174" t="inlineStr">
        <is>
          <t>1,08,00,000</t>
        </is>
      </c>
      <c r="F174" t="inlineStr">
        <is>
          <t>HIRING OF MANPOWER ON CONTRACT BASIS</t>
        </is>
      </c>
      <c r="G174" t="inlineStr">
        <is>
          <t>KHAIRTHAL-TIJARA</t>
        </is>
      </c>
    </row>
    <row r="175">
      <c r="A175" s="1" t="n">
        <v>173</v>
      </c>
      <c r="B175">
        <f>HYPERLINK("https://eproc.rajasthan.gov.in/nicgep/app?component=%24DirectLink&amp;page=FrontEndViewTender&amp;service=direct&amp;session=T&amp;sp=Sb4b6O%2BqFwW3uVbDOyjkfFA%3D%3D", "Notice inviting tender for outsourcing of varrious manpower")</f>
        <v/>
      </c>
      <c r="C175" t="inlineStr">
        <is>
          <t>Medical and Health</t>
        </is>
      </c>
      <c r="D175" t="inlineStr">
        <is>
          <t>21-May-2025 06:00 PM</t>
        </is>
      </c>
      <c r="E175" t="inlineStr">
        <is>
          <t>98,00,000</t>
        </is>
      </c>
      <c r="F175" t="inlineStr">
        <is>
          <t>As per Bid documents</t>
        </is>
      </c>
      <c r="G175" t="inlineStr">
        <is>
          <t>karauli</t>
        </is>
      </c>
    </row>
    <row r="176">
      <c r="A176" s="1" t="n">
        <v>174</v>
      </c>
      <c r="B176">
        <f>HYPERLINK("https://eproc.rajasthan.gov.in/nicgep/app?component=%24DirectLink&amp;page=FrontEndViewTender&amp;service=direct&amp;session=T&amp;sp=SwFDkqfzpkDpqarENbVR7lA%3D%3D", "TENDER FOR MANPOWER SUPPLY FOR UAAM AND NHM")</f>
        <v/>
      </c>
      <c r="C176" t="inlineStr">
        <is>
          <t>Medical and Health||Director (F.W.) Medical Health and Family Welfare Services</t>
        </is>
      </c>
      <c r="D176" t="inlineStr">
        <is>
          <t>27-May-2025 03:00 PM</t>
        </is>
      </c>
      <c r="E176" t="inlineStr">
        <is>
          <t>2,20,00,000</t>
        </is>
      </c>
      <c r="F176" t="inlineStr">
        <is>
          <t>TENDER FOR MANPOWER SUPPLY FOR UAAM AND NHM</t>
        </is>
      </c>
      <c r="G176" t="inlineStr">
        <is>
          <t>BEAWAR</t>
        </is>
      </c>
    </row>
    <row r="177">
      <c r="A177" s="1" t="n">
        <v>175</v>
      </c>
      <c r="B177">
        <f>HYPERLINK("https://eproc.rajasthan.gov.in/nicgep/app?component=%24DirectLink&amp;page=FrontEndViewTender&amp;service=direct&amp;session=T&amp;sp=SFwibQ2F5GZ6NXwOWMqycrg%3D%3D", "Notice inviting Tender for painting Work")</f>
        <v/>
      </c>
      <c r="C177" t="inlineStr">
        <is>
          <t>Medical and Health</t>
        </is>
      </c>
      <c r="D177" t="inlineStr">
        <is>
          <t>21-May-2025 06:00 PM</t>
        </is>
      </c>
      <c r="E177" t="inlineStr">
        <is>
          <t>40,00,000</t>
        </is>
      </c>
      <c r="F177" t="inlineStr">
        <is>
          <t>As per Bid Documents</t>
        </is>
      </c>
      <c r="G177" t="inlineStr">
        <is>
          <t>karauli</t>
        </is>
      </c>
    </row>
    <row r="178">
      <c r="A178" s="1" t="n">
        <v>176</v>
      </c>
      <c r="B178">
        <f>HYPERLINK("https://eproc.rajasthan.gov.in/nicgep/app?component=%24DirectLink&amp;page=FrontEndViewTender&amp;service=direct&amp;session=T&amp;sp=SqrqsmvbJtW%2Bxk%2FQeL%2FOtlA%3D%3D", "E tender lab reagents/equipments")</f>
        <v/>
      </c>
      <c r="C178" t="inlineStr">
        <is>
          <t>Medical and Health</t>
        </is>
      </c>
      <c r="D178" t="inlineStr">
        <is>
          <t>21-May-2025 06:00 PM</t>
        </is>
      </c>
      <c r="E178" t="inlineStr">
        <is>
          <t>3,00,00,000</t>
        </is>
      </c>
      <c r="F178" t="inlineStr">
        <is>
          <t>As per Bid documents</t>
        </is>
      </c>
      <c r="G178" t="inlineStr">
        <is>
          <t>KARAULI</t>
        </is>
      </c>
    </row>
    <row r="179">
      <c r="A179" s="1" t="n">
        <v>177</v>
      </c>
      <c r="B179">
        <f>HYPERLINK("https://eproc.rajasthan.gov.in/nicgep/app?component=%24DirectLink&amp;page=FrontEndViewTender&amp;service=direct&amp;session=T&amp;sp=SLR7S6Av5AwxfyraQmmBQEA%3D%3D", "Notice inviting tender for varrious generic medicine")</f>
        <v/>
      </c>
      <c r="C179" t="inlineStr">
        <is>
          <t>Medical and Health</t>
        </is>
      </c>
      <c r="D179" t="inlineStr">
        <is>
          <t>21-May-2025 06:00 PM</t>
        </is>
      </c>
      <c r="E179" t="inlineStr">
        <is>
          <t>3,00,00,000</t>
        </is>
      </c>
      <c r="F179" t="inlineStr">
        <is>
          <t>As per Bid Documents</t>
        </is>
      </c>
      <c r="G179" t="inlineStr">
        <is>
          <t>KARAULI</t>
        </is>
      </c>
    </row>
    <row r="180">
      <c r="A180" s="1" t="n">
        <v>178</v>
      </c>
      <c r="B180">
        <f>HYPERLINK("https://eproc.rajasthan.gov.in/nicgep/app?component=%24DirectLink&amp;page=FrontEndViewTender&amp;service=direct&amp;session=T&amp;sp=SZuVaLE0zpdsP5%2FJLUNUnCA%3D%3D", "Notice inviting tender for food and accomodation services")</f>
        <v/>
      </c>
      <c r="C180" t="inlineStr">
        <is>
          <t>Medical and Health</t>
        </is>
      </c>
      <c r="D180" t="inlineStr">
        <is>
          <t>21-May-2025 06:00 PM</t>
        </is>
      </c>
      <c r="E180" t="inlineStr">
        <is>
          <t>40,00,000</t>
        </is>
      </c>
      <c r="F180" t="inlineStr">
        <is>
          <t>As per Bid documents</t>
        </is>
      </c>
      <c r="G180" t="inlineStr">
        <is>
          <t>karauli</t>
        </is>
      </c>
    </row>
    <row r="181">
      <c r="A181" s="1" t="n">
        <v>179</v>
      </c>
      <c r="B181">
        <f>HYPERLINK("https://eproc.rajasthan.gov.in/nicgep/app?component=%24DirectLink&amp;page=FrontEndViewTender&amp;service=direct&amp;session=T&amp;sp=S3DhEVlFJpOThvKB47oJ7hQ%3D%3D", "Notice inviting tender for cleaning at varrious institution under cmho")</f>
        <v/>
      </c>
      <c r="C181" t="inlineStr">
        <is>
          <t>Medical and Health</t>
        </is>
      </c>
      <c r="D181" t="inlineStr">
        <is>
          <t>21-May-2025 06:00 PM</t>
        </is>
      </c>
      <c r="E181" t="inlineStr">
        <is>
          <t>75,00,000</t>
        </is>
      </c>
      <c r="F181" t="inlineStr">
        <is>
          <t>As per Bid Documents</t>
        </is>
      </c>
      <c r="G181" t="inlineStr">
        <is>
          <t>karauli</t>
        </is>
      </c>
    </row>
    <row r="182">
      <c r="A182" s="1" t="n">
        <v>180</v>
      </c>
      <c r="B182">
        <f>HYPERLINK("https://eproc.rajasthan.gov.in/nicgep/app?component=%24DirectLink&amp;page=FrontEndViewTender&amp;service=direct&amp;session=T&amp;sp=SYMDLnJrqtGq1vG0cwm3Zbw%3D%3D", "Notice Inviting Tender for vehicle hiring")</f>
        <v/>
      </c>
      <c r="C182" t="inlineStr">
        <is>
          <t>Medical and Health</t>
        </is>
      </c>
      <c r="D182" t="inlineStr">
        <is>
          <t>21-May-2025 06:00 PM</t>
        </is>
      </c>
      <c r="E182" t="inlineStr">
        <is>
          <t>23,00,000</t>
        </is>
      </c>
      <c r="F182" t="inlineStr">
        <is>
          <t>As per Bid documents</t>
        </is>
      </c>
      <c r="G182" t="inlineStr">
        <is>
          <t>karauli</t>
        </is>
      </c>
    </row>
    <row r="183">
      <c r="A183" s="1" t="n">
        <v>181</v>
      </c>
      <c r="B183">
        <f>HYPERLINK("https://eproc.rajasthan.gov.in/nicgep/app?component=%24DirectLink&amp;page=FrontEndViewTender&amp;service=direct&amp;session=T&amp;sp=ShevxD8pMH5U9QmL7SOi66g%3D%3D", "SITC of Fire Fighting and Fire Detection work for Construction of Distt. Hospital Hindaun, Karauli.)")</f>
        <v/>
      </c>
      <c r="C183" t="inlineStr">
        <is>
          <t>Medical and Health||Chief Engineer</t>
        </is>
      </c>
      <c r="D183" t="inlineStr">
        <is>
          <t>26-May-2025 06:00 PM</t>
        </is>
      </c>
      <c r="E183" t="inlineStr">
        <is>
          <t>1,93,63,000</t>
        </is>
      </c>
      <c r="F183" t="inlineStr">
        <is>
          <t>SITC of Fire Fighting and Fire Detection work for Construction of Distt. Hospital Hindaun, Karauli.)</t>
        </is>
      </c>
      <c r="G183" t="inlineStr">
        <is>
          <t>Karauli</t>
        </is>
      </c>
    </row>
    <row r="184">
      <c r="A184" s="1" t="n">
        <v>182</v>
      </c>
      <c r="B184">
        <f>HYPERLINK("https://eproc.rajasthan.gov.in/nicgep/app?component=%24DirectLink&amp;page=FrontEndViewTender&amp;service=direct&amp;session=T&amp;sp=S7qD8XV3N0nvQY31MQGb7Fw%3D%3D", "Construction of SHC Building Dayarampur (Toda)-Distt. Karauli")</f>
        <v/>
      </c>
      <c r="C184" t="inlineStr">
        <is>
          <t>Medical and Health||Chief Engineer</t>
        </is>
      </c>
      <c r="D184" t="inlineStr">
        <is>
          <t>21-May-2025 06:00 PM</t>
        </is>
      </c>
      <c r="E184" t="inlineStr">
        <is>
          <t>52,00,000</t>
        </is>
      </c>
      <c r="F184" t="inlineStr">
        <is>
          <t>Construction of SHC Building Dayarampur (Toda)-Distt. Karauli</t>
        </is>
      </c>
      <c r="G184" t="inlineStr">
        <is>
          <t>Karauli</t>
        </is>
      </c>
    </row>
    <row r="185">
      <c r="A185" s="1" t="n">
        <v>183</v>
      </c>
      <c r="B185">
        <f>HYPERLINK("https://eproc.rajasthan.gov.in/nicgep/app?component=%24DirectLink&amp;page=FrontEndViewTender&amp;service=direct&amp;session=T&amp;sp=SVExqnaKk0whpQTrbGjDVyw%3D%3D", "Construction of SHC Building Bhago -Distt. Karauli")</f>
        <v/>
      </c>
      <c r="C185" t="inlineStr">
        <is>
          <t>Medical and Health||Chief Engineer</t>
        </is>
      </c>
      <c r="D185" t="inlineStr">
        <is>
          <t>21-May-2025 06:00 PM</t>
        </is>
      </c>
      <c r="E185" t="inlineStr">
        <is>
          <t>52,00,000</t>
        </is>
      </c>
      <c r="F185" t="inlineStr">
        <is>
          <t>Construction of SHC Building Bhago -Distt. Karauli</t>
        </is>
      </c>
      <c r="G185" t="inlineStr">
        <is>
          <t>Karauli</t>
        </is>
      </c>
    </row>
    <row r="186">
      <c r="A186" s="1" t="n">
        <v>184</v>
      </c>
      <c r="B186">
        <f>HYPERLINK("https://eproc.rajasthan.gov.in/nicgep/app?component=%24DirectLink&amp;page=FrontEndViewTender&amp;service=direct&amp;session=T&amp;sp=SPSocLN3bGwHxedmEyoCXmw%3D%3D", "Construction of SHC Building Gurdah-Distt. Karauli")</f>
        <v/>
      </c>
      <c r="C186" t="inlineStr">
        <is>
          <t>Medical and Health||Chief Engineer</t>
        </is>
      </c>
      <c r="D186" t="inlineStr">
        <is>
          <t>21-May-2025 06:00 PM</t>
        </is>
      </c>
      <c r="E186" t="inlineStr">
        <is>
          <t>52,00,000</t>
        </is>
      </c>
      <c r="F186" t="inlineStr">
        <is>
          <t>Construction of SHC Building Gurdah-Distt. Karauli</t>
        </is>
      </c>
      <c r="G186" t="inlineStr">
        <is>
          <t>Karauli</t>
        </is>
      </c>
    </row>
    <row r="187">
      <c r="A187" s="1" t="n">
        <v>185</v>
      </c>
      <c r="B187">
        <f>HYPERLINK("https://eproc.rajasthan.gov.in/nicgep/app?component=%24DirectLink&amp;page=FrontEndViewTender&amp;service=direct&amp;session=T&amp;sp=SXH2%2BKEIWBhqYYY8x6VzCaQ%3D%3D", "Construction of SHC Building Bhawli -Distt. Karauli")</f>
        <v/>
      </c>
      <c r="C187" t="inlineStr">
        <is>
          <t>Medical and Health||Chief Engineer</t>
        </is>
      </c>
      <c r="D187" t="inlineStr">
        <is>
          <t>21-May-2025 06:00 PM</t>
        </is>
      </c>
      <c r="E187" t="inlineStr">
        <is>
          <t>52,00,000</t>
        </is>
      </c>
      <c r="F187" t="inlineStr">
        <is>
          <t>Construction of SHC Building Bhawli -Distt. Karauli</t>
        </is>
      </c>
      <c r="G187" t="inlineStr">
        <is>
          <t>Karauli</t>
        </is>
      </c>
    </row>
    <row r="188">
      <c r="A188" s="1" t="n">
        <v>186</v>
      </c>
      <c r="B188">
        <f>HYPERLINK("https://eproc.rajasthan.gov.in/nicgep/app?component=%24DirectLink&amp;page=FrontEndViewTender&amp;service=direct&amp;session=T&amp;sp=S6KENlr1krkJwuTqz7jxaeQ%3D%3D", "Construction of SHC Building Bhojpur-Distt. Karauli")</f>
        <v/>
      </c>
      <c r="C188" t="inlineStr">
        <is>
          <t>Medical and Health||Chief Engineer</t>
        </is>
      </c>
      <c r="D188" t="inlineStr">
        <is>
          <t>21-May-2025 06:00 PM</t>
        </is>
      </c>
      <c r="E188" t="inlineStr">
        <is>
          <t>52,00,000</t>
        </is>
      </c>
      <c r="F188" t="inlineStr">
        <is>
          <t>Construction of SHC Building Bhojpur-Distt. Karauli</t>
        </is>
      </c>
      <c r="G188" t="inlineStr">
        <is>
          <t>Karauli</t>
        </is>
      </c>
    </row>
    <row r="189">
      <c r="A189" s="1" t="n">
        <v>187</v>
      </c>
      <c r="B189">
        <f>HYPERLINK("https://eproc.rajasthan.gov.in/nicgep/app?component=%24DirectLink&amp;page=FrontEndViewTender&amp;service=direct&amp;session=T&amp;sp=SevCfJDrx%2BB9iiP0bYyKlcg%3D%3D", "Construction of SHC Building Jamura-Distt. Karauli")</f>
        <v/>
      </c>
      <c r="C189" t="inlineStr">
        <is>
          <t>Medical and Health||Chief Engineer</t>
        </is>
      </c>
      <c r="D189" t="inlineStr">
        <is>
          <t>21-May-2025 06:00 PM</t>
        </is>
      </c>
      <c r="E189" t="inlineStr">
        <is>
          <t>52,00,000</t>
        </is>
      </c>
      <c r="F189" t="inlineStr">
        <is>
          <t>Construction of SHC Building Jamura-Distt. Karauli</t>
        </is>
      </c>
      <c r="G189" t="inlineStr">
        <is>
          <t>Karauli</t>
        </is>
      </c>
    </row>
    <row r="190">
      <c r="A190" s="1" t="n">
        <v>188</v>
      </c>
      <c r="B190">
        <f>HYPERLINK("https://eproc.rajasthan.gov.in/nicgep/app?component=%24DirectLink&amp;page=FrontEndViewTender&amp;service=direct&amp;session=T&amp;sp=SI6WyUn4zq7hdjyY8f9RkMg%3D%3D", "Construction of SHC Building Danda-Distt. Karauli")</f>
        <v/>
      </c>
      <c r="C190" t="inlineStr">
        <is>
          <t>Medical and Health||Chief Engineer</t>
        </is>
      </c>
      <c r="D190" t="inlineStr">
        <is>
          <t>21-May-2025 06:00 PM</t>
        </is>
      </c>
      <c r="E190" t="inlineStr">
        <is>
          <t>52,00,000</t>
        </is>
      </c>
      <c r="F190" t="inlineStr">
        <is>
          <t>Construction of SHC Building Danda-Distt. Karauli</t>
        </is>
      </c>
      <c r="G190" t="inlineStr">
        <is>
          <t>Karauli</t>
        </is>
      </c>
    </row>
    <row r="191">
      <c r="A191" s="1" t="n">
        <v>189</v>
      </c>
      <c r="B191">
        <f>HYPERLINK("https://eproc.rajasthan.gov.in/nicgep/app?component=%24DirectLink&amp;page=FrontEndViewTender&amp;service=direct&amp;session=T&amp;sp=SzmQpKg8nw%2F7d7%2FvzkR%2FTDw%3D%3D", "Construction of SHC Building Gadholi-Distt. Karauli")</f>
        <v/>
      </c>
      <c r="C191" t="inlineStr">
        <is>
          <t>Medical and Health||Chief Engineer</t>
        </is>
      </c>
      <c r="D191" t="inlineStr">
        <is>
          <t>21-May-2025 06:00 PM</t>
        </is>
      </c>
      <c r="E191" t="inlineStr">
        <is>
          <t>52,00,000</t>
        </is>
      </c>
      <c r="F191" t="inlineStr">
        <is>
          <t>Construction of SHC Building Gadholi-Distt. Karauli</t>
        </is>
      </c>
      <c r="G191" t="inlineStr">
        <is>
          <t>Karauli</t>
        </is>
      </c>
    </row>
    <row r="192">
      <c r="A192" s="1" t="n">
        <v>190</v>
      </c>
      <c r="B192">
        <f>HYPERLINK("https://eproc.rajasthan.gov.in/nicgep/app?component=%24DirectLink&amp;page=FrontEndViewTender&amp;service=direct&amp;session=T&amp;sp=SzlsClwvVEP%2BLf9YDNneLtg%3D%3D", "Construction of SHC Building Kailash Nagar-Distt. Karauli")</f>
        <v/>
      </c>
      <c r="C192" t="inlineStr">
        <is>
          <t>Medical and Health||Chief Engineer</t>
        </is>
      </c>
      <c r="D192" t="inlineStr">
        <is>
          <t>21-May-2025 06:00 PM</t>
        </is>
      </c>
      <c r="E192" t="inlineStr">
        <is>
          <t>52,00,000</t>
        </is>
      </c>
      <c r="F192" t="inlineStr">
        <is>
          <t>Construction of SHC Building Kailash Nagar-Distt. Karauli</t>
        </is>
      </c>
      <c r="G192" t="inlineStr">
        <is>
          <t>Karauli</t>
        </is>
      </c>
    </row>
    <row r="193">
      <c r="A193" s="1" t="n">
        <v>191</v>
      </c>
      <c r="B193">
        <f>HYPERLINK("https://eproc.rajasthan.gov.in/nicgep/app?component=%24DirectLink&amp;page=FrontEndViewTender&amp;service=direct&amp;session=T&amp;sp=SHv%2Fc5%2BqVTZXHpvORBoQgpA%3D%3D", "Construction of SHC Building Mandawara-Distt. Karauli")</f>
        <v/>
      </c>
      <c r="C193" t="inlineStr">
        <is>
          <t>Medical and Health||Chief Engineer</t>
        </is>
      </c>
      <c r="D193" t="inlineStr">
        <is>
          <t>21-May-2025 06:00 PM</t>
        </is>
      </c>
      <c r="E193" t="inlineStr">
        <is>
          <t>52,00,000</t>
        </is>
      </c>
      <c r="F193" t="inlineStr">
        <is>
          <t>Construction of SHC Building Mandawara-Distt. Karauli</t>
        </is>
      </c>
      <c r="G193" t="inlineStr">
        <is>
          <t>Karauli</t>
        </is>
      </c>
    </row>
    <row r="194">
      <c r="A194" s="1" t="n">
        <v>192</v>
      </c>
      <c r="B194">
        <f>HYPERLINK("https://eproc.rajasthan.gov.in/nicgep/app?component=%24DirectLink&amp;page=FrontEndViewTender&amp;service=direct&amp;session=T&amp;sp=SvWbdrX%2BeaL2DlEUH8DBShQ%3D%3D", "Construction of SHC Building Talli-Distt. Karauli")</f>
        <v/>
      </c>
      <c r="C194" t="inlineStr">
        <is>
          <t>Medical and Health||Chief Engineer</t>
        </is>
      </c>
      <c r="D194" t="inlineStr">
        <is>
          <t>21-May-2025 06:00 PM</t>
        </is>
      </c>
      <c r="E194" t="inlineStr">
        <is>
          <t>52,00,000</t>
        </is>
      </c>
      <c r="F194" t="inlineStr">
        <is>
          <t>Construction of SHC Building Talli-Distt. Karauli</t>
        </is>
      </c>
      <c r="G194" t="inlineStr">
        <is>
          <t>Karauli</t>
        </is>
      </c>
    </row>
    <row r="195">
      <c r="A195" s="1" t="n">
        <v>193</v>
      </c>
      <c r="B195">
        <f>HYPERLINK("https://eproc.rajasthan.gov.in/nicgep/app?component=%24DirectLink&amp;page=FrontEndViewTender&amp;service=direct&amp;session=T&amp;sp=SOXe89iE38ru5oO8kHB36yQ%3D%3D", "Construction of SHC Building Akbarpur-Distt. Karauli")</f>
        <v/>
      </c>
      <c r="C195" t="inlineStr">
        <is>
          <t>Medical and Health||Chief Engineer</t>
        </is>
      </c>
      <c r="D195" t="inlineStr">
        <is>
          <t>21-May-2025 06:00 PM</t>
        </is>
      </c>
      <c r="E195" t="inlineStr">
        <is>
          <t>52,00,000</t>
        </is>
      </c>
      <c r="F195" t="inlineStr">
        <is>
          <t>Construction of SHC Building Akbarpur-Distt. Karauli</t>
        </is>
      </c>
      <c r="G195" t="inlineStr">
        <is>
          <t>Karauli</t>
        </is>
      </c>
    </row>
    <row r="196">
      <c r="A196" s="1" t="n">
        <v>194</v>
      </c>
      <c r="B196">
        <f>HYPERLINK("https://eproc.rajasthan.gov.in/nicgep/app?component=%24DirectLink&amp;page=FrontEndViewTender&amp;service=direct&amp;session=T&amp;sp=STYn5iUs79z99xd%2FNa9RrjQ%3D%3D", "Construction of SHC Building Khareta-Distt. Karauli")</f>
        <v/>
      </c>
      <c r="C196" t="inlineStr">
        <is>
          <t>Medical and Health||Chief Engineer</t>
        </is>
      </c>
      <c r="D196" t="inlineStr">
        <is>
          <t>21-May-2025 06:00 PM</t>
        </is>
      </c>
      <c r="E196" t="inlineStr">
        <is>
          <t>52,00,000</t>
        </is>
      </c>
      <c r="F196" t="inlineStr">
        <is>
          <t>Construction of SHC Building Khareta-Distt. Karauli</t>
        </is>
      </c>
      <c r="G196" t="inlineStr">
        <is>
          <t>Karauli</t>
        </is>
      </c>
    </row>
    <row r="197">
      <c r="A197" s="1" t="n">
        <v>195</v>
      </c>
      <c r="B197">
        <f>HYPERLINK("https://eproc.rajasthan.gov.in/nicgep/app?component=%24DirectLink&amp;page=FrontEndViewTender&amp;service=direct&amp;session=T&amp;sp=SBXWAhjpRbBNHCTvfcj%2BA9A%3D%3D", "Construction of SHC Building Baharda-Distt. Karauli")</f>
        <v/>
      </c>
      <c r="C197" t="inlineStr">
        <is>
          <t>Medical and Health||Chief Engineer</t>
        </is>
      </c>
      <c r="D197" t="inlineStr">
        <is>
          <t>21-May-2025 06:00 PM</t>
        </is>
      </c>
      <c r="E197" t="inlineStr">
        <is>
          <t>52,00,000</t>
        </is>
      </c>
      <c r="F197" t="inlineStr">
        <is>
          <t>Construction of SHC Building Baharda-Distt. Karauli</t>
        </is>
      </c>
      <c r="G197" t="inlineStr">
        <is>
          <t>Karauli</t>
        </is>
      </c>
    </row>
    <row r="198">
      <c r="A198" s="1" t="n">
        <v>196</v>
      </c>
      <c r="B198">
        <f>HYPERLINK("https://eproc.rajasthan.gov.in/nicgep/app?component=%24DirectLink&amp;page=FrontEndViewTender&amp;service=direct&amp;session=T&amp;sp=SNUQOS0iMGE1ws30eJ4fNWw%3D%3D", "Construction of SHC Building Barula-Distt. Karauli")</f>
        <v/>
      </c>
      <c r="C198" t="inlineStr">
        <is>
          <t>Medical and Health||Chief Engineer</t>
        </is>
      </c>
      <c r="D198" t="inlineStr">
        <is>
          <t>21-May-2025 06:00 PM</t>
        </is>
      </c>
      <c r="E198" t="inlineStr">
        <is>
          <t>52,00,000</t>
        </is>
      </c>
      <c r="F198" t="inlineStr">
        <is>
          <t>Construction of SHC Building Barula-Distt. Karauli</t>
        </is>
      </c>
      <c r="G198" t="inlineStr">
        <is>
          <t>Karauli</t>
        </is>
      </c>
    </row>
    <row r="199">
      <c r="A199" s="1" t="n">
        <v>197</v>
      </c>
      <c r="B199">
        <f>HYPERLINK("https://eproc.rajasthan.gov.in/nicgep/app?component=%24DirectLink&amp;page=FrontEndViewTender&amp;service=direct&amp;session=T&amp;sp=So7BRPsa7WR7U6lycktAvWA%3D%3D", "Construction of SHC Building Bhanduret-Distt. Karauli")</f>
        <v/>
      </c>
      <c r="C199" t="inlineStr">
        <is>
          <t>Medical and Health||Chief Engineer</t>
        </is>
      </c>
      <c r="D199" t="inlineStr">
        <is>
          <t>21-May-2025 06:00 PM</t>
        </is>
      </c>
      <c r="E199" t="inlineStr">
        <is>
          <t>52,00,000</t>
        </is>
      </c>
      <c r="F199" t="inlineStr">
        <is>
          <t>Construction of SHC Building Bhanduret-Distt. Karauli</t>
        </is>
      </c>
      <c r="G199" t="inlineStr">
        <is>
          <t>Karauli</t>
        </is>
      </c>
    </row>
    <row r="200">
      <c r="A200" s="1" t="n">
        <v>198</v>
      </c>
      <c r="B200">
        <f>HYPERLINK("https://eproc.rajasthan.gov.in/nicgep/app?component=%24DirectLink&amp;page=FrontEndViewTender&amp;service=direct&amp;session=T&amp;sp=SZ1T3fJHOGNd9OT6W7SeyVw%3D%3D", "Construction of SHC Building Kheep Ka Pura-Distt. Karauli")</f>
        <v/>
      </c>
      <c r="C200" t="inlineStr">
        <is>
          <t>Medical and Health||Chief Engineer</t>
        </is>
      </c>
      <c r="D200" t="inlineStr">
        <is>
          <t>21-May-2025 06:00 PM</t>
        </is>
      </c>
      <c r="E200" t="inlineStr">
        <is>
          <t>52,00,000</t>
        </is>
      </c>
      <c r="F200" t="inlineStr">
        <is>
          <t>Construction of SHC Building Kheep Ka Pura-Distt. Karauli</t>
        </is>
      </c>
      <c r="G200" t="inlineStr">
        <is>
          <t>Karauli</t>
        </is>
      </c>
    </row>
    <row r="201">
      <c r="A201" s="1" t="n">
        <v>199</v>
      </c>
      <c r="B201">
        <f>HYPERLINK("https://eproc.rajasthan.gov.in/nicgep/app?component=%24DirectLink&amp;page=FrontEndViewTender&amp;service=direct&amp;session=T&amp;sp=SRYqI8qjSDGZplh5Q4E%2FWJQ%3D%3D", "Construction of SHC Building Chadan Gaun-Distt. Karauli")</f>
        <v/>
      </c>
      <c r="C201" t="inlineStr">
        <is>
          <t>Medical and Health||Chief Engineer</t>
        </is>
      </c>
      <c r="D201" t="inlineStr">
        <is>
          <t>21-May-2025 06:00 PM</t>
        </is>
      </c>
      <c r="E201" t="inlineStr">
        <is>
          <t>52,00,000</t>
        </is>
      </c>
      <c r="F201" t="inlineStr">
        <is>
          <t>Construction of SHC Building Chadan Gaun-Distt. Karauli</t>
        </is>
      </c>
      <c r="G201" t="inlineStr">
        <is>
          <t>Karauli</t>
        </is>
      </c>
    </row>
    <row r="202">
      <c r="A202" s="1" t="n">
        <v>200</v>
      </c>
      <c r="B202">
        <f>HYPERLINK("https://eproc.rajasthan.gov.in/nicgep/app?component=%24DirectLink&amp;page=FrontEndViewTender&amp;service=direct&amp;session=T&amp;sp=S%2FfU1T3IfLi9tztx2z4QIQQ%3D%3D", "Construction of SHC Building Dhandhurot -Distt. Karauli")</f>
        <v/>
      </c>
      <c r="C202" t="inlineStr">
        <is>
          <t>Medical and Health||Chief Engineer</t>
        </is>
      </c>
      <c r="D202" t="inlineStr">
        <is>
          <t>21-May-2025 06:00 PM</t>
        </is>
      </c>
      <c r="E202" t="inlineStr">
        <is>
          <t>52,00,000</t>
        </is>
      </c>
      <c r="F202" t="inlineStr">
        <is>
          <t>Construction of SHC Building Dhandhurot -Distt. Karauli</t>
        </is>
      </c>
      <c r="G202" t="inlineStr">
        <is>
          <t>Karauli</t>
        </is>
      </c>
    </row>
    <row r="203">
      <c r="A203" s="1" t="n">
        <v>201</v>
      </c>
      <c r="B203">
        <f>HYPERLINK("https://eproc.rajasthan.gov.in/nicgep/app?component=%24DirectLink&amp;page=FrontEndViewTender&amp;service=direct&amp;session=T&amp;sp=SZ%2Fdd%2BQ958BsRFvOuxEHYMw%3D%3D", "Construction of SHC Building Firojpur-Distt. Karauli")</f>
        <v/>
      </c>
      <c r="C203" t="inlineStr">
        <is>
          <t>Medical and Health||Chief Engineer</t>
        </is>
      </c>
      <c r="D203" t="inlineStr">
        <is>
          <t>21-May-2025 06:00 PM</t>
        </is>
      </c>
      <c r="E203" t="inlineStr">
        <is>
          <t>52,00,000</t>
        </is>
      </c>
      <c r="F203" t="inlineStr">
        <is>
          <t>Construction of SHC Building Firojpur-Distt. Karauli</t>
        </is>
      </c>
      <c r="G203" t="inlineStr">
        <is>
          <t>Karauli</t>
        </is>
      </c>
    </row>
    <row r="204">
      <c r="A204" s="1" t="n">
        <v>202</v>
      </c>
      <c r="B204">
        <f>HYPERLINK("https://eproc.rajasthan.gov.in/nicgep/app?component=%24DirectLink&amp;page=FrontEndViewTender&amp;service=direct&amp;session=T&amp;sp=SaxEsGFCcD69frMj%2FdobDhQ%3D%3D", "Construction of SHC Building Gaddi Pura -Distt. Karauli")</f>
        <v/>
      </c>
      <c r="C204" t="inlineStr">
        <is>
          <t>Medical and Health||Chief Engineer</t>
        </is>
      </c>
      <c r="D204" t="inlineStr">
        <is>
          <t>21-May-2025 06:00 PM</t>
        </is>
      </c>
      <c r="E204" t="inlineStr">
        <is>
          <t>52,00,000</t>
        </is>
      </c>
      <c r="F204" t="inlineStr">
        <is>
          <t>Construction of SHC Building Gaddi Pura -Distt. Karauli</t>
        </is>
      </c>
      <c r="G204" t="inlineStr">
        <is>
          <t>Karauli</t>
        </is>
      </c>
    </row>
    <row r="205">
      <c r="A205" s="1" t="n">
        <v>203</v>
      </c>
      <c r="B205">
        <f>HYPERLINK("https://eproc.rajasthan.gov.in/nicgep/app?component=%24DirectLink&amp;page=FrontEndViewTender&amp;service=direct&amp;session=T&amp;sp=S9rJhPV%2B6epmhMkluozV97g%3D%3D", "Construction of SHC Building Ledorkala-Distt. Karauli")</f>
        <v/>
      </c>
      <c r="C205" t="inlineStr">
        <is>
          <t>Medical and Health||Chief Engineer</t>
        </is>
      </c>
      <c r="D205" t="inlineStr">
        <is>
          <t>21-May-2025 06:00 PM</t>
        </is>
      </c>
      <c r="E205" t="inlineStr">
        <is>
          <t>52,00,000</t>
        </is>
      </c>
      <c r="F205" t="inlineStr">
        <is>
          <t>Construction of SHC Building Ledorkala-Distt. Karauli</t>
        </is>
      </c>
      <c r="G205" t="inlineStr">
        <is>
          <t>Karauli</t>
        </is>
      </c>
    </row>
    <row r="206">
      <c r="A206" s="1" t="n">
        <v>204</v>
      </c>
      <c r="B206">
        <f>HYPERLINK("https://eproc.rajasthan.gov.in/nicgep/app?component=%24DirectLink&amp;page=FrontEndViewTender&amp;service=direct&amp;session=T&amp;sp=SW5KoPVrJbBa5emsDk4Gscg%3D%3D", "Construction of SHC Building Mahu-Distt. Karauli")</f>
        <v/>
      </c>
      <c r="C206" t="inlineStr">
        <is>
          <t>Medical and Health||Chief Engineer</t>
        </is>
      </c>
      <c r="D206" t="inlineStr">
        <is>
          <t>21-May-2025 06:00 PM</t>
        </is>
      </c>
      <c r="E206" t="inlineStr">
        <is>
          <t>52,00,000</t>
        </is>
      </c>
      <c r="F206" t="inlineStr">
        <is>
          <t>Construction of SHC Building Mahu-Distt. Karauli</t>
        </is>
      </c>
      <c r="G206" t="inlineStr">
        <is>
          <t>Karauli</t>
        </is>
      </c>
    </row>
    <row r="207">
      <c r="A207" s="1" t="n">
        <v>205</v>
      </c>
      <c r="B207">
        <f>HYPERLINK("https://eproc.rajasthan.gov.in/nicgep/app?component=%24DirectLink&amp;page=FrontEndViewTender&amp;service=direct&amp;session=T&amp;sp=S6azMN2JU%2FF7mssfQVlK3vA%3D%3D", "Construction of SHC Building Meena Dat Ka Pura-Distt. Karauli")</f>
        <v/>
      </c>
      <c r="C207" t="inlineStr">
        <is>
          <t>Medical and Health||Chief Engineer</t>
        </is>
      </c>
      <c r="D207" t="inlineStr">
        <is>
          <t>21-May-2025 06:00 PM</t>
        </is>
      </c>
      <c r="E207" t="inlineStr">
        <is>
          <t>52,00,000</t>
        </is>
      </c>
      <c r="F207" t="inlineStr">
        <is>
          <t>Construction of SHC Building Meena Dat Ka Pura-Distt. Karauli</t>
        </is>
      </c>
      <c r="G207" t="inlineStr">
        <is>
          <t>Karauli</t>
        </is>
      </c>
    </row>
    <row r="208">
      <c r="A208" s="1" t="n">
        <v>206</v>
      </c>
      <c r="B208">
        <f>HYPERLINK("https://eproc.rajasthan.gov.in/nicgep/app?component=%24DirectLink&amp;page=FrontEndViewTender&amp;service=direct&amp;session=T&amp;sp=SmIJT4A7gxHZJQmOPSNPkvg%3D%3D", "Construction of SHC Building Nibhaira-Distt. Karauli")</f>
        <v/>
      </c>
      <c r="C208" t="inlineStr">
        <is>
          <t>Medical and Health||Chief Engineer</t>
        </is>
      </c>
      <c r="D208" t="inlineStr">
        <is>
          <t>21-May-2025 06:00 PM</t>
        </is>
      </c>
      <c r="E208" t="inlineStr">
        <is>
          <t>52,00,000</t>
        </is>
      </c>
      <c r="F208" t="inlineStr">
        <is>
          <t>Construction of SHC Building Nibhaira-Distt. Karauli</t>
        </is>
      </c>
      <c r="G208" t="inlineStr">
        <is>
          <t>Karauli</t>
        </is>
      </c>
    </row>
    <row r="209">
      <c r="A209" s="1" t="n">
        <v>207</v>
      </c>
      <c r="B209">
        <f>HYPERLINK("https://eproc.rajasthan.gov.in/nicgep/app?component=%24DirectLink&amp;page=FrontEndViewTender&amp;service=direct&amp;session=T&amp;sp=SXLm3QAa4q%2BdkFK0Lhaw%2Bkg%3D%3D", "Construction of SHC Building Niniyaki-Distt. Karauli")</f>
        <v/>
      </c>
      <c r="C209" t="inlineStr">
        <is>
          <t>Medical and Health||Chief Engineer</t>
        </is>
      </c>
      <c r="D209" t="inlineStr">
        <is>
          <t>21-May-2025 06:00 PM</t>
        </is>
      </c>
      <c r="E209" t="inlineStr">
        <is>
          <t>52,00,000</t>
        </is>
      </c>
      <c r="F209" t="inlineStr">
        <is>
          <t>Construction of SHC Building Niniyaki-Distt. Karauli</t>
        </is>
      </c>
      <c r="G209" t="inlineStr">
        <is>
          <t>Karauli</t>
        </is>
      </c>
    </row>
    <row r="210">
      <c r="A210" s="1" t="n">
        <v>208</v>
      </c>
      <c r="B210">
        <f>HYPERLINK("https://eproc.rajasthan.gov.in/nicgep/app?component=%24DirectLink&amp;page=FrontEndViewTender&amp;service=direct&amp;session=T&amp;sp=SuO%2B9%2F8urqrVmz9gRKspIeg%3D%3D", "Construction of SHC Building Shekhpura-Distt. Karauli")</f>
        <v/>
      </c>
      <c r="C210" t="inlineStr">
        <is>
          <t>Medical and Health||Chief Engineer</t>
        </is>
      </c>
      <c r="D210" t="inlineStr">
        <is>
          <t>21-May-2025 06:00 PM</t>
        </is>
      </c>
      <c r="E210" t="inlineStr">
        <is>
          <t>52,00,000</t>
        </is>
      </c>
      <c r="F210" t="inlineStr">
        <is>
          <t>Construction of SHC Building Shekhpura-Distt. Karauli</t>
        </is>
      </c>
      <c r="G210" t="inlineStr">
        <is>
          <t>Karauli</t>
        </is>
      </c>
    </row>
    <row r="211">
      <c r="A211" s="1" t="n">
        <v>209</v>
      </c>
      <c r="B211">
        <f>HYPERLINK("https://eproc.rajasthan.gov.in/nicgep/app?component=%24DirectLink&amp;page=FrontEndViewTender&amp;service=direct&amp;session=T&amp;sp=S7SGzO9R2%2F%2BZBO0BcUUbljw%3D%3D", "Construction of SHC Building Totpura-Distt. Karauli")</f>
        <v/>
      </c>
      <c r="C211" t="inlineStr">
        <is>
          <t>Medical and Health||Chief Engineer</t>
        </is>
      </c>
      <c r="D211" t="inlineStr">
        <is>
          <t>21-May-2025 06:00 PM</t>
        </is>
      </c>
      <c r="E211" t="inlineStr">
        <is>
          <t>52,00,000</t>
        </is>
      </c>
      <c r="F211" t="inlineStr">
        <is>
          <t>Construction of SHC Building Totpura-Distt. Karauli</t>
        </is>
      </c>
      <c r="G211" t="inlineStr">
        <is>
          <t>Karauli</t>
        </is>
      </c>
    </row>
    <row r="212">
      <c r="A212" s="1" t="n">
        <v>210</v>
      </c>
      <c r="B212">
        <f>HYPERLINK("https://eproc.rajasthan.gov.in/nicgep/app?component=%24DirectLink&amp;page=FrontEndViewTender&amp;service=direct&amp;session=T&amp;sp=SHEU3gp7kibw7iKcQfUkBQQ%3D%3D", "Construction of SHC Building Shyampur-Distt. Karauli")</f>
        <v/>
      </c>
      <c r="C212" t="inlineStr">
        <is>
          <t>Medical and Health||Chief Engineer</t>
        </is>
      </c>
      <c r="D212" t="inlineStr">
        <is>
          <t>21-May-2025 06:00 PM</t>
        </is>
      </c>
      <c r="E212" t="inlineStr">
        <is>
          <t>52,00,000</t>
        </is>
      </c>
      <c r="F212" t="inlineStr">
        <is>
          <t>Construction of SHC Building Shyampur-Distt. Karauli</t>
        </is>
      </c>
      <c r="G212" t="inlineStr">
        <is>
          <t>Karauli</t>
        </is>
      </c>
    </row>
    <row r="213">
      <c r="A213" s="1" t="n">
        <v>211</v>
      </c>
      <c r="B213">
        <f>HYPERLINK("https://eproc.rajasthan.gov.in/nicgep/app?component=%24DirectLink&amp;page=FrontEndViewTender&amp;service=direct&amp;session=T&amp;sp=S8wdmqrFcdMTQXPr9VGowgg%3D%3D", "Construction of SHC Building Simir-Distt. Karauli")</f>
        <v/>
      </c>
      <c r="C213" t="inlineStr">
        <is>
          <t>Medical and Health||Chief Engineer</t>
        </is>
      </c>
      <c r="D213" t="inlineStr">
        <is>
          <t>21-May-2025 06:00 PM</t>
        </is>
      </c>
      <c r="E213" t="inlineStr">
        <is>
          <t>52,00,000</t>
        </is>
      </c>
      <c r="F213" t="inlineStr">
        <is>
          <t>Construction of SHC Building Simir-Distt. Karauli</t>
        </is>
      </c>
      <c r="G213" t="inlineStr">
        <is>
          <t>Karauli</t>
        </is>
      </c>
    </row>
    <row r="214">
      <c r="A214" s="1" t="n">
        <v>212</v>
      </c>
      <c r="B214">
        <f>HYPERLINK("https://eproc.rajasthan.gov.in/nicgep/app?component=%24DirectLink&amp;page=FrontEndViewTender&amp;service=direct&amp;session=T&amp;sp=ScQ8%2BeVHqAsOEFoMZT8KZXQ%3D%3D", "Construction of SHC Building Batda-Distt. Karauli")</f>
        <v/>
      </c>
      <c r="C214" t="inlineStr">
        <is>
          <t>Medical and Health||Chief Engineer</t>
        </is>
      </c>
      <c r="D214" t="inlineStr">
        <is>
          <t>21-May-2025 06:00 PM</t>
        </is>
      </c>
      <c r="E214" t="inlineStr">
        <is>
          <t>52,00,000</t>
        </is>
      </c>
      <c r="F214" t="inlineStr">
        <is>
          <t>Construction of SHC Building Batda-Distt. Karauli</t>
        </is>
      </c>
      <c r="G214" t="inlineStr">
        <is>
          <t>Karauli</t>
        </is>
      </c>
    </row>
    <row r="215">
      <c r="A215" s="1" t="n">
        <v>213</v>
      </c>
      <c r="B215">
        <f>HYPERLINK("https://eproc.rajasthan.gov.in/nicgep/app?component=%24DirectLink&amp;page=FrontEndViewTender&amp;service=direct&amp;session=T&amp;sp=S5iTX4XUtoupYXXztdHatUw%3D%3D", "Construction of SHC Building Bhartoon-Distt. Karauli")</f>
        <v/>
      </c>
      <c r="C215" t="inlineStr">
        <is>
          <t>Medical and Health||Chief Engineer</t>
        </is>
      </c>
      <c r="D215" t="inlineStr">
        <is>
          <t>21-May-2025 06:00 PM</t>
        </is>
      </c>
      <c r="E215" t="inlineStr">
        <is>
          <t>52,00,000</t>
        </is>
      </c>
      <c r="F215" t="inlineStr">
        <is>
          <t>Construction of SHC Building Bhartoon-Distt. Karauli</t>
        </is>
      </c>
      <c r="G215" t="inlineStr">
        <is>
          <t>Karauli</t>
        </is>
      </c>
    </row>
    <row r="216">
      <c r="A216" s="1" t="n">
        <v>214</v>
      </c>
      <c r="B216">
        <f>HYPERLINK("https://eproc.rajasthan.gov.in/nicgep/app?component=%24DirectLink&amp;page=FrontEndViewTender&amp;service=direct&amp;session=T&amp;sp=SjAkFdL4jgQqcxzgcbwYeFw%3D%3D", "Construction of SHC Building Chandeli (Rondhai)-Distt. Karauli")</f>
        <v/>
      </c>
      <c r="C216" t="inlineStr">
        <is>
          <t>Medical and Health||Chief Engineer</t>
        </is>
      </c>
      <c r="D216" t="inlineStr">
        <is>
          <t>21-May-2025 06:00 PM</t>
        </is>
      </c>
      <c r="E216" t="inlineStr">
        <is>
          <t>52,00,000</t>
        </is>
      </c>
      <c r="F216" t="inlineStr">
        <is>
          <t>Construction of SHC Building Chandeli (Rondhai)-Distt. Karauli</t>
        </is>
      </c>
      <c r="G216" t="inlineStr">
        <is>
          <t>Karauli</t>
        </is>
      </c>
    </row>
    <row r="217">
      <c r="A217" s="1" t="n">
        <v>215</v>
      </c>
      <c r="B217">
        <f>HYPERLINK("https://eproc.rajasthan.gov.in/nicgep/app?component=%24DirectLink&amp;page=FrontEndViewTender&amp;service=direct&amp;session=T&amp;sp=ShMT54r%2BJleJCpg2NBGHL0A%3D%3D", "Construction of SHC Building Devlen-Distt. Karauli")</f>
        <v/>
      </c>
      <c r="C217" t="inlineStr">
        <is>
          <t>Medical and Health||Chief Engineer</t>
        </is>
      </c>
      <c r="D217" t="inlineStr">
        <is>
          <t>21-May-2025 06:00 PM</t>
        </is>
      </c>
      <c r="E217" t="inlineStr">
        <is>
          <t>52,00,000</t>
        </is>
      </c>
      <c r="F217" t="inlineStr">
        <is>
          <t>Construction of SHC Building Devlen-Distt. Karauli</t>
        </is>
      </c>
      <c r="G217" t="inlineStr">
        <is>
          <t>Karauli</t>
        </is>
      </c>
    </row>
    <row r="218">
      <c r="A218" s="1" t="n">
        <v>216</v>
      </c>
      <c r="B218">
        <f>HYPERLINK("https://eproc.rajasthan.gov.in/nicgep/app?component=%24DirectLink&amp;page=FrontEndViewTender&amp;service=direct&amp;session=T&amp;sp=SH0W6iq1%2FmbRhlfdmVOBjzg%3D%3D", "Construction of SHC Building Jagadarpura (Mongepur)-Distt. Karauli")</f>
        <v/>
      </c>
      <c r="C218" t="inlineStr">
        <is>
          <t>Medical and Health||Chief Engineer</t>
        </is>
      </c>
      <c r="D218" t="inlineStr">
        <is>
          <t>21-May-2025 06:00 PM</t>
        </is>
      </c>
      <c r="E218" t="inlineStr">
        <is>
          <t>52,00,000</t>
        </is>
      </c>
      <c r="F218" t="inlineStr">
        <is>
          <t>Construction of SHC Building Jagadarpura (Mongepur)-Distt. Karauli</t>
        </is>
      </c>
      <c r="G218" t="inlineStr">
        <is>
          <t>Karauli</t>
        </is>
      </c>
    </row>
    <row r="219">
      <c r="A219" s="1" t="n">
        <v>217</v>
      </c>
      <c r="B219">
        <f>HYPERLINK("https://eproc.rajasthan.gov.in/nicgep/app?component=%24DirectLink&amp;page=FrontEndViewTender&amp;service=direct&amp;session=T&amp;sp=Sb%2FruVTaoEppxHqXVDzkhUg%3D%3D", "Construction of SHC Building Khirkhida (Baloi)-Distt. Karauli")</f>
        <v/>
      </c>
      <c r="C219" t="inlineStr">
        <is>
          <t>Medical and Health||Chief Engineer</t>
        </is>
      </c>
      <c r="D219" t="inlineStr">
        <is>
          <t>21-May-2025 06:00 PM</t>
        </is>
      </c>
      <c r="E219" t="inlineStr">
        <is>
          <t>52,00,000</t>
        </is>
      </c>
      <c r="F219" t="inlineStr">
        <is>
          <t>Construction of SHC Building Khirkhida (Baloi)-Distt. Karauli</t>
        </is>
      </c>
      <c r="G219" t="inlineStr">
        <is>
          <t>Karauli</t>
        </is>
      </c>
    </row>
    <row r="220">
      <c r="A220" s="1" t="n">
        <v>218</v>
      </c>
      <c r="B220">
        <f>HYPERLINK("https://eproc.rajasthan.gov.in/nicgep/app?component=%24DirectLink&amp;page=FrontEndViewTender&amp;service=direct&amp;session=T&amp;sp=Snw0cNUgpL%2FW4typ9rQSxWQ%3D%3D", "Construction of SHC Building Kotwas-Distt. Karauli")</f>
        <v/>
      </c>
      <c r="C220" t="inlineStr">
        <is>
          <t>Medical and Health||Chief Engineer</t>
        </is>
      </c>
      <c r="D220" t="inlineStr">
        <is>
          <t>21-May-2025 06:00 PM</t>
        </is>
      </c>
      <c r="E220" t="inlineStr">
        <is>
          <t>52,00,000</t>
        </is>
      </c>
      <c r="F220" t="inlineStr">
        <is>
          <t>Construction of SHC Building Kotwas-Distt. Karauli</t>
        </is>
      </c>
      <c r="G220" t="inlineStr">
        <is>
          <t>Karauli</t>
        </is>
      </c>
    </row>
    <row r="221">
      <c r="A221" s="1" t="n">
        <v>219</v>
      </c>
      <c r="B221">
        <f>HYPERLINK("https://eproc.rajasthan.gov.in/nicgep/app?component=%24DirectLink&amp;page=FrontEndViewTender&amp;service=direct&amp;session=T&amp;sp=SzgTHl%2BkF228DPTfDWH1GUw%3D%3D", "Construction of SHC Building Manakhur-Distt. Karauli")</f>
        <v/>
      </c>
      <c r="C221" t="inlineStr">
        <is>
          <t>Medical and Health||Chief Engineer</t>
        </is>
      </c>
      <c r="D221" t="inlineStr">
        <is>
          <t>21-May-2025 06:00 PM</t>
        </is>
      </c>
      <c r="E221" t="inlineStr">
        <is>
          <t>52,00,000</t>
        </is>
      </c>
      <c r="F221" t="inlineStr">
        <is>
          <t>Construction of SHC Building Manakhur-Distt. Karauli</t>
        </is>
      </c>
      <c r="G221" t="inlineStr">
        <is>
          <t>Karauli</t>
        </is>
      </c>
    </row>
    <row r="222">
      <c r="A222" s="1" t="n">
        <v>220</v>
      </c>
      <c r="B222">
        <f>HYPERLINK("https://eproc.rajasthan.gov.in/nicgep/app?component=%24DirectLink&amp;page=FrontEndViewTender&amp;service=direct&amp;session=T&amp;sp=Su8RD0mi8e4%2FSccXf%2FXNOTQ%3D%3D", "Construction of SHC Building Peelwal (Maanpura)-Distt. Karauli")</f>
        <v/>
      </c>
      <c r="C222" t="inlineStr">
        <is>
          <t>Medical and Health||Chief Engineer</t>
        </is>
      </c>
      <c r="D222" t="inlineStr">
        <is>
          <t>21-May-2025 06:00 PM</t>
        </is>
      </c>
      <c r="E222" t="inlineStr">
        <is>
          <t>52,00,000</t>
        </is>
      </c>
      <c r="F222" t="inlineStr">
        <is>
          <t>Construction of SHC Building Peelwal (Maanpura)-Distt. Karauli</t>
        </is>
      </c>
      <c r="G222" t="inlineStr">
        <is>
          <t>Karauli</t>
        </is>
      </c>
    </row>
    <row r="223">
      <c r="A223" s="1" t="n">
        <v>221</v>
      </c>
      <c r="B223">
        <f>HYPERLINK("https://eproc.rajasthan.gov.in/nicgep/app?component=%24DirectLink&amp;page=FrontEndViewTender&amp;service=direct&amp;session=T&amp;sp=S1d3rBTlRbjSai1raJHm1uQ%3D%3D", "Construction of SHC Building Saingarpura-Distt. Karauli")</f>
        <v/>
      </c>
      <c r="C223" t="inlineStr">
        <is>
          <t>Medical and Health||Chief Engineer</t>
        </is>
      </c>
      <c r="D223" t="inlineStr">
        <is>
          <t>21-May-2025 06:00 PM</t>
        </is>
      </c>
      <c r="E223" t="inlineStr">
        <is>
          <t>52,00,000</t>
        </is>
      </c>
      <c r="F223" t="inlineStr">
        <is>
          <t>Construction of SHC Building Saingarpura-Distt. Karauli</t>
        </is>
      </c>
      <c r="G223" t="inlineStr">
        <is>
          <t>Karauli</t>
        </is>
      </c>
    </row>
    <row r="224">
      <c r="A224" s="1" t="n">
        <v>222</v>
      </c>
      <c r="B224">
        <f>HYPERLINK("https://eproc.rajasthan.gov.in/nicgep/app?component=%24DirectLink&amp;page=FrontEndViewTender&amp;service=direct&amp;session=T&amp;sp=SCbyrnk0pd6RNBHLR690jwQ%3D%3D", "Construction of SHC Building Teen Pokhar-Distt. Karauli")</f>
        <v/>
      </c>
      <c r="C224" t="inlineStr">
        <is>
          <t>Medical and Health||Chief Engineer</t>
        </is>
      </c>
      <c r="D224" t="inlineStr">
        <is>
          <t>21-May-2025 06:00 PM</t>
        </is>
      </c>
      <c r="E224" t="inlineStr">
        <is>
          <t>52,00,000</t>
        </is>
      </c>
      <c r="F224" t="inlineStr">
        <is>
          <t>Construction of SHC Building Teen Pokhar-Distt. Karauli</t>
        </is>
      </c>
      <c r="G224" t="inlineStr">
        <is>
          <t>Karauli</t>
        </is>
      </c>
    </row>
    <row r="225">
      <c r="A225" s="1" t="n">
        <v>223</v>
      </c>
      <c r="B225">
        <f>HYPERLINK("https://eproc.rajasthan.gov.in/nicgep/app?component=%24DirectLink&amp;page=FrontEndViewTender&amp;service=direct&amp;session=T&amp;sp=SI2T7F5ckwsk5Gn%2B5WoEa%2FQ%3D%3D", "Construction of SHC Building Kunkuta-Distt. Dholpur")</f>
        <v/>
      </c>
      <c r="C225" t="inlineStr">
        <is>
          <t>Medical and Health||Chief Engineer</t>
        </is>
      </c>
      <c r="D225" t="inlineStr">
        <is>
          <t>20-May-2025 06:00 PM</t>
        </is>
      </c>
      <c r="E225" t="inlineStr">
        <is>
          <t>52,00,000</t>
        </is>
      </c>
      <c r="F225" t="inlineStr">
        <is>
          <t>Construction of SHC Building Kunkuta-Distt. Dholpur</t>
        </is>
      </c>
      <c r="G225" t="inlineStr">
        <is>
          <t>Dholpur</t>
        </is>
      </c>
    </row>
    <row r="226">
      <c r="A226" s="1" t="n">
        <v>224</v>
      </c>
      <c r="B226">
        <f>HYPERLINK("https://eproc.rajasthan.gov.in/nicgep/app?component=%24DirectLink&amp;page=FrontEndViewTender&amp;service=direct&amp;session=T&amp;sp=SYk1ZzWb8ARokIz91%2BYfGdg%3D%3D", "Construction Work of ANMTC Hostel Building at Bangar Hospital, Pali (Extension of Second and Third Floor)")</f>
        <v/>
      </c>
      <c r="C226" t="inlineStr">
        <is>
          <t>Medical and Health||Chief Engineer</t>
        </is>
      </c>
      <c r="D226" t="inlineStr">
        <is>
          <t>19-May-2025 06:00 PM</t>
        </is>
      </c>
      <c r="E226" t="inlineStr">
        <is>
          <t>2,00,31,000</t>
        </is>
      </c>
      <c r="F226" t="inlineStr">
        <is>
          <t>Construction Work of ANMTC Hostel Building at Bangar Hospital, Pali (Extension of Second and Third Floor)</t>
        </is>
      </c>
      <c r="G226" t="inlineStr">
        <is>
          <t>Pali</t>
        </is>
      </c>
    </row>
    <row r="227">
      <c r="A227" s="1" t="n">
        <v>225</v>
      </c>
      <c r="B227">
        <f>HYPERLINK("https://eproc.rajasthan.gov.in/nicgep/app?component=%24DirectLink&amp;page=FrontEndViewTender&amp;service=direct&amp;session=T&amp;sp=Smf6tyy5apJVGm%2FMttD3OPA%3D%3D", "Construction of SHC Building Gumanpura-Distt. Dholpur")</f>
        <v/>
      </c>
      <c r="C227" t="inlineStr">
        <is>
          <t>Medical and Health||Chief Engineer</t>
        </is>
      </c>
      <c r="D227" t="inlineStr">
        <is>
          <t>20-May-2025 06:00 PM</t>
        </is>
      </c>
      <c r="E227" t="inlineStr">
        <is>
          <t>52,00,000</t>
        </is>
      </c>
      <c r="F227" t="inlineStr">
        <is>
          <t>Construction of SHC Building Gumanpura-Distt. Dholpur</t>
        </is>
      </c>
      <c r="G227" t="inlineStr">
        <is>
          <t>Dholpur</t>
        </is>
      </c>
    </row>
    <row r="228">
      <c r="A228" s="1" t="n">
        <v>226</v>
      </c>
      <c r="B228">
        <f>HYPERLINK("https://eproc.rajasthan.gov.in/nicgep/app?component=%24DirectLink&amp;page=FrontEndViewTender&amp;service=direct&amp;session=T&amp;sp=SOb9eGBAjGuseVrm7BOwa1Q%3D%3D", "Construction of BPHU at PHC SaraniKheda-Distt. Dholpur")</f>
        <v/>
      </c>
      <c r="C228" t="inlineStr">
        <is>
          <t>Medical and Health||Chief Engineer</t>
        </is>
      </c>
      <c r="D228" t="inlineStr">
        <is>
          <t>20-May-2025 06:00 PM</t>
        </is>
      </c>
      <c r="E228" t="inlineStr">
        <is>
          <t>48,50,000</t>
        </is>
      </c>
      <c r="F228" t="inlineStr">
        <is>
          <t>Construction of BPHU at PHC SaraniKheda-Distt. Dholpur</t>
        </is>
      </c>
      <c r="G228" t="inlineStr">
        <is>
          <t>Dholpur</t>
        </is>
      </c>
    </row>
    <row r="229">
      <c r="A229" s="1" t="n">
        <v>227</v>
      </c>
      <c r="B229">
        <f>HYPERLINK("https://eproc.rajasthan.gov.in/nicgep/app?component=%24DirectLink&amp;page=FrontEndViewTender&amp;service=direct&amp;session=T&amp;sp=SKWT4vIlqUH8uV1ZZ1%2B3UoA%3D%3D", "Construction of SHC Building Veelpur-Distt. Dholpur")</f>
        <v/>
      </c>
      <c r="C229" t="inlineStr">
        <is>
          <t>Medical and Health||Chief Engineer</t>
        </is>
      </c>
      <c r="D229" t="inlineStr">
        <is>
          <t>20-May-2025 06:00 PM</t>
        </is>
      </c>
      <c r="E229" t="inlineStr">
        <is>
          <t>52,00,000</t>
        </is>
      </c>
      <c r="F229" t="inlineStr">
        <is>
          <t>Construction of SHC Building Veelpur-Distt. Dholpur</t>
        </is>
      </c>
      <c r="G229" t="inlineStr">
        <is>
          <t>Dholpur</t>
        </is>
      </c>
    </row>
    <row r="230">
      <c r="A230" s="1" t="n">
        <v>228</v>
      </c>
      <c r="B230">
        <f>HYPERLINK("https://eproc.rajasthan.gov.in/nicgep/app?component=%24DirectLink&amp;page=FrontEndViewTender&amp;service=direct&amp;session=T&amp;sp=SWNWksEOXCk330aUfBvd6tQ%3D%3D", "Construction of SHC Building Todapura-Distt. Dholpurof SHC Building Thekuli-Distt. Dholpur")</f>
        <v/>
      </c>
      <c r="C230" t="inlineStr">
        <is>
          <t>Medical and Health||Chief Engineer</t>
        </is>
      </c>
      <c r="D230" t="inlineStr">
        <is>
          <t>20-May-2025 06:00 PM</t>
        </is>
      </c>
      <c r="E230" t="inlineStr">
        <is>
          <t>52,00,000</t>
        </is>
      </c>
      <c r="F230" t="inlineStr">
        <is>
          <t>Construction of SHC Building Todapura-Distt. Dholpur</t>
        </is>
      </c>
      <c r="G230" t="inlineStr">
        <is>
          <t>Dholpur</t>
        </is>
      </c>
    </row>
    <row r="231">
      <c r="A231" s="1" t="n">
        <v>229</v>
      </c>
      <c r="B231">
        <f>HYPERLINK("https://eproc.rajasthan.gov.in/nicgep/app?component=%24DirectLink&amp;page=FrontEndViewTender&amp;service=direct&amp;session=T&amp;sp=S4N5Nv%2FKPa5JH8KuYvhaRvA%3D%3D", "Construction of SHC Building Thekuli-Distt. Dholpur")</f>
        <v/>
      </c>
      <c r="C231" t="inlineStr">
        <is>
          <t>Medical and Health||Chief Engineer</t>
        </is>
      </c>
      <c r="D231" t="inlineStr">
        <is>
          <t>20-May-2025 06:00 PM</t>
        </is>
      </c>
      <c r="E231" t="inlineStr">
        <is>
          <t>52,00,000</t>
        </is>
      </c>
      <c r="F231" t="inlineStr">
        <is>
          <t>Construction of SHC Building Thekuli-Distt. Dholpur</t>
        </is>
      </c>
      <c r="G231" t="inlineStr">
        <is>
          <t>Dholpur</t>
        </is>
      </c>
    </row>
    <row r="232">
      <c r="A232" s="1" t="n">
        <v>230</v>
      </c>
      <c r="B232">
        <f>HYPERLINK("https://eproc.rajasthan.gov.in/nicgep/app?component=%24DirectLink&amp;page=FrontEndViewTender&amp;service=direct&amp;session=T&amp;sp=SDpDUJRHyHaBdZiIFOPXTLw%3D%3D", "Construction of SHC Building Sundarpur-Distt. Dholpur")</f>
        <v/>
      </c>
      <c r="C232" t="inlineStr">
        <is>
          <t>Medical and Health||Chief Engineer</t>
        </is>
      </c>
      <c r="D232" t="inlineStr">
        <is>
          <t>20-May-2025 06:00 PM</t>
        </is>
      </c>
      <c r="E232" t="inlineStr">
        <is>
          <t>52,00,000</t>
        </is>
      </c>
      <c r="F232" t="inlineStr">
        <is>
          <t>Construction of SHC Building Sundarpur-Distt. Dholpur</t>
        </is>
      </c>
      <c r="G232" t="inlineStr">
        <is>
          <t>Dholpur</t>
        </is>
      </c>
    </row>
    <row r="233">
      <c r="A233" s="1" t="n">
        <v>231</v>
      </c>
      <c r="B233">
        <f>HYPERLINK("https://eproc.rajasthan.gov.in/nicgep/app?component=%24DirectLink&amp;page=FrontEndViewTender&amp;service=direct&amp;session=T&amp;sp=S3C7s5q4sosnq5s1KOv0Xxw%3D%3D", "Construction of SHC Building Silavat-Distt. Dholpur")</f>
        <v/>
      </c>
      <c r="C233" t="inlineStr">
        <is>
          <t>Medical and Health||Chief Engineer</t>
        </is>
      </c>
      <c r="D233" t="inlineStr">
        <is>
          <t>20-May-2025 06:00 PM</t>
        </is>
      </c>
      <c r="E233" t="inlineStr">
        <is>
          <t>52,00,000</t>
        </is>
      </c>
      <c r="F233" t="inlineStr">
        <is>
          <t>Construction of SHC Building Silavat-Distt. Dholpur</t>
        </is>
      </c>
      <c r="G233" t="inlineStr">
        <is>
          <t>Dholpur</t>
        </is>
      </c>
    </row>
    <row r="234">
      <c r="A234" s="1" t="n">
        <v>232</v>
      </c>
      <c r="B234">
        <f>HYPERLINK("https://eproc.rajasthan.gov.in/nicgep/app?component=%24DirectLink&amp;page=FrontEndViewTender&amp;service=direct&amp;session=T&amp;sp=Shy%2F8atHjab5h04ZeHSBu6w%3D%3D", "Construction of SHC Building Sikarra-Distt. Dholpur")</f>
        <v/>
      </c>
      <c r="C234" t="inlineStr">
        <is>
          <t>Medical and Health||Chief Engineer</t>
        </is>
      </c>
      <c r="D234" t="inlineStr">
        <is>
          <t>20-May-2025 06:00 PM</t>
        </is>
      </c>
      <c r="E234" t="inlineStr">
        <is>
          <t>52,00,000</t>
        </is>
      </c>
      <c r="F234" t="inlineStr">
        <is>
          <t>Construction of SHC Building Sikarra-Distt. Dholpur</t>
        </is>
      </c>
      <c r="G234" t="inlineStr">
        <is>
          <t>Dholpur</t>
        </is>
      </c>
    </row>
    <row r="235">
      <c r="A235" s="1" t="n">
        <v>233</v>
      </c>
      <c r="B235">
        <f>HYPERLINK("https://eproc.rajasthan.gov.in/nicgep/app?component=%24DirectLink&amp;page=FrontEndViewTender&amp;service=direct&amp;session=T&amp;sp=SeevhUP4sSc2WQV6KLw1AgA%3D%3D", "Construction of SHC Building Salempur-Distt. Dholpur")</f>
        <v/>
      </c>
      <c r="C235" t="inlineStr">
        <is>
          <t>Medical and Health||Chief Engineer</t>
        </is>
      </c>
      <c r="D235" t="inlineStr">
        <is>
          <t>20-May-2025 06:00 PM</t>
        </is>
      </c>
      <c r="E235" t="inlineStr">
        <is>
          <t>52,00,000</t>
        </is>
      </c>
      <c r="F235" t="inlineStr">
        <is>
          <t>Construction of SHC Building Salempur-Distt. Dholpur</t>
        </is>
      </c>
      <c r="G235" t="inlineStr">
        <is>
          <t>Dholpur</t>
        </is>
      </c>
    </row>
    <row r="236">
      <c r="A236" s="1" t="n">
        <v>234</v>
      </c>
      <c r="B236">
        <f>HYPERLINK("https://eproc.rajasthan.gov.in/nicgep/app?component=%24DirectLink&amp;page=FrontEndViewTender&amp;service=direct&amp;session=T&amp;sp=SfVbfyYhlH0PBJpNoBXIEtQ%3D%3D", "Construction of SHC Building Nibhi-Distt. Dholpur")</f>
        <v/>
      </c>
      <c r="C236" t="inlineStr">
        <is>
          <t>Medical and Health||Chief Engineer</t>
        </is>
      </c>
      <c r="D236" t="inlineStr">
        <is>
          <t>20-May-2025 06:00 PM</t>
        </is>
      </c>
      <c r="E236" t="inlineStr">
        <is>
          <t>52,00,000</t>
        </is>
      </c>
      <c r="F236" t="inlineStr">
        <is>
          <t>Construction of SHC Building Nibhi-Distt. Dholpur</t>
        </is>
      </c>
      <c r="G236" t="inlineStr">
        <is>
          <t>Dholpur</t>
        </is>
      </c>
    </row>
    <row r="237">
      <c r="A237" s="1" t="n">
        <v>235</v>
      </c>
      <c r="B237">
        <f>HYPERLINK("https://eproc.rajasthan.gov.in/nicgep/app?component=%24DirectLink&amp;page=FrontEndViewTender&amp;service=direct&amp;session=T&amp;sp=S2tW%2FoOpJlZEmgm45c%2BoQiA%3D%3D", "Construction of SHC Building Naurangbad-Distt. Dholpur")</f>
        <v/>
      </c>
      <c r="C237" t="inlineStr">
        <is>
          <t>Medical and Health||Chief Engineer</t>
        </is>
      </c>
      <c r="D237" t="inlineStr">
        <is>
          <t>20-May-2025 06:00 PM</t>
        </is>
      </c>
      <c r="E237" t="inlineStr">
        <is>
          <t>52,00,000</t>
        </is>
      </c>
      <c r="F237" t="inlineStr">
        <is>
          <t>Construction of SHC Building Naurangbad-Distt. Dholpur</t>
        </is>
      </c>
      <c r="G237" t="inlineStr">
        <is>
          <t>Dholpur</t>
        </is>
      </c>
    </row>
    <row r="238">
      <c r="A238" s="1" t="n">
        <v>236</v>
      </c>
      <c r="B238">
        <f>HYPERLINK("https://eproc.rajasthan.gov.in/nicgep/app?component=%24DirectLink&amp;page=FrontEndViewTender&amp;service=direct&amp;session=T&amp;sp=SZQaEbX12M%2BxxibU%2BHhj9XQ%3D%3D", "Construction of SHC Building Reviyapura-Distt. Dholpur")</f>
        <v/>
      </c>
      <c r="C238" t="inlineStr">
        <is>
          <t>Medical and Health||Chief Engineer</t>
        </is>
      </c>
      <c r="D238" t="inlineStr">
        <is>
          <t>20-May-2025 06:00 PM</t>
        </is>
      </c>
      <c r="E238" t="inlineStr">
        <is>
          <t>52,00,000</t>
        </is>
      </c>
      <c r="F238" t="inlineStr">
        <is>
          <t>Construction of SHC Building Reviyapura-Distt. Dholpur</t>
        </is>
      </c>
      <c r="G238" t="inlineStr">
        <is>
          <t>Dholpur</t>
        </is>
      </c>
    </row>
    <row r="239">
      <c r="A239" s="1" t="n">
        <v>237</v>
      </c>
      <c r="B239">
        <f>HYPERLINK("https://eproc.rajasthan.gov.in/nicgep/app?component=%24DirectLink&amp;page=FrontEndViewTender&amp;service=direct&amp;session=T&amp;sp=ShnV%2BET9UwCLLaY2w47C0OQ%3D%3D", "Construction of SHC Building Marholi-Distt. Dholpur")</f>
        <v/>
      </c>
      <c r="C239" t="inlineStr">
        <is>
          <t>Medical and Health||Chief Engineer</t>
        </is>
      </c>
      <c r="D239" t="inlineStr">
        <is>
          <t>20-May-2025 06:00 PM</t>
        </is>
      </c>
      <c r="E239" t="inlineStr">
        <is>
          <t>52,00,000</t>
        </is>
      </c>
      <c r="F239" t="inlineStr">
        <is>
          <t>Construction of SHC Building Marholi-Distt. Dholpur</t>
        </is>
      </c>
      <c r="G239" t="inlineStr">
        <is>
          <t>Dholpur</t>
        </is>
      </c>
    </row>
    <row r="240">
      <c r="A240" s="1" t="n">
        <v>238</v>
      </c>
      <c r="B240">
        <f>HYPERLINK("https://eproc.rajasthan.gov.in/nicgep/app?component=%24DirectLink&amp;page=FrontEndViewTender&amp;service=direct&amp;session=T&amp;sp=StjzctcQ0Tse6kabqgP%2FYIg%3D%3D", "Construction of SHC Building Shahajpura-Distt. Dholpur")</f>
        <v/>
      </c>
      <c r="C240" t="inlineStr">
        <is>
          <t>Medical and Health||Chief Engineer</t>
        </is>
      </c>
      <c r="D240" t="inlineStr">
        <is>
          <t>20-May-2025 06:00 PM</t>
        </is>
      </c>
      <c r="E240" t="inlineStr">
        <is>
          <t>52,00,000</t>
        </is>
      </c>
      <c r="F240" t="inlineStr">
        <is>
          <t>Construction of SHC Building Shahajpura-Distt. Dholpur</t>
        </is>
      </c>
      <c r="G240" t="inlineStr">
        <is>
          <t>Dholpur</t>
        </is>
      </c>
    </row>
    <row r="241">
      <c r="A241" s="1" t="n">
        <v>239</v>
      </c>
      <c r="B241">
        <f>HYPERLINK("https://eproc.rajasthan.gov.in/nicgep/app?component=%24DirectLink&amp;page=FrontEndViewTender&amp;service=direct&amp;session=T&amp;sp=SFDLk%2FvFd6zxQ6O2ulN50sw%3D%3D", "Construction of SHC Building Domai-Distt. Dholpur")</f>
        <v/>
      </c>
      <c r="C241" t="inlineStr">
        <is>
          <t>Medical and Health||Chief Engineer</t>
        </is>
      </c>
      <c r="D241" t="inlineStr">
        <is>
          <t>20-May-2025 06:00 PM</t>
        </is>
      </c>
      <c r="E241" t="inlineStr">
        <is>
          <t>52,00,000</t>
        </is>
      </c>
      <c r="F241" t="inlineStr">
        <is>
          <t>Construction of SHC Building Domai-Distt. Dholpur</t>
        </is>
      </c>
      <c r="G241" t="inlineStr">
        <is>
          <t>Dholpur</t>
        </is>
      </c>
    </row>
    <row r="242">
      <c r="A242" s="1" t="n">
        <v>240</v>
      </c>
      <c r="B242">
        <f>HYPERLINK("https://eproc.rajasthan.gov.in/nicgep/app?component=%24DirectLink&amp;page=FrontEndViewTender&amp;service=direct&amp;session=T&amp;sp=SvJuEz2cAZNaHUNj5Ds226w%3D%3D", "Construction of SHC Building MaoniKhurd-Distt. Dholpur")</f>
        <v/>
      </c>
      <c r="C242" t="inlineStr">
        <is>
          <t>Medical and Health||Chief Engineer</t>
        </is>
      </c>
      <c r="D242" t="inlineStr">
        <is>
          <t>20-May-2025 06:00 PM</t>
        </is>
      </c>
      <c r="E242" t="inlineStr">
        <is>
          <t>52,00,000</t>
        </is>
      </c>
      <c r="F242" t="inlineStr">
        <is>
          <t>Construction of SHC Building MaoniKhurd-Distt. Dholpur</t>
        </is>
      </c>
      <c r="G242" t="inlineStr">
        <is>
          <t>Dholpur</t>
        </is>
      </c>
    </row>
    <row r="243">
      <c r="A243" s="1" t="n">
        <v>241</v>
      </c>
      <c r="B243">
        <f>HYPERLINK("https://eproc.rajasthan.gov.in/nicgep/app?component=%24DirectLink&amp;page=FrontEndViewTender&amp;service=direct&amp;session=T&amp;sp=SkpGG3jxUi%2BRSpGphBOM1tQ%3D%3D", "Construction of SHC Building Dayeri-Distt. Dholpur")</f>
        <v/>
      </c>
      <c r="C243" t="inlineStr">
        <is>
          <t>Medical and Health||Chief Engineer</t>
        </is>
      </c>
      <c r="D243" t="inlineStr">
        <is>
          <t>20-May-2025 06:00 PM</t>
        </is>
      </c>
      <c r="E243" t="inlineStr">
        <is>
          <t>52,00,000</t>
        </is>
      </c>
      <c r="F243" t="inlineStr">
        <is>
          <t>Construction of SHC Building Dayeri-Distt. Dholpur</t>
        </is>
      </c>
      <c r="G243" t="inlineStr">
        <is>
          <t>Dholpur</t>
        </is>
      </c>
    </row>
    <row r="244">
      <c r="A244" s="1" t="n">
        <v>242</v>
      </c>
      <c r="B244">
        <f>HYPERLINK("https://eproc.rajasthan.gov.in/nicgep/app?component=%24DirectLink&amp;page=FrontEndViewTender&amp;service=direct&amp;session=T&amp;sp=SGRl5n%2F%2B%2BdAQF64AnrB%2BIaQ%3D%3D", "Construction of SHC Building Ratanpur-Distt. Dholpur")</f>
        <v/>
      </c>
      <c r="C244" t="inlineStr">
        <is>
          <t>Medical and Health||Chief Engineer</t>
        </is>
      </c>
      <c r="D244" t="inlineStr">
        <is>
          <t>20-May-2025 06:00 PM</t>
        </is>
      </c>
      <c r="E244" t="inlineStr">
        <is>
          <t>52,00,000</t>
        </is>
      </c>
      <c r="F244" t="inlineStr">
        <is>
          <t>Construction of SHC Building Ratanpur-Distt. Dholpur</t>
        </is>
      </c>
      <c r="G244" t="inlineStr">
        <is>
          <t>Dholpur</t>
        </is>
      </c>
    </row>
    <row r="245">
      <c r="A245" s="1" t="n">
        <v>243</v>
      </c>
      <c r="B245">
        <f>HYPERLINK("https://eproc.rajasthan.gov.in/nicgep/app?component=%24DirectLink&amp;page=FrontEndViewTender&amp;service=direct&amp;session=T&amp;sp=SrOhvHNmPO0ETK559Gp4L5A%3D%3D", "of SHC Building Piphera Construction -Distt. Dholpur")</f>
        <v/>
      </c>
      <c r="C245" t="inlineStr">
        <is>
          <t>Medical and Health||Chief Engineer</t>
        </is>
      </c>
      <c r="D245" t="inlineStr">
        <is>
          <t>20-May-2025 06:00 PM</t>
        </is>
      </c>
      <c r="E245" t="inlineStr">
        <is>
          <t>52,00,000</t>
        </is>
      </c>
      <c r="F245" t="inlineStr">
        <is>
          <t>of SHC Building Piphera Construction -Distt. Dholpur</t>
        </is>
      </c>
      <c r="G245" t="inlineStr">
        <is>
          <t>Dholpur</t>
        </is>
      </c>
    </row>
    <row r="246">
      <c r="A246" s="1" t="n">
        <v>244</v>
      </c>
      <c r="B246">
        <f>HYPERLINK("https://eproc.rajasthan.gov.in/nicgep/app?component=%24DirectLink&amp;page=FrontEndViewTender&amp;service=direct&amp;session=T&amp;sp=SfWL%2F9v%2B068R%2BZRLAveZixQ%3D%3D", "Construction of SHC Building Gadrai-Distt. Dholpur")</f>
        <v/>
      </c>
      <c r="C246" t="inlineStr">
        <is>
          <t>Medical and Health||Chief Engineer</t>
        </is>
      </c>
      <c r="D246" t="inlineStr">
        <is>
          <t>20-May-2025 06:00 PM</t>
        </is>
      </c>
      <c r="E246" t="inlineStr">
        <is>
          <t>52,00,000</t>
        </is>
      </c>
      <c r="F246" t="inlineStr">
        <is>
          <t>Construction of SHC Building Gadrai-Distt. Dholpur</t>
        </is>
      </c>
      <c r="G246" t="inlineStr">
        <is>
          <t>Dholpur</t>
        </is>
      </c>
    </row>
    <row r="247">
      <c r="A247" s="1" t="n">
        <v>245</v>
      </c>
      <c r="B247">
        <f>HYPERLINK("https://eproc.rajasthan.gov.in/nicgep/app?component=%24DirectLink&amp;page=FrontEndViewTender&amp;service=direct&amp;session=T&amp;sp=SZlsbCtokyl9sEhDQ8YmuIA%3D%3D", "Construction of SHC Building Gajpura-Distt. Dholpur")</f>
        <v/>
      </c>
      <c r="C247" t="inlineStr">
        <is>
          <t>Medical and Health||Chief Engineer</t>
        </is>
      </c>
      <c r="D247" t="inlineStr">
        <is>
          <t>20-May-2025 06:00 PM</t>
        </is>
      </c>
      <c r="E247" t="inlineStr">
        <is>
          <t>52,00,000</t>
        </is>
      </c>
      <c r="F247" t="inlineStr">
        <is>
          <t>Construction of SHC Building Gajpura-Distt. Dholpur</t>
        </is>
      </c>
      <c r="G247" t="inlineStr">
        <is>
          <t>Dholpur</t>
        </is>
      </c>
    </row>
    <row r="248">
      <c r="A248" s="1" t="n">
        <v>246</v>
      </c>
      <c r="B248">
        <f>HYPERLINK("https://eproc.rajasthan.gov.in/nicgep/app?component=%24DirectLink&amp;page=FrontEndViewTender&amp;service=direct&amp;session=T&amp;sp=S%2FOEs37BG%2BDtJRJU0xMHM5g%3D%3D", "SITC of CCTV Surveillence System work for construction of Distt. Hospital Hindaun, Karauli.")</f>
        <v/>
      </c>
      <c r="C248" t="inlineStr">
        <is>
          <t>Medical and Health||Chief Engineer</t>
        </is>
      </c>
      <c r="D248" t="inlineStr">
        <is>
          <t>26-May-2025 06:00 PM</t>
        </is>
      </c>
      <c r="E248" t="inlineStr">
        <is>
          <t>21,11,000</t>
        </is>
      </c>
      <c r="F248" t="inlineStr">
        <is>
          <t>SITC of CCTV Surveillence System work for construction of Distt. Hospital Hindaun, Karauli.</t>
        </is>
      </c>
      <c r="G248" t="inlineStr">
        <is>
          <t>Karauli</t>
        </is>
      </c>
    </row>
    <row r="249">
      <c r="A249" s="1" t="n">
        <v>247</v>
      </c>
      <c r="B249">
        <f>HYPERLINK("https://eproc.rajasthan.gov.in/nicgep/app?component=%24DirectLink&amp;page=FrontEndViewTender&amp;service=direct&amp;session=T&amp;sp=SGaCFL4BLkagrJKYR%2B0%2FojA%3D%3D", "Internal Electrification work at SDH Nagar, Distt. Deeg.)")</f>
        <v/>
      </c>
      <c r="C249" t="inlineStr">
        <is>
          <t>Medical and Health||Chief Engineer</t>
        </is>
      </c>
      <c r="D249" t="inlineStr">
        <is>
          <t>26-May-2025 06:00 PM</t>
        </is>
      </c>
      <c r="E249" t="inlineStr">
        <is>
          <t>1,85,00,000</t>
        </is>
      </c>
      <c r="F249" t="inlineStr">
        <is>
          <t>Internal Electrification work at SDH Nagar, Distt. Deeg.)</t>
        </is>
      </c>
      <c r="G249" t="inlineStr">
        <is>
          <t>Deeg</t>
        </is>
      </c>
    </row>
    <row r="250">
      <c r="A250" s="1" t="n">
        <v>248</v>
      </c>
      <c r="B250">
        <f>HYPERLINK("https://eproc.rajasthan.gov.in/nicgep/app?component=%24DirectLink&amp;page=FrontEndViewTender&amp;service=direct&amp;session=T&amp;sp=SmsprWyvEKCUDEP9gAms8ZQ%3D%3D", "SITC of Electric Sub Station and DG Set (External Electrical work) for construction of Distt. Hospital Hindaun, Karauli")</f>
        <v/>
      </c>
      <c r="C250" t="inlineStr">
        <is>
          <t>Medical and Health||Chief Engineer</t>
        </is>
      </c>
      <c r="D250" t="inlineStr">
        <is>
          <t>26-May-2025 06:00 PM</t>
        </is>
      </c>
      <c r="E250" t="inlineStr">
        <is>
          <t>2,12,36,000</t>
        </is>
      </c>
      <c r="F250" t="inlineStr">
        <is>
          <t>SITC of Electric Sub Station and DG Set (External Electrical work) for construction of Distt. Hospital Hindaun, Karauli</t>
        </is>
      </c>
      <c r="G250" t="inlineStr">
        <is>
          <t>Karauli</t>
        </is>
      </c>
    </row>
    <row r="251">
      <c r="A251" s="1" t="n">
        <v>249</v>
      </c>
      <c r="B251">
        <f>HYPERLINK("https://eproc.rajasthan.gov.in/nicgep/app?component=%24DirectLink&amp;page=FrontEndViewTender&amp;service=direct&amp;session=T&amp;sp=SxD8tA507E9FZYz7ygfnTzw%3D%3D", "Construction of SHC Building Aamkapura -Distt. Dholpur")</f>
        <v/>
      </c>
      <c r="C251" t="inlineStr">
        <is>
          <t>Medical and Health||Chief Engineer</t>
        </is>
      </c>
      <c r="D251" t="inlineStr">
        <is>
          <t>20-May-2025 06:00 PM</t>
        </is>
      </c>
      <c r="E251" t="inlineStr">
        <is>
          <t>52,00,000</t>
        </is>
      </c>
      <c r="F251" t="inlineStr">
        <is>
          <t>Construction of SHC Building Aamkapura -Distt. Dholpur</t>
        </is>
      </c>
      <c r="G251" t="inlineStr">
        <is>
          <t>Dholpur</t>
        </is>
      </c>
    </row>
    <row r="252">
      <c r="A252" s="1" t="n">
        <v>250</v>
      </c>
      <c r="B252">
        <f>HYPERLINK("https://eproc.rajasthan.gov.in/nicgep/app?component=%24DirectLink&amp;page=FrontEndViewTender&amp;service=direct&amp;session=T&amp;sp=SW5K1DxCTGlR4E8PB4D9BsQ%3D%3D", "Construction of SHC Building Aligarh-Distt. Dholpur")</f>
        <v/>
      </c>
      <c r="C252" t="inlineStr">
        <is>
          <t>Medical and Health||Chief Engineer</t>
        </is>
      </c>
      <c r="D252" t="inlineStr">
        <is>
          <t>20-May-2025 06:00 PM</t>
        </is>
      </c>
      <c r="E252" t="inlineStr">
        <is>
          <t>52,00,000</t>
        </is>
      </c>
      <c r="F252" t="inlineStr">
        <is>
          <t>Construction of SHC Building Aligarh-Distt. Dholpur</t>
        </is>
      </c>
      <c r="G252" t="inlineStr">
        <is>
          <t>Dholpur</t>
        </is>
      </c>
    </row>
    <row r="253">
      <c r="A253" s="1" t="n">
        <v>251</v>
      </c>
      <c r="B253">
        <f>HYPERLINK("https://eproc.rajasthan.gov.in/nicgep/app?component=%24DirectLink&amp;page=FrontEndViewTender&amp;service=direct&amp;session=T&amp;sp=S6%2FZx%2FUlSfd%2FRlpC04Of5Zw%3D%3D", "Construction of SHC Building Majhaua-Distt. Dholpur")</f>
        <v/>
      </c>
      <c r="C253" t="inlineStr">
        <is>
          <t>Medical and Health||Chief Engineer</t>
        </is>
      </c>
      <c r="D253" t="inlineStr">
        <is>
          <t>20-May-2025 06:00 PM</t>
        </is>
      </c>
      <c r="E253" t="inlineStr">
        <is>
          <t>52,00,000</t>
        </is>
      </c>
      <c r="F253" t="inlineStr">
        <is>
          <t>Construction of SHC Building Majhaua-Distt. Dholpur</t>
        </is>
      </c>
      <c r="G253" t="inlineStr">
        <is>
          <t>Dholpur</t>
        </is>
      </c>
    </row>
    <row r="254">
      <c r="A254" s="1" t="n">
        <v>252</v>
      </c>
      <c r="B254">
        <f>HYPERLINK("https://eproc.rajasthan.gov.in/nicgep/app?component=%24DirectLink&amp;page=FrontEndViewTender&amp;service=direct&amp;session=T&amp;sp=SWOkf6tsyzIBSEBVPUsZH6Q%3D%3D", "Construction of SHC Building Banora -Distt. Dholpur")</f>
        <v/>
      </c>
      <c r="C254" t="inlineStr">
        <is>
          <t>Medical and Health||Chief Engineer</t>
        </is>
      </c>
      <c r="D254" t="inlineStr">
        <is>
          <t>20-May-2025 06:00 PM</t>
        </is>
      </c>
      <c r="E254" t="inlineStr">
        <is>
          <t>52,00,000</t>
        </is>
      </c>
      <c r="F254" t="inlineStr">
        <is>
          <t>Construction of SHC Building Banora -Distt. Dholpur</t>
        </is>
      </c>
      <c r="G254" t="inlineStr">
        <is>
          <t>Dholpur</t>
        </is>
      </c>
    </row>
    <row r="255">
      <c r="A255" s="1" t="n">
        <v>253</v>
      </c>
      <c r="B255">
        <f>HYPERLINK("https://eproc.rajasthan.gov.in/nicgep/app?component=%24DirectLink&amp;page=FrontEndViewTender&amp;service=direct&amp;session=T&amp;sp=StVgbCpiVHOiyMbFgryrajQ%3D%3D", "Construction of SHC Building Bainpura -Distt. Dholpur")</f>
        <v/>
      </c>
      <c r="C255" t="inlineStr">
        <is>
          <t>Medical and Health||Chief Engineer</t>
        </is>
      </c>
      <c r="D255" t="inlineStr">
        <is>
          <t>20-May-2025 06:00 PM</t>
        </is>
      </c>
      <c r="E255" t="inlineStr">
        <is>
          <t>52,00,000</t>
        </is>
      </c>
      <c r="F255" t="inlineStr">
        <is>
          <t>Construction of SHC Building Bainpura -Distt. Dholpur</t>
        </is>
      </c>
      <c r="G255" t="inlineStr">
        <is>
          <t>Dholpur</t>
        </is>
      </c>
    </row>
    <row r="256">
      <c r="A256" s="1" t="n">
        <v>254</v>
      </c>
      <c r="B256">
        <f>HYPERLINK("https://eproc.rajasthan.gov.in/nicgep/app?component=%24DirectLink&amp;page=FrontEndViewTender&amp;service=direct&amp;session=T&amp;sp=STECzwW%2BZi3sMMdz55yapuw%3D%3D", "Construction of SHC Building GadiJafar-Distt. Dholpur")</f>
        <v/>
      </c>
      <c r="C256" t="inlineStr">
        <is>
          <t>Medical and Health||Chief Engineer</t>
        </is>
      </c>
      <c r="D256" t="inlineStr">
        <is>
          <t>20-May-2025 06:00 PM</t>
        </is>
      </c>
      <c r="E256" t="inlineStr">
        <is>
          <t>52,00,000</t>
        </is>
      </c>
      <c r="F256" t="inlineStr">
        <is>
          <t>Construction of SHC Building GadiJafar-Distt. Dholpur</t>
        </is>
      </c>
      <c r="G256" t="inlineStr">
        <is>
          <t>Dholpur</t>
        </is>
      </c>
    </row>
    <row r="257">
      <c r="A257" s="1" t="n">
        <v>255</v>
      </c>
      <c r="B257">
        <f>HYPERLINK("https://eproc.rajasthan.gov.in/nicgep/app?component=%24DirectLink&amp;page=FrontEndViewTender&amp;service=direct&amp;session=T&amp;sp=S08uaEsTu3dXZmzXSXd7DFQ%3D%3D", "Construction of SHC Building GadhiKareelpur-Distt. Dholpur")</f>
        <v/>
      </c>
      <c r="C257" t="inlineStr">
        <is>
          <t>Medical and Health||Chief Engineer</t>
        </is>
      </c>
      <c r="D257" t="inlineStr">
        <is>
          <t>20-May-2025 06:00 PM</t>
        </is>
      </c>
      <c r="E257" t="inlineStr">
        <is>
          <t>52,00,000</t>
        </is>
      </c>
      <c r="F257" t="inlineStr">
        <is>
          <t>Construction of SHC Building GadhiKareelpur-Distt. Dholpur</t>
        </is>
      </c>
      <c r="G257" t="inlineStr">
        <is>
          <t>Dholpur</t>
        </is>
      </c>
    </row>
    <row r="258">
      <c r="A258" s="1" t="n">
        <v>256</v>
      </c>
      <c r="B258">
        <f>HYPERLINK("https://eproc.rajasthan.gov.in/nicgep/app?component=%24DirectLink&amp;page=FrontEndViewTender&amp;service=direct&amp;session=T&amp;sp=SfhpVWmGrPnJyk7mjE2K9%2FA%3D%3D", "Construction of SHC Building Takipur-Distt. Dholpur")</f>
        <v/>
      </c>
      <c r="C258" t="inlineStr">
        <is>
          <t>Medical and Health||Chief Engineer</t>
        </is>
      </c>
      <c r="D258" t="inlineStr">
        <is>
          <t>20-May-2025 06:00 PM</t>
        </is>
      </c>
      <c r="E258" t="inlineStr">
        <is>
          <t>52,00,000</t>
        </is>
      </c>
      <c r="F258" t="inlineStr">
        <is>
          <t>Construction of SHC Building Takipur-Distt. Dholpur</t>
        </is>
      </c>
      <c r="G258" t="inlineStr">
        <is>
          <t>Dholpur</t>
        </is>
      </c>
    </row>
    <row r="259">
      <c r="A259" s="1" t="n">
        <v>257</v>
      </c>
      <c r="B259">
        <f>HYPERLINK("https://eproc.rajasthan.gov.in/nicgep/app?component=%24DirectLink&amp;page=FrontEndViewTender&amp;service=direct&amp;session=T&amp;sp=ST%2Blw8C1lch2G4nnFh3BUmA%3D%3D", "Construction of SHC Building Bhamroli-Distt. Dholpur")</f>
        <v/>
      </c>
      <c r="C259" t="inlineStr">
        <is>
          <t>Medical and Health||Chief Engineer</t>
        </is>
      </c>
      <c r="D259" t="inlineStr">
        <is>
          <t>20-May-2025 06:00 PM</t>
        </is>
      </c>
      <c r="E259" t="inlineStr">
        <is>
          <t>52,00,000</t>
        </is>
      </c>
      <c r="F259" t="inlineStr">
        <is>
          <t>Construction of SHC Building Bhamroli-Distt. Dholpur</t>
        </is>
      </c>
      <c r="G259" t="inlineStr">
        <is>
          <t>Dholpur</t>
        </is>
      </c>
    </row>
    <row r="260">
      <c r="A260" s="1" t="n">
        <v>258</v>
      </c>
      <c r="B260">
        <f>HYPERLINK("https://eproc.rajasthan.gov.in/nicgep/app?component=%24DirectLink&amp;page=FrontEndViewTender&amp;service=direct&amp;session=T&amp;sp=SS8ba%2FtoKtZevtAV%2FRSkkgA%3D%3D", "Construction of SHC Building Beejholi-Distt. Dholpur")</f>
        <v/>
      </c>
      <c r="C260" t="inlineStr">
        <is>
          <t>Medical and Health||Chief Engineer</t>
        </is>
      </c>
      <c r="D260" t="inlineStr">
        <is>
          <t>20-May-2025 06:00 PM</t>
        </is>
      </c>
      <c r="E260" t="inlineStr">
        <is>
          <t>52,00,000</t>
        </is>
      </c>
      <c r="F260" t="inlineStr">
        <is>
          <t>Construction of SHC Building Beejholi-Distt. Dholpur</t>
        </is>
      </c>
      <c r="G260" t="inlineStr">
        <is>
          <t>Dholpur</t>
        </is>
      </c>
    </row>
    <row r="261">
      <c r="A261" s="1" t="n">
        <v>259</v>
      </c>
      <c r="B261">
        <f>HYPERLINK("https://eproc.rajasthan.gov.in/nicgep/app?component=%24DirectLink&amp;page=FrontEndViewTender&amp;service=direct&amp;session=T&amp;sp=StHqcMm4o7%2B2OAEkNOVitBA%3D%3D", "Construction of SHC Building Dandoli-Distt. Dholpur")</f>
        <v/>
      </c>
      <c r="C261" t="inlineStr">
        <is>
          <t>Medical and Health||Chief Engineer</t>
        </is>
      </c>
      <c r="D261" t="inlineStr">
        <is>
          <t>20-May-2025 06:00 PM</t>
        </is>
      </c>
      <c r="E261" t="inlineStr">
        <is>
          <t>52,00,000</t>
        </is>
      </c>
      <c r="F261" t="inlineStr">
        <is>
          <t>Construction of SHC Building Dandoli-Distt. Dholpur</t>
        </is>
      </c>
      <c r="G261" t="inlineStr">
        <is>
          <t>Dholpur</t>
        </is>
      </c>
    </row>
    <row r="262">
      <c r="A262" s="1" t="n">
        <v>260</v>
      </c>
      <c r="B262">
        <f>HYPERLINK("https://eproc.rajasthan.gov.in/nicgep/app?component=%24DirectLink&amp;page=FrontEndViewTender&amp;service=direct&amp;session=T&amp;sp=SqVb0TUAcS5V%2B00BTDdpkDw%3D%3D", "Construction of SHC Building Bisayatipur-Distt. Dholpur")</f>
        <v/>
      </c>
      <c r="C262" t="inlineStr">
        <is>
          <t>Medical and Health||Chief Engineer</t>
        </is>
      </c>
      <c r="D262" t="inlineStr">
        <is>
          <t>20-May-2025 06:00 PM</t>
        </is>
      </c>
      <c r="E262" t="inlineStr">
        <is>
          <t>52,00,000</t>
        </is>
      </c>
      <c r="F262" t="inlineStr">
        <is>
          <t>Construction of SHC Building Bisayatipur-Distt. Dholpur</t>
        </is>
      </c>
      <c r="G262" t="inlineStr">
        <is>
          <t>Dholpur</t>
        </is>
      </c>
    </row>
    <row r="263">
      <c r="A263" s="1" t="n">
        <v>261</v>
      </c>
      <c r="B263">
        <f>HYPERLINK("https://eproc.rajasthan.gov.in/nicgep/app?component=%24DirectLink&amp;page=FrontEndViewTender&amp;service=direct&amp;session=T&amp;sp=SUK46q0gPTpld70%2BSiBkIxA%3D%3D", "Construction of SHC Building Sarekhi-Distt. Dholpur")</f>
        <v/>
      </c>
      <c r="C263" t="inlineStr">
        <is>
          <t>Medical and Health||Chief Engineer</t>
        </is>
      </c>
      <c r="D263" t="inlineStr">
        <is>
          <t>20-May-2025 06:00 PM</t>
        </is>
      </c>
      <c r="E263" t="inlineStr">
        <is>
          <t>52,00,000</t>
        </is>
      </c>
      <c r="F263" t="inlineStr">
        <is>
          <t>Construction of SHC Building Sarekhi-Distt. Dholpur</t>
        </is>
      </c>
      <c r="G263" t="inlineStr">
        <is>
          <t>Dholpur</t>
        </is>
      </c>
    </row>
    <row r="264">
      <c r="A264" s="1" t="n">
        <v>262</v>
      </c>
      <c r="B264">
        <f>HYPERLINK("https://eproc.rajasthan.gov.in/nicgep/app?component=%24DirectLink&amp;page=FrontEndViewTender&amp;service=direct&amp;session=T&amp;sp=SvVBl4sjV8QFMPlBqOn%2FaIA%3D%3D", "Construction of SHC Building Baretha Kalan-Distt. Dholpur")</f>
        <v/>
      </c>
      <c r="C264" t="inlineStr">
        <is>
          <t>Medical and Health||Chief Engineer</t>
        </is>
      </c>
      <c r="D264" t="inlineStr">
        <is>
          <t>20-May-2025 06:00 PM</t>
        </is>
      </c>
      <c r="E264" t="inlineStr">
        <is>
          <t>52,00,000</t>
        </is>
      </c>
      <c r="F264" t="inlineStr">
        <is>
          <t>Construction of SHC Building Baretha Kalan-Distt. Dholpur</t>
        </is>
      </c>
      <c r="G264" t="inlineStr">
        <is>
          <t>Dholpur</t>
        </is>
      </c>
    </row>
    <row r="265">
      <c r="A265" s="1" t="n">
        <v>263</v>
      </c>
      <c r="B265">
        <f>HYPERLINK("https://eproc.rajasthan.gov.in/nicgep/app?component=%24DirectLink&amp;page=FrontEndViewTender&amp;service=direct&amp;session=T&amp;sp=SktxM1DUs378iDkqkr9xOhw%3D%3D", "Construction of SHC Building Andvapurani -Distt. Dholpur")</f>
        <v/>
      </c>
      <c r="C265" t="inlineStr">
        <is>
          <t>Medical and Health||Chief Engineer</t>
        </is>
      </c>
      <c r="D265" t="inlineStr">
        <is>
          <t>20-May-2025 06:00 PM</t>
        </is>
      </c>
      <c r="E265" t="inlineStr">
        <is>
          <t>52,00,000</t>
        </is>
      </c>
      <c r="F265" t="inlineStr">
        <is>
          <t>Construction of SHC Building Andvapurani -Distt. Dholpur</t>
        </is>
      </c>
      <c r="G265" t="inlineStr">
        <is>
          <t>Dholpur</t>
        </is>
      </c>
    </row>
    <row r="266">
      <c r="A266" s="1" t="n">
        <v>264</v>
      </c>
      <c r="B266">
        <f>HYPERLINK("https://eproc.rajasthan.gov.in/nicgep/app?component=%24DirectLink&amp;page=FrontEndViewTender&amp;service=direct&amp;session=T&amp;sp=ShT%2B87%2FEv7pFOhpgOTsWCIw%3D%3D", "Construction of SHC Building Bharkunjara-Distt. Dholpur")</f>
        <v/>
      </c>
      <c r="C266" t="inlineStr">
        <is>
          <t>Medical and Health||Chief Engineer</t>
        </is>
      </c>
      <c r="D266" t="inlineStr">
        <is>
          <t>20-May-2025 06:00 PM</t>
        </is>
      </c>
      <c r="E266" t="inlineStr">
        <is>
          <t>52,00,000</t>
        </is>
      </c>
      <c r="F266" t="inlineStr">
        <is>
          <t>Construction of SHC Building Bharkunjara-Distt. Dholpur</t>
        </is>
      </c>
      <c r="G266" t="inlineStr">
        <is>
          <t>Dholpur</t>
        </is>
      </c>
    </row>
    <row r="267">
      <c r="A267" s="1" t="n">
        <v>265</v>
      </c>
      <c r="B267">
        <f>HYPERLINK("https://eproc.rajasthan.gov.in/nicgep/app?component=%24DirectLink&amp;page=FrontEndViewTender&amp;service=direct&amp;session=T&amp;sp=Spe1t8QaLY73FJ%2FQFhk8KEA%3D%3D", "Construction of SHC Building BasaiGhiyaram-Distt. Dholpur")</f>
        <v/>
      </c>
      <c r="C267" t="inlineStr">
        <is>
          <t>Medical and Health||Chief Engineer</t>
        </is>
      </c>
      <c r="D267" t="inlineStr">
        <is>
          <t>20-May-2025 06:00 PM</t>
        </is>
      </c>
      <c r="E267" t="inlineStr">
        <is>
          <t>52,00,000</t>
        </is>
      </c>
      <c r="F267" t="inlineStr">
        <is>
          <t>Construction of SHC Building BasaiGhiyaram-Distt. Dholpur</t>
        </is>
      </c>
      <c r="G267" t="inlineStr">
        <is>
          <t>Dholpur</t>
        </is>
      </c>
    </row>
    <row r="268">
      <c r="A268" s="1" t="n">
        <v>266</v>
      </c>
      <c r="B268">
        <f>HYPERLINK("https://eproc.rajasthan.gov.in/nicgep/app?component=%24DirectLink&amp;page=FrontEndViewTender&amp;service=direct&amp;session=T&amp;sp=S7BrPdaSa%2BPVZF99o%2B%2BrHyQ%3D%3D", "Construction of SHC Building Umrara-Distt. Dholpur")</f>
        <v/>
      </c>
      <c r="C268" t="inlineStr">
        <is>
          <t>Medical and Health||Chief Engineer</t>
        </is>
      </c>
      <c r="D268" t="inlineStr">
        <is>
          <t>20-May-2025 06:00 PM</t>
        </is>
      </c>
      <c r="E268" t="inlineStr">
        <is>
          <t>52,00,000</t>
        </is>
      </c>
      <c r="F268" t="inlineStr">
        <is>
          <t>Construction of SHC Building Umrara-Distt. Dholpur</t>
        </is>
      </c>
      <c r="G268" t="inlineStr">
        <is>
          <t>Dholpur</t>
        </is>
      </c>
    </row>
    <row r="269">
      <c r="A269" s="1" t="n">
        <v>267</v>
      </c>
      <c r="B269">
        <f>HYPERLINK("https://eproc.rajasthan.gov.in/nicgep/app?component=%24DirectLink&amp;page=FrontEndViewTender&amp;service=direct&amp;session=T&amp;sp=S3ex8aj1qJrG8yjAbJAarzQ%3D%3D", "Construction of SHC Building Tagawali-Distt. Dholpur")</f>
        <v/>
      </c>
      <c r="C269" t="inlineStr">
        <is>
          <t>Medical and Health||Chief Engineer</t>
        </is>
      </c>
      <c r="D269" t="inlineStr">
        <is>
          <t>20-May-2025 06:00 PM</t>
        </is>
      </c>
      <c r="E269" t="inlineStr">
        <is>
          <t>52,00,000</t>
        </is>
      </c>
      <c r="F269" t="inlineStr">
        <is>
          <t>Construction of SHC Building Tagawali-Distt. Dholpur</t>
        </is>
      </c>
      <c r="G269" t="inlineStr">
        <is>
          <t>Dholpur</t>
        </is>
      </c>
    </row>
    <row r="270">
      <c r="A270" s="1" t="n">
        <v>268</v>
      </c>
      <c r="B270">
        <f>HYPERLINK("https://eproc.rajasthan.gov.in/nicgep/app?component=%24DirectLink&amp;page=FrontEndViewTender&amp;service=direct&amp;session=T&amp;sp=SWBDrH%2BRGOzmpOAEK6VpdVQ%3D%3D", "Construction of SHC Building Bas burja-Distt. Deeg")</f>
        <v/>
      </c>
      <c r="C270" t="inlineStr">
        <is>
          <t>Medical and Health||Chief Engineer</t>
        </is>
      </c>
      <c r="D270" t="inlineStr">
        <is>
          <t>19-May-2025 06:00 PM</t>
        </is>
      </c>
      <c r="E270" t="inlineStr">
        <is>
          <t>52,00,000</t>
        </is>
      </c>
      <c r="F270" t="inlineStr">
        <is>
          <t>Construction of SHC Building Bas burja-Distt. Deeg</t>
        </is>
      </c>
      <c r="G270" t="inlineStr">
        <is>
          <t>Deeg</t>
        </is>
      </c>
    </row>
    <row r="271">
      <c r="A271" s="1" t="n">
        <v>269</v>
      </c>
      <c r="B271">
        <f>HYPERLINK("https://eproc.rajasthan.gov.in/nicgep/app?component=%24DirectLink&amp;page=FrontEndViewTender&amp;service=direct&amp;session=T&amp;sp=SSDaXNax%2BW4XCPLQmxEMo2Q%3D%3D", "Construction of SHC Building Baroli chauth-Distt. Deeg")</f>
        <v/>
      </c>
      <c r="C271" t="inlineStr">
        <is>
          <t>Medical and Health||Chief Engineer</t>
        </is>
      </c>
      <c r="D271" t="inlineStr">
        <is>
          <t>19-May-2025 06:00 PM</t>
        </is>
      </c>
      <c r="E271" t="inlineStr">
        <is>
          <t>52,00,000</t>
        </is>
      </c>
      <c r="F271" t="inlineStr">
        <is>
          <t>Construction of SHC Building Baroli chauth-Distt. Deeg</t>
        </is>
      </c>
      <c r="G271" t="inlineStr">
        <is>
          <t>Deeg</t>
        </is>
      </c>
    </row>
    <row r="272">
      <c r="A272" s="1" t="n">
        <v>270</v>
      </c>
      <c r="B272">
        <f>HYPERLINK("https://eproc.rajasthan.gov.in/nicgep/app?component=%24DirectLink&amp;page=FrontEndViewTender&amp;service=direct&amp;session=T&amp;sp=SYhHcdKFX5bi5TrOx3LgIFw%3D%3D", "Construction of SHC Building Bartai-Distt. Deeg")</f>
        <v/>
      </c>
      <c r="C272" t="inlineStr">
        <is>
          <t>Medical and Health||Chief Engineer</t>
        </is>
      </c>
      <c r="D272" t="inlineStr">
        <is>
          <t>19-May-2025 06:00 PM</t>
        </is>
      </c>
      <c r="E272" t="inlineStr">
        <is>
          <t>52,00,000</t>
        </is>
      </c>
      <c r="F272" t="inlineStr">
        <is>
          <t>Construction of SHC Building Bartai-Distt. Deeg</t>
        </is>
      </c>
      <c r="G272" t="inlineStr">
        <is>
          <t>Deeg</t>
        </is>
      </c>
    </row>
    <row r="273">
      <c r="A273" s="1" t="n">
        <v>271</v>
      </c>
      <c r="B273">
        <f>HYPERLINK("https://eproc.rajasthan.gov.in/nicgep/app?component=%24DirectLink&amp;page=FrontEndViewTender&amp;service=direct&amp;session=T&amp;sp=Syu7UCvCixPgPR6z7dvsw4w%3D%3D", "Construction of SHC Building Bansuri-Distt. Deeg Badripur -Distt. Deeg")</f>
        <v/>
      </c>
      <c r="C273" t="inlineStr">
        <is>
          <t>Medical and Health||Chief Engineer</t>
        </is>
      </c>
      <c r="D273" t="inlineStr">
        <is>
          <t>19-May-2025 06:00 PM</t>
        </is>
      </c>
      <c r="E273" t="inlineStr">
        <is>
          <t>52,00,000</t>
        </is>
      </c>
      <c r="F273" t="inlineStr">
        <is>
          <t>Construction of SHC Building Bansuri-Distt. Deeg</t>
        </is>
      </c>
      <c r="G273" t="inlineStr">
        <is>
          <t>Deeg</t>
        </is>
      </c>
    </row>
    <row r="274">
      <c r="A274" s="1" t="n">
        <v>272</v>
      </c>
      <c r="B274">
        <f>HYPERLINK("https://eproc.rajasthan.gov.in/nicgep/app?component=%24DirectLink&amp;page=FrontEndViewTender&amp;service=direct&amp;session=T&amp;sp=Sf2QTTu3C0fiGnzTrLc4R9A%3D%3D", "Construction of SHC Building Baraulidhau-Distt. Deeg")</f>
        <v/>
      </c>
      <c r="C274" t="inlineStr">
        <is>
          <t>Medical and Health||Chief Engineer</t>
        </is>
      </c>
      <c r="D274" t="inlineStr">
        <is>
          <t>19-May-2025 06:00 PM</t>
        </is>
      </c>
      <c r="E274" t="inlineStr">
        <is>
          <t>52,00,000</t>
        </is>
      </c>
      <c r="F274" t="inlineStr">
        <is>
          <t>Construction of SHC Building Baraulidhau-Distt. Deeg</t>
        </is>
      </c>
      <c r="G274" t="inlineStr">
        <is>
          <t>Deeg</t>
        </is>
      </c>
    </row>
    <row r="275">
      <c r="A275" s="1" t="n">
        <v>273</v>
      </c>
      <c r="B275">
        <f>HYPERLINK("https://eproc.rajasthan.gov.in/nicgep/app?component=%24DirectLink&amp;page=FrontEndViewTender&amp;service=direct&amp;session=T&amp;sp=ShZklb4F2J8ESTatAYTXzhg%3D%3D", "Construction of SHC Building Badangarh -Distt. Deeg")</f>
        <v/>
      </c>
      <c r="C275" t="inlineStr">
        <is>
          <t>Medical and Health||Chief Engineer</t>
        </is>
      </c>
      <c r="D275" t="inlineStr">
        <is>
          <t>19-May-2025 06:00 PM</t>
        </is>
      </c>
      <c r="E275" t="inlineStr">
        <is>
          <t>52,00,000</t>
        </is>
      </c>
      <c r="F275" t="inlineStr">
        <is>
          <t>Construction of SHC Building Badangarh -Distt. Deeg</t>
        </is>
      </c>
      <c r="G275" t="inlineStr">
        <is>
          <t>Deeg</t>
        </is>
      </c>
    </row>
    <row r="276">
      <c r="A276" s="1" t="n">
        <v>274</v>
      </c>
      <c r="B276">
        <f>HYPERLINK("https://eproc.rajasthan.gov.in/nicgep/app?component=%24DirectLink&amp;page=FrontEndViewTender&amp;service=direct&amp;session=T&amp;sp=SZdQHh%2Fx3N2Ngb8%2BkU7ROkg%3D%3D", "Construction of SHC Building Badripur -Distt. Deeg")</f>
        <v/>
      </c>
      <c r="C276" t="inlineStr">
        <is>
          <t>Medical and Health||Chief Engineer</t>
        </is>
      </c>
      <c r="D276" t="inlineStr">
        <is>
          <t>19-May-2025 06:00 PM</t>
        </is>
      </c>
      <c r="E276" t="inlineStr">
        <is>
          <t>52,00,000</t>
        </is>
      </c>
      <c r="F276" t="inlineStr">
        <is>
          <t>Construction of SHC Building Badripur -Distt. Deeg</t>
        </is>
      </c>
      <c r="G276" t="inlineStr">
        <is>
          <t>Deeg</t>
        </is>
      </c>
    </row>
    <row r="277">
      <c r="A277" s="1" t="n">
        <v>275</v>
      </c>
      <c r="B277">
        <f>HYPERLINK("https://eproc.rajasthan.gov.in/nicgep/app?component=%24DirectLink&amp;page=FrontEndViewTender&amp;service=direct&amp;session=T&amp;sp=SJ3jV5S%2FvD1trhgeGgPhQSQ%3D%3D", "Construction of SHC Building Kanwada-Distt. Deeg")</f>
        <v/>
      </c>
      <c r="C277" t="inlineStr">
        <is>
          <t>Medical and Health||Chief Engineer</t>
        </is>
      </c>
      <c r="D277" t="inlineStr">
        <is>
          <t>19-May-2025 06:00 PM</t>
        </is>
      </c>
      <c r="E277" t="inlineStr">
        <is>
          <t>52,00,000</t>
        </is>
      </c>
      <c r="F277" t="inlineStr">
        <is>
          <t>Construction of SHC Building Kanwada-Distt. Deeg</t>
        </is>
      </c>
      <c r="G277" t="inlineStr">
        <is>
          <t>Deeg</t>
        </is>
      </c>
    </row>
    <row r="278">
      <c r="A278" s="1" t="n">
        <v>276</v>
      </c>
      <c r="B278">
        <f>HYPERLINK("https://eproc.rajasthan.gov.in/nicgep/app?component=%24DirectLink&amp;page=FrontEndViewTender&amp;service=direct&amp;session=T&amp;sp=SCfY%2BiHuVMQzSo7mTYicsJg%3D%3D", "Construction of SHC Building Virahru-Distt. Deeg")</f>
        <v/>
      </c>
      <c r="C278" t="inlineStr">
        <is>
          <t>Medical and Health||Chief Engineer</t>
        </is>
      </c>
      <c r="D278" t="inlineStr">
        <is>
          <t>19-May-2025 06:00 PM</t>
        </is>
      </c>
      <c r="E278" t="inlineStr">
        <is>
          <t>52,00,000</t>
        </is>
      </c>
      <c r="F278" t="inlineStr">
        <is>
          <t>Construction of SHC Building Virahru-Distt. Deeg</t>
        </is>
      </c>
      <c r="G278" t="inlineStr">
        <is>
          <t>Deeg</t>
        </is>
      </c>
    </row>
    <row r="279">
      <c r="A279" s="1" t="n">
        <v>277</v>
      </c>
      <c r="B279">
        <f>HYPERLINK("https://eproc.rajasthan.gov.in/nicgep/app?component=%24DirectLink&amp;page=FrontEndViewTender&amp;service=direct&amp;session=T&amp;sp=SrPlLiCcqmk9TGRRnQ2FVNw%3D%3D", "Construction of SHC Building Tamrer-Distt. Deeg")</f>
        <v/>
      </c>
      <c r="C279" t="inlineStr">
        <is>
          <t>Medical and Health||Chief Engineer</t>
        </is>
      </c>
      <c r="D279" t="inlineStr">
        <is>
          <t>19-May-2025 06:00 PM</t>
        </is>
      </c>
      <c r="E279" t="inlineStr">
        <is>
          <t>52,00,000</t>
        </is>
      </c>
      <c r="F279" t="inlineStr">
        <is>
          <t>Construction of SHC Building Tamrer-Distt. Deeg</t>
        </is>
      </c>
      <c r="G279" t="inlineStr">
        <is>
          <t>Deeg</t>
        </is>
      </c>
    </row>
    <row r="280">
      <c r="A280" s="1" t="n">
        <v>278</v>
      </c>
      <c r="B280">
        <f>HYPERLINK("https://eproc.rajasthan.gov.in/nicgep/app?component=%24DirectLink&amp;page=FrontEndViewTender&amp;service=direct&amp;session=T&amp;sp=SpPDSp9IabLnufrv9mONK2A%3D%3D", "Construction of SHC Building Therawar-Distt. Deeg")</f>
        <v/>
      </c>
      <c r="C280" t="inlineStr">
        <is>
          <t>Medical and Health||Chief Engineer</t>
        </is>
      </c>
      <c r="D280" t="inlineStr">
        <is>
          <t>19-May-2025 06:00 PM</t>
        </is>
      </c>
      <c r="E280" t="inlineStr">
        <is>
          <t>52,00,000</t>
        </is>
      </c>
      <c r="F280" t="inlineStr">
        <is>
          <t>Construction of SHC Building Therawar-Distt. Deeg</t>
        </is>
      </c>
      <c r="G280" t="inlineStr">
        <is>
          <t>Deeg</t>
        </is>
      </c>
    </row>
    <row r="281">
      <c r="A281" s="1" t="n">
        <v>279</v>
      </c>
      <c r="B281">
        <f>HYPERLINK("https://eproc.rajasthan.gov.in/nicgep/app?component=%24DirectLink&amp;page=FrontEndViewTender&amp;service=direct&amp;session=T&amp;sp=SgldxExCLJlvgB2ZBtfb6FA%3D%3D", "Construction of SHC Building Phalka-Distt. Deeg")</f>
        <v/>
      </c>
      <c r="C281" t="inlineStr">
        <is>
          <t>Medical and Health||Chief Engineer</t>
        </is>
      </c>
      <c r="D281" t="inlineStr">
        <is>
          <t>19-May-2025 06:00 PM</t>
        </is>
      </c>
      <c r="E281" t="inlineStr">
        <is>
          <t>52,00,000</t>
        </is>
      </c>
      <c r="F281" t="inlineStr">
        <is>
          <t>Construction of SHC Building Phalka-Distt. Deeg</t>
        </is>
      </c>
      <c r="G281" t="inlineStr">
        <is>
          <t>Deeg</t>
        </is>
      </c>
    </row>
    <row r="282">
      <c r="A282" s="1" t="n">
        <v>280</v>
      </c>
      <c r="B282">
        <f>HYPERLINK("https://eproc.rajasthan.gov.in/nicgep/app?component=%24DirectLink&amp;page=FrontEndViewTender&amp;service=direct&amp;session=T&amp;sp=STFty2gHrHl9ubvnb8dt9Bw%3D%3D", "Construction of SHC Building Sheeshwada-Distt. Deeg")</f>
        <v/>
      </c>
      <c r="C282" t="inlineStr">
        <is>
          <t>Medical and Health||Chief Engineer</t>
        </is>
      </c>
      <c r="D282" t="inlineStr">
        <is>
          <t>19-May-2025 06:00 PM</t>
        </is>
      </c>
      <c r="E282" t="inlineStr">
        <is>
          <t>52,00,000</t>
        </is>
      </c>
      <c r="F282" t="inlineStr">
        <is>
          <t>Construction of SHC Building Sheeshwada-Distt. Deeg</t>
        </is>
      </c>
      <c r="G282" t="inlineStr">
        <is>
          <t>Deeg</t>
        </is>
      </c>
    </row>
    <row r="283">
      <c r="A283" s="1" t="n">
        <v>281</v>
      </c>
      <c r="B283">
        <f>HYPERLINK("https://eproc.rajasthan.gov.in/nicgep/app?component=%24DirectLink&amp;page=FrontEndViewTender&amp;service=direct&amp;session=T&amp;sp=SrUnYUJWTndo9Mfx%2Fx82KXA%3D%3D", "Construction of SHC Building Samler-Distt. Deeg")</f>
        <v/>
      </c>
      <c r="C283" t="inlineStr">
        <is>
          <t>Medical and Health||Chief Engineer</t>
        </is>
      </c>
      <c r="D283" t="inlineStr">
        <is>
          <t>19-May-2025 06:00 PM</t>
        </is>
      </c>
      <c r="E283" t="inlineStr">
        <is>
          <t>52,00,000</t>
        </is>
      </c>
      <c r="F283" t="inlineStr">
        <is>
          <t>Construction of SHC Building Samler-Distt. Deeg</t>
        </is>
      </c>
      <c r="G283" t="inlineStr">
        <is>
          <t>Deeg</t>
        </is>
      </c>
    </row>
    <row r="284">
      <c r="A284" s="1" t="n">
        <v>282</v>
      </c>
      <c r="B284">
        <f>HYPERLINK("https://eproc.rajasthan.gov.in/nicgep/app?component=%24DirectLink&amp;page=FrontEndViewTender&amp;service=direct&amp;session=T&amp;sp=SauzEKQIrChcvLEHpI4YRMw%3D%3D", "Construction of SHC Building Pasopa (Deeg)-Distt. Deeg")</f>
        <v/>
      </c>
      <c r="C284" t="inlineStr">
        <is>
          <t>Medical and Health||Chief Engineer</t>
        </is>
      </c>
      <c r="D284" t="inlineStr">
        <is>
          <t>19-May-2025 06:00 PM</t>
        </is>
      </c>
      <c r="E284" t="inlineStr">
        <is>
          <t>52,00,000</t>
        </is>
      </c>
      <c r="F284" t="inlineStr">
        <is>
          <t>Construction of SHC Building Pasopa (Deeg)-Distt. Deeg</t>
        </is>
      </c>
      <c r="G284" t="inlineStr">
        <is>
          <t>Deeg</t>
        </is>
      </c>
    </row>
    <row r="285">
      <c r="A285" s="1" t="n">
        <v>283</v>
      </c>
      <c r="B285">
        <f>HYPERLINK("https://eproc.rajasthan.gov.in/nicgep/app?component=%24DirectLink&amp;page=FrontEndViewTender&amp;service=direct&amp;session=T&amp;sp=Sy0%2F2PvIqMBPFTa4hlFEZFA%3D%3D", "Construction of SHC Building Saheda-Distt. Deeg")</f>
        <v/>
      </c>
      <c r="C285" t="inlineStr">
        <is>
          <t>Medical and Health||Chief Engineer</t>
        </is>
      </c>
      <c r="D285" t="inlineStr">
        <is>
          <t>19-May-2025 06:00 PM</t>
        </is>
      </c>
      <c r="E285" t="inlineStr">
        <is>
          <t>52,00,000</t>
        </is>
      </c>
      <c r="F285" t="inlineStr">
        <is>
          <t>Construction of SHC Building Saheda-Distt. Deeg</t>
        </is>
      </c>
      <c r="G285" t="inlineStr">
        <is>
          <t>Deeg</t>
        </is>
      </c>
    </row>
    <row r="286">
      <c r="A286" s="1" t="n">
        <v>284</v>
      </c>
      <c r="B286">
        <f>HYPERLINK("https://eproc.rajasthan.gov.in/nicgep/app?component=%24DirectLink&amp;page=FrontEndViewTender&amp;service=direct&amp;session=T&amp;sp=SHKThV9uJEypYsVYeIqil1A%3D%3D", "Construction of SHC Building Sunhera-Distt. Deeg")</f>
        <v/>
      </c>
      <c r="C286" t="inlineStr">
        <is>
          <t>Medical and Health||Chief Engineer</t>
        </is>
      </c>
      <c r="D286" t="inlineStr">
        <is>
          <t>19-May-2025 06:00 PM</t>
        </is>
      </c>
      <c r="E286" t="inlineStr">
        <is>
          <t>52,00,000</t>
        </is>
      </c>
      <c r="F286" t="inlineStr">
        <is>
          <t>Construction of SHC Building Sunhera-Distt. Deeg</t>
        </is>
      </c>
      <c r="G286" t="inlineStr">
        <is>
          <t>Deeg</t>
        </is>
      </c>
    </row>
    <row r="287">
      <c r="A287" s="1" t="n">
        <v>285</v>
      </c>
      <c r="B287">
        <f>HYPERLINK("https://eproc.rajasthan.gov.in/nicgep/app?component=%24DirectLink&amp;page=FrontEndViewTender&amp;service=direct&amp;session=T&amp;sp=SozzfIAjlMNELEugTQ4%2Fvig%3D%3D", "Construction of SHC Building Thalchana-Distt. Deeg")</f>
        <v/>
      </c>
      <c r="C287" t="inlineStr">
        <is>
          <t>Medical and Health||Chief Engineer</t>
        </is>
      </c>
      <c r="D287" t="inlineStr">
        <is>
          <t>19-May-2025 06:00 PM</t>
        </is>
      </c>
      <c r="E287" t="inlineStr">
        <is>
          <t>52,00,000</t>
        </is>
      </c>
      <c r="F287" t="inlineStr">
        <is>
          <t>Construction of SHC Building Thalchana-Distt. Deeg</t>
        </is>
      </c>
      <c r="G287" t="inlineStr">
        <is>
          <t>Deeg</t>
        </is>
      </c>
    </row>
    <row r="288">
      <c r="A288" s="1" t="n">
        <v>286</v>
      </c>
      <c r="B288">
        <f>HYPERLINK("https://eproc.rajasthan.gov.in/nicgep/app?component=%24DirectLink&amp;page=FrontEndViewTender&amp;service=direct&amp;session=T&amp;sp=S0iBct3fqDGHBR7y3DiBlMw%3D%3D", "Construction of SHC Building Sablana-Distt. Deeg")</f>
        <v/>
      </c>
      <c r="C288" t="inlineStr">
        <is>
          <t>Medical and Health||Chief Engineer</t>
        </is>
      </c>
      <c r="D288" t="inlineStr">
        <is>
          <t>19-May-2025 06:00 PM</t>
        </is>
      </c>
      <c r="E288" t="inlineStr">
        <is>
          <t>52,00,000</t>
        </is>
      </c>
      <c r="F288" t="inlineStr">
        <is>
          <t>Construction of SHC Building Sablana-Distt. Deeg</t>
        </is>
      </c>
      <c r="G288" t="inlineStr">
        <is>
          <t>Deeg</t>
        </is>
      </c>
    </row>
    <row r="289">
      <c r="A289" s="1" t="n">
        <v>287</v>
      </c>
      <c r="B289">
        <f>HYPERLINK("https://eproc.rajasthan.gov.in/nicgep/app?component=%24DirectLink&amp;page=FrontEndViewTender&amp;service=direct&amp;session=T&amp;sp=SFM8VDaDHy3OaSkPt1X5QGw%3D%3D", "Construction of SHC Building Sabai-Distt. Deeg")</f>
        <v/>
      </c>
      <c r="C289" t="inlineStr">
        <is>
          <t>Medical and Health||Chief Engineer</t>
        </is>
      </c>
      <c r="D289" t="inlineStr">
        <is>
          <t>19-May-2025 06:00 PM</t>
        </is>
      </c>
      <c r="E289" t="inlineStr">
        <is>
          <t>52,00,000</t>
        </is>
      </c>
      <c r="F289" t="inlineStr">
        <is>
          <t>Construction of SHC Building Sabai-Distt. Deeg</t>
        </is>
      </c>
      <c r="G289" t="inlineStr">
        <is>
          <t>Deeg</t>
        </is>
      </c>
    </row>
    <row r="290">
      <c r="A290" s="1" t="n">
        <v>288</v>
      </c>
      <c r="B290">
        <f>HYPERLINK("https://eproc.rajasthan.gov.in/nicgep/app?component=%24DirectLink&amp;page=FrontEndViewTender&amp;service=direct&amp;session=T&amp;sp=SK4N5Do6UE6cKBm2%2FEprucg%3D%3D", "Construction of SHC Building Pasta-Distt. Deeg")</f>
        <v/>
      </c>
      <c r="C290" t="inlineStr">
        <is>
          <t>Medical and Health||Chief Engineer</t>
        </is>
      </c>
      <c r="D290" t="inlineStr">
        <is>
          <t>19-May-2025 06:00 PM</t>
        </is>
      </c>
      <c r="E290" t="inlineStr">
        <is>
          <t>52,00,000</t>
        </is>
      </c>
      <c r="F290" t="inlineStr">
        <is>
          <t>Construction of SHC Building Pasta-Distt. Deeg</t>
        </is>
      </c>
      <c r="G290" t="inlineStr">
        <is>
          <t>Deeg</t>
        </is>
      </c>
    </row>
    <row r="291">
      <c r="A291" s="1" t="n">
        <v>289</v>
      </c>
      <c r="B291">
        <f>HYPERLINK("https://eproc.rajasthan.gov.in/nicgep/app?component=%24DirectLink&amp;page=FrontEndViewTender&amp;service=direct&amp;session=T&amp;sp=SOY93hXcJiN3FeeOrEPnMzg%3D%3D", "Construction of SHC Building Papda-Distt. Deeg")</f>
        <v/>
      </c>
      <c r="C291" t="inlineStr">
        <is>
          <t>Medical and Health||Chief Engineer</t>
        </is>
      </c>
      <c r="D291" t="inlineStr">
        <is>
          <t>19-May-2025 06:00 PM</t>
        </is>
      </c>
      <c r="E291" t="inlineStr">
        <is>
          <t>52,00,000</t>
        </is>
      </c>
      <c r="F291" t="inlineStr">
        <is>
          <t>Construction of SHC Building Papda-Distt. Deeg</t>
        </is>
      </c>
      <c r="G291" t="inlineStr">
        <is>
          <t>Deeg</t>
        </is>
      </c>
    </row>
    <row r="292">
      <c r="A292" s="1" t="n">
        <v>290</v>
      </c>
      <c r="B292">
        <f>HYPERLINK("https://eproc.rajasthan.gov.in/nicgep/app?component=%24DirectLink&amp;page=FrontEndViewTender&amp;service=direct&amp;session=T&amp;sp=SQY1VBuY7TPKeZjjGshFnrw%3D%3D", "Construction of SHC Building Sikrora-Distt. Deeg")</f>
        <v/>
      </c>
      <c r="C292" t="inlineStr">
        <is>
          <t>Medical and Health||Chief Engineer</t>
        </is>
      </c>
      <c r="D292" t="inlineStr">
        <is>
          <t>19-May-2025 06:00 PM</t>
        </is>
      </c>
      <c r="E292" t="inlineStr">
        <is>
          <t>52,00,000</t>
        </is>
      </c>
      <c r="F292" t="inlineStr">
        <is>
          <t>Construction of SHC Building Sikrora-Distt. Deeg</t>
        </is>
      </c>
      <c r="G292" t="inlineStr">
        <is>
          <t>Deeg</t>
        </is>
      </c>
    </row>
    <row r="293">
      <c r="A293" s="1" t="n">
        <v>291</v>
      </c>
      <c r="B293">
        <f>HYPERLINK("https://eproc.rajasthan.gov.in/nicgep/app?component=%24DirectLink&amp;page=FrontEndViewTender&amp;service=direct&amp;session=T&amp;sp=SnzmT2w6KczmyDgz%2FLv8TXQ%3D%3D", "Construction of SHC Building Barai-Distt. Deeg")</f>
        <v/>
      </c>
      <c r="C293" t="inlineStr">
        <is>
          <t>Medical and Health||Chief Engineer</t>
        </is>
      </c>
      <c r="D293" t="inlineStr">
        <is>
          <t>19-May-2025 06:00 PM</t>
        </is>
      </c>
      <c r="E293" t="inlineStr">
        <is>
          <t>52,00,000</t>
        </is>
      </c>
      <c r="F293" t="inlineStr">
        <is>
          <t>Construction of SHC Building Barai-Distt. Deeg</t>
        </is>
      </c>
      <c r="G293" t="inlineStr">
        <is>
          <t>Deeg</t>
        </is>
      </c>
    </row>
    <row r="294">
      <c r="A294" s="1" t="n">
        <v>292</v>
      </c>
      <c r="B294">
        <f>HYPERLINK("https://eproc.rajasthan.gov.in/nicgep/app?component=%24DirectLink&amp;page=FrontEndViewTender&amp;service=direct&amp;session=T&amp;sp=St%2Fi3jsM2xDT%2Fu%2B%2Fa1d8HOw%3D%3D", "Construction of SHC Building Palka-Distt. Deeg")</f>
        <v/>
      </c>
      <c r="C294" t="inlineStr">
        <is>
          <t>Medical and Health||Chief Engineer</t>
        </is>
      </c>
      <c r="D294" t="inlineStr">
        <is>
          <t>19-May-2025 06:00 PM</t>
        </is>
      </c>
      <c r="E294" t="inlineStr">
        <is>
          <t>52,00,000</t>
        </is>
      </c>
      <c r="F294" t="inlineStr">
        <is>
          <t>Construction of SHC Building Palka-Distt. Deeg</t>
        </is>
      </c>
      <c r="G294" t="inlineStr">
        <is>
          <t>Deeg</t>
        </is>
      </c>
    </row>
    <row r="295">
      <c r="A295" s="1" t="n">
        <v>293</v>
      </c>
      <c r="B295">
        <f>HYPERLINK("https://eproc.rajasthan.gov.in/nicgep/app?component=%24DirectLink&amp;page=FrontEndViewTender&amp;service=direct&amp;session=T&amp;sp=SCA2oPzm1Ez4JHN7VEIaHdQ%3D%3D", "Construction of SHC Building Pachora-Distt. Deeg")</f>
        <v/>
      </c>
      <c r="C295" t="inlineStr">
        <is>
          <t>Medical and Health||Chief Engineer</t>
        </is>
      </c>
      <c r="D295" t="inlineStr">
        <is>
          <t>19-May-2025 06:00 PM</t>
        </is>
      </c>
      <c r="E295" t="inlineStr">
        <is>
          <t>52,00,000</t>
        </is>
      </c>
      <c r="F295" t="inlineStr">
        <is>
          <t>Construction of SHC Building Pachora-Distt. Deeg</t>
        </is>
      </c>
      <c r="G295" t="inlineStr">
        <is>
          <t>Deeg</t>
        </is>
      </c>
    </row>
    <row r="296">
      <c r="A296" s="1" t="n">
        <v>294</v>
      </c>
      <c r="B296">
        <f>HYPERLINK("https://eproc.rajasthan.gov.in/nicgep/app?component=%24DirectLink&amp;page=FrontEndViewTender&amp;service=direct&amp;session=T&amp;sp=SyeONSnf4u1bQVt4ZuI00LA%3D%3D", "Construction of SHC Building Noganwa-Distt. Deeg")</f>
        <v/>
      </c>
      <c r="C296" t="inlineStr">
        <is>
          <t>Medical and Health||Chief Engineer</t>
        </is>
      </c>
      <c r="D296" t="inlineStr">
        <is>
          <t>19-May-2025 06:00 PM</t>
        </is>
      </c>
      <c r="E296" t="inlineStr">
        <is>
          <t>52,00,000</t>
        </is>
      </c>
      <c r="F296" t="inlineStr">
        <is>
          <t>Construction of SHC Building Noganwa-Distt. Deeg</t>
        </is>
      </c>
      <c r="G296" t="inlineStr">
        <is>
          <t>Deeg</t>
        </is>
      </c>
    </row>
    <row r="297">
      <c r="A297" s="1" t="n">
        <v>295</v>
      </c>
      <c r="B297">
        <f>HYPERLINK("https://eproc.rajasthan.gov.in/nicgep/app?component=%24DirectLink&amp;page=FrontEndViewTender&amp;service=direct&amp;session=T&amp;sp=SpDeIL0O%2FFgn%2FZG1Y%2FCpPDg%3D%3D", "Construction of SHC Building Nigohi-Distt. Deeg")</f>
        <v/>
      </c>
      <c r="C297" t="inlineStr">
        <is>
          <t>Medical and Health||Chief Engineer</t>
        </is>
      </c>
      <c r="D297" t="inlineStr">
        <is>
          <t>19-May-2025 06:00 PM</t>
        </is>
      </c>
      <c r="E297" t="inlineStr">
        <is>
          <t>52,00,000</t>
        </is>
      </c>
      <c r="F297" t="inlineStr">
        <is>
          <t>Construction of SHC Building Nigohi-Distt. Deeg</t>
        </is>
      </c>
      <c r="G297" t="inlineStr">
        <is>
          <t>Deeg</t>
        </is>
      </c>
    </row>
    <row r="298">
      <c r="A298" s="1" t="n">
        <v>296</v>
      </c>
      <c r="B298">
        <f>HYPERLINK("https://eproc.rajasthan.gov.in/nicgep/app?component=%24DirectLink&amp;page=FrontEndViewTender&amp;service=direct&amp;session=T&amp;sp=SEao9A6XNg22%2B9UN%2FArB4Qw%3D%3D", "Construction of SHC Building Nangal-Distt. Deeg")</f>
        <v/>
      </c>
      <c r="C298" t="inlineStr">
        <is>
          <t>Medical and Health||Chief Engineer</t>
        </is>
      </c>
      <c r="D298" t="inlineStr">
        <is>
          <t>19-May-2025 06:00 PM</t>
        </is>
      </c>
      <c r="E298" t="inlineStr">
        <is>
          <t>52,00,000</t>
        </is>
      </c>
      <c r="F298" t="inlineStr">
        <is>
          <t>Construction of SHC Building Nangal-Distt. Deeg</t>
        </is>
      </c>
      <c r="G298" t="inlineStr">
        <is>
          <t>Deeg</t>
        </is>
      </c>
    </row>
    <row r="299">
      <c r="A299" s="1" t="n">
        <v>297</v>
      </c>
      <c r="B299">
        <f>HYPERLINK("https://eproc.rajasthan.gov.in/nicgep/app?component=%24DirectLink&amp;page=FrontEndViewTender&amp;service=direct&amp;session=T&amp;sp=ScYAaMCmFC17nHjgNz02oyg%3D%3D", "Construction of SHC Building Satwas-Distt. Deeg")</f>
        <v/>
      </c>
      <c r="C299" t="inlineStr">
        <is>
          <t>Medical and Health||Chief Engineer</t>
        </is>
      </c>
      <c r="D299" t="inlineStr">
        <is>
          <t>19-May-2025 06:00 PM</t>
        </is>
      </c>
      <c r="E299" t="inlineStr">
        <is>
          <t>52,00,000</t>
        </is>
      </c>
      <c r="F299" t="inlineStr">
        <is>
          <t>Construction of SHC Building Satwas-Distt. Deeg</t>
        </is>
      </c>
      <c r="G299" t="inlineStr">
        <is>
          <t>Deeg</t>
        </is>
      </c>
    </row>
    <row r="300">
      <c r="A300" s="1" t="n">
        <v>298</v>
      </c>
      <c r="B300">
        <f>HYPERLINK("https://eproc.rajasthan.gov.in/nicgep/app?component=%24DirectLink&amp;page=FrontEndViewTender&amp;service=direct&amp;session=T&amp;sp=SMSg8L8LBwm%2FRMYOLRzk9Yg%3D%3D", "Construction of SHC Building Teski-Distt. Deeg")</f>
        <v/>
      </c>
      <c r="C300" t="inlineStr">
        <is>
          <t>Medical and Health||Chief Engineer</t>
        </is>
      </c>
      <c r="D300" t="inlineStr">
        <is>
          <t>19-May-2025 06:00 PM</t>
        </is>
      </c>
      <c r="E300" t="inlineStr">
        <is>
          <t>52,00,000</t>
        </is>
      </c>
      <c r="F300" t="inlineStr">
        <is>
          <t>Construction of SHC Building Teski-Distt. Deeg</t>
        </is>
      </c>
      <c r="G300" t="inlineStr">
        <is>
          <t>Deeg</t>
        </is>
      </c>
    </row>
    <row r="301">
      <c r="A301" s="1" t="n">
        <v>299</v>
      </c>
      <c r="B301">
        <f>HYPERLINK("https://eproc.rajasthan.gov.in/nicgep/app?component=%24DirectLink&amp;page=FrontEndViewTender&amp;service=direct&amp;session=T&amp;sp=SLScZThBJiFHq%2B7i70Lytrw%3D%3D", "Construction of SHC Building Mukundpura-Distt. Deeg")</f>
        <v/>
      </c>
      <c r="C301" t="inlineStr">
        <is>
          <t>Medical and Health||Chief Engineer</t>
        </is>
      </c>
      <c r="D301" t="inlineStr">
        <is>
          <t>19-May-2025 06:00 PM</t>
        </is>
      </c>
      <c r="E301" t="inlineStr">
        <is>
          <t>52,00,000</t>
        </is>
      </c>
      <c r="F301" t="inlineStr">
        <is>
          <t>Construction of SHC Building Mukundpura-Distt. Deeg</t>
        </is>
      </c>
      <c r="G301" t="inlineStr">
        <is>
          <t>Deeg</t>
        </is>
      </c>
    </row>
    <row r="302">
      <c r="A302" s="1" t="n">
        <v>300</v>
      </c>
      <c r="B302">
        <f>HYPERLINK("https://eproc.rajasthan.gov.in/nicgep/app?component=%24DirectLink&amp;page=FrontEndViewTender&amp;service=direct&amp;session=T&amp;sp=SoLVL6CtuQNBMJnnPA6daIA%3D%3D", "Construction of SHC Building Moraka-Distt. Deeg")</f>
        <v/>
      </c>
      <c r="C302" t="inlineStr">
        <is>
          <t>Medical and Health||Chief Engineer</t>
        </is>
      </c>
      <c r="D302" t="inlineStr">
        <is>
          <t>19-May-2025 06:00 PM</t>
        </is>
      </c>
      <c r="E302" t="inlineStr">
        <is>
          <t>52,00,000</t>
        </is>
      </c>
      <c r="F302" t="inlineStr">
        <is>
          <t>Construction of SHC Building Moraka-Distt. Deeg</t>
        </is>
      </c>
      <c r="G302" t="inlineStr">
        <is>
          <t>Deeg</t>
        </is>
      </c>
    </row>
    <row r="303">
      <c r="A303" s="1" t="n">
        <v>301</v>
      </c>
      <c r="B303">
        <f>HYPERLINK("https://eproc.rajasthan.gov.in/nicgep/app?component=%24DirectLink&amp;page=FrontEndViewTender&amp;service=direct&amp;session=T&amp;sp=SgkuBK8UY9eFT7aP0qg7uAQ%3D%3D", "Construction of SHC Building Mabai-Distt. Deeg")</f>
        <v/>
      </c>
      <c r="C303" t="inlineStr">
        <is>
          <t>Medical and Health||Chief Engineer</t>
        </is>
      </c>
      <c r="D303" t="inlineStr">
        <is>
          <t>19-May-2025 06:00 PM</t>
        </is>
      </c>
      <c r="E303" t="inlineStr">
        <is>
          <t>52,00,000</t>
        </is>
      </c>
      <c r="F303" t="inlineStr">
        <is>
          <t>Construction of SHC Building Mabai-Distt. Deeg</t>
        </is>
      </c>
      <c r="G303" t="inlineStr">
        <is>
          <t>Deeg</t>
        </is>
      </c>
    </row>
    <row r="304">
      <c r="A304" s="1" t="n">
        <v>302</v>
      </c>
      <c r="B304">
        <f>HYPERLINK("https://eproc.rajasthan.gov.in/nicgep/app?component=%24DirectLink&amp;page=FrontEndViewTender&amp;service=direct&amp;session=T&amp;sp=SKJA8yhjM3IBsjjo5HadYZw%3D%3D", "Construction of SHC Building Khakhawali-Distt. Deeg")</f>
        <v/>
      </c>
      <c r="C304" t="inlineStr">
        <is>
          <t>Medical and Health||Chief Engineer</t>
        </is>
      </c>
      <c r="D304" t="inlineStr">
        <is>
          <t>19-May-2025 06:00 PM</t>
        </is>
      </c>
      <c r="E304" t="inlineStr">
        <is>
          <t>52,00,000</t>
        </is>
      </c>
      <c r="F304" t="inlineStr">
        <is>
          <t>Construction of SHC Building Khakhawali-Distt. Deeg</t>
        </is>
      </c>
      <c r="G304" t="inlineStr">
        <is>
          <t>Deeg</t>
        </is>
      </c>
    </row>
    <row r="305">
      <c r="A305" s="1" t="n">
        <v>303</v>
      </c>
      <c r="B305">
        <f>HYPERLINK("https://eproc.rajasthan.gov.in/nicgep/app?component=%24DirectLink&amp;page=FrontEndViewTender&amp;service=direct&amp;session=T&amp;sp=SfU4m8qLJsU%2B%2BDyqF%2FMcy1w%3D%3D", "Construction of SHC Building Jaya-Distt. Deeg")</f>
        <v/>
      </c>
      <c r="C305" t="inlineStr">
        <is>
          <t>Medical and Health||Chief Engineer</t>
        </is>
      </c>
      <c r="D305" t="inlineStr">
        <is>
          <t>19-May-2025 06:00 PM</t>
        </is>
      </c>
      <c r="E305" t="inlineStr">
        <is>
          <t>52,00,000</t>
        </is>
      </c>
      <c r="F305" t="inlineStr">
        <is>
          <t>Construction of SHC Building Jaya-Distt. Deeg</t>
        </is>
      </c>
      <c r="G305" t="inlineStr">
        <is>
          <t>Deeg</t>
        </is>
      </c>
    </row>
    <row r="306">
      <c r="A306" s="1" t="n">
        <v>304</v>
      </c>
      <c r="B306">
        <f>HYPERLINK("https://eproc.rajasthan.gov.in/nicgep/app?component=%24DirectLink&amp;page=FrontEndViewTender&amp;service=direct&amp;session=T&amp;sp=StGISwkzka9RetdLb86Tm5Q%3D%3D", "Construction of SHC Building Karunaa-Distt. Deeg")</f>
        <v/>
      </c>
      <c r="C306" t="inlineStr">
        <is>
          <t>Medical and Health||Chief Engineer</t>
        </is>
      </c>
      <c r="D306" t="inlineStr">
        <is>
          <t>19-May-2025 06:00 PM</t>
        </is>
      </c>
      <c r="E306" t="inlineStr">
        <is>
          <t>52,00,000</t>
        </is>
      </c>
      <c r="F306" t="inlineStr">
        <is>
          <t>Construction of SHC Building Karunaa-Distt. Deeg</t>
        </is>
      </c>
      <c r="G306" t="inlineStr">
        <is>
          <t>Deeg</t>
        </is>
      </c>
    </row>
    <row r="307">
      <c r="A307" s="1" t="n">
        <v>305</v>
      </c>
      <c r="B307">
        <f>HYPERLINK("https://eproc.rajasthan.gov.in/nicgep/app?component=%24DirectLink&amp;page=FrontEndViewTender&amp;service=direct&amp;session=T&amp;sp=SGlrv%2BFUB%2BvvwE9kDtHB1PA%3D%3D", "Construction of SHC Building Indroli-Distt. Deeg")</f>
        <v/>
      </c>
      <c r="C307" t="inlineStr">
        <is>
          <t>Medical and Health||Chief Engineer</t>
        </is>
      </c>
      <c r="D307" t="inlineStr">
        <is>
          <t>19-May-2025 06:00 PM</t>
        </is>
      </c>
      <c r="E307" t="inlineStr">
        <is>
          <t>52,00,000</t>
        </is>
      </c>
      <c r="F307" t="inlineStr">
        <is>
          <t>Construction of SHC Building Indroli-Distt. Deeg</t>
        </is>
      </c>
      <c r="G307" t="inlineStr">
        <is>
          <t>Deeg</t>
        </is>
      </c>
    </row>
    <row r="308">
      <c r="A308" s="1" t="n">
        <v>306</v>
      </c>
      <c r="B308">
        <f>HYPERLINK("https://eproc.rajasthan.gov.in/nicgep/app?component=%24DirectLink&amp;page=FrontEndViewTender&amp;service=direct&amp;session=T&amp;sp=SusiOjfMU4X%2FC9s6aqj4%2FnQ%3D%3D", "Construction of SHC Building Gunsara-Distt. Deeg")</f>
        <v/>
      </c>
      <c r="C308" t="inlineStr">
        <is>
          <t>Medical and Health||Chief Engineer</t>
        </is>
      </c>
      <c r="D308" t="inlineStr">
        <is>
          <t>19-May-2025 06:00 PM</t>
        </is>
      </c>
      <c r="E308" t="inlineStr">
        <is>
          <t>52,00,000</t>
        </is>
      </c>
      <c r="F308" t="inlineStr">
        <is>
          <t>Construction of SHC Building Gunsara-Distt. Deeg</t>
        </is>
      </c>
      <c r="G308" t="inlineStr">
        <is>
          <t>Deeg</t>
        </is>
      </c>
    </row>
    <row r="309">
      <c r="A309" s="1" t="n">
        <v>307</v>
      </c>
      <c r="B309">
        <f>HYPERLINK("https://eproc.rajasthan.gov.in/nicgep/app?component=%24DirectLink&amp;page=FrontEndViewTender&amp;service=direct&amp;session=T&amp;sp=ScIE1awVkPVcUO85Bwmnndg%3D%3D", "Construction of SHC Building Chimni-Distt. Deeg")</f>
        <v/>
      </c>
      <c r="C309" t="inlineStr">
        <is>
          <t>Medical and Health||Chief Engineer</t>
        </is>
      </c>
      <c r="D309" t="inlineStr">
        <is>
          <t>19-May-2025 06:00 PM</t>
        </is>
      </c>
      <c r="E309" t="inlineStr">
        <is>
          <t>52,00,000</t>
        </is>
      </c>
      <c r="F309" t="inlineStr">
        <is>
          <t>Construction of SHC Building Chimni-Distt. Deeg</t>
        </is>
      </c>
      <c r="G309" t="inlineStr">
        <is>
          <t>Deeg</t>
        </is>
      </c>
    </row>
    <row r="310">
      <c r="A310" s="1" t="n">
        <v>308</v>
      </c>
      <c r="B310">
        <f>HYPERLINK("https://eproc.rajasthan.gov.in/nicgep/app?component=%24DirectLink&amp;page=FrontEndViewTender&amp;service=direct&amp;session=T&amp;sp=SMWiZXq3%2BkAvjSIVxVIlo5g%3D%3D", "Construction of SHC Building Dhimri-Distt. Deeg")</f>
        <v/>
      </c>
      <c r="C310" t="inlineStr">
        <is>
          <t>Medical and Health||Chief Engineer</t>
        </is>
      </c>
      <c r="D310" t="inlineStr">
        <is>
          <t>19-May-2025 06:00 PM</t>
        </is>
      </c>
      <c r="E310" t="inlineStr">
        <is>
          <t>52,00,000</t>
        </is>
      </c>
      <c r="F310" t="inlineStr">
        <is>
          <t>Construction of SHC Building Dhimri-Distt. Deeg</t>
        </is>
      </c>
      <c r="G310" t="inlineStr">
        <is>
          <t>Deeg</t>
        </is>
      </c>
    </row>
    <row r="311">
      <c r="A311" s="1" t="n">
        <v>309</v>
      </c>
      <c r="B311">
        <f>HYPERLINK("https://eproc.rajasthan.gov.in/nicgep/app?component=%24DirectLink&amp;page=FrontEndViewTender&amp;service=direct&amp;session=T&amp;sp=SZ8eMAkr1q87VlDgvlQq1kQ%3D%3D", "Construction of SHC Building Iklera-Distt. Deeg")</f>
        <v/>
      </c>
      <c r="C311" t="inlineStr">
        <is>
          <t>Medical and Health||Chief Engineer</t>
        </is>
      </c>
      <c r="D311" t="inlineStr">
        <is>
          <t>19-May-2025 06:00 PM</t>
        </is>
      </c>
      <c r="E311" t="inlineStr">
        <is>
          <t>52,00,000</t>
        </is>
      </c>
      <c r="F311" t="inlineStr">
        <is>
          <t>Construction of SHC Building Iklera-Distt. Deeg</t>
        </is>
      </c>
      <c r="G311" t="inlineStr">
        <is>
          <t>Deeg</t>
        </is>
      </c>
    </row>
    <row r="312">
      <c r="A312" s="1" t="n">
        <v>310</v>
      </c>
      <c r="B312">
        <f>HYPERLINK("https://eproc.rajasthan.gov.in/nicgep/app?component=%24DirectLink&amp;page=FrontEndViewTender&amp;service=direct&amp;session=T&amp;sp=SH7tnbqo1C%2Fu6EhLtmkT1NA%3D%3D", "Construction of SHC Building Borai-Distt. Deeg")</f>
        <v/>
      </c>
      <c r="C312" t="inlineStr">
        <is>
          <t>Medical and Health||Chief Engineer</t>
        </is>
      </c>
      <c r="D312" t="inlineStr">
        <is>
          <t>19-May-2025 06:00 PM</t>
        </is>
      </c>
      <c r="E312" t="inlineStr">
        <is>
          <t>52,00,000</t>
        </is>
      </c>
      <c r="F312" t="inlineStr">
        <is>
          <t>Construction of SHC Building Borai-Distt. Deeg</t>
        </is>
      </c>
      <c r="G312" t="inlineStr">
        <is>
          <t>Deeg</t>
        </is>
      </c>
    </row>
    <row r="313">
      <c r="A313" s="1" t="n">
        <v>311</v>
      </c>
      <c r="B313">
        <f>HYPERLINK("https://eproc.rajasthan.gov.in/nicgep/app?component=%24DirectLink&amp;page=FrontEndViewTender&amp;service=direct&amp;session=T&amp;sp=SGJ6Otdpf1%2BeT9jt1%2FyWdHg%3D%3D", "Construction of SHC Building Bodoli dahar-Distt. Deeg")</f>
        <v/>
      </c>
      <c r="C313" t="inlineStr">
        <is>
          <t>Medical and Health||Chief Engineer</t>
        </is>
      </c>
      <c r="D313" t="inlineStr">
        <is>
          <t>19-May-2025 06:00 PM</t>
        </is>
      </c>
      <c r="E313" t="inlineStr">
        <is>
          <t>52,00,000</t>
        </is>
      </c>
      <c r="F313" t="inlineStr">
        <is>
          <t>Construction of SHC Building Bodoli dahar-Distt. Deeg</t>
        </is>
      </c>
      <c r="G313" t="inlineStr">
        <is>
          <t>Deeg</t>
        </is>
      </c>
    </row>
    <row r="314">
      <c r="A314" s="1" t="n">
        <v>312</v>
      </c>
      <c r="B314">
        <f>HYPERLINK("https://eproc.rajasthan.gov.in/nicgep/app?component=%24DirectLink&amp;page=FrontEndViewTender&amp;service=direct&amp;session=T&amp;sp=SOpa59qg3P%2FLlxW0ZPXyNIw%3D%3D", "Construction of SHC Building Jaluki-Distt. Deeg")</f>
        <v/>
      </c>
      <c r="C314" t="inlineStr">
        <is>
          <t>Medical and Health||Chief Engineer</t>
        </is>
      </c>
      <c r="D314" t="inlineStr">
        <is>
          <t>19-May-2025 06:00 PM</t>
        </is>
      </c>
      <c r="E314" t="inlineStr">
        <is>
          <t>52,00,000</t>
        </is>
      </c>
      <c r="F314" t="inlineStr">
        <is>
          <t>Construction of SHC Building Jaluki-Distt. Deeg</t>
        </is>
      </c>
      <c r="G314" t="inlineStr">
        <is>
          <t>Deeg</t>
        </is>
      </c>
    </row>
    <row r="315">
      <c r="A315" s="1" t="n">
        <v>313</v>
      </c>
      <c r="B315">
        <f>HYPERLINK("https://eproc.rajasthan.gov.in/nicgep/app?component=%24DirectLink&amp;page=FrontEndViewTender&amp;service=direct&amp;session=T&amp;sp=Se%2FrewjcAfInLS61c01VxaA%3D%3D", "Construction of SHC Building Bilang-Distt. Deeg")</f>
        <v/>
      </c>
      <c r="C315" t="inlineStr">
        <is>
          <t>Medical and Health||Chief Engineer</t>
        </is>
      </c>
      <c r="D315" t="inlineStr">
        <is>
          <t>19-May-2025 06:00 PM</t>
        </is>
      </c>
      <c r="E315" t="inlineStr">
        <is>
          <t>52,00,000</t>
        </is>
      </c>
      <c r="F315" t="inlineStr">
        <is>
          <t>Construction of SHC Building Bilang-Distt. Deeg</t>
        </is>
      </c>
      <c r="G315" t="inlineStr">
        <is>
          <t>Deeg</t>
        </is>
      </c>
    </row>
    <row r="316">
      <c r="A316" s="1" t="n">
        <v>314</v>
      </c>
      <c r="B316">
        <f>HYPERLINK("https://eproc.rajasthan.gov.in/nicgep/app?component=%24DirectLink&amp;page=FrontEndViewTender&amp;service=direct&amp;session=T&amp;sp=S7iEQ2xsAlYMcInmrs1zhJQ%3D%3D", "Construction of SHC Building Chulhera-Distt. Deeg")</f>
        <v/>
      </c>
      <c r="C316" t="inlineStr">
        <is>
          <t>Medical and Health||Chief Engineer</t>
        </is>
      </c>
      <c r="D316" t="inlineStr">
        <is>
          <t>19-May-2025 06:00 PM</t>
        </is>
      </c>
      <c r="E316" t="inlineStr">
        <is>
          <t>52,00,000</t>
        </is>
      </c>
      <c r="F316" t="inlineStr">
        <is>
          <t>Construction of SHC Building Chulhera-Distt. Deeg</t>
        </is>
      </c>
      <c r="G316" t="inlineStr">
        <is>
          <t>Deeg</t>
        </is>
      </c>
    </row>
    <row r="317">
      <c r="A317" s="1" t="n">
        <v>315</v>
      </c>
      <c r="B317">
        <f>HYPERLINK("https://eproc.rajasthan.gov.in/nicgep/app?component=%24DirectLink&amp;page=FrontEndViewTender&amp;service=direct&amp;session=T&amp;sp=SG3LWh5XVSLyZlB47jAbPQQ%3D%3D", "Construction of SHC Building Bhori-Distt. Deeg")</f>
        <v/>
      </c>
      <c r="C317" t="inlineStr">
        <is>
          <t>Medical and Health||Chief Engineer</t>
        </is>
      </c>
      <c r="D317" t="inlineStr">
        <is>
          <t>19-May-2025 06:00 PM</t>
        </is>
      </c>
      <c r="E317" t="inlineStr">
        <is>
          <t>52,00,000</t>
        </is>
      </c>
      <c r="F317" t="inlineStr">
        <is>
          <t>Construction of SHC Building Bhori-Distt. Deeg</t>
        </is>
      </c>
      <c r="G317" t="inlineStr">
        <is>
          <t>Deeg</t>
        </is>
      </c>
    </row>
    <row r="318">
      <c r="A318" s="1" t="n">
        <v>316</v>
      </c>
      <c r="B318">
        <f>HYPERLINK("https://eproc.rajasthan.gov.in/nicgep/app?component=%24DirectLink&amp;page=FrontEndViewTender&amp;service=direct&amp;session=T&amp;sp=S8HvXMgCyKtO%2FEIP7prqJEw%3D%3D", "Construction of SHC Building Chinawada -Distt. Deeg")</f>
        <v/>
      </c>
      <c r="C318" t="inlineStr">
        <is>
          <t>Medical and Health||Chief Engineer</t>
        </is>
      </c>
      <c r="D318" t="inlineStr">
        <is>
          <t>19-May-2025 06:00 PM</t>
        </is>
      </c>
      <c r="E318" t="inlineStr">
        <is>
          <t>52,00,000</t>
        </is>
      </c>
      <c r="F318" t="inlineStr">
        <is>
          <t>Construction of SHC Building Chinawada -Distt. Deeg</t>
        </is>
      </c>
      <c r="G318" t="inlineStr">
        <is>
          <t>Deeg</t>
        </is>
      </c>
    </row>
    <row r="319">
      <c r="A319" s="1" t="n">
        <v>317</v>
      </c>
      <c r="B319">
        <f>HYPERLINK("https://eproc.rajasthan.gov.in/nicgep/app?component=%24DirectLink&amp;page=FrontEndViewTender&amp;service=direct&amp;session=T&amp;sp=SayH%2FosNflfPFH9gAmPpkPg%3D%3D", "Construction of SHC Building Bhojpur-Distt. Deeg")</f>
        <v/>
      </c>
      <c r="C319" t="inlineStr">
        <is>
          <t>Medical and Health||Chief Engineer</t>
        </is>
      </c>
      <c r="D319" t="inlineStr">
        <is>
          <t>19-May-2025 06:00 PM</t>
        </is>
      </c>
      <c r="E319" t="inlineStr">
        <is>
          <t>52,00,000</t>
        </is>
      </c>
      <c r="F319" t="inlineStr">
        <is>
          <t>Construction of SHC Building Bhojpur-Distt. Deeg</t>
        </is>
      </c>
      <c r="G319" t="inlineStr">
        <is>
          <t>Deeg</t>
        </is>
      </c>
    </row>
    <row r="320">
      <c r="A320" s="1" t="n">
        <v>318</v>
      </c>
      <c r="B320">
        <f>HYPERLINK("https://eproc.rajasthan.gov.in/nicgep/app?component=%24DirectLink&amp;page=FrontEndViewTender&amp;service=direct&amp;session=T&amp;sp=S34WuvGa8i6hdiPg2kTUtlg%3D%3D", "Construction of SHC Building Husepur-Distt. Deeg")</f>
        <v/>
      </c>
      <c r="C320" t="inlineStr">
        <is>
          <t>Medical and Health||Chief Engineer</t>
        </is>
      </c>
      <c r="D320" t="inlineStr">
        <is>
          <t>19-May-2025 06:00 PM</t>
        </is>
      </c>
      <c r="E320" t="inlineStr">
        <is>
          <t>52,00,000</t>
        </is>
      </c>
      <c r="F320" t="inlineStr">
        <is>
          <t>Construction of SHC Building Husepur-Distt. Deeg</t>
        </is>
      </c>
      <c r="G320" t="inlineStr">
        <is>
          <t>Deeg</t>
        </is>
      </c>
    </row>
    <row r="321">
      <c r="A321" s="1" t="n">
        <v>319</v>
      </c>
      <c r="B321">
        <f>HYPERLINK("https://eproc.rajasthan.gov.in/nicgep/app?component=%24DirectLink&amp;page=FrontEndViewTender&amp;service=direct&amp;session=T&amp;sp=SprLaNZUk1YDh%2F%2Bb%2Fw3dMJg%3D%3D", "Construction of SHC Building Belara kala-Distt. Deeg")</f>
        <v/>
      </c>
      <c r="C321" t="inlineStr">
        <is>
          <t>Medical and Health||Chief Engineer</t>
        </is>
      </c>
      <c r="D321" t="inlineStr">
        <is>
          <t>19-May-2025 06:00 PM</t>
        </is>
      </c>
      <c r="E321" t="inlineStr">
        <is>
          <t>52,00,000</t>
        </is>
      </c>
      <c r="F321" t="inlineStr">
        <is>
          <t>Construction of SHC Building Belara kala-Distt. Deeg</t>
        </is>
      </c>
      <c r="G321" t="inlineStr">
        <is>
          <t>Deeg</t>
        </is>
      </c>
    </row>
    <row r="322">
      <c r="A322" s="1" t="n">
        <v>320</v>
      </c>
      <c r="B322">
        <f>HYPERLINK("https://eproc.rajasthan.gov.in/nicgep/app?component=%24DirectLink&amp;page=FrontEndViewTender&amp;service=direct&amp;session=T&amp;sp=SQyxCtf85AC2hF4P%2Bw%2BV6yw%3D%3D", "Repair and Renovation work in Lab at CHC Samejha Kothi District Sriganganagar")</f>
        <v/>
      </c>
      <c r="C322" t="inlineStr">
        <is>
          <t>Medical and Health||Chief Engineer</t>
        </is>
      </c>
      <c r="D322" t="inlineStr">
        <is>
          <t>19-May-2025 06:00 PM</t>
        </is>
      </c>
      <c r="E322" t="inlineStr">
        <is>
          <t>5,52,000</t>
        </is>
      </c>
      <c r="F322" t="inlineStr">
        <is>
          <t>Repair and Renovation work in Lab at CHC Samejha Kothi District Sriganganagar</t>
        </is>
      </c>
      <c r="G322" t="inlineStr">
        <is>
          <t>Sriganganagar</t>
        </is>
      </c>
    </row>
    <row r="323">
      <c r="A323" s="1" t="n">
        <v>321</v>
      </c>
      <c r="B323">
        <f>HYPERLINK("https://eproc.rajasthan.gov.in/nicgep/app?component=%24DirectLink&amp;page=FrontEndViewTender&amp;service=direct&amp;session=T&amp;sp=SN6Trw0ljIaXeB4AW8l4Daw%3D%3D", "Repair and Renovation work in OPD Room of CHC Samejha Kothi District Sriganganagar")</f>
        <v/>
      </c>
      <c r="C323" t="inlineStr">
        <is>
          <t>Medical and Health||Chief Engineer</t>
        </is>
      </c>
      <c r="D323" t="inlineStr">
        <is>
          <t>19-May-2025 06:00 PM</t>
        </is>
      </c>
      <c r="E323" t="inlineStr">
        <is>
          <t>5,52,000</t>
        </is>
      </c>
      <c r="F323" t="inlineStr">
        <is>
          <t>Repair and Renovation work in OPD Room of CHC Samejha Kothi District Sriganganagar</t>
        </is>
      </c>
      <c r="G323" t="inlineStr">
        <is>
          <t>Sriganganagar</t>
        </is>
      </c>
    </row>
    <row r="324">
      <c r="A324" s="1" t="n">
        <v>322</v>
      </c>
      <c r="B324">
        <f>HYPERLINK("https://eproc.rajasthan.gov.in/nicgep/app?component=%24DirectLink&amp;page=FrontEndViewTender&amp;service=direct&amp;session=T&amp;sp=SC9F43%2BkixW6pY241NAKT%2FA%3D%3D", "Construction of Trauma Center at Raisar, Distt. Jaipur.")</f>
        <v/>
      </c>
      <c r="C324" t="inlineStr">
        <is>
          <t>Medical and Health||Chief Engineer</t>
        </is>
      </c>
      <c r="D324" t="inlineStr">
        <is>
          <t>20-May-2025 06:00 PM</t>
        </is>
      </c>
      <c r="E324" t="inlineStr">
        <is>
          <t>1,51,00,000</t>
        </is>
      </c>
      <c r="F324" t="inlineStr">
        <is>
          <t>Construction of Trauma Center at Raisar, Distt. Jaipur.</t>
        </is>
      </c>
      <c r="G324" t="inlineStr">
        <is>
          <t>Jaipur</t>
        </is>
      </c>
    </row>
    <row r="325">
      <c r="A325" s="1" t="n">
        <v>323</v>
      </c>
      <c r="B325">
        <f>HYPERLINK("https://eproc.rajasthan.gov.in/nicgep/app?component=%24DirectLink&amp;page=FrontEndViewTender&amp;service=direct&amp;session=T&amp;sp=ScY2oam31tpAjcROdi6O9iQ%3D%3D", "Construction of Government District Hospital Building at Lohawat , District Phalodi (Including Internal External Electrification Work)")</f>
        <v/>
      </c>
      <c r="C325" t="inlineStr">
        <is>
          <t>Medical and Health||Chief Engineer</t>
        </is>
      </c>
      <c r="D325" t="inlineStr">
        <is>
          <t>20-May-2025 06:00 PM</t>
        </is>
      </c>
      <c r="E325" t="inlineStr">
        <is>
          <t>29,31,00,000</t>
        </is>
      </c>
      <c r="F325" t="inlineStr">
        <is>
          <t>Construction of Government District Hospital Building at Lohawat , District Phalodi (Including Internal External Electrification Work)</t>
        </is>
      </c>
      <c r="G325" t="inlineStr">
        <is>
          <t>Phalodi</t>
        </is>
      </c>
    </row>
    <row r="326">
      <c r="A326" s="1" t="n">
        <v>324</v>
      </c>
      <c r="B326">
        <f>HYPERLINK("https://eproc.rajasthan.gov.in/nicgep/app?component=%24DirectLink&amp;page=FrontEndViewTender&amp;service=direct&amp;session=T&amp;sp=SEhsgODjYzeQT%2Bp8T26egRg%3D%3D", "Supply, installation and commissioning of LED TVs, Tablets and Laptops")</f>
        <v/>
      </c>
      <c r="C326" t="inlineStr">
        <is>
          <t>Medical and Health||MD-NRHM</t>
        </is>
      </c>
      <c r="D326" t="inlineStr">
        <is>
          <t>30-May-2025 02:00 PM</t>
        </is>
      </c>
      <c r="E326" t="inlineStr">
        <is>
          <t>91,01,85,000</t>
        </is>
      </c>
      <c r="F326" t="inlineStr">
        <is>
          <t>Supply, installation and commissioning of LED TVs, Tablets and Laptops</t>
        </is>
      </c>
      <c r="G326" t="inlineStr">
        <is>
          <t>Rajasthan</t>
        </is>
      </c>
    </row>
    <row r="327">
      <c r="A327" s="1" t="n">
        <v>325</v>
      </c>
      <c r="B327">
        <f>HYPERLINK("https://eproc.rajasthan.gov.in/nicgep/app?component=%24DirectLink&amp;page=FrontEndViewTender&amp;service=direct&amp;session=T&amp;sp=ScJauUgBktsHEVltmn0kRPw%3D%3D", "Supply, installation and commissioning of IT Equipments")</f>
        <v/>
      </c>
      <c r="C327" t="inlineStr">
        <is>
          <t>Medical and Health||MD-NRHM</t>
        </is>
      </c>
      <c r="D327" t="inlineStr">
        <is>
          <t>30-May-2025 02:00 PM</t>
        </is>
      </c>
      <c r="E327" t="inlineStr">
        <is>
          <t>1,16,68,37,000</t>
        </is>
      </c>
      <c r="F327" t="inlineStr">
        <is>
          <t>Supply, installation and commissioning of IT Equipments</t>
        </is>
      </c>
      <c r="G327" t="inlineStr">
        <is>
          <t>Rajasthan</t>
        </is>
      </c>
    </row>
    <row r="328">
      <c r="A328" s="1" t="n">
        <v>326</v>
      </c>
      <c r="B328">
        <f>HYPERLINK("https://eproc.rajasthan.gov.in/nicgep/app?component=%24DirectLink&amp;page=FrontEndViewTender&amp;service=direct&amp;session=T&amp;sp=Sw%2FQIUWbECcUGEjefeJoPbA%3D%3D", "Management and Operations of Mobile Medical Services in Rajasthan")</f>
        <v/>
      </c>
      <c r="C328" t="inlineStr">
        <is>
          <t>Medical and Health||MD-NRHM</t>
        </is>
      </c>
      <c r="D328" t="inlineStr">
        <is>
          <t>26-May-2025 03:00 PM</t>
        </is>
      </c>
      <c r="E328" t="inlineStr">
        <is>
          <t>2,61,00,00,000</t>
        </is>
      </c>
      <c r="F328" t="inlineStr">
        <is>
          <t>Management and Operations of Mobile Medical Services in Rajasthan</t>
        </is>
      </c>
      <c r="G328" t="inlineStr">
        <is>
          <t>Rajasthan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2025-05-17T13:03:00Z</dcterms:created>
  <dcterms:modified xsi:type="dcterms:W3CDTF">2025-05-17T13:03:00Z</dcterms:modified>
</cp:coreProperties>
</file>