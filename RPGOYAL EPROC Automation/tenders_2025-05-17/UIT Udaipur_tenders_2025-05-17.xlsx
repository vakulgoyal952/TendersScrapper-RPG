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HYPERLINK("https://eproc.rajasthan.gov.in/nicgep/app?component=%24DirectLink&amp;page=FrontEndViewTender&amp;service=direct&amp;session=T&amp;sp=SvdBpR81Cbz7sRRlG7C%2FC0g%3D%3D", "Providing Technical Assistance and Site Supervisor for Supervision at various sites in UDA Dn-IV through agencies.0807")</f>
        <v/>
      </c>
      <c r="C2" t="inlineStr">
        <is>
          <t>UIT Udaipur||S.E.||Ex. En. - II</t>
        </is>
      </c>
      <c r="D2" t="inlineStr">
        <is>
          <t>23-May-2025 06:00 PM</t>
        </is>
      </c>
      <c r="E2" t="inlineStr">
        <is>
          <t>31,08,000</t>
        </is>
      </c>
      <c r="F2" t="inlineStr">
        <is>
          <t>Providing Technical Assistance and Site Supervisor for Supervision at various sites in UDA Dn-IV through agencies.0807</t>
        </is>
      </c>
      <c r="G2" t="inlineStr">
        <is>
          <t>Udaipur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HYPERLINK("https://eproc.rajasthan.gov.in/nicgep/app?component=%24DirectLink&amp;page=FrontEndViewTender&amp;service=direct&amp;session=T&amp;sp=SapodaBrv8nSMoYMEwtPgug%3D%3D", "Shifting of 33KV Line Amberi GSS to Bio Diversity Park, Amberi. 0810")</f>
        <v/>
      </c>
      <c r="C3" t="inlineStr">
        <is>
          <t>UIT Udaipur||S.E.||Ex. En. - I</t>
        </is>
      </c>
      <c r="D3" t="inlineStr">
        <is>
          <t>23-May-2025 06:00 PM</t>
        </is>
      </c>
      <c r="E3" t="inlineStr">
        <is>
          <t>43,71,000</t>
        </is>
      </c>
      <c r="F3" t="inlineStr">
        <is>
          <t>Shifting of 33KV Line Amberi GSS to Bio Diversity Park, Amberi. 0810</t>
        </is>
      </c>
      <c r="G3" t="inlineStr">
        <is>
          <t>Udaipur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HYPERLINK("https://eproc.rajasthan.gov.in/nicgep/app?component=%24DirectLink&amp;page=FrontEndViewTender&amp;service=direct&amp;session=T&amp;sp=StslSzb%2BCenvVe0Jar7X0NQ%3D%3D", "Shifting of 11KV Line 60ft. Road from NH-8 to Bio Diversity Park, Amberi. 0809")</f>
        <v/>
      </c>
      <c r="C4" t="inlineStr">
        <is>
          <t>UIT Udaipur||S.E.||Ex. En. - I</t>
        </is>
      </c>
      <c r="D4" t="inlineStr">
        <is>
          <t>23-May-2025 06:00 PM</t>
        </is>
      </c>
      <c r="E4" t="inlineStr">
        <is>
          <t>70,47,000</t>
        </is>
      </c>
      <c r="F4" t="inlineStr">
        <is>
          <t>Shifting of 11KV Line 60ft. Road from NH-8 to Bio Diversity Park, Amberi. 0809</t>
        </is>
      </c>
      <c r="G4" t="inlineStr">
        <is>
          <t>Udaipur</t>
        </is>
      </c>
    </row>
    <row r="5">
      <c r="A5" s="1" t="n">
        <v>3</v>
      </c>
      <c r="B5">
        <f>HYPERLINK("https://eproc.rajasthan.gov.in/nicgep/app?component=%24DirectLink&amp;page=FrontEndViewTender&amp;service=direct&amp;session=T&amp;sp=SBt0RmtXd0%2FRx8vbGjVZftA%3D%3D", "Construction of Boundary Wall Around Hill of Rebario Ka Guda. 0801")</f>
        <v/>
      </c>
      <c r="C5" t="inlineStr">
        <is>
          <t>UIT Udaipur||S.E.||Ex. En. - II</t>
        </is>
      </c>
      <c r="D5" t="inlineStr">
        <is>
          <t>23-May-2025 06:00 PM</t>
        </is>
      </c>
      <c r="E5" t="inlineStr">
        <is>
          <t>68,39,000</t>
        </is>
      </c>
      <c r="F5" t="inlineStr">
        <is>
          <t>Construction of Boundary Wall Around Hill of Rebario Ka Guda. 0801</t>
        </is>
      </c>
      <c r="G5" t="inlineStr">
        <is>
          <t>Udaipur</t>
        </is>
      </c>
    </row>
    <row r="6">
      <c r="A6" s="1" t="n">
        <v>4</v>
      </c>
      <c r="B6">
        <f>HYPERLINK("https://eproc.rajasthan.gov.in/nicgep/app?component=%24DirectLink&amp;page=FrontEndViewTender&amp;service=direct&amp;session=T&amp;sp=SE0Bb9QP2I84i%2BZ7XkbaPoQ%3D%3D", "Work of Garden Maintenance, Cleaning of Complete Premises and Providing Security Guard including")</f>
        <v/>
      </c>
      <c r="C6" t="inlineStr">
        <is>
          <t>UIT Udaipur||S.E.||Ex. En. - II</t>
        </is>
      </c>
      <c r="D6" t="inlineStr">
        <is>
          <t>23-May-2025 06:00 PM</t>
        </is>
      </c>
      <c r="E6" t="inlineStr">
        <is>
          <t>25,70,000</t>
        </is>
      </c>
      <c r="F6" t="inlineStr">
        <is>
          <t>Work of Garden Maintenance, Cleaning of Complete Premises and Providing Security Guard including the collection of Entry Fee of Rajiv Gandhi Park, Udaipur.0808</t>
        </is>
      </c>
      <c r="G6" t="inlineStr">
        <is>
          <t>Udaipur</t>
        </is>
      </c>
    </row>
    <row r="7">
      <c r="A7" s="1" t="n">
        <v>5</v>
      </c>
      <c r="B7">
        <f>HYPERLINK("https://eproc.rajasthan.gov.in/nicgep/app?component=%24DirectLink&amp;page=FrontEndViewTender&amp;service=direct&amp;session=T&amp;sp=SIfqIXowa0LDqz9gzH63qMg%3D%3D", "Construction of C.C Pavement Road from Vishvakarma Temple to Rata-Talai School. 0806")</f>
        <v/>
      </c>
      <c r="C7" t="inlineStr">
        <is>
          <t>UIT Udaipur||S.E.||Ex. En. - II</t>
        </is>
      </c>
      <c r="D7" t="inlineStr">
        <is>
          <t>23-May-2025 06:00 PM</t>
        </is>
      </c>
      <c r="E7" t="inlineStr">
        <is>
          <t>36,46,000</t>
        </is>
      </c>
      <c r="F7" t="inlineStr">
        <is>
          <t>Construction of C.C Pavement Road from Vishvakarma Temple to Rata-Talai School. 0806</t>
        </is>
      </c>
      <c r="G7" t="inlineStr">
        <is>
          <t>Udaipur</t>
        </is>
      </c>
    </row>
    <row r="8">
      <c r="A8" s="1" t="n">
        <v>6</v>
      </c>
      <c r="B8">
        <f>HYPERLINK("https://eproc.rajasthan.gov.in/nicgep/app?component=%24DirectLink&amp;page=FrontEndViewTender&amp;service=direct&amp;session=T&amp;sp=SkwFCO45339ktSnqEy3h0yg%3D%3D", "Construction of CC Pavement Road from Hanuman Ji Mandir (Village Hathidhra) to Ratatalai Village. 0805")</f>
        <v/>
      </c>
      <c r="C8" t="inlineStr">
        <is>
          <t>UIT Udaipur||S.E.||Ex. En. - II</t>
        </is>
      </c>
      <c r="D8" t="inlineStr">
        <is>
          <t>23-May-2025 06:00 PM</t>
        </is>
      </c>
      <c r="E8" t="inlineStr">
        <is>
          <t>63,75,000</t>
        </is>
      </c>
      <c r="F8" t="inlineStr">
        <is>
          <t>Construction of CC Pavement Road from Hanuman Ji Mandir (Village Hathidhra) to Ratatalai Village. 0805</t>
        </is>
      </c>
      <c r="G8" t="inlineStr">
        <is>
          <t>Udaipur</t>
        </is>
      </c>
    </row>
    <row r="9">
      <c r="A9" s="1" t="n">
        <v>7</v>
      </c>
      <c r="B9">
        <f>HYPERLINK("https://eproc.rajasthan.gov.in/nicgep/app?component=%24DirectLink&amp;page=FrontEndViewTender&amp;service=direct&amp;session=T&amp;sp=S%2BU4HgM9Dz6ixhUoLUbzysg%3D%3D", "Construction of Missing Link RCC Nalla Along 100-ft. Road Mikado School Existing Nallah Shobhagpura. 0803")</f>
        <v/>
      </c>
      <c r="C9" t="inlineStr">
        <is>
          <t>UIT Udaipur||S.E.</t>
        </is>
      </c>
      <c r="D9" t="inlineStr">
        <is>
          <t>23-May-2025 06:00 PM</t>
        </is>
      </c>
      <c r="E9" t="inlineStr">
        <is>
          <t>46,73,000</t>
        </is>
      </c>
      <c r="F9" t="inlineStr">
        <is>
          <t>Construction of Missing Link RCC Nalla Along 100-ft. Road Mikado School Existing Nallah Shobhagpura. 0803</t>
        </is>
      </c>
      <c r="G9" t="inlineStr">
        <is>
          <t>Udaipur</t>
        </is>
      </c>
    </row>
    <row r="10">
      <c r="A10" s="1" t="n">
        <v>8</v>
      </c>
      <c r="B10">
        <f>HYPERLINK("https://eproc.rajasthan.gov.in/nicgep/app?component=%24DirectLink&amp;page=FrontEndViewTender&amp;service=direct&amp;session=T&amp;sp=SKDzzLdI6aGqkegnkzADZqg%3D%3D", "Construction of Speed Beakers (Bituminous) at Various Places in Div.- III (ARC). 0804")</f>
        <v/>
      </c>
      <c r="C10" t="inlineStr">
        <is>
          <t>UIT Udaipur||S.E.</t>
        </is>
      </c>
      <c r="D10" t="inlineStr">
        <is>
          <t>23-May-2025 06:00 PM</t>
        </is>
      </c>
      <c r="E10" t="inlineStr">
        <is>
          <t>12,46,000</t>
        </is>
      </c>
      <c r="F10" t="inlineStr">
        <is>
          <t>Construction of Speed Beakers (Bituminous) at Various Places in Div.- III (ARC). 0804</t>
        </is>
      </c>
      <c r="G10" t="inlineStr">
        <is>
          <t>Udaipur</t>
        </is>
      </c>
    </row>
    <row r="11">
      <c r="A11" s="1" t="n">
        <v>9</v>
      </c>
      <c r="B11">
        <f>HYPERLINK("https://eproc.rajasthan.gov.in/nicgep/app?component=%24DirectLink&amp;page=FrontEndViewTender&amp;service=direct&amp;session=T&amp;sp=S7nKTjgOGpltsY948YqIsaw%3D%3D", "Hiring of JCB and Tractor with 05-Labour in Div.-III (ARC) 0802")</f>
        <v/>
      </c>
      <c r="C11" t="inlineStr">
        <is>
          <t>UIT Udaipur||S.E.</t>
        </is>
      </c>
      <c r="D11" t="inlineStr">
        <is>
          <t>23-May-2025 06:00 PM</t>
        </is>
      </c>
      <c r="E11" t="inlineStr">
        <is>
          <t>49,98,000</t>
        </is>
      </c>
      <c r="F11" t="inlineStr">
        <is>
          <t>Hiring of JCB and Tractor with 05-Labour in Div.-III (ARC) 0802</t>
        </is>
      </c>
      <c r="G11" t="inlineStr">
        <is>
          <t>Udaipur</t>
        </is>
      </c>
    </row>
    <row r="12">
      <c r="A12" s="1" t="n">
        <v>10</v>
      </c>
      <c r="B12">
        <f>HYPERLINK("https://eproc.rajasthan.gov.in/nicgep/app?component=%24DirectLink&amp;page=FrontEndViewTender&amp;service=direct&amp;session=T&amp;sp=S%2BxzW41Coqw8ETqDLx2tVxQ%3D%3D", "Operation and Maintenance work of installing new CCTV cameras at Police Control Room (Abhay Command Center) for 5 years. 0301")</f>
        <v/>
      </c>
      <c r="C12" t="inlineStr">
        <is>
          <t>UIT Udaipur||S.E.||Ex. En. - I</t>
        </is>
      </c>
      <c r="D12" t="inlineStr">
        <is>
          <t>20-May-2025 06:00 PM</t>
        </is>
      </c>
      <c r="E12" t="inlineStr">
        <is>
          <t>2,94,00,000</t>
        </is>
      </c>
      <c r="F12" t="inlineStr">
        <is>
          <t>Operation and Maintenance work of installing new CCTV cameras at Police Control Room (Abhay Command Center) for 5 years. 0301</t>
        </is>
      </c>
      <c r="G12" t="inlineStr">
        <is>
          <t>Udaipur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2025-05-17T13:22:03Z</dcterms:created>
  <dcterms:modified xsi:type="dcterms:W3CDTF">2025-05-17T13:22:03Z</dcterms:modified>
</cp:coreProperties>
</file>