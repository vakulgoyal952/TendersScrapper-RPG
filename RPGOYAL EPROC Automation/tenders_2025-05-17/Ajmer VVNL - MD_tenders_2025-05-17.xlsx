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HYPERLINK("https://eproc.rajasthan.gov.in/nicgep/app?component=%24DirectLink&amp;page=FrontEndViewTender&amp;service=direct&amp;session=T&amp;sp=SjM%2FsVAXSwyqg9COmWr0iTA%3D%3D", "Renovation work at Sub Division debari Udaipur")</f>
        <v/>
      </c>
      <c r="C2" t="inlineStr">
        <is>
          <t>Ajmer VVNL - MD||CE-COMMERCIAL||SE-CIVIL AJMER||XEN</t>
        </is>
      </c>
      <c r="D2" t="inlineStr">
        <is>
          <t>03-Jun-2025 11:00 AM</t>
        </is>
      </c>
      <c r="E2" t="inlineStr">
        <is>
          <t>5,50,000</t>
        </is>
      </c>
      <c r="F2" t="inlineStr">
        <is>
          <t>Renovation work at Sub Division debari Udaipur</t>
        </is>
      </c>
      <c r="G2" t="inlineStr">
        <is>
          <t>Udaipur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HYPERLINK("https://eproc.rajasthan.gov.in/nicgep/app?component=%24DirectLink&amp;page=FrontEndViewTender&amp;service=direct&amp;session=T&amp;sp=SvuFWaoLHBZHZOkKsPDeEMg%3D%3D", "Renovation work 33kV S/S Idana and Aggad, Salumber")</f>
        <v/>
      </c>
      <c r="C3" t="inlineStr">
        <is>
          <t>Ajmer VVNL - MD||CE-COMMERCIAL||SE-CIVIL AJMER||XEN</t>
        </is>
      </c>
      <c r="D3" t="inlineStr">
        <is>
          <t>03-Jun-2025 11:00 AM</t>
        </is>
      </c>
      <c r="E3" t="inlineStr">
        <is>
          <t>5,00,000</t>
        </is>
      </c>
      <c r="F3" t="inlineStr">
        <is>
          <t>Renovation work 33kV S/S Idana and Aggad, Salumber</t>
        </is>
      </c>
      <c r="G3" t="inlineStr">
        <is>
          <t>salumber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HYPERLINK("https://eproc.rajasthan.gov.in/nicgep/app?component=%24DirectLink&amp;page=FrontEndViewTender&amp;service=direct&amp;session=T&amp;sp=SWlnwT4ftgsdki%2B23v3pg5w%3D%3D", "Renovation work of 33KV S/S Building at Manpur and Jhallara , Salumber")</f>
        <v/>
      </c>
      <c r="C4" t="inlineStr">
        <is>
          <t>Ajmer VVNL - MD||CE-COMMERCIAL||SE-CIVIL AJMER||XEN</t>
        </is>
      </c>
      <c r="D4" t="inlineStr">
        <is>
          <t>03-Jun-2025 11:00 AM</t>
        </is>
      </c>
      <c r="E4" t="inlineStr">
        <is>
          <t>8,00,000</t>
        </is>
      </c>
      <c r="F4" t="inlineStr">
        <is>
          <t>Renovation work of 33KV S/S Building at Manpur and Jhallara , Salumber</t>
        </is>
      </c>
      <c r="G4" t="inlineStr">
        <is>
          <t>Udaipur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HYPERLINK("https://eproc.rajasthan.gov.in/nicgep/app?component=%24DirectLink&amp;page=FrontEndViewTender&amp;service=direct&amp;session=T&amp;sp=SOcT0tbUAcVCTeOT0U%2FZODw%3D%3D", "Misc Civil work to Privent water logging at vaja ka kheda, Udaipur")</f>
        <v/>
      </c>
      <c r="C5" t="inlineStr">
        <is>
          <t>Ajmer VVNL - MD||CE-COMMERCIAL||SE-CIVIL AJMER||XEN</t>
        </is>
      </c>
      <c r="D5" t="inlineStr">
        <is>
          <t>03-Jun-2025 11:00 AM</t>
        </is>
      </c>
      <c r="E5" t="inlineStr">
        <is>
          <t>6,00,000</t>
        </is>
      </c>
      <c r="F5" t="inlineStr">
        <is>
          <t>Misc Civil work to Privent water logging at vaja ka kheda, Udaipur</t>
        </is>
      </c>
      <c r="G5" t="inlineStr">
        <is>
          <t>Udaipur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HYPERLINK("https://eproc.rajasthan.gov.in/nicgep/app?component=%24DirectLink&amp;page=FrontEndViewTender&amp;service=direct&amp;session=T&amp;sp=S3MlV5DGOmvRlK61ALBL8Cw%3D%3D", "Construction of water storage tand at 33 KV S/S Sarere, Sulai, Bhuwana , Ambavgarh, Gulab bagh, jawas, Khanbeen, Patel Circle, Distt. Udaipur")</f>
        <v/>
      </c>
      <c r="C6" t="inlineStr">
        <is>
          <t>Ajmer VVNL - MD||CE-COMMERCIAL||SE-CIVIL AJMER||XEN</t>
        </is>
      </c>
      <c r="D6" t="inlineStr">
        <is>
          <t>03-Jun-2025 11:00 AM</t>
        </is>
      </c>
      <c r="E6" t="inlineStr">
        <is>
          <t>8,00,000</t>
        </is>
      </c>
      <c r="F6" t="inlineStr">
        <is>
          <t>Construction of water storage tand at 33 KV S/S Sarere, Sulai, Bhuwana , Ambavgarh, Gulab bagh, jawas, Khanbeen, Patel Circle, Distt. Udaipur</t>
        </is>
      </c>
      <c r="G6" t="inlineStr">
        <is>
          <t>Udaipur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HYPERLINK("https://eproc.rajasthan.gov.in/nicgep/app?component=%24DirectLink&amp;page=FrontEndViewTender&amp;service=direct&amp;session=T&amp;sp=SapYz1psbV8QX2FoLBTNGbg%3D%3D", "Construction of Approch Damaged B/wall and Misc Civil work at 33 KV S/S kanbai, udaipur")</f>
        <v/>
      </c>
      <c r="C7" t="inlineStr">
        <is>
          <t>Ajmer VVNL - MD||CE-COMMERCIAL||SE-CIVIL AJMER||XEN</t>
        </is>
      </c>
      <c r="D7" t="inlineStr">
        <is>
          <t>03-Jun-2025 11:00 AM</t>
        </is>
      </c>
      <c r="E7" t="inlineStr">
        <is>
          <t>8,00,000</t>
        </is>
      </c>
      <c r="F7" t="inlineStr">
        <is>
          <t>Construction of Approch Damaged B/wall and Misc Civil work at 33 KV S/S kanbai, udaipur</t>
        </is>
      </c>
      <c r="G7" t="inlineStr">
        <is>
          <t>Udaipur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HYPERLINK("https://eproc.rajasthan.gov.in/nicgep/app?component=%24DirectLink&amp;page=FrontEndViewTender&amp;service=direct&amp;session=T&amp;sp=Sq3S%2F00KXMTlWniPOdkjY3g%3D%3D", "Raising of B/wall at 33 kv S/S Patrika , Bohra ganesh ji , Udaipur")</f>
        <v/>
      </c>
      <c r="C8" t="inlineStr">
        <is>
          <t>Ajmer VVNL - MD||CE-COMMERCIAL||SE-CIVIL AJMER||XEN</t>
        </is>
      </c>
      <c r="D8" t="inlineStr">
        <is>
          <t>03-Jun-2025 11:00 AM</t>
        </is>
      </c>
      <c r="E8" t="inlineStr">
        <is>
          <t>6,50,000</t>
        </is>
      </c>
      <c r="F8" t="inlineStr">
        <is>
          <t>Raising of B/wall at 33 kv S/S Patrika , Bohra ganesh ji , Udaipur</t>
        </is>
      </c>
      <c r="G8" t="inlineStr">
        <is>
          <t>Udaipur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HYPERLINK("https://eproc.rajasthan.gov.in/nicgep/app?component=%24DirectLink&amp;page=FrontEndViewTender&amp;service=direct&amp;session=T&amp;sp=Sn96hEUzpFrGwf5rRL4TyTw%3D%3D", "Renovation of toilet at 33 KV ss palodara madri, Sec-4 , Hiranmagri, Salimber , Nai, Sisarma , Patiya, Sarera, Salai, jawas, khanbeen menar, Distt udaipur")</f>
        <v/>
      </c>
      <c r="C9" t="inlineStr">
        <is>
          <t>Ajmer VVNL - MD||CE-COMMERCIAL||SE-CIVIL AJMER||XEN</t>
        </is>
      </c>
      <c r="D9" t="inlineStr">
        <is>
          <t>03-Jun-2025 11:00 AM</t>
        </is>
      </c>
      <c r="E9" t="inlineStr">
        <is>
          <t>8,00,000</t>
        </is>
      </c>
      <c r="F9" t="inlineStr">
        <is>
          <t>Renovation of toilet at 33 KV ss palodara madri, Sec-4 , Hiranmagri, Salimber , Nai, Sisarma , Patiya, Sarera, Salai, jawas, khanbeen menar, Distt udaipur</t>
        </is>
      </c>
      <c r="G9" t="inlineStr">
        <is>
          <t>Udaipur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HYPERLINK("https://eproc.rajasthan.gov.in/nicgep/app?component=%24DirectLink&amp;page=FrontEndViewTender&amp;service=direct&amp;session=T&amp;sp=SZHllC3BsbpJVpMe5ks%2B9Nw%3D%3D", "R and M of Sub Division Office building at AEN RII Bhilwara")</f>
        <v/>
      </c>
      <c r="C10" t="inlineStr">
        <is>
          <t>Ajmer VVNL - MD||CE-COMMERCIAL||SE-CIVIL AJMER||XEN</t>
        </is>
      </c>
      <c r="D10" t="inlineStr">
        <is>
          <t>03-Jun-2025 11:00 AM</t>
        </is>
      </c>
      <c r="E10" t="inlineStr">
        <is>
          <t>6,80,000</t>
        </is>
      </c>
      <c r="F10" t="inlineStr">
        <is>
          <t>R and M of Sub Division Office building at AEN RII Bhilwara</t>
        </is>
      </c>
      <c r="G10" t="inlineStr">
        <is>
          <t>Bhilwara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HYPERLINK("https://eproc.rajasthan.gov.in/nicgep/app?component=%24DirectLink&amp;page=FrontEndViewTender&amp;service=direct&amp;session=T&amp;sp=SfVfJCuIRgx5e75yf0bcV%2BQ%3D%3D", "R and M of Nigam building at 33 KV SS Mujras Dudiya Amli Arjia Mandalgarh Tahunka Meghras Jhantal and Chawandiya")</f>
        <v/>
      </c>
      <c r="C11" t="inlineStr">
        <is>
          <t>Ajmer VVNL - MD||CE-COMMERCIAL||SE-CIVIL AJMER||XEN</t>
        </is>
      </c>
      <c r="D11" t="inlineStr">
        <is>
          <t>03-Jun-2025 11:00 AM</t>
        </is>
      </c>
      <c r="E11" t="inlineStr">
        <is>
          <t>9,80,000</t>
        </is>
      </c>
      <c r="F11" t="inlineStr">
        <is>
          <t>R and M of Nigam building at 33 KV SS Mujras Dudiya Amli Arjia Mandalgarh Tahunka Meghras Jhantal and Chawandiya</t>
        </is>
      </c>
      <c r="G11" t="inlineStr">
        <is>
          <t>Bhilwara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HYPERLINK("https://eproc.rajasthan.gov.in/nicgep/app?component=%24DirectLink&amp;page=FrontEndViewTender&amp;service=direct&amp;session=T&amp;sp=SN%2BD%2Ba2LKDpWfgCTOA7Tf%2Fw%3D%3D", "Misc. civil work at 33 KV S/S Lohariya, Pratapgarh")</f>
        <v/>
      </c>
      <c r="C12" t="inlineStr">
        <is>
          <t>Ajmer VVNL - MD||CE-COMMERCIAL||SE-CIVIL AJMER||XEN</t>
        </is>
      </c>
      <c r="D12" t="inlineStr">
        <is>
          <t>03-Jun-2025 11:00 AM</t>
        </is>
      </c>
      <c r="E12" t="inlineStr">
        <is>
          <t>5,00,000</t>
        </is>
      </c>
      <c r="F12" t="inlineStr">
        <is>
          <t>Misc. civil work at 33 KV S/S Lohariya, Pratapgarh</t>
        </is>
      </c>
      <c r="G12" t="inlineStr">
        <is>
          <t>Lohariya, Pratapgarh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HYPERLINK("https://eproc.rajasthan.gov.in/nicgep/app?component=%24DirectLink&amp;page=FrontEndViewTender&amp;service=direct&amp;session=T&amp;sp=STY6P2VYoDr%2Bewx7ssA4JsA%3D%3D", "Renovation work at Sub-Division (O and M) Choti Sadri, Pratapgarh")</f>
        <v/>
      </c>
      <c r="C13" t="inlineStr">
        <is>
          <t>Ajmer VVNL - MD||CE-COMMERCIAL||SE-CIVIL AJMER||XEN</t>
        </is>
      </c>
      <c r="D13" t="inlineStr">
        <is>
          <t>03-Jun-2025 11:00 AM</t>
        </is>
      </c>
      <c r="E13" t="inlineStr">
        <is>
          <t>11,00,000</t>
        </is>
      </c>
      <c r="F13" t="inlineStr">
        <is>
          <t>Renovation work at Sub-Division (O and M) Choti Sadri, Pratapgarh</t>
        </is>
      </c>
      <c r="G13" t="inlineStr">
        <is>
          <t>Choti Sadri, Pratapgarh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HYPERLINK("https://eproc.rajasthan.gov.in/nicgep/app?component=%24DirectLink&amp;page=FrontEndViewTender&amp;service=direct&amp;session=T&amp;sp=SIIkZP4A0lxfGvbKvly74Yg%3D%3D", "Const. of Raising of B/wall at 33 Kv S/S Mokhampura, Pratapgarh")</f>
        <v/>
      </c>
      <c r="C14" t="inlineStr">
        <is>
          <t>Ajmer VVNL - MD||CE-COMMERCIAL||SE-CIVIL AJMER||XEN</t>
        </is>
      </c>
      <c r="D14" t="inlineStr">
        <is>
          <t>03-Jun-2025 11:00 AM</t>
        </is>
      </c>
      <c r="E14" t="inlineStr">
        <is>
          <t>10,00,000</t>
        </is>
      </c>
      <c r="F14" t="inlineStr">
        <is>
          <t>Const. of Raising of B/wall at 33 Kv S/S Mokhampura, Pratapgarh</t>
        </is>
      </c>
      <c r="G14" t="inlineStr">
        <is>
          <t>Mokhampura Pratapgarh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HYPERLINK("https://eproc.rajasthan.gov.in/nicgep/app?component=%24DirectLink&amp;page=FrontEndViewTender&amp;service=direct&amp;session=T&amp;sp=SOFwQjaKKd6h5dJofAl3hcw%3D%3D", "Renovation work at Sub-Division (O and M) Dhariyawad, Pratapgarh")</f>
        <v/>
      </c>
      <c r="C15" t="inlineStr">
        <is>
          <t>Ajmer VVNL - MD||CE-COMMERCIAL||SE-CIVIL AJMER||XEN</t>
        </is>
      </c>
      <c r="D15" t="inlineStr">
        <is>
          <t>03-Jun-2025 11:00 AM</t>
        </is>
      </c>
      <c r="E15" t="inlineStr">
        <is>
          <t>6,00,000</t>
        </is>
      </c>
      <c r="F15" t="inlineStr">
        <is>
          <t>Renovation work at Sub-Division (O and M) Dhariyawad, Pratapgarh</t>
        </is>
      </c>
      <c r="G15" t="inlineStr">
        <is>
          <t>Dhariyawad, Pratapgarh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HYPERLINK("https://eproc.rajasthan.gov.in/nicgep/app?component=%24DirectLink&amp;page=FrontEndViewTender&amp;service=direct&amp;session=T&amp;sp=Slb7jhFopo8lvoWupXjJFIA%3D%3D", "Renovation work at Sub-Division (O and M) Arnod, Pratapgarh")</f>
        <v/>
      </c>
      <c r="C16" t="inlineStr">
        <is>
          <t>Ajmer VVNL - MD||CE-COMMERCIAL||SE-CIVIL AJMER||XEN</t>
        </is>
      </c>
      <c r="D16" t="inlineStr">
        <is>
          <t>03-Jun-2025 11:00 AM</t>
        </is>
      </c>
      <c r="E16" t="inlineStr">
        <is>
          <t>8,50,000</t>
        </is>
      </c>
      <c r="F16" t="inlineStr">
        <is>
          <t>Renovation work at Sub-Division (O and M) Arnod, Pratapgarh</t>
        </is>
      </c>
      <c r="G16" t="inlineStr">
        <is>
          <t>Arnod, Pratapgarh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HYPERLINK("https://eproc.rajasthan.gov.in/nicgep/app?component=%24DirectLink&amp;page=FrontEndViewTender&amp;service=direct&amp;session=T&amp;sp=SpMUUp8XFcZvP0zM4UQVyoA%3D%3D", "Construction of control room with toilet facility at Bandanwara")</f>
        <v/>
      </c>
      <c r="C17" t="inlineStr">
        <is>
          <t>Ajmer VVNL - MD||CE-COMMERCIAL||SE-CIVIL AJMER||XEN</t>
        </is>
      </c>
      <c r="D17" t="inlineStr">
        <is>
          <t>03-Jun-2025 11:00 AM</t>
        </is>
      </c>
      <c r="E17" t="inlineStr">
        <is>
          <t>5,00,000</t>
        </is>
      </c>
      <c r="F17" t="inlineStr">
        <is>
          <t>Construction of control room with toilet facility at Bandanwara</t>
        </is>
      </c>
      <c r="G17" t="inlineStr">
        <is>
          <t>Bandanwara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HYPERLINK("https://eproc.rajasthan.gov.in/nicgep/app?component=%24DirectLink&amp;page=FrontEndViewTender&amp;service=direct&amp;session=T&amp;sp=SLPf5zPPsg30px57wW6mLYA%3D%3D", "Construction of Subdivision Office Building and boundary wall at Srinagar")</f>
        <v/>
      </c>
      <c r="C18" t="inlineStr">
        <is>
          <t>Ajmer VVNL - MD||CE-COMMERCIAL||SE-CIVIL AJMER||XEN</t>
        </is>
      </c>
      <c r="D18" t="inlineStr">
        <is>
          <t>03-Jun-2025 11:00 AM</t>
        </is>
      </c>
      <c r="E18" t="inlineStr">
        <is>
          <t>48,00,000</t>
        </is>
      </c>
      <c r="F18" t="inlineStr">
        <is>
          <t>Construction of Subdivision Office Building and boundary wall at Srinagar</t>
        </is>
      </c>
      <c r="G18" t="inlineStr">
        <is>
          <t>Srinagar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HYPERLINK("https://eproc.rajasthan.gov.in/nicgep/app?component=%24DirectLink&amp;page=FrontEndViewTender&amp;service=direct&amp;session=T&amp;sp=SzWbPtMixinh60LrUWdSHnQ%3D%3D", "Construction of Sub Office Building at Kadera")</f>
        <v/>
      </c>
      <c r="C19" t="inlineStr">
        <is>
          <t>Ajmer VVNL - MD||CE-COMMERCIAL||SE-CIVIL AJMER||XEN</t>
        </is>
      </c>
      <c r="D19" t="inlineStr">
        <is>
          <t>03-Jun-2025 11:00 AM</t>
        </is>
      </c>
      <c r="E19" t="inlineStr">
        <is>
          <t>17,00,000</t>
        </is>
      </c>
      <c r="F19" t="inlineStr">
        <is>
          <t>Construction of Sub Office Building at Kadera</t>
        </is>
      </c>
      <c r="G19" t="inlineStr">
        <is>
          <t>Ajmer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HYPERLINK("https://eproc.rajasthan.gov.in/nicgep/app?component=%24DirectLink&amp;page=FrontEndViewTender&amp;service=direct&amp;session=T&amp;sp=SKgBy15b1Ti2BgXSZ%2Feg1ZQ%3D%3D", "G.S. Stay Wire Size 7/10 SWG and 7/8 SWG")</f>
        <v/>
      </c>
      <c r="C20" t="inlineStr">
        <is>
          <t>Ajmer VVNL - MD||CE (MM and O and M)||SE - MM||AEN 6</t>
        </is>
      </c>
      <c r="D20" t="inlineStr">
        <is>
          <t>10-Jun-2025 02:00 PM</t>
        </is>
      </c>
      <c r="E20" t="inlineStr">
        <is>
          <t>13,30,00,000</t>
        </is>
      </c>
      <c r="F20" t="inlineStr">
        <is>
          <t>G.S. Stay Wire Size 7/10 SWG and 7/8 SWG</t>
        </is>
      </c>
      <c r="G20" t="inlineStr">
        <is>
          <t>O/O SE (MM) AVVNL AJMER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HYPERLINK("https://eproc.rajasthan.gov.in/nicgep/app?component=%24DirectLink&amp;page=FrontEndViewTender&amp;service=direct&amp;session=T&amp;sp=SvF67iS43vCoyMDrnlrHGXg%3D%3D", "Construction of culvert and Levelling dressing and gravelling work at 33 kv sub station Piplaz, Radha Bhalav and Kharwa")</f>
        <v/>
      </c>
      <c r="C21" t="inlineStr">
        <is>
          <t>Ajmer VVNL - MD||CE-COMMERCIAL||SE-CIVIL AJMER||XEN</t>
        </is>
      </c>
      <c r="D21" t="inlineStr">
        <is>
          <t>03-Jun-2025 11:00 AM</t>
        </is>
      </c>
      <c r="E21" t="inlineStr">
        <is>
          <t>7,00,000</t>
        </is>
      </c>
      <c r="F21" t="inlineStr">
        <is>
          <t>Construction of culvert and Levelling dressing and gravelling work at 33 kv sub station Piplaz, Radha Bhalav and Kharwa</t>
        </is>
      </c>
      <c r="G21" t="inlineStr">
        <is>
          <t>SE Civil, HATHI BHATA POWER HOUSE, AJMER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HYPERLINK("https://eproc.rajasthan.gov.in/nicgep/app?component=%24DirectLink&amp;page=FrontEndViewTender&amp;service=direct&amp;session=T&amp;sp=SRpLl1Fk%2FYTsrPZ9y%2BmwQ2A%3D%3D", "Levelling dressing and gravelling work at 33 kv sub station Chhawani power house Beawar Delwara Beawar Khas Ajmer Road Ajmer Road Beawar RIICO-III Beawar")</f>
        <v/>
      </c>
      <c r="C22" t="inlineStr">
        <is>
          <t>Ajmer VVNL - MD||CE-COMMERCIAL||SE-CIVIL AJMER||XEN</t>
        </is>
      </c>
      <c r="D22" t="inlineStr">
        <is>
          <t>03-Jun-2025 11:00 AM</t>
        </is>
      </c>
      <c r="E22" t="inlineStr">
        <is>
          <t>10,00,000</t>
        </is>
      </c>
      <c r="F22" t="inlineStr">
        <is>
          <t>Levelling dressing and gravelling work at 33 kv sub station Chhawani power house Beawar Delwara Beawar Khas Ajmer Road Ajmer Road Beawar RIICO-III Beawar</t>
        </is>
      </c>
      <c r="G22" t="inlineStr">
        <is>
          <t>SE Civil, HATHI BHATA POWER HOUSE, AJMER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HYPERLINK("https://eproc.rajasthan.gov.in/nicgep/app?component=%24DirectLink&amp;page=FrontEndViewTender&amp;service=direct&amp;session=T&amp;sp=SLXtSBGcZriodgCYkZf%2FpPA%3D%3D", "R and M of 33 KV building at Durgawas Tatgarh Badakhera and 1 no R4 type qtr at Jawaja")</f>
        <v/>
      </c>
      <c r="C23" t="inlineStr">
        <is>
          <t>Ajmer VVNL - MD||CE-COMMERCIAL||SE-CIVIL AJMER||XEN</t>
        </is>
      </c>
      <c r="D23" t="inlineStr">
        <is>
          <t>03-Jun-2025 11:00 AM</t>
        </is>
      </c>
      <c r="E23" t="inlineStr">
        <is>
          <t>5,00,000</t>
        </is>
      </c>
      <c r="F23" t="inlineStr">
        <is>
          <t>R and M of 33 KV building at Durgawas Tatgarh Badakhera and 1 no R4 type qtr at Jawaja</t>
        </is>
      </c>
      <c r="G23" t="inlineStr">
        <is>
          <t>SE Civil, HATHI BHATA POWER HOUSE, AJMER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HYPERLINK("https://eproc.rajasthan.gov.in/nicgep/app?component=%24DirectLink&amp;page=FrontEndViewTender&amp;service=direct&amp;session=T&amp;sp=SH0OHKVVJLB9LoRT5qf1c2g%3D%3D", "R and M of residential and non residential building under division beawar")</f>
        <v/>
      </c>
      <c r="C24" t="inlineStr">
        <is>
          <t>Ajmer VVNL - MD||CE-COMMERCIAL||SE-CIVIL AJMER||XEN</t>
        </is>
      </c>
      <c r="D24" t="inlineStr">
        <is>
          <t>03-Jun-2025 11:00 AM</t>
        </is>
      </c>
      <c r="E24" t="inlineStr">
        <is>
          <t>10,00,000</t>
        </is>
      </c>
      <c r="F24" t="inlineStr">
        <is>
          <t>R and M of residential and non residential building under division beawar</t>
        </is>
      </c>
      <c r="G24" t="inlineStr">
        <is>
          <t>SE Civil, HATHI BHATA POWER HOUSE, AJMER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HYPERLINK("https://eproc.rajasthan.gov.in/nicgep/app?component=%24DirectLink&amp;page=FrontEndViewTender&amp;service=direct&amp;session=T&amp;sp=SNKJOlaL7wRpqDrGtSlSURg%3D%3D", "Construction of 33 KV S S building with boundary wall at Kuchaman ring road, Kuchaman")</f>
        <v/>
      </c>
      <c r="C25" t="inlineStr">
        <is>
          <t>Ajmer VVNL - MD||CE-COMMERCIAL||SE-CIVIL AJMER||XEN</t>
        </is>
      </c>
      <c r="D25" t="inlineStr">
        <is>
          <t>03-Jun-2025 11:00 AM</t>
        </is>
      </c>
      <c r="E25" t="inlineStr">
        <is>
          <t>28,00,000</t>
        </is>
      </c>
      <c r="F25" t="inlineStr">
        <is>
          <t>Construction of 33 KV S S building with boundary wall at Kuchaman ring road, Kuchaman</t>
        </is>
      </c>
      <c r="G25" t="inlineStr">
        <is>
          <t>Kuchaman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HYPERLINK("https://eproc.rajasthan.gov.in/nicgep/app?component=%24DirectLink&amp;page=FrontEndViewTender&amp;service=direct&amp;session=T&amp;sp=SWaMI5yUyLpebiIf3gry2MA%3D%3D", "Construction of Sub division office building with boundary wall at Maroth, Deedwana Kuchaman")</f>
        <v/>
      </c>
      <c r="C26" t="inlineStr">
        <is>
          <t>Ajmer VVNL - MD||CE-COMMERCIAL||SE-CIVIL AJMER||XEN</t>
        </is>
      </c>
      <c r="D26" t="inlineStr">
        <is>
          <t>03-Jun-2025 11:00 AM</t>
        </is>
      </c>
      <c r="E26" t="inlineStr">
        <is>
          <t>60,00,000</t>
        </is>
      </c>
      <c r="F26" t="inlineStr">
        <is>
          <t>Construction of Sub division office building with boundary wall at Maroth, Deedwana Kuchaman</t>
        </is>
      </c>
      <c r="G26" t="inlineStr">
        <is>
          <t>Maroth, Deedwana Kuchaman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HYPERLINK("https://eproc.rajasthan.gov.in/nicgep/app?component=%24DirectLink&amp;page=FrontEndViewTender&amp;service=direct&amp;session=T&amp;sp=S6Nspi03wrOyI%2Bn5BojC%2F%2FA%3D%3D", "Construction of 33 KV S S building with boundary wall at Khajwana-II,iMundwa")</f>
        <v/>
      </c>
      <c r="C27" t="inlineStr">
        <is>
          <t>Ajmer VVNL - MD||CE-COMMERCIAL||SE-CIVIL AJMER||XEN</t>
        </is>
      </c>
      <c r="D27" t="inlineStr">
        <is>
          <t>03-Jun-2025 11:00 AM</t>
        </is>
      </c>
      <c r="E27" t="inlineStr">
        <is>
          <t>34,00,000</t>
        </is>
      </c>
      <c r="F27" t="inlineStr">
        <is>
          <t>Construction of 33 KV S S building with boundary wall at Khajwana-II,iMundwa</t>
        </is>
      </c>
      <c r="G27" t="inlineStr">
        <is>
          <t>Mundwa, Nagaur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HYPERLINK("https://eproc.rajasthan.gov.in/nicgep/app?component=%24DirectLink&amp;page=FrontEndViewTender&amp;service=direct&amp;session=T&amp;sp=SVaqeQJgbR%2BLhLDzan3U55Q%3D%3D", "Construction of Sub division (Rural) office building with boundary wall at Deedwana")</f>
        <v/>
      </c>
      <c r="C28" t="inlineStr">
        <is>
          <t>Ajmer VVNL - MD||CE-COMMERCIAL||SE-CIVIL AJMER||XEN</t>
        </is>
      </c>
      <c r="D28" t="inlineStr">
        <is>
          <t>03-Jun-2025 11:00 AM</t>
        </is>
      </c>
      <c r="E28" t="inlineStr">
        <is>
          <t>56,00,000</t>
        </is>
      </c>
      <c r="F28" t="inlineStr">
        <is>
          <t>Construction of Sub division (Rural) office building with boundary wall at Deedwana</t>
        </is>
      </c>
      <c r="G28" t="inlineStr">
        <is>
          <t>Deedwana</t>
        </is>
      </c>
    </row>
    <row r="29">
      <c r="A29" s="1" t="n">
        <v>27</v>
      </c>
      <c r="B29">
        <f>HYPERLINK("https://eproc.rajasthan.gov.in/nicgep/app?component=%24DirectLink&amp;page=FrontEndViewTender&amp;service=direct&amp;session=T&amp;sp=S020rQP8orayWUk%2Fx1zXFcw%3D%3D", "R and M of Nigams building under O and M Division Sikar")</f>
        <v/>
      </c>
      <c r="C29" t="inlineStr">
        <is>
          <t>Ajmer VVNL - MD||CE-COMMERCIAL||SE-CIVIL AJMER||XEN</t>
        </is>
      </c>
      <c r="D29" t="inlineStr">
        <is>
          <t>03-Jun-2025 11:00 AM</t>
        </is>
      </c>
      <c r="E29" t="inlineStr">
        <is>
          <t>9,00,000</t>
        </is>
      </c>
      <c r="F29" t="inlineStr">
        <is>
          <t>R and M of Nigams building under O and M Division Sikar</t>
        </is>
      </c>
      <c r="G29" t="inlineStr">
        <is>
          <t>sikar</t>
        </is>
      </c>
    </row>
    <row r="30">
      <c r="A30" s="1" t="n">
        <v>28</v>
      </c>
      <c r="B30">
        <f>HYPERLINK("https://eproc.rajasthan.gov.in/nicgep/app?component=%24DirectLink&amp;page=FrontEndViewTender&amp;service=direct&amp;session=T&amp;sp=SHFg%2B%2Fwd2G20qgSU12cNoow%3D%3D", "R and M of Nigams building under Laxmangarh Division")</f>
        <v/>
      </c>
      <c r="C30" t="inlineStr">
        <is>
          <t>Ajmer VVNL - MD||CE-COMMERCIAL||SE-CIVIL AJMER||XEN</t>
        </is>
      </c>
      <c r="D30" t="inlineStr">
        <is>
          <t>03-Jun-2025 11:00 AM</t>
        </is>
      </c>
      <c r="E30" t="inlineStr">
        <is>
          <t>9,00,000</t>
        </is>
      </c>
      <c r="F30" t="inlineStr">
        <is>
          <t>R and M of Nigams building under Laxmangarh Division</t>
        </is>
      </c>
      <c r="G30" t="inlineStr">
        <is>
          <t>Laxmangarh</t>
        </is>
      </c>
    </row>
    <row r="31">
      <c r="A31" s="1" t="n">
        <v>29</v>
      </c>
      <c r="B31">
        <f>HYPERLINK("https://eproc.rajasthan.gov.in/nicgep/app?component=%24DirectLink&amp;page=FrontEndViewTender&amp;service=direct&amp;session=T&amp;sp=SoSeZwLq4Rf%2B2w8bwNU450Q%3D%3D", "Construction of 33 KV S S building with boundary wall at Godaro ki dhani, Khinwsar")</f>
        <v/>
      </c>
      <c r="C31" t="inlineStr">
        <is>
          <t>Ajmer VVNL - MD||CE-COMMERCIAL||SE-CIVIL AJMER||XEN</t>
        </is>
      </c>
      <c r="D31" t="inlineStr">
        <is>
          <t>03-Jun-2025 11:00 AM</t>
        </is>
      </c>
      <c r="E31" t="inlineStr">
        <is>
          <t>32,00,000</t>
        </is>
      </c>
      <c r="F31" t="inlineStr">
        <is>
          <t>Construction of 33 KV S S building with boundary wall at Godaro ki dhani, Khinwsar</t>
        </is>
      </c>
      <c r="G31" t="inlineStr">
        <is>
          <t>Khinwsar Nagaur</t>
        </is>
      </c>
    </row>
    <row r="32">
      <c r="A32" s="1" t="n">
        <v>30</v>
      </c>
      <c r="B32">
        <f>HYPERLINK("https://eproc.rajasthan.gov.in/nicgep/app?component=%24DirectLink&amp;page=FrontEndViewTender&amp;service=direct&amp;session=T&amp;sp=SEvnDvI%2BeyiE%2BPiDs%2Fu5AZA%3D%3D", "R and M of Nigams building under Shri Madhopur Division")</f>
        <v/>
      </c>
      <c r="C32" t="inlineStr">
        <is>
          <t>Ajmer VVNL - MD||CE-COMMERCIAL||SE-CIVIL AJMER||XEN</t>
        </is>
      </c>
      <c r="D32" t="inlineStr">
        <is>
          <t>03-Jun-2025 11:00 AM</t>
        </is>
      </c>
      <c r="E32" t="inlineStr">
        <is>
          <t>9,00,000</t>
        </is>
      </c>
      <c r="F32" t="inlineStr">
        <is>
          <t>R and M of Nigams building under Shri Madhopur Division</t>
        </is>
      </c>
      <c r="G32" t="inlineStr">
        <is>
          <t>Shri Madhopur</t>
        </is>
      </c>
    </row>
    <row r="33">
      <c r="A33" s="1" t="n">
        <v>31</v>
      </c>
      <c r="B33">
        <f>HYPERLINK("https://eproc.rajasthan.gov.in/nicgep/app?component=%24DirectLink&amp;page=FrontEndViewTender&amp;service=direct&amp;session=T&amp;sp=SqfFWZLfzqbQ7zulv4wRTQw%3D%3D", "R and M of Nigams building under Dantaramgarh Division")</f>
        <v/>
      </c>
      <c r="C33" t="inlineStr">
        <is>
          <t>Ajmer VVNL - MD||CE-COMMERCIAL||SE-CIVIL AJMER||XEN</t>
        </is>
      </c>
      <c r="D33" t="inlineStr">
        <is>
          <t>03-Jun-2025 11:00 AM</t>
        </is>
      </c>
      <c r="E33" t="inlineStr">
        <is>
          <t>8,00,000</t>
        </is>
      </c>
      <c r="F33" t="inlineStr">
        <is>
          <t>R and M of Nigams building under Dantaramgarh Division</t>
        </is>
      </c>
      <c r="G33" t="inlineStr">
        <is>
          <t>Dantaramgarh</t>
        </is>
      </c>
    </row>
    <row r="34">
      <c r="A34" s="1" t="n">
        <v>32</v>
      </c>
      <c r="B34">
        <f>HYPERLINK("https://eproc.rajasthan.gov.in/nicgep/app?component=%24DirectLink&amp;page=FrontEndViewTender&amp;service=direct&amp;session=T&amp;sp=Sn%2FTzQcDfBP3ryPJp%2FPY5xQ%3D%3D", "R and M of Nigams building under Neem ka Thana Division")</f>
        <v/>
      </c>
      <c r="C34" t="inlineStr">
        <is>
          <t>Ajmer VVNL - MD||CE-COMMERCIAL||SE-CIVIL AJMER||XEN</t>
        </is>
      </c>
      <c r="D34" t="inlineStr">
        <is>
          <t>03-Jun-2025 11:00 AM</t>
        </is>
      </c>
      <c r="E34" t="inlineStr">
        <is>
          <t>6,00,000</t>
        </is>
      </c>
      <c r="F34" t="inlineStr">
        <is>
          <t>R and M of Nigams building under Neem ka Thana Division</t>
        </is>
      </c>
      <c r="G34" t="inlineStr">
        <is>
          <t>neem ka thana</t>
        </is>
      </c>
    </row>
    <row r="35">
      <c r="A35" s="1" t="n">
        <v>33</v>
      </c>
      <c r="B35">
        <f>HYPERLINK("https://eproc.rajasthan.gov.in/nicgep/app?component=%24DirectLink&amp;page=FrontEndViewTender&amp;service=direct&amp;session=T&amp;sp=SwVIAkjxsrHvhvuEO1oKzVA%3D%3D", "Construction of approach road for sub division O and M office at Fatehpur")</f>
        <v/>
      </c>
      <c r="C35" t="inlineStr">
        <is>
          <t>Ajmer VVNL - MD||CE-COMMERCIAL||SE-CIVIL AJMER||XEN</t>
        </is>
      </c>
      <c r="D35" t="inlineStr">
        <is>
          <t>03-Jun-2025 11:00 AM</t>
        </is>
      </c>
      <c r="E35" t="inlineStr">
        <is>
          <t>8,00,000</t>
        </is>
      </c>
      <c r="F35" t="inlineStr">
        <is>
          <t>Construction of approach road for sub division O and M office at Fatehpur</t>
        </is>
      </c>
      <c r="G35" t="inlineStr">
        <is>
          <t>fatehpur</t>
        </is>
      </c>
    </row>
    <row r="36">
      <c r="A36" s="1" t="n">
        <v>34</v>
      </c>
      <c r="B36">
        <f>HYPERLINK("https://eproc.rajasthan.gov.in/nicgep/app?component=%24DirectLink&amp;page=FrontEndViewTender&amp;service=direct&amp;session=T&amp;sp=SMIm1J1Cwz3wSgJyExsPTzw%3D%3D", "Construction of Tubewell at 33 Kv S/s Beri Bhojyana Sikar")</f>
        <v/>
      </c>
      <c r="C36" t="inlineStr">
        <is>
          <t>Ajmer VVNL - MD||CE-COMMERCIAL||SE-CIVIL AJMER||XEN</t>
        </is>
      </c>
      <c r="D36" t="inlineStr">
        <is>
          <t>03-Jun-2025 11:00 AM</t>
        </is>
      </c>
      <c r="E36" t="inlineStr">
        <is>
          <t>5,00,000</t>
        </is>
      </c>
      <c r="F36" t="inlineStr">
        <is>
          <t>Construction of Tubewell at 33 Kv S/s Beri Bhojyana Sikar</t>
        </is>
      </c>
      <c r="G36" t="inlineStr">
        <is>
          <t>sikar</t>
        </is>
      </c>
    </row>
    <row r="37">
      <c r="A37" s="1" t="n">
        <v>35</v>
      </c>
      <c r="B37">
        <f>HYPERLINK("https://eproc.rajasthan.gov.in/nicgep/app?component=%24DirectLink&amp;page=FrontEndViewTender&amp;service=direct&amp;session=T&amp;sp=SAr5AlGfrFqB8%2FX8ImLtG7w%3D%3D", "renovation of g type qtr at sub division O and M office campus laxmangarh")</f>
        <v/>
      </c>
      <c r="C37" t="inlineStr">
        <is>
          <t>Ajmer VVNL - MD||CE-COMMERCIAL||SE-CIVIL AJMER||XEN</t>
        </is>
      </c>
      <c r="D37" t="inlineStr">
        <is>
          <t>03-Jun-2025 11:00 AM</t>
        </is>
      </c>
      <c r="E37" t="inlineStr">
        <is>
          <t>6,00,000</t>
        </is>
      </c>
      <c r="F37" t="inlineStr">
        <is>
          <t>renovation of g type qtr at sub division O and M office campus laxmangarh</t>
        </is>
      </c>
      <c r="G37" t="inlineStr">
        <is>
          <t>laxmangarh</t>
        </is>
      </c>
    </row>
    <row r="38">
      <c r="A38" s="1" t="n">
        <v>36</v>
      </c>
      <c r="B38">
        <f>HYPERLINK("https://eproc.rajasthan.gov.in/nicgep/app?component=%24DirectLink&amp;page=FrontEndViewTender&amp;service=direct&amp;session=T&amp;sp=Sb0%2B5zSqxg72du8sR%2BMPQuA%3D%3D", "Electrification of HHs under DA-JGUA")</f>
        <v/>
      </c>
      <c r="C38" t="inlineStr">
        <is>
          <t>Ajmer VVNL - MD||CE (MM and O and M)||SE - TW</t>
        </is>
      </c>
      <c r="D38" t="inlineStr">
        <is>
          <t>11-Jun-2025 05:00 PM</t>
        </is>
      </c>
      <c r="E38" t="inlineStr">
        <is>
          <t>73,01,00,000</t>
        </is>
      </c>
      <c r="F38" t="inlineStr">
        <is>
          <t>Electrification of un-electrified Households (HHs) and Public Institutions through Grid Mode in tribal villages in 9 Circles of AVVNL covered under Dharti Aaba Janjatiya Gram Utkarsh Abhiyan (DA-JGUA) Under (RDSS) on Turnkey Mode against TN-153</t>
        </is>
      </c>
      <c r="G38" t="inlineStr">
        <is>
          <t>SE(Project), AVVNL, AJMER</t>
        </is>
      </c>
    </row>
    <row r="39">
      <c r="A39" s="1" t="n">
        <v>37</v>
      </c>
      <c r="B39">
        <f>HYPERLINK("https://eproc.rajasthan.gov.in/nicgep/app?component=%24DirectLink&amp;page=FrontEndViewTender&amp;service=direct&amp;session=T&amp;sp=SvKXHeIj96qrM32vj49%2BsAQ%3D%3D", "MINI-TRUCK/ VAN MOUNTED FULLY AUTOMATIC SINGLE PHASE CENTRALIZED CONTROL UNIT CABLE FAULT LOCATING EQUIPMENT SUITABLE FOR LOCATING FAULT ON LOW /MEDIUM / HIGH VOLTAGE POWER CABLES UP TO 33 KV")</f>
        <v/>
      </c>
      <c r="C39" t="inlineStr">
        <is>
          <t>Ajmer VVNL - MD||CE (MM and O and M)||SE - MM||AEN 6</t>
        </is>
      </c>
      <c r="D39" t="inlineStr">
        <is>
          <t>02-Jun-2025 02:00 PM</t>
        </is>
      </c>
      <c r="E39" t="inlineStr">
        <is>
          <t>2,50,00,000</t>
        </is>
      </c>
      <c r="F39" t="inlineStr">
        <is>
          <t>SUPPLY OF MINI-TRUCK/ VAN MOUNTED FULLY AUTOMATIC SINGLE PHASE CENTRALIZED CONTROL UNIT CABLE FAULT LOCATING EQUIPMENT SUITABLE FOR LOCATING FAULT ON LOW /MEDIUM / HIGH VOLTAGE POWER CABLES UP TO 33 KV UNDER TN-2029</t>
        </is>
      </c>
      <c r="G39" t="inlineStr">
        <is>
          <t>SE (MM) AVVNL AJMER</t>
        </is>
      </c>
    </row>
    <row r="40">
      <c r="A40" s="1" t="n">
        <v>38</v>
      </c>
      <c r="B40">
        <f>HYPERLINK("https://eproc.rajasthan.gov.in/nicgep/app?component=%24DirectLink&amp;page=FrontEndViewTender&amp;service=direct&amp;session=T&amp;sp=SHLT8t1cZa4zj%2FvpuG9CxjA%3D%3D", "33 KV Isolators")</f>
        <v/>
      </c>
      <c r="C40" t="inlineStr">
        <is>
          <t>Ajmer VVNL - MD||CE (MM and O and M)||SE - MM||AEN 6</t>
        </is>
      </c>
      <c r="D40" t="inlineStr">
        <is>
          <t>27-May-2025 02:00 PM</t>
        </is>
      </c>
      <c r="E40" t="inlineStr">
        <is>
          <t>80,00,000</t>
        </is>
      </c>
      <c r="F40" t="inlineStr">
        <is>
          <t>33 KV Isolators</t>
        </is>
      </c>
      <c r="G40" t="inlineStr">
        <is>
          <t>O/O SE (MM) AVVNL AJMER</t>
        </is>
      </c>
    </row>
    <row r="41">
      <c r="A41" s="1" t="n">
        <v>39</v>
      </c>
      <c r="B41">
        <f>HYPERLINK("https://eproc.rajasthan.gov.in/nicgep/app?component=%24DirectLink&amp;page=FrontEndViewTender&amp;service=direct&amp;session=T&amp;sp=Ska%2FY0Tiimqlf5UR2CaFXZg%3D%3D", "110V/ 120 AH CAPACITY MAINTENANCE FREE BATTERY SETS ALONG WITH BATTERY CHARGER")</f>
        <v/>
      </c>
      <c r="C41" t="inlineStr">
        <is>
          <t>Ajmer VVNL - MD||CE (MM and O and M)||SE - MM||AEN 6</t>
        </is>
      </c>
      <c r="D41" t="inlineStr">
        <is>
          <t>21-May-2025 02:00 PM</t>
        </is>
      </c>
      <c r="E41" t="inlineStr">
        <is>
          <t>25,00,000</t>
        </is>
      </c>
      <c r="F41" t="inlineStr">
        <is>
          <t>110V/ 120 AH CAPACITY MAINTENANCE FREE BATTERY SETS ALONG WITH BATTERY CHARGER</t>
        </is>
      </c>
      <c r="G41" t="inlineStr">
        <is>
          <t>O/O SE (MM) AVVNL AJMER</t>
        </is>
      </c>
    </row>
    <row r="42">
      <c r="A42" s="1" t="n">
        <v>40</v>
      </c>
      <c r="B42">
        <f>HYPERLINK("https://eproc.rajasthan.gov.in/nicgep/app?component=%24DirectLink&amp;page=FrontEndViewTender&amp;service=direct&amp;session=T&amp;sp=S1oAlCWV%2BJx3Z%2FIj62Zs%2BQw%3D%3D", "ISI Marked 11 KV Aluminium Conductor Screened Cross-Linked Poly Ethylene (XLPE) Insulated Armoured Shielded PVC Sheathed Power Cable of size 3Cx70 Sq.mm.")</f>
        <v/>
      </c>
      <c r="C42" t="inlineStr">
        <is>
          <t>Ajmer VVNL - MD||CE (MM and O and M)||SE - MM||AEN 6</t>
        </is>
      </c>
      <c r="D42" t="inlineStr">
        <is>
          <t>05-Jun-2025 02:00 PM</t>
        </is>
      </c>
      <c r="E42" t="inlineStr">
        <is>
          <t>3,10,00,000</t>
        </is>
      </c>
      <c r="F42" t="inlineStr">
        <is>
          <t>ISI Marked 11 KV Aluminium Conductor Screened Cross-Linked Poly Ethylene (XLPE) Insulated Armoured Shielded PVC Sheathed Power Cable of size 3Cx70 Sq.mm.</t>
        </is>
      </c>
      <c r="G42" t="inlineStr">
        <is>
          <t>O/O SE (MM) AVVNL AJMER</t>
        </is>
      </c>
    </row>
    <row r="43">
      <c r="A43" s="1" t="n">
        <v>41</v>
      </c>
      <c r="B43">
        <f>HYPERLINK("https://eproc.rajasthan.gov.in/nicgep/app?component=%24DirectLink&amp;page=FrontEndViewTender&amp;service=direct&amp;session=T&amp;sp=Sy7ivUUWcbC30XGxrrJ6nMg%3D%3D", "ISI MARKED FOUR CORE LT XLPE INSULATED AND PVC SHEATHED ARMOURED CABLE Of SIZE 4CX185")</f>
        <v/>
      </c>
      <c r="C43" t="inlineStr">
        <is>
          <t>Ajmer VVNL - MD||CE (MM and O and M)||SE - MM||AEN 6</t>
        </is>
      </c>
      <c r="D43" t="inlineStr">
        <is>
          <t>16-Jun-2025 02:00 PM</t>
        </is>
      </c>
      <c r="E43" t="inlineStr">
        <is>
          <t>4,00,00,000</t>
        </is>
      </c>
      <c r="F43" t="inlineStr">
        <is>
          <t>ISI MARKED FOUR CORE LT XLPE INSULATED AND PVC SHEATHED ARMOURED CABLE Of SIZE 4CX185</t>
        </is>
      </c>
      <c r="G43" t="inlineStr">
        <is>
          <t>O/O SE (MM) AVVNL AJMER</t>
        </is>
      </c>
    </row>
    <row r="44">
      <c r="A44" s="1" t="n">
        <v>42</v>
      </c>
      <c r="B44">
        <f>HYPERLINK("https://eproc.rajasthan.gov.in/nicgep/app?component=%24DirectLink&amp;page=FrontEndViewTender&amp;service=direct&amp;session=T&amp;sp=S%2FU%2B%2B0IiBmL%2FobL3fTf8h2A%3D%3D", "36 KV Outdoor Vacuum Circuit Breakers Kiosks")</f>
        <v/>
      </c>
      <c r="C44" t="inlineStr">
        <is>
          <t>Ajmer VVNL - MD||CE (MM and O and M)</t>
        </is>
      </c>
      <c r="D44" t="inlineStr">
        <is>
          <t>03-Jun-2025 02:00 PM</t>
        </is>
      </c>
      <c r="E44" t="inlineStr">
        <is>
          <t>7,70,00,000</t>
        </is>
      </c>
      <c r="F44" t="inlineStr">
        <is>
          <t>36 KV Outdoor Vacuum Circuit Breakers Kiosks</t>
        </is>
      </c>
      <c r="G44" t="inlineStr">
        <is>
          <t>O/o SE (MM) AVVNL AJMER</t>
        </is>
      </c>
    </row>
    <row r="45">
      <c r="A45" s="1" t="n">
        <v>43</v>
      </c>
      <c r="B45">
        <f>HYPERLINK("https://eproc.rajasthan.gov.in/nicgep/app?component=%24DirectLink&amp;page=FrontEndViewTender&amp;service=direct&amp;session=T&amp;sp=ShikRojWRXMYhaw2VssaMQw%3D%3D", "1.4 Metre Long M.S. Channel Bracket with Clamp")</f>
        <v/>
      </c>
      <c r="C45" t="inlineStr">
        <is>
          <t>Ajmer VVNL - MD||CE (MM and O and M)</t>
        </is>
      </c>
      <c r="D45" t="inlineStr">
        <is>
          <t>26-May-2025 02:00 PM</t>
        </is>
      </c>
      <c r="E45" t="inlineStr">
        <is>
          <t>3,00,00,000</t>
        </is>
      </c>
      <c r="F45" t="inlineStr">
        <is>
          <t>1.4 Metre Long M.S. Channel Bracket with Clamp</t>
        </is>
      </c>
      <c r="G45" t="inlineStr">
        <is>
          <t>O/o SE (MM) AVVNL AJMER</t>
        </is>
      </c>
    </row>
    <row r="46">
      <c r="A46" s="1" t="n">
        <v>44</v>
      </c>
      <c r="B46">
        <f>HYPERLINK("https://eproc.rajasthan.gov.in/nicgep/app?component=%24DirectLink&amp;page=FrontEndViewTender&amp;service=direct&amp;session=T&amp;sp=SFbd1cSxz8Vhtbyi060ktqA%3D%3D", "ISI Marked 11 KV Aluminium Conductor Screened Cross-Linked Poly Ethylene (XLPE) Insulated Armoured Shielded PVC Sheathed Power Cable of size 3Cx185 Sq.mm.")</f>
        <v/>
      </c>
      <c r="C46" t="inlineStr">
        <is>
          <t>Ajmer VVNL - MD||CE (MM and O and M)||SE - MM||AEN 6</t>
        </is>
      </c>
      <c r="D46" t="inlineStr">
        <is>
          <t>26-May-2025 02:00 PM</t>
        </is>
      </c>
      <c r="E46" t="inlineStr">
        <is>
          <t>12,00,00,000</t>
        </is>
      </c>
      <c r="F46" t="inlineStr">
        <is>
          <t>ISI Marked 11 KV Aluminium Conductor Screened Cross-Linked Poly Ethylene (XLPE) Insulated Armoured Shielded PVC Sheathed Power Cable of size 3Cx185 Sq.mm.</t>
        </is>
      </c>
      <c r="G46" t="inlineStr">
        <is>
          <t>O/O SE (MM) AVVNL AJMER</t>
        </is>
      </c>
    </row>
    <row r="47">
      <c r="A47" s="1" t="n">
        <v>45</v>
      </c>
      <c r="B47">
        <f>HYPERLINK("https://eproc.rajasthan.gov.in/nicgep/app?component=%24DirectLink&amp;page=FrontEndViewTender&amp;service=direct&amp;session=T&amp;sp=S66LD5IWd8p%2B7ZNCirybLRw%3D%3D", "Supply of 11/0.433 KV 100 KVA Distribution Transformer")</f>
        <v/>
      </c>
      <c r="C47" t="inlineStr">
        <is>
          <t>Ajmer VVNL - MD||CE (MM and O and M)||SE - MM||AEN 6</t>
        </is>
      </c>
      <c r="D47" t="inlineStr">
        <is>
          <t>16-Jun-2025 05:00 PM</t>
        </is>
      </c>
      <c r="E47" t="inlineStr">
        <is>
          <t>19,68,00,000</t>
        </is>
      </c>
      <c r="F47" t="inlineStr">
        <is>
          <t>Supply of 11/0.433 KV 100 KVA Distribution Transformer as per the specification of TN-2021</t>
        </is>
      </c>
      <c r="G47" t="inlineStr">
        <is>
          <t>SE (MM) AVVNL AJMER</t>
        </is>
      </c>
    </row>
    <row r="48">
      <c r="A48" s="1" t="n">
        <v>46</v>
      </c>
      <c r="B48">
        <f>HYPERLINK("https://eproc.rajasthan.gov.in/nicgep/app?component=%24DirectLink&amp;page=FrontEndViewTender&amp;service=direct&amp;session=T&amp;sp=SqWmerCO9OHyHv93FXAwpzQ%3D%3D", "Supply of 11/0.433 KV 160 KVA Distribution Transformer")</f>
        <v/>
      </c>
      <c r="C48" t="inlineStr">
        <is>
          <t>Ajmer VVNL - MD||CE (MM and O and M)||SE - MM||AEN 6</t>
        </is>
      </c>
      <c r="D48" t="inlineStr">
        <is>
          <t>11-Jun-2025 05:00 PM</t>
        </is>
      </c>
      <c r="E48" t="inlineStr">
        <is>
          <t>7,26,00,000</t>
        </is>
      </c>
      <c r="F48" t="inlineStr">
        <is>
          <t>Supply of 11/0.433 KV 160 KVA Distribution Transformer as per the Specification of TN-2018</t>
        </is>
      </c>
      <c r="G48" t="inlineStr">
        <is>
          <t>SE (MM) AVVNL AJMER</t>
        </is>
      </c>
    </row>
    <row r="49">
      <c r="A49" s="1" t="n">
        <v>47</v>
      </c>
      <c r="B49">
        <f>HYPERLINK("https://eproc.rajasthan.gov.in/nicgep/app?component=%24DirectLink&amp;page=FrontEndViewTender&amp;service=direct&amp;session=T&amp;sp=S%2BfNHHZPPhQ3p3WL4MhGD%2BA%3D%3D", "LT SHUNT CAPACITORS OF VARIOUS RATINGS")</f>
        <v/>
      </c>
      <c r="C49" t="inlineStr">
        <is>
          <t>Ajmer VVNL - MD||CE (MM and O and M)||SE - MM||AEN 6</t>
        </is>
      </c>
      <c r="D49" t="inlineStr">
        <is>
          <t>26-May-2025 02:00 PM</t>
        </is>
      </c>
      <c r="E49" t="inlineStr">
        <is>
          <t>5,75,00,000</t>
        </is>
      </c>
      <c r="F49" t="inlineStr">
        <is>
          <t>LT SHUNT CAPACITORS OF VARIOUS RATINGS</t>
        </is>
      </c>
      <c r="G49" t="inlineStr">
        <is>
          <t>O/O SE (MM) AVVNL AJMER</t>
        </is>
      </c>
    </row>
    <row r="50">
      <c r="A50" s="1" t="n">
        <v>48</v>
      </c>
      <c r="B50">
        <f>HYPERLINK("https://eproc.rajasthan.gov.in/nicgep/app?component=%24DirectLink&amp;page=FrontEndViewTender&amp;service=direct&amp;session=T&amp;sp=Sks6cC%2BYZN1uWsQjHm2IQxw%3D%3D", "ISI MARKED FOUR CORE LT PVC INSULATED AND PVC SHEATHED ARMOURED CABLE Of SIZE 4CX 6, 4CX10 and 4CX16 SQ.MM")</f>
        <v/>
      </c>
      <c r="C50" t="inlineStr">
        <is>
          <t>Ajmer VVNL - MD||CE (MM and O and M)||SE - MM||AEN 6</t>
        </is>
      </c>
      <c r="D50" t="inlineStr">
        <is>
          <t>02-Jun-2025 02:00 PM</t>
        </is>
      </c>
      <c r="E50" t="inlineStr">
        <is>
          <t>4,20,00,000</t>
        </is>
      </c>
      <c r="F50" t="inlineStr">
        <is>
          <t>ISI MARKED FOUR CORE LT PVC INSULATED AND PVC SHEATHED ARMOURED CABLE Of SIZE 4CX 6, 4CX10 and 4CX16 SQ.MM</t>
        </is>
      </c>
      <c r="G50" t="inlineStr">
        <is>
          <t>O/O SE (MM) AVVNL AJMER</t>
        </is>
      </c>
    </row>
    <row r="51">
      <c r="A51" s="1" t="n">
        <v>49</v>
      </c>
      <c r="B51">
        <f>HYPERLINK("https://eproc.rajasthan.gov.in/nicgep/app?component=%24DirectLink&amp;page=FrontEndViewTender&amp;service=direct&amp;session=T&amp;sp=SaOBa2Mxu28kETuf4oeIISg%3D%3D", "REPAIR ANDTESTING OF FAILED/DAMAGED THREE PHASE Al / CU DISTRIBUTION TRANSFORMERS OF ASSORTED RATINGS.")</f>
        <v/>
      </c>
      <c r="C51" t="inlineStr">
        <is>
          <t>Ajmer VVNL - MD||CE (MM and O and M)||SE - MM||AEN 6</t>
        </is>
      </c>
      <c r="D51" t="inlineStr">
        <is>
          <t>20-May-2025 05:00 PM</t>
        </is>
      </c>
      <c r="E51" t="inlineStr">
        <is>
          <t>5,00,00,000</t>
        </is>
      </c>
      <c r="F51" t="inlineStr">
        <is>
          <t>REPAIR AND TESTING OF FAILED/DAMAGED THREE PHASE Al / CU DISTRIBUTION TRANSFORMERS OF ASSORTED RATINGS.</t>
        </is>
      </c>
      <c r="G51" t="inlineStr">
        <is>
          <t>SE (MM) AVVNL AJMER</t>
        </is>
      </c>
    </row>
    <row r="52">
      <c r="A52" s="1" t="n">
        <v>50</v>
      </c>
      <c r="B52">
        <f>HYPERLINK("https://eproc.rajasthan.gov.in/nicgep/app?component=%24DirectLink&amp;page=FrontEndViewTender&amp;service=direct&amp;session=T&amp;sp=S4UFSduyHZNOEleMO3AmecA%3D%3D", "Ring Type L.T. Current Transformers of various ratio")</f>
        <v/>
      </c>
      <c r="C52" t="inlineStr">
        <is>
          <t>Ajmer VVNL - MD||CE (MM and O and M)||SE - MM||AEN 6</t>
        </is>
      </c>
      <c r="D52" t="inlineStr">
        <is>
          <t>22-May-2025 02:00 PM</t>
        </is>
      </c>
      <c r="E52" t="inlineStr">
        <is>
          <t>6,00,00,000</t>
        </is>
      </c>
      <c r="F52" t="inlineStr">
        <is>
          <t>Supply of Ring Type L.T. Current Transformers of various ratio under TN-2022</t>
        </is>
      </c>
      <c r="G52" t="inlineStr">
        <is>
          <t>SE (MM) AVVNL AJMER</t>
        </is>
      </c>
    </row>
    <row r="53">
      <c r="A53" s="1" t="n">
        <v>51</v>
      </c>
      <c r="B53">
        <f>HYPERLINK("https://eproc.rajasthan.gov.in/nicgep/app?component=%24DirectLink&amp;page=FrontEndViewTender&amp;service=direct&amp;session=T&amp;sp=S9pcwuk26wdsgvq6lkbxkVA%3D%3D", "MS Nut and Bolts of Assorted Size")</f>
        <v/>
      </c>
      <c r="C53" t="inlineStr">
        <is>
          <t>Ajmer VVNL - MD||CE (MM and O and M)</t>
        </is>
      </c>
      <c r="D53" t="inlineStr">
        <is>
          <t>20-May-2025 02:00 PM</t>
        </is>
      </c>
      <c r="E53" t="inlineStr">
        <is>
          <t>4,70,00,000</t>
        </is>
      </c>
      <c r="F53" t="inlineStr">
        <is>
          <t>MS Nut and Bolts of Assorted Size</t>
        </is>
      </c>
      <c r="G53" t="inlineStr">
        <is>
          <t>O/o SE (MM) AVVNL AJMER</t>
        </is>
      </c>
    </row>
    <row r="54">
      <c r="A54" s="1" t="n">
        <v>52</v>
      </c>
      <c r="B54">
        <f>HYPERLINK("https://eproc.rajasthan.gov.in/nicgep/app?component=%24DirectLink&amp;page=FrontEndViewTender&amp;service=direct&amp;session=T&amp;sp=SUvC0tWtXEzqQ3T%2FDh7vfKQ%3D%3D", "11 KV 45 KN Disc Insulators B and S Type")</f>
        <v/>
      </c>
      <c r="C54" t="inlineStr">
        <is>
          <t>Ajmer VVNL - MD||CE (MM and O and M)||SE - MM||AEN 6</t>
        </is>
      </c>
      <c r="D54" t="inlineStr">
        <is>
          <t>16-Jun-2025 02:00 PM</t>
        </is>
      </c>
      <c r="E54" t="inlineStr">
        <is>
          <t>2,00,00,000</t>
        </is>
      </c>
      <c r="F54" t="inlineStr">
        <is>
          <t>11 KV 45 KN Disc Insulators B and S Type</t>
        </is>
      </c>
      <c r="G54" t="inlineStr">
        <is>
          <t>O/O SE (MM) AVVNL AJMER</t>
        </is>
      </c>
    </row>
    <row r="55">
      <c r="A55" s="1" t="n">
        <v>53</v>
      </c>
      <c r="B55">
        <f>HYPERLINK("https://eproc.rajasthan.gov.in/nicgep/app?component=%24DirectLink&amp;page=FrontEndViewTender&amp;service=direct&amp;session=T&amp;sp=SWpulu0surbwK3qnx8%2FT3Gg%3D%3D", "3 PHASE, 4 WIRE A.C. STATIC LT TRIVECTOR ENERGY METER OF CLASS OF ACCURACY 0.5S WITH DLMS PROTOCOL")</f>
        <v/>
      </c>
      <c r="C55" t="inlineStr">
        <is>
          <t>Ajmer VVNL - MD||CE (MM and O and M)||SE - MM||AEN 6</t>
        </is>
      </c>
      <c r="D55" t="inlineStr">
        <is>
          <t>27-May-2025 05:00 PM</t>
        </is>
      </c>
      <c r="E55" t="inlineStr">
        <is>
          <t>80,00,000</t>
        </is>
      </c>
      <c r="F55" t="inlineStr">
        <is>
          <t>3 PHASE, 4 WIRE A.C. STATIC LT TRIVECTOR ENERGY METER OF CLASS OF ACCURACY 0.5S WITH DLMS PROTOCOL</t>
        </is>
      </c>
      <c r="G55" t="inlineStr">
        <is>
          <t>SE (MM), AVVNL, VIDYUT BHAWAN, PANCHSHEEL NAGAR, M</t>
        </is>
      </c>
    </row>
    <row r="56">
      <c r="A56" s="1" t="n">
        <v>54</v>
      </c>
      <c r="B56">
        <f>HYPERLINK("https://eproc.rajasthan.gov.in/nicgep/app?component=%24DirectLink&amp;page=FrontEndViewTender&amp;service=direct&amp;session=T&amp;sp=SPdh5fm3PKnG9fAxiYXvENg%3D%3D", "SE (MM), AVVNL, VIDYUT BHAWAN, PANCHSHEEL NAGAR, MAKARWALI ROAD, AJMER")</f>
        <v/>
      </c>
      <c r="C56" t="inlineStr">
        <is>
          <t>Ajmer VVNL - MD||CE (MM and O and M)||SE - MM||AEN 6</t>
        </is>
      </c>
      <c r="D56" t="inlineStr">
        <is>
          <t>20-May-2025 05:00 PM</t>
        </is>
      </c>
      <c r="E56" t="inlineStr">
        <is>
          <t>22,50,00,000</t>
        </is>
      </c>
      <c r="F56" t="inlineStr">
        <is>
          <t>SE (MM), AVVNL, VIDYUT BHAWAN, PANCHSHEEL NAGAR, MAKARWALI ROAD, AJMER</t>
        </is>
      </c>
      <c r="G56" t="inlineStr">
        <is>
          <t>SE (MM), AVVNL, VIDYUT BHAWAN, PANCHSHEEL NAGAR, M</t>
        </is>
      </c>
    </row>
    <row r="57">
      <c r="A57" s="1" t="n">
        <v>55</v>
      </c>
      <c r="B57">
        <f>HYPERLINK("https://eproc.rajasthan.gov.in/nicgep/app?component=%24DirectLink&amp;page=FrontEndViewTender&amp;service=direct&amp;session=T&amp;sp=SoQdcgoUGA7jk%2BcaDxpXUng%3D%3D", "3 PHASE, 4 WIRE A.C. STATIC HT- TRIVECTOR ENERGY METER OF CLASS OF ACCURACY 0.5S WITH DLMS PROTOCOL")</f>
        <v/>
      </c>
      <c r="C57" t="inlineStr">
        <is>
          <t>Ajmer VVNL - MD||CE (MM and O and M)||SE - MM||AEN 6</t>
        </is>
      </c>
      <c r="D57" t="inlineStr">
        <is>
          <t>03-Jun-2025 05:00 PM</t>
        </is>
      </c>
      <c r="E57" t="inlineStr">
        <is>
          <t>1,03,00,000</t>
        </is>
      </c>
      <c r="F57" t="inlineStr">
        <is>
          <t>3 PHASE, 4 WIRE A.C. STATIC HT- TRIVECTOR ENERGY METER OF CLASS OF ACCURACY 0.5S WITH DLMS PROTOCOL</t>
        </is>
      </c>
      <c r="G57" t="inlineStr">
        <is>
          <t>SE (MM), AVVNL, VIDYUT BHAWAN, PANCHSHEEL NAGAR, M</t>
        </is>
      </c>
    </row>
    <row r="58">
      <c r="A58" s="1" t="n">
        <v>56</v>
      </c>
      <c r="B58">
        <f>HYPERLINK("https://eproc.rajasthan.gov.in/nicgep/app?component=%24DirectLink&amp;page=FrontEndViewTender&amp;service=direct&amp;session=T&amp;sp=SD2MQ9q7rA9onl0It7utWSg%3D%3D", "PURCHASE OF AC STATIC SINGLE PHASE, TWO WIRE, HAVING DLMS PROTOCOL WITH OPTICAL and ADDITIONAL RS-232 Port, 5-30 AMP. RATING, WHOLE CURRENT, CLASS 1.0 ACCURACY KWh ENERGY METERS WITH BACKLIT LCD DISPLAY ALONG WITH SEPARATE METER CUPBOARD")</f>
        <v/>
      </c>
      <c r="C58" t="inlineStr">
        <is>
          <t>Ajmer VVNL - MD||CE (MM and O and M)||SE - MM||AEN 6</t>
        </is>
      </c>
      <c r="D58" t="inlineStr">
        <is>
          <t>20-May-2025 05:00 PM</t>
        </is>
      </c>
      <c r="E58" t="inlineStr">
        <is>
          <t>14,00,00,000</t>
        </is>
      </c>
      <c r="F58" t="inlineStr">
        <is>
          <t>PURCHASE OF AC STATIC SINGLE PHASE, TWO WIRE, HAVING DLMS PROTOCOL WITH OPTICAL and ADDITIONAL RS-232 Port, 5-30 AMP. RATING, WHOLE CURRENT, CLASS 1.0 ACCURACY KWh ENERGY METERS WITH BACKLIT LCD DISPLAY ALONG WITH SEPARATE METER CUPBOARD</t>
        </is>
      </c>
      <c r="G58" t="inlineStr">
        <is>
          <t>O/O SE (MM), AVVNL, VIDYUT BHAWAN, PANCHSHEEL NAGA</t>
        </is>
      </c>
    </row>
    <row r="59">
      <c r="A59" s="1" t="n">
        <v>57</v>
      </c>
      <c r="B59">
        <f>HYPERLINK("https://eproc.rajasthan.gov.in/nicgep/app?component=%24DirectLink&amp;page=FrontEndViewTender&amp;service=direct&amp;session=T&amp;sp=SEyAPaWrguwdOiI3cgUo%2B6w%3D%3D", "Automatic Test Bench for testing of 11/0.43 KV Three Phase Distt. Transformer up to 1600 KVA")</f>
        <v/>
      </c>
      <c r="C59" t="inlineStr">
        <is>
          <t>Ajmer VVNL - MD||CE (MM and O and M)||SE - MM||AEN 6</t>
        </is>
      </c>
      <c r="D59" t="inlineStr">
        <is>
          <t>05-Jun-2025 02:00 PM</t>
        </is>
      </c>
      <c r="E59" t="inlineStr">
        <is>
          <t>40,00,000</t>
        </is>
      </c>
      <c r="F59" t="inlineStr">
        <is>
          <t>Supply of Automatic Test Bench for testing of 11/0.43 KV Three Phase Distt. Transformer up to 1600 KVA under TN-1954</t>
        </is>
      </c>
      <c r="G59" t="inlineStr">
        <is>
          <t>SE (MM) AVVNL AJMER</t>
        </is>
      </c>
    </row>
    <row r="60">
      <c r="A60" s="1" t="n">
        <v>58</v>
      </c>
      <c r="B60">
        <f>HYPERLINK("https://eproc.rajasthan.gov.in/nicgep/app?component=%24DirectLink&amp;page=FrontEndViewTender&amp;service=direct&amp;session=T&amp;sp=SoA8%2BTILmkhfttKxi69Ua7A%3D%3D", "Segregation of 11 KV mixed feeders, SPV Plant including ONM on Hybrid annuity model and Network management for 10 years under TN-DSM-36 of Beawer Circle")</f>
        <v/>
      </c>
      <c r="C60" t="inlineStr">
        <is>
          <t>Ajmer VVNL - MD||CE (MM and O and M)||SE - TW</t>
        </is>
      </c>
      <c r="D60" t="inlineStr">
        <is>
          <t>21-May-2025 05:00 PM</t>
        </is>
      </c>
      <c r="E60" t="inlineStr">
        <is>
          <t>1,81,08,00,000</t>
        </is>
      </c>
      <c r="F60" t="inlineStr">
        <is>
          <t>Segregation of 11 KV mixed feeders, SPV Plant including ONM on Hybrid annuity model and Network management of 33/11 KV S/S and downstream network for 10 years under TN-DSM-36 of Beawer Circle</t>
        </is>
      </c>
      <c r="G60" t="inlineStr">
        <is>
          <t>SE(Solar),AVVNL, Ajmer</t>
        </is>
      </c>
    </row>
    <row r="61">
      <c r="A61" s="1" t="n">
        <v>59</v>
      </c>
      <c r="B61">
        <f>HYPERLINK("https://eproc.rajasthan.gov.in/nicgep/app?component=%24DirectLink&amp;page=FrontEndViewTender&amp;service=direct&amp;session=T&amp;sp=SgDl1cguIZBT0Kr9c6rZ0%2BA%3D%3D", "Segregation of 11 KV mixed feeders, SPV Plant including ONM on Hybrid annuity model and Network management for 10 years under TN-DSM-32 of Shahpura Circle")</f>
        <v/>
      </c>
      <c r="C61" t="inlineStr">
        <is>
          <t>Ajmer VVNL - MD||CE (MM and O and M)||SE - TW</t>
        </is>
      </c>
      <c r="D61" t="inlineStr">
        <is>
          <t>21-May-2025 05:00 PM</t>
        </is>
      </c>
      <c r="E61" t="inlineStr">
        <is>
          <t>2,98,27,00,000</t>
        </is>
      </c>
      <c r="F61" t="inlineStr">
        <is>
          <t>Segregation of 11 KV mixed feeders, SPV Plant including ONM on Hybrid annuity model and Network management of 33/11 KV S/S and downstream network for 10 years under TN-DSM-32 of Shahpura Circle</t>
        </is>
      </c>
      <c r="G61" t="inlineStr">
        <is>
          <t>SE(Solar),AVVNL, Ajmer</t>
        </is>
      </c>
    </row>
    <row r="62">
      <c r="A62" s="1" t="n">
        <v>60</v>
      </c>
      <c r="B62">
        <f>HYPERLINK("https://eproc.rajasthan.gov.in/nicgep/app?component=%24DirectLink&amp;page=FrontEndViewTender&amp;service=direct&amp;session=T&amp;sp=SkcBkf8lcoV9%2B208SdbaXEQ%3D%3D", "Segregation of 11 KV mixed feeders, SPV Plant including ONM on Hybrid annuity model and Network management for 10 years under TN-DSM-31 of Pratapgarh Circle")</f>
        <v/>
      </c>
      <c r="C62" t="inlineStr">
        <is>
          <t>Ajmer VVNL - MD||CE (MM and O and M)||SE - TW</t>
        </is>
      </c>
      <c r="D62" t="inlineStr">
        <is>
          <t>21-May-2025 05:00 PM</t>
        </is>
      </c>
      <c r="E62" t="inlineStr">
        <is>
          <t>3,39,57,00,000</t>
        </is>
      </c>
      <c r="F62" t="inlineStr">
        <is>
          <t>Segregation of 11 KV mixed feeders, SPV Plant including ONM on Hybrid annuity model and Network management of 33/11 KV S/S and downstream network for 10 years under TN-DSM-31 of Pratapgarh Circle</t>
        </is>
      </c>
      <c r="G62" t="inlineStr">
        <is>
          <t>SE(Solar),AVVNL, Ajmer</t>
        </is>
      </c>
    </row>
    <row r="63">
      <c r="A63" s="1" t="n">
        <v>61</v>
      </c>
      <c r="B63">
        <f>HYPERLINK("https://eproc.rajasthan.gov.in/nicgep/app?component=%24DirectLink&amp;page=FrontEndViewTender&amp;service=direct&amp;session=T&amp;sp=SxINdoTP27QkS%2FfI9Isxmbg%3D%3D", "Segregation of 11 KV mixed feeders, SPV Plant including ONM on Hybrid annuity model and Network management for 10 years under TN-DSM-35 of Kekri Circle")</f>
        <v/>
      </c>
      <c r="C63" t="inlineStr">
        <is>
          <t>Ajmer VVNL - MD||CE (MM and O and M)||SE - TW</t>
        </is>
      </c>
      <c r="D63" t="inlineStr">
        <is>
          <t>21-May-2025 05:00 PM</t>
        </is>
      </c>
      <c r="E63" t="inlineStr">
        <is>
          <t>1,99,94,00,000</t>
        </is>
      </c>
      <c r="F63" t="inlineStr">
        <is>
          <t>Segregation of 11 KV mixed feeders, SPV Plant including ONM on Hybrid annuity model and Network management of 33/11 KV S/S and downstream network for 10 years under TN-DSM-35 of Kekri Circle</t>
        </is>
      </c>
      <c r="G63" t="inlineStr">
        <is>
          <t>SE(Solar),AVVNL, Ajmer</t>
        </is>
      </c>
    </row>
    <row r="64">
      <c r="A64" s="1" t="n">
        <v>62</v>
      </c>
      <c r="B64">
        <f>HYPERLINK("https://eproc.rajasthan.gov.in/nicgep/app?component=%24DirectLink&amp;page=FrontEndViewTender&amp;service=direct&amp;session=T&amp;sp=SxwMnO9qQaQ%2FdHUCRxXGt6g%3D%3D", "Segregation of 11 KV mixed feeders, SPV Plant including ONM on Hybrid annuity model and Network management for 10 years under TN-DSM-37 of Rajsamand Circle")</f>
        <v/>
      </c>
      <c r="C64" t="inlineStr">
        <is>
          <t>Ajmer VVNL - MD||CE (MM and O and M)||SE - TW</t>
        </is>
      </c>
      <c r="D64" t="inlineStr">
        <is>
          <t>21-May-2025 05:00 PM</t>
        </is>
      </c>
      <c r="E64" t="inlineStr">
        <is>
          <t>1,78,77,00,000</t>
        </is>
      </c>
      <c r="F64" t="inlineStr">
        <is>
          <t>Segregation of 11 KV mixed feeders, SPV Plant including ONM on Hybrid annuity model and Network management of 33/11 KV S/S and downstream network for 10 years under TN-DSM-37 of Rajsamand Circle</t>
        </is>
      </c>
      <c r="G64" t="inlineStr">
        <is>
          <t>SE(Solar),AVVNL, Ajmer</t>
        </is>
      </c>
    </row>
    <row r="65">
      <c r="A65" s="1" t="n">
        <v>63</v>
      </c>
      <c r="B65">
        <f>HYPERLINK("https://eproc.rajasthan.gov.in/nicgep/app?component=%24DirectLink&amp;page=FrontEndViewTender&amp;service=direct&amp;session=T&amp;sp=Sn8J8jq3ioP2HUla%2BUzCvrg%3D%3D", "Segregation of 11 KV mixed feeders, SPV Plant including ONM on Hybrid annuity model and Network management for 10 years under TN-DSM-34 of Salumber Circle")</f>
        <v/>
      </c>
      <c r="C65" t="inlineStr">
        <is>
          <t>Ajmer VVNL - MD||CE (MM and O and M)||SE - TW</t>
        </is>
      </c>
      <c r="D65" t="inlineStr">
        <is>
          <t>21-May-2025 05:00 PM</t>
        </is>
      </c>
      <c r="E65" t="inlineStr">
        <is>
          <t>2,19,17,00,000</t>
        </is>
      </c>
      <c r="F65" t="inlineStr">
        <is>
          <t>Segregation of 11 KV mixed feeders, SPV Plant including ONM on Hybrid annuity model and Network management of 33/11 KV S/S and downstream network for 10 years under TN-DSM-34 of Salumber Circle</t>
        </is>
      </c>
      <c r="G65" t="inlineStr">
        <is>
          <t>SE(Solar),AVVNL, Ajmer</t>
        </is>
      </c>
    </row>
    <row r="66">
      <c r="A66" s="1" t="n">
        <v>64</v>
      </c>
      <c r="B66">
        <f>HYPERLINK("https://eproc.rajasthan.gov.in/nicgep/app?component=%24DirectLink&amp;page=FrontEndViewTender&amp;service=direct&amp;session=T&amp;sp=SRTSKeqc4Wwa0qb7XlQ%2FuxA%3D%3D", "Segregation of 11 KV mixed feeders, SPV Plant including ONM on Hybrid annuity model and Network management for 10 years under TN-DSM-26 of Udaipur Circle")</f>
        <v/>
      </c>
      <c r="C66" t="inlineStr">
        <is>
          <t>Ajmer VVNL - MD||CE (MM and O and M)||SE - TW</t>
        </is>
      </c>
      <c r="D66" t="inlineStr">
        <is>
          <t>21-May-2025 05:00 PM</t>
        </is>
      </c>
      <c r="E66" t="inlineStr">
        <is>
          <t>7,04,51,00,000</t>
        </is>
      </c>
      <c r="F66" t="inlineStr">
        <is>
          <t>Segregation of 11 KV mixed feeders, SPV Plant including ONM on Hybrid annuity model and Network management of 33/11 KV S/S and downstream network for 10 years under TN-DSM-26 of Udaipur Circle</t>
        </is>
      </c>
      <c r="G66" t="inlineStr">
        <is>
          <t>SE(Solar),AVVNL, Ajmer</t>
        </is>
      </c>
    </row>
    <row r="67">
      <c r="A67" s="1" t="n">
        <v>65</v>
      </c>
      <c r="B67">
        <f>HYPERLINK("https://eproc.rajasthan.gov.in/nicgep/app?component=%24DirectLink&amp;page=FrontEndViewTender&amp;service=direct&amp;session=T&amp;sp=SP0h9NB8%2Fsg1DyZYuD9rw4w%3D%3D", "Segregation of 11 KV mixed feeders, SPV Plant including ONM on Hybrid annuity model and Network management for 10 years under TN-DSM-23 of Neem Ka Thana Circle")</f>
        <v/>
      </c>
      <c r="C67" t="inlineStr">
        <is>
          <t>Ajmer VVNL - MD||CE (MM and O and M)||SE - TW</t>
        </is>
      </c>
      <c r="D67" t="inlineStr">
        <is>
          <t>21-May-2025 05:00 PM</t>
        </is>
      </c>
      <c r="E67" t="inlineStr">
        <is>
          <t>9,91,71,00,000</t>
        </is>
      </c>
      <c r="F67" t="inlineStr">
        <is>
          <t>Segregation of 11 KV mixed feeders, SPV Plant including ONM on Hybrid annuity model and Network management of 33/11 KV S/S and downstream network for 10 years under TN-DSM-23 of Neem Ka Thana Circle</t>
        </is>
      </c>
      <c r="G67" t="inlineStr">
        <is>
          <t>SE(Solar),AVVNL, Ajmer</t>
        </is>
      </c>
    </row>
    <row r="68">
      <c r="A68" s="1" t="n">
        <v>66</v>
      </c>
      <c r="B68">
        <f>HYPERLINK("https://eproc.rajasthan.gov.in/nicgep/app?component=%24DirectLink&amp;page=FrontEndViewTender&amp;service=direct&amp;session=T&amp;sp=S7unFBXXjjVX%2Biksgt43o1w%3D%3D", "Segregation of 11 KV mixed feeders, SPV Plant including ONM on Hybrid annuity model and Network management for 10 years under TN-DSM-27 of Deedwana-Kuchaman Circle")</f>
        <v/>
      </c>
      <c r="C68" t="inlineStr">
        <is>
          <t>Ajmer VVNL - MD||CE (MM and O and M)||SE - TW</t>
        </is>
      </c>
      <c r="D68" t="inlineStr">
        <is>
          <t>21-May-2025 05:00 PM</t>
        </is>
      </c>
      <c r="E68" t="inlineStr">
        <is>
          <t>5,83,18,00,000</t>
        </is>
      </c>
      <c r="F68" t="inlineStr">
        <is>
          <t>Segregation of 11 KV mixed feeders, SPV Plant including ONM on Hybrid annuity model and Network management of 33/11 KV S/S and downstream network for 10 years under TN-DSM-27 of Deedwana-Kuchaman Circle</t>
        </is>
      </c>
      <c r="G68" t="inlineStr">
        <is>
          <t>SE(Solar),AVVNL, Ajmer</t>
        </is>
      </c>
    </row>
    <row r="69">
      <c r="A69" s="1" t="n">
        <v>67</v>
      </c>
      <c r="B69">
        <f>HYPERLINK("https://eproc.rajasthan.gov.in/nicgep/app?component=%24DirectLink&amp;page=FrontEndViewTender&amp;service=direct&amp;session=T&amp;sp=S4Tg6MHU6VbFCOmn5a43L%2FA%3D%3D", "Segregation of 11 KV mixed feeders, SPV Plant including ONM on Hybrid annuity model and Network management for 10 years under TN-DSM-20 of Chittorgarh Circle Lot-1")</f>
        <v/>
      </c>
      <c r="C69" t="inlineStr">
        <is>
          <t>Ajmer VVNL - MD||CE (MM and O and M)||SE - TW</t>
        </is>
      </c>
      <c r="D69" t="inlineStr">
        <is>
          <t>21-May-2025 05:00 PM</t>
        </is>
      </c>
      <c r="E69" t="inlineStr">
        <is>
          <t>12,69,38,00,000</t>
        </is>
      </c>
      <c r="F69" t="inlineStr">
        <is>
          <t>Segregation of 11 KV mixed feeders, SPV Plant including ONM on Hybrid annuity model and Network management of 33/11 KV S/S and downstream network for 10 years under TN-DSM-20 of Chittorgarh Circle Lot-1</t>
        </is>
      </c>
      <c r="G69" t="inlineStr">
        <is>
          <t>SE(Solar),AVVNL, Ajmer</t>
        </is>
      </c>
    </row>
    <row r="70">
      <c r="A70" s="1" t="n">
        <v>68</v>
      </c>
      <c r="B70">
        <f>HYPERLINK("https://eproc.rajasthan.gov.in/nicgep/app?component=%24DirectLink&amp;page=FrontEndViewTender&amp;service=direct&amp;session=T&amp;sp=SMPNS8cgqP4iLuxrGs%2B%2Fccw%3D%3D", "Segregation of 11 KV mixed feeders, SPV Plant including ONM on Hybrid annuity model and Network management for 10 years under TN-DSM-30 of Banswara Circle")</f>
        <v/>
      </c>
      <c r="C70" t="inlineStr">
        <is>
          <t>Ajmer VVNL - MD||CE (MM and O and M)||SE - TW</t>
        </is>
      </c>
      <c r="D70" t="inlineStr">
        <is>
          <t>21-May-2025 05:00 PM</t>
        </is>
      </c>
      <c r="E70" t="inlineStr">
        <is>
          <t>3,84,94,00,000</t>
        </is>
      </c>
      <c r="F70" t="inlineStr">
        <is>
          <t>Segregation of 11 KV mixed feeders, SPV Plant including ONM on Hybrid annuity model and Network management of 33/11 KV S/S and downstream network for 10 years under TN-DSM-30 of Banswara Circle</t>
        </is>
      </c>
      <c r="G70" t="inlineStr">
        <is>
          <t>SE(Solar),AVVNL, Ajmer</t>
        </is>
      </c>
    </row>
    <row r="71">
      <c r="A71" s="1" t="n">
        <v>69</v>
      </c>
      <c r="B71">
        <f>HYPERLINK("https://eproc.rajasthan.gov.in/nicgep/app?component=%24DirectLink&amp;page=FrontEndViewTender&amp;service=direct&amp;session=T&amp;sp=SZpBU27GnbSo1x3kxLpCZUw%3D%3D", "Segregation of 11 KV mixed feeders, SPV Plant including ONM on Hybrid annuity model and Network management for 10 years under TN-DSM-28 of Ajmer Circle")</f>
        <v/>
      </c>
      <c r="C71" t="inlineStr">
        <is>
          <t>Ajmer VVNL - MD||CE (MM and O and M)||SE - TW</t>
        </is>
      </c>
      <c r="D71" t="inlineStr">
        <is>
          <t>21-May-2025 05:00 PM</t>
        </is>
      </c>
      <c r="E71" t="inlineStr">
        <is>
          <t>4,58,71,00,000</t>
        </is>
      </c>
      <c r="F71" t="inlineStr">
        <is>
          <t>Segregation of 11 KV mixed feeders, SPV Plant including ONM on Hybrid annuity model and Network management of 33/11 KV S/S and downstream network for 10 years under TN-DSM-28 of Ajmer Circle</t>
        </is>
      </c>
      <c r="G71" t="inlineStr">
        <is>
          <t>SE(Solar),AVVNL, Ajmer</t>
        </is>
      </c>
    </row>
    <row r="72">
      <c r="A72" s="1" t="n">
        <v>70</v>
      </c>
      <c r="B72">
        <f>HYPERLINK("https://eproc.rajasthan.gov.in/nicgep/app?component=%24DirectLink&amp;page=FrontEndViewTender&amp;service=direct&amp;session=T&amp;sp=SZKYGSKiSRV7U71NrC9VtVw%3D%3D", "Segregation of 11 KV mixed feeders, SPV Plant including ONM on Hybrid annuity model and Network management for 10 years under TN-DSM-29 of Dungarpur Circle")</f>
        <v/>
      </c>
      <c r="C72" t="inlineStr">
        <is>
          <t>Ajmer VVNL - MD||CE (MM and O and M)||SE - TW</t>
        </is>
      </c>
      <c r="D72" t="inlineStr">
        <is>
          <t>21-May-2025 05:00 PM</t>
        </is>
      </c>
      <c r="E72" t="inlineStr">
        <is>
          <t>4,13,12,00,000</t>
        </is>
      </c>
      <c r="F72" t="inlineStr">
        <is>
          <t>Segregation of 11 KV mixed feeders, SPV Plant including ONM on Hybrid annuity model and Network management of 33/11 KV S/S and downstream network for 10 years under TN-DSM-29 of Dungarpur Circle</t>
        </is>
      </c>
      <c r="G72" t="inlineStr">
        <is>
          <t>SE(Solar),AVVNL, Ajmer</t>
        </is>
      </c>
    </row>
    <row r="73">
      <c r="A73" s="1" t="n">
        <v>71</v>
      </c>
      <c r="B73">
        <f>HYPERLINK("https://eproc.rajasthan.gov.in/nicgep/app?component=%24DirectLink&amp;page=FrontEndViewTender&amp;service=direct&amp;session=T&amp;sp=S6jpBtpLlBCQ1gLWGLt7ISw%3D%3D", "Segregation of 11 KV mixed feeders, SPV Plant including ONM on Hybrid annuity model and Network management for 10 years under TN-DSM-24 of Jhunjhunu Circle Lot-2")</f>
        <v/>
      </c>
      <c r="C73" t="inlineStr">
        <is>
          <t>Ajmer VVNL - MD||CE (MM and O and M)||SE - TW</t>
        </is>
      </c>
      <c r="D73" t="inlineStr">
        <is>
          <t>21-May-2025 05:00 PM</t>
        </is>
      </c>
      <c r="E73" t="inlineStr">
        <is>
          <t>9,36,36,00,000</t>
        </is>
      </c>
      <c r="F73" t="inlineStr">
        <is>
          <t>Segregation of 11 KV mixed feeders, SPV Plant including ONM on Hybrid annuity model and Network management of 33/11 KV S/S and downstream network for 10 years under TN-DSM-24 of Jhunjhunu Circle Lot-2</t>
        </is>
      </c>
      <c r="G73" t="inlineStr">
        <is>
          <t>SE(Solar),AVVNL, Ajmer</t>
        </is>
      </c>
    </row>
    <row r="74">
      <c r="A74" s="1" t="n">
        <v>72</v>
      </c>
      <c r="B74">
        <f>HYPERLINK("https://eproc.rajasthan.gov.in/nicgep/app?component=%24DirectLink&amp;page=FrontEndViewTender&amp;service=direct&amp;session=T&amp;sp=SImLIXmxHGYH%2Bn9SzXhQgYA%3D%3D", "Segregation of 11 KV mixed feeders, SPV Plant including ONM on Hybrid annuity model and Network management for 10 years under TN-DSM-33 of Nagaur Circle")</f>
        <v/>
      </c>
      <c r="C74" t="inlineStr">
        <is>
          <t>Ajmer VVNL - MD||CE (MM and O and M)||SE - TW</t>
        </is>
      </c>
      <c r="D74" t="inlineStr">
        <is>
          <t>21-May-2025 05:00 PM</t>
        </is>
      </c>
      <c r="E74" t="inlineStr">
        <is>
          <t>2,24,50,00,000</t>
        </is>
      </c>
      <c r="F74" t="inlineStr">
        <is>
          <t>Segregation of 11 KV mixed feeders, SPV Plant including ONM on Hybrid annuity model and Network management of 33/11 KV S/S and downstream network for 10 years under TN-DSM-33 of Nagaur Circle</t>
        </is>
      </c>
      <c r="G74" t="inlineStr">
        <is>
          <t>SE(Solar),AVVNL, Ajmer</t>
        </is>
      </c>
    </row>
    <row r="75">
      <c r="A75" s="1" t="n">
        <v>73</v>
      </c>
      <c r="B75">
        <f>HYPERLINK("https://eproc.rajasthan.gov.in/nicgep/app?component=%24DirectLink&amp;page=FrontEndViewTender&amp;service=direct&amp;session=T&amp;sp=SRApBH9pALWbX6oJnnCmeHA%3D%3D", "Segregation of 11 KV mixed feeders, SPV Plant including ONM on Hybrid annuity model and Network management for 10 years under TN-DSM-25 of Chittorgarh Circle Lot-2")</f>
        <v/>
      </c>
      <c r="C75" t="inlineStr">
        <is>
          <t>Ajmer VVNL - MD||CE (MM and O and M)||SE - TW</t>
        </is>
      </c>
      <c r="D75" t="inlineStr">
        <is>
          <t>21-May-2025 05:00 PM</t>
        </is>
      </c>
      <c r="E75" t="inlineStr">
        <is>
          <t>9,03,05,00,000</t>
        </is>
      </c>
      <c r="F75" t="inlineStr">
        <is>
          <t>Segregation of 11 KV mixed feeders, SPV Plant including ONM on Hybrid annuity model and Network management of 33/11 KV S/S and downstream network for 10 years under TN-DSM-25 of Chittorgarh Circle Lot-2</t>
        </is>
      </c>
      <c r="G75" t="inlineStr">
        <is>
          <t>SE(Solar),AVVNL, Ajmer</t>
        </is>
      </c>
    </row>
    <row r="76">
      <c r="A76" s="1" t="n">
        <v>74</v>
      </c>
      <c r="B76">
        <f>HYPERLINK("https://eproc.rajasthan.gov.in/nicgep/app?component=%24DirectLink&amp;page=FrontEndViewTender&amp;service=direct&amp;session=T&amp;sp=SSKPaI5hFxsEYe4rTSduBFw%3D%3D", "Segregation of 11 KV mixed feeders, SPV Plant including ONM on Hybrid annuity model and Network management for 10 years under TN-DSM-22 of Bhilwara Circle")</f>
        <v/>
      </c>
      <c r="C76" t="inlineStr">
        <is>
          <t>Ajmer VVNL - MD||CE (MM and O and M)||SE - TW</t>
        </is>
      </c>
      <c r="D76" t="inlineStr">
        <is>
          <t>21-May-2025 05:00 PM</t>
        </is>
      </c>
      <c r="E76" t="inlineStr">
        <is>
          <t>9,99,00,00,000</t>
        </is>
      </c>
      <c r="F76" t="inlineStr">
        <is>
          <t>Segregation of 11 KV mixed feeders, SPV Plant including ONM on Hybrid annuity model and Network management of 33/11 KV S/S and downstream network for 10 years under TN-DSM-22 of Bhilwara Circle</t>
        </is>
      </c>
      <c r="G76" t="inlineStr">
        <is>
          <t>SE(Solar),AVVNL, Ajmer</t>
        </is>
      </c>
    </row>
    <row r="77">
      <c r="A77" s="1" t="n">
        <v>75</v>
      </c>
      <c r="B77">
        <f>HYPERLINK("https://eproc.rajasthan.gov.in/nicgep/app?component=%24DirectLink&amp;page=FrontEndViewTender&amp;service=direct&amp;session=T&amp;sp=SjLV3OiPLz5aYqu7bJPQh2Q%3D%3D", "Segregation of 11 KV mixed feeders, SPV Plant including ONM on Hybrid annuity model and Network management for 10 years under TN-DSM-21 of Jhunjhunu Circle Lot-1")</f>
        <v/>
      </c>
      <c r="C77" t="inlineStr">
        <is>
          <t>Ajmer VVNL - MD||CE (MM and O and M)||SE - TW</t>
        </is>
      </c>
      <c r="D77" t="inlineStr">
        <is>
          <t>21-May-2025 05:00 PM</t>
        </is>
      </c>
      <c r="E77" t="inlineStr">
        <is>
          <t>10,20,48,00,000</t>
        </is>
      </c>
      <c r="F77" t="inlineStr">
        <is>
          <t>Segregation of 11 KV mixed feeders, SPV Plant including ONM on Hybrid annuity model and Network management of 33/11 KV S/S and downstream network for 10 years under TN-DSM-21 of Jhunjhunu Circle Lot-1</t>
        </is>
      </c>
      <c r="G77" t="inlineStr">
        <is>
          <t>SE(Solar),AVVNL, Ajmer</t>
        </is>
      </c>
    </row>
    <row r="78">
      <c r="A78" s="1" t="n">
        <v>76</v>
      </c>
      <c r="B78">
        <f>HYPERLINK("https://eproc.rajasthan.gov.in/nicgep/app?component=%24DirectLink&amp;page=FrontEndViewTender&amp;service=direct&amp;session=T&amp;sp=SKAd7tbQYR8IVgXwWppK9AQ%3D%3D", "Segregation of 11 KV mixed feeders, SPV Plant including ONM on Hybrid annuity model and Network management for 10 years under TN-DSM-18 of Sikar Circle Lot-1")</f>
        <v/>
      </c>
      <c r="C78" t="inlineStr">
        <is>
          <t>Ajmer VVNL - MD||CE (MM and O and M)||SE - TW</t>
        </is>
      </c>
      <c r="D78" t="inlineStr">
        <is>
          <t>21-May-2025 05:00 PM</t>
        </is>
      </c>
      <c r="E78" t="inlineStr">
        <is>
          <t>13,67,49,00,000</t>
        </is>
      </c>
      <c r="F78" t="inlineStr">
        <is>
          <t>Segregation of 11 KV mixed feeders, SPV Plant including ONM on Hybrid annuity model and Network management of 33/11 KV S/S and downstream network for 10 years under TN-DSM-18 of Sikar Circle Lot-1</t>
        </is>
      </c>
      <c r="G78" t="inlineStr">
        <is>
          <t>SE(Solar),AVVNL, Ajmer</t>
        </is>
      </c>
    </row>
    <row r="79">
      <c r="A79" s="1" t="n">
        <v>77</v>
      </c>
      <c r="B79">
        <f>HYPERLINK("https://eproc.rajasthan.gov.in/nicgep/app?component=%24DirectLink&amp;page=FrontEndViewTender&amp;service=direct&amp;session=T&amp;sp=SbC4%2BDySfWO0HaQPLpZgjtA%3D%3D", "Segregation of 11 KV mixed feeders, SPV Plant including ONM on Hybrid annuity model and Network management for 10 years under TN-DSM-19 of Sikar Circle Lot-2")</f>
        <v/>
      </c>
      <c r="C79" t="inlineStr">
        <is>
          <t>Ajmer VVNL - MD||CE (MM and O and M)||SE - TW</t>
        </is>
      </c>
      <c r="D79" t="inlineStr">
        <is>
          <t>21-May-2025 05:00 PM</t>
        </is>
      </c>
      <c r="E79" t="inlineStr">
        <is>
          <t>13,62,60,00,000</t>
        </is>
      </c>
      <c r="F79" t="inlineStr">
        <is>
          <t>Segregation of 11 KV mixed feeders, SPV Plant including ONM on Hybrid annuity model and Network management of 33/11 KV S/S and downstream network for 10 years under TN-DSM-19 of Sikar Circle Lot-2</t>
        </is>
      </c>
      <c r="G79" t="inlineStr">
        <is>
          <t>SE(Solar),AVVNL, Ajmer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2025-05-17T12:56:57Z</dcterms:created>
  <dcterms:modified xsi:type="dcterms:W3CDTF">2025-05-17T12:56:57Z</dcterms:modified>
</cp:coreProperties>
</file>