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Sno</t>
        </is>
      </c>
      <c r="B1" s="1" t="inlineStr">
        <is>
          <t>Title</t>
        </is>
      </c>
      <c r="C1" s="1" t="inlineStr">
        <is>
          <t>Organisation Chain</t>
        </is>
      </c>
      <c r="D1" s="1" t="inlineStr">
        <is>
          <t>Closing Date</t>
        </is>
      </c>
      <c r="E1" s="1" t="inlineStr">
        <is>
          <t>Amount</t>
        </is>
      </c>
      <c r="F1" s="1" t="inlineStr">
        <is>
          <t>Work Description</t>
        </is>
      </c>
      <c r="G1" s="1" t="inlineStr">
        <is>
          <t>Location</t>
        </is>
      </c>
    </row>
    <row r="2">
      <c r="A2" s="1" t="n">
        <v>0</v>
      </c>
      <c r="B2">
        <f>HYPERLINK("https://eproc.rajasthan.gov.in/nicgep/app?component=%24DirectLink&amp;page=FrontEndViewTender&amp;service=direct&amp;session=T&amp;sp=Sc6VKkw%2BDSi7xgkK0WfPu0A%3D%3D", "Chambal Alwar Bharatpur Water Supply Project Package 2 Based on Hybrid Annuity Model ACE(P) Bharatpur NIT No. 05 / 2024-25")</f>
        <v/>
      </c>
      <c r="C2" t="inlineStr">
        <is>
          <t>PHED-Chief Engineer(SP and EAP), Jaipur||ACE (Proj.) Bharathpur</t>
        </is>
      </c>
      <c r="D2" t="inlineStr">
        <is>
          <t>12-Jun-2025 06:00 PM</t>
        </is>
      </c>
      <c r="E2" t="inlineStr">
        <is>
          <t>23,86,57,07,622</t>
        </is>
      </c>
      <c r="F2" t="inlineStr">
        <is>
          <t>Work of Construction of Intermediate CWPH at Kotra Baseri laying of Clear Water transmission main From Kotra to Naroli Nadbai via junction 2 at Naroli IPS Nadbai Nagar Ramgarh Kishangarhbas Tijara Jairoli and Bhiwadi based on HAM model under JJM</t>
        </is>
      </c>
      <c r="G2" t="inlineStr">
        <is>
          <t>Dholpur Bharatpur and Alwar</t>
        </is>
      </c>
    </row>
    <row r="3">
      <c r="A3" s="1" t="n">
        <v>1</v>
      </c>
      <c r="B3">
        <f>HYPERLINK("https://eproc.rajasthan.gov.in/nicgep/app?component=%24DirectLink&amp;page=FrontEndViewTender&amp;service=direct&amp;session=T&amp;sp=SrnRnvqQDPLuvG9fxldwVTQ%3D%3D", "Bids for Construction of Intake, RWR , WTP at Masi Dam, Pump house and connecting it with CWR for Conjunctive use including O and M work for ten years after one year Defect liability Period for Bisalpur-Niwai- Tonk WSP under JJM Package-III")</f>
        <v/>
      </c>
      <c r="C3" t="inlineStr">
        <is>
          <t>PHED-Chief Engineer(SP and EAP), Jaipur||ACE PROJECT REGION-JAIPUR||SE PROJECT CR. JAIPUR</t>
        </is>
      </c>
      <c r="D3" t="inlineStr">
        <is>
          <t>27-May-2025 03:00 PM</t>
        </is>
      </c>
      <c r="E3" t="inlineStr">
        <is>
          <t>21,01,00,000</t>
        </is>
      </c>
      <c r="F3" t="inlineStr">
        <is>
          <t>Bids for Construction of Intake, RWR , WTP at Masi Dam, Pump house and connecting it with CWR for Conjunctive use including O and M work for ten years after one year Defect liability Period for Bisalpur-Niwai- Tonk WSP under JJM Package-III</t>
        </is>
      </c>
      <c r="G3" t="inlineStr">
        <is>
          <t>BISALPUR TONK NIWAI</t>
        </is>
      </c>
    </row>
    <row r="4">
      <c r="A4" s="1" t="n">
        <v>2</v>
      </c>
      <c r="B4">
        <f>HYPERLINK("https://eproc.rajasthan.gov.in/nicgep/app?component=%24DirectLink&amp;page=FrontEndViewTender&amp;service=direct&amp;session=T&amp;sp=SblRNwd92xXMgcc77WH5y7w%3D%3D", "Chambal Alwar Bharatpur Water Supply Project Package-III Based on Hybrid Annuity Model (HAM) ACE(P) Bharatpur NIT No. 06/2024-25")</f>
        <v/>
      </c>
      <c r="C4" t="inlineStr">
        <is>
          <t>PHED-Chief Engineer(SP and EAP), Jaipur||ACE (Proj.) Bharathpur</t>
        </is>
      </c>
      <c r="D4" t="inlineStr">
        <is>
          <t>02-Jun-2025 06:00 PM</t>
        </is>
      </c>
      <c r="E4" t="inlineStr">
        <is>
          <t>12,22,08,87,738</t>
        </is>
      </c>
      <c r="F4" t="inlineStr">
        <is>
          <t>Work of construction of CWR and Block CWPH at various locations for clusters laying of transfer main from block PS to block CPS rising main from block CPS to Block ESRs, construction of ESRs laying of cluster distribution mains CABP Pck 3 under JJM</t>
        </is>
      </c>
      <c r="G4" t="inlineStr">
        <is>
          <t>Alwar and Bharatpur</t>
        </is>
      </c>
    </row>
    <row r="5">
      <c r="A5" s="1" t="n">
        <v>3</v>
      </c>
      <c r="B5">
        <f>HYPERLINK("https://eproc.rajasthan.gov.in/nicgep/app?component=%24DirectLink&amp;page=FrontEndViewTender&amp;service=direct&amp;session=T&amp;sp=St96PjJXkTvztClIiWgRqIg%3D%3D", "Chambal Alwar Bharatpur Water Supply Project Package 1 Based on Hybrid Annuity Model ACE(P) Bharatpur NIT No. 04 / 2024-25")</f>
        <v/>
      </c>
      <c r="C5" t="inlineStr">
        <is>
          <t>PHED-Chief Engineer(SP and EAP), Jaipur||ACE (Proj.) Bharathpur</t>
        </is>
      </c>
      <c r="D5" t="inlineStr">
        <is>
          <t>02-Jun-2025 06:00 PM</t>
        </is>
      </c>
      <c r="E5" t="inlineStr">
        <is>
          <t>12,22,86,29,224</t>
        </is>
      </c>
      <c r="F5" t="inlineStr">
        <is>
          <t>Work for Construction of Intake well inside Chambal River including Approach Bridge construction of RWR including all works required for inlet inside RWR outlet system from RWR to outlet chamber WTP CWR RWPH and allied works Package 1 under JJM</t>
        </is>
      </c>
      <c r="G5" t="inlineStr">
        <is>
          <t>Dholpur</t>
        </is>
      </c>
    </row>
    <row r="6">
      <c r="A6" s="1" t="n">
        <v>4</v>
      </c>
      <c r="B6">
        <f>HYPERLINK("https://eproc.rajasthan.gov.in/nicgep/app?component=%24DirectLink&amp;page=FrontEndViewTender&amp;service=direct&amp;session=T&amp;sp=StlQtuPfAxDq0qwG52Qr39w%3D%3D", "Augmentation cum Reorganization of Aapni Yojana Phase I Dhannasar Feeder Water Supply Project including 10 Years O and M District Churu")</f>
        <v/>
      </c>
      <c r="C6" t="inlineStr">
        <is>
          <t>PHED-Chief Engineer(SP and EAP), Jaipur||ACE(Project)- CHURU||SE PROJECT CR.-CHURU</t>
        </is>
      </c>
      <c r="D6" t="inlineStr">
        <is>
          <t>26-May-2025 06:00 PM</t>
        </is>
      </c>
      <c r="E6" t="inlineStr">
        <is>
          <t>2,37,87,07,339</t>
        </is>
      </c>
      <c r="F6" t="inlineStr">
        <is>
          <t>Augmentation cum Reorganization of Aapni Yojana Phase I Dhannasar Feeder Water Supply Project including 10 Years O and M District Churu</t>
        </is>
      </c>
      <c r="G6" t="inlineStr">
        <is>
          <t>Dhannasar</t>
        </is>
      </c>
    </row>
    <row r="7">
      <c r="A7" s="1" t="n">
        <v>5</v>
      </c>
      <c r="B7">
        <f>HYPERLINK("https://eproc.rajasthan.gov.in/nicgep/app?component=%24DirectLink&amp;page=FrontEndViewTender&amp;service=direct&amp;session=T&amp;sp=SW%2Bct9JAr1GtNNIrN9TFWew%3D%3D", "WSS from Sadas Rajgarh IPS CWRM PS and OHSRs CVDM and FHTC of blocks Gangrar 2 villages Chittorgarh 212 villages Nimbahera 66 villages and Bhadesar 45 villages and Bulk WS to Chittorgarh town Package 2B under JJM With OandM for 10Y After DLP of 1Y")</f>
        <v/>
      </c>
      <c r="C7" t="inlineStr">
        <is>
          <t>PHED-Chief Engineer(SP and EAP), Jaipur||ACE UDAIPUR||SE PROJECT CR-BANSWARA- UDAIPUR</t>
        </is>
      </c>
      <c r="D7" t="inlineStr">
        <is>
          <t>26-May-2025 06:00 PM</t>
        </is>
      </c>
      <c r="E7" t="inlineStr">
        <is>
          <t>6,46,96,00,000</t>
        </is>
      </c>
      <c r="F7" t="inlineStr">
        <is>
          <t>WSS from Sadas Rajgarh IPS CWRM PS and OHSRs CVDM and FHTC of blocks Gangrar 2 villages Chittorgarh 212 villages Nimbahera 66 villages and Bhadesar 45 villages and Bulk WS to Chittorgarh town Package 2B under JJM With OandM for 10Y After DLP of 1Y</t>
        </is>
      </c>
      <c r="G7" t="inlineStr">
        <is>
          <t>Chittorgarh</t>
        </is>
      </c>
    </row>
    <row r="8">
      <c r="A8" s="1" t="n">
        <v>6</v>
      </c>
      <c r="B8">
        <f>HYPERLINK("https://eproc.rajasthan.gov.in/nicgep/app?component=%24DirectLink&amp;page=FrontEndViewTender&amp;service=direct&amp;session=T&amp;sp=SdLLtQ2pUG55kSMyoQz9yXg%3D%3D", "Work of Drinking WSP for 212 Villages 77 villages of Sabla Block and 135 villages of Sagwara Block including their 255 OH and 1 town Sagwara of District Dungarpur from Beneshwar Anicut under JJM With O and M for 10 Years After DLP of 1Year")</f>
        <v/>
      </c>
      <c r="C8" t="inlineStr">
        <is>
          <t>PHED-Chief Engineer(SP and EAP), Jaipur||ACE UDAIPUR||SE PROJECT CR-BANSWARA- UDAIPUR</t>
        </is>
      </c>
      <c r="D8" t="inlineStr">
        <is>
          <t>26-May-2025 06:00 PM</t>
        </is>
      </c>
      <c r="E8" t="inlineStr">
        <is>
          <t>3,71,27,00,000</t>
        </is>
      </c>
      <c r="F8" t="inlineStr">
        <is>
          <t>Work of Drinking WSP for 212 Villages 77 villages of Sabla Block and 135 villages of Sagwara Block including their 255 OH and 1 town Sagwara of District Dungarpur from Beneshwar Anicut under JJM With O and M for 10 Years After DLP of 1Year</t>
        </is>
      </c>
      <c r="G8" t="inlineStr">
        <is>
          <t>Udaipur</t>
        </is>
      </c>
    </row>
    <row r="9">
      <c r="A9" s="1" t="n">
        <v>7</v>
      </c>
      <c r="B9">
        <f>HYPERLINK("https://eproc.rajasthan.gov.in/nicgep/app?component=%24DirectLink&amp;page=FrontEndViewTender&amp;service=direct&amp;session=T&amp;sp=Soc1bSA0yZ%2FRFIEfgq0s86A%3D%3D", "Kaliteer Water Supply Project based on Hybird Annuity Model (HAM) ACE (P) Bharatpur NIT No.03/2024-25")</f>
        <v/>
      </c>
      <c r="C9" t="inlineStr">
        <is>
          <t>PHED-Chief Engineer(SP and EAP), Jaipur||ACE (Proj.) Bharathpur</t>
        </is>
      </c>
      <c r="D9" t="inlineStr">
        <is>
          <t>22-May-2025 06:00 PM</t>
        </is>
      </c>
      <c r="E9" t="inlineStr">
        <is>
          <t>6,06,79,02,987</t>
        </is>
      </c>
      <c r="F9" t="inlineStr">
        <is>
          <t>Work for Construction of Water Treatment Plants CWRs and CWPHs Near WTPs Clear Water transmission main From WTP various IPSs Laying of Rising mains to different ESRs Construction of ESRs Distribution system in villages providing FHTCs Including</t>
        </is>
      </c>
      <c r="G9" t="inlineStr">
        <is>
          <t>Dholpur and Bharatpur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2025-05-17T13:14:44Z</dcterms:created>
  <dcterms:modified xsi:type="dcterms:W3CDTF">2025-05-17T13:14:44Z</dcterms:modified>
</cp:coreProperties>
</file>