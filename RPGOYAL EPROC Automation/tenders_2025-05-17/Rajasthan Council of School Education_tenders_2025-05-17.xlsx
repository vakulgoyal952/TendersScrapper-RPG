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Sno</t>
        </is>
      </c>
      <c r="B1" s="1" t="inlineStr">
        <is>
          <t>Title</t>
        </is>
      </c>
      <c r="C1" s="1" t="inlineStr">
        <is>
          <t>Organisation Chain</t>
        </is>
      </c>
      <c r="D1" s="1" t="inlineStr">
        <is>
          <t>Closing Date</t>
        </is>
      </c>
      <c r="E1" s="1" t="inlineStr">
        <is>
          <t>Amount</t>
        </is>
      </c>
      <c r="F1" s="1" t="inlineStr">
        <is>
          <t>Work Description</t>
        </is>
      </c>
      <c r="G1" s="1" t="inlineStr">
        <is>
          <t>Location</t>
        </is>
      </c>
    </row>
    <row r="2">
      <c r="A2" s="1" t="n">
        <v>0</v>
      </c>
      <c r="B2">
        <f>HYPERLINK("https://eproc.rajasthan.gov.in/nicgep/app?component=%24DirectLink&amp;page=FrontEndViewTender&amp;service=direct&amp;session=T&amp;sp=SaWqgcok7YngHBoJAyTbgNA%3D%3D", "Establishment of Mathematics Laboratories in 120 govt schools of Rajsamand")</f>
        <v/>
      </c>
      <c r="C2" t="inlineStr">
        <is>
          <t>Rajasthan Council of School Education</t>
        </is>
      </c>
      <c r="D2" t="inlineStr">
        <is>
          <t>05-Jun-2025 06:00 PM</t>
        </is>
      </c>
      <c r="E2" t="inlineStr">
        <is>
          <t>3,00,00,000</t>
        </is>
      </c>
      <c r="F2" t="inlineStr">
        <is>
          <t>Establishment of Mathematics Laboratories in 120 govt schools of Rajsamand</t>
        </is>
      </c>
      <c r="G2" t="inlineStr">
        <is>
          <t>RAJSAMAND</t>
        </is>
      </c>
    </row>
    <row r="3">
      <c r="A3" s="1" t="n">
        <v>1</v>
      </c>
      <c r="B3">
        <f>HYPERLINK("https://eproc.rajasthan.gov.in/nicgep/app?component=%24DirectLink&amp;page=FrontEndViewTender&amp;service=direct&amp;session=T&amp;sp=SVljLsrUzrCY5U0qyTAYlGg%3D%3D", "Skill development,carreer guidance,and entrepreneurship training Programme into 81 government School in Rajsamand")</f>
        <v/>
      </c>
      <c r="C3" t="inlineStr">
        <is>
          <t>Rajasthan Council of School Education</t>
        </is>
      </c>
      <c r="D3" t="inlineStr">
        <is>
          <t>05-Jun-2025 06:00 PM</t>
        </is>
      </c>
      <c r="E3" t="inlineStr">
        <is>
          <t>8,00,00,000</t>
        </is>
      </c>
      <c r="F3" t="inlineStr">
        <is>
          <t>Skill development,carreer guidance,and entrepreneurship training Programme into 81 government School in Rajsamand</t>
        </is>
      </c>
      <c r="G3" t="inlineStr">
        <is>
          <t>RAJSAMAND</t>
        </is>
      </c>
    </row>
    <row r="4">
      <c r="A4" s="1" t="n">
        <v>2</v>
      </c>
      <c r="B4">
        <f>HYPERLINK("https://eproc.rajasthan.gov.in/nicgep/app?component=%24DirectLink&amp;page=FrontEndViewTender&amp;service=direct&amp;session=T&amp;sp=SbnYwk%2BC7DGPsq7a9xlQ5Aw%3D%3D", "CIVIL WORK IN GUPS DAIYAN")</f>
        <v/>
      </c>
      <c r="C4" t="inlineStr">
        <is>
          <t>Rajasthan Council of School Education</t>
        </is>
      </c>
      <c r="D4" t="inlineStr">
        <is>
          <t>23-May-2025 06:00 PM</t>
        </is>
      </c>
      <c r="E4" t="inlineStr">
        <is>
          <t>9,81,000</t>
        </is>
      </c>
      <c r="F4" t="inlineStr">
        <is>
          <t>AS PER NIT</t>
        </is>
      </c>
      <c r="G4" t="inlineStr">
        <is>
          <t>BIKANER</t>
        </is>
      </c>
    </row>
    <row r="5">
      <c r="A5" s="1" t="n">
        <v>3</v>
      </c>
      <c r="B5">
        <f>HYPERLINK("https://eproc.rajasthan.gov.in/nicgep/app?component=%24DirectLink&amp;page=FrontEndViewTender&amp;service=direct&amp;session=T&amp;sp=S8oZmfuL2s6dt0coxgV3W2A%3D%3D", "CIVIL WORK IN GUPS DHANDH KALA")</f>
        <v/>
      </c>
      <c r="C5" t="inlineStr">
        <is>
          <t>Rajasthan Council of School Education</t>
        </is>
      </c>
      <c r="D5" t="inlineStr">
        <is>
          <t>23-May-2025 06:00 PM</t>
        </is>
      </c>
      <c r="E5" t="inlineStr">
        <is>
          <t>9,81,000</t>
        </is>
      </c>
      <c r="F5" t="inlineStr">
        <is>
          <t>AS PER NIT</t>
        </is>
      </c>
      <c r="G5" t="inlineStr">
        <is>
          <t>BIKANER</t>
        </is>
      </c>
    </row>
    <row r="6">
      <c r="A6" s="1" t="n">
        <v>4</v>
      </c>
      <c r="B6">
        <f>HYPERLINK("https://eproc.rajasthan.gov.in/nicgep/app?component=%24DirectLink&amp;page=FrontEndViewTender&amp;service=direct&amp;session=T&amp;sp=SoAj%2BH01lY3idYhVQ9NHGNQ%3D%3D", "CIVIL WORK IN GPS 25 DOBB RAVWALA")</f>
        <v/>
      </c>
      <c r="C6" t="inlineStr">
        <is>
          <t>Rajasthan Council of School Education</t>
        </is>
      </c>
      <c r="D6" t="inlineStr">
        <is>
          <t>23-May-2025 06:00 PM</t>
        </is>
      </c>
      <c r="E6" t="inlineStr">
        <is>
          <t>9,81,000</t>
        </is>
      </c>
      <c r="F6" t="inlineStr">
        <is>
          <t>AS PER NIT</t>
        </is>
      </c>
      <c r="G6" t="inlineStr">
        <is>
          <t>BIKANER</t>
        </is>
      </c>
    </row>
    <row r="7">
      <c r="A7" s="1" t="n">
        <v>5</v>
      </c>
      <c r="B7">
        <f>HYPERLINK("https://eproc.rajasthan.gov.in/nicgep/app?component=%24DirectLink&amp;page=FrontEndViewTender&amp;service=direct&amp;session=T&amp;sp=Sf%2FZ%2FXShBt8xFXE3ivXtO7g%3D%3D", "CIVIL WORK IN GPS KEHARLI")</f>
        <v/>
      </c>
      <c r="C7" t="inlineStr">
        <is>
          <t>Rajasthan Council of School Education</t>
        </is>
      </c>
      <c r="D7" t="inlineStr">
        <is>
          <t>23-May-2025 06:00 PM</t>
        </is>
      </c>
      <c r="E7" t="inlineStr">
        <is>
          <t>9,81,000</t>
        </is>
      </c>
      <c r="F7" t="inlineStr">
        <is>
          <t>AS PER NIT</t>
        </is>
      </c>
      <c r="G7" t="inlineStr">
        <is>
          <t>BIKANER</t>
        </is>
      </c>
    </row>
    <row r="8">
      <c r="A8" s="1" t="n">
        <v>6</v>
      </c>
      <c r="B8">
        <f>HYPERLINK("https://eproc.rajasthan.gov.in/nicgep/app?component=%24DirectLink&amp;page=FrontEndViewTender&amp;service=direct&amp;session=T&amp;sp=SLYYimPY2pF%2FCkHx8ALDhBA%3D%3D", "CIVIL WORK IN GUPS TAWAWALA")</f>
        <v/>
      </c>
      <c r="C8" t="inlineStr">
        <is>
          <t>Rajasthan Council of School Education</t>
        </is>
      </c>
      <c r="D8" t="inlineStr">
        <is>
          <t>23-May-2025 06:00 PM</t>
        </is>
      </c>
      <c r="E8" t="inlineStr">
        <is>
          <t>9,81,000</t>
        </is>
      </c>
      <c r="F8" t="inlineStr">
        <is>
          <t>AS PER NIT</t>
        </is>
      </c>
      <c r="G8" t="inlineStr">
        <is>
          <t>BIKANER</t>
        </is>
      </c>
    </row>
    <row r="9">
      <c r="A9" s="1" t="n">
        <v>7</v>
      </c>
      <c r="B9">
        <f>HYPERLINK("https://eproc.rajasthan.gov.in/nicgep/app?component=%24DirectLink&amp;page=FrontEndViewTender&amp;service=direct&amp;session=T&amp;sp=SPmIWH2bNy6sQqoET6fORiw%3D%3D", "CIVIL WORK IN GUPS KANDHARLI")</f>
        <v/>
      </c>
      <c r="C9" t="inlineStr">
        <is>
          <t>Rajasthan Council of School Education</t>
        </is>
      </c>
      <c r="D9" t="inlineStr">
        <is>
          <t>23-May-2025 06:00 PM</t>
        </is>
      </c>
      <c r="E9" t="inlineStr">
        <is>
          <t>9,81,000</t>
        </is>
      </c>
      <c r="F9" t="inlineStr">
        <is>
          <t>AS PER NIT</t>
        </is>
      </c>
      <c r="G9" t="inlineStr">
        <is>
          <t>BIKANER</t>
        </is>
      </c>
    </row>
    <row r="10">
      <c r="A10" s="1" t="n">
        <v>8</v>
      </c>
      <c r="B10">
        <f>HYPERLINK("https://eproc.rajasthan.gov.in/nicgep/app?component=%24DirectLink&amp;page=FrontEndViewTender&amp;service=direct&amp;session=T&amp;sp=SmshLC7TvolU5rpteewn5Hw%3D%3D", "CIVIL WORK IN GPS KALRA JOHAR INDPALSAR BADA BAS")</f>
        <v/>
      </c>
      <c r="C10" t="inlineStr">
        <is>
          <t>Rajasthan Council of School Education</t>
        </is>
      </c>
      <c r="D10" t="inlineStr">
        <is>
          <t>23-May-2025 06:00 PM</t>
        </is>
      </c>
      <c r="E10" t="inlineStr">
        <is>
          <t>9,81,000</t>
        </is>
      </c>
      <c r="F10" t="inlineStr">
        <is>
          <t>AS PER NIT</t>
        </is>
      </c>
      <c r="G10" t="inlineStr">
        <is>
          <t>BIKANER</t>
        </is>
      </c>
    </row>
    <row r="11">
      <c r="A11" s="1" t="n">
        <v>9</v>
      </c>
      <c r="B11">
        <f>HYPERLINK("https://eproc.rajasthan.gov.in/nicgep/app?component=%24DirectLink&amp;page=FrontEndViewTender&amp;service=direct&amp;session=T&amp;sp=S1OiUfwEs1UFXzcP%2BDyXhHQ%3D%3D", "CIVIL WORK IN GUPS 3 KM")</f>
        <v/>
      </c>
      <c r="C11" t="inlineStr">
        <is>
          <t>Rajasthan Council of School Education</t>
        </is>
      </c>
      <c r="D11" t="inlineStr">
        <is>
          <t>23-May-2025 06:00 PM</t>
        </is>
      </c>
      <c r="E11" t="inlineStr">
        <is>
          <t>9,81,000</t>
        </is>
      </c>
      <c r="F11" t="inlineStr">
        <is>
          <t>AS PER NIT</t>
        </is>
      </c>
      <c r="G11" t="inlineStr">
        <is>
          <t>BIKANER</t>
        </is>
      </c>
    </row>
    <row r="12">
      <c r="A12" s="1" t="n">
        <v>10</v>
      </c>
      <c r="B12">
        <f>HYPERLINK("https://eproc.rajasthan.gov.in/nicgep/app?component=%24DirectLink&amp;page=FrontEndViewTender&amp;service=direct&amp;session=T&amp;sp=SGxd5rMyPAixjid5gLBrDhw%3D%3D", "CIVIL WORK IN GSSS JANGLU")</f>
        <v/>
      </c>
      <c r="C12" t="inlineStr">
        <is>
          <t>Rajasthan Council of School Education</t>
        </is>
      </c>
      <c r="D12" t="inlineStr">
        <is>
          <t>23-May-2025 06:00 PM</t>
        </is>
      </c>
      <c r="E12" t="inlineStr">
        <is>
          <t>24,79,000</t>
        </is>
      </c>
      <c r="F12" t="inlineStr">
        <is>
          <t>AS PER NIT</t>
        </is>
      </c>
      <c r="G12" t="inlineStr">
        <is>
          <t>BIKANER</t>
        </is>
      </c>
    </row>
    <row r="13">
      <c r="A13" s="1" t="n">
        <v>11</v>
      </c>
      <c r="B13">
        <f>HYPERLINK("https://eproc.rajasthan.gov.in/nicgep/app?component=%24DirectLink&amp;page=FrontEndViewTender&amp;service=direct&amp;session=T&amp;sp=ShPZK2PUUV8A1DGY%2BoZ86hw%3D%3D", "CIVIL WORK IN GSSS KUMBHASAR")</f>
        <v/>
      </c>
      <c r="C13" t="inlineStr">
        <is>
          <t>Rajasthan Council of School Education</t>
        </is>
      </c>
      <c r="D13" t="inlineStr">
        <is>
          <t>23-May-2025 06:00 PM</t>
        </is>
      </c>
      <c r="E13" t="inlineStr">
        <is>
          <t>24,79,000</t>
        </is>
      </c>
      <c r="F13" t="inlineStr">
        <is>
          <t>AS PER NIT</t>
        </is>
      </c>
      <c r="G13" t="inlineStr">
        <is>
          <t>BIKANER</t>
        </is>
      </c>
    </row>
    <row r="14">
      <c r="A14" s="1" t="n">
        <v>12</v>
      </c>
      <c r="B14">
        <f>HYPERLINK("https://eproc.rajasthan.gov.in/nicgep/app?component=%24DirectLink&amp;page=FrontEndViewTender&amp;service=direct&amp;session=T&amp;sp=SHXwKW4aLBwKGPxKAshEgjQ%3D%3D", "CIVIL WORK IN GSSS SATLERA")</f>
        <v/>
      </c>
      <c r="C14" t="inlineStr">
        <is>
          <t>Rajasthan Council of School Education</t>
        </is>
      </c>
      <c r="D14" t="inlineStr">
        <is>
          <t>23-May-2025 06:00 PM</t>
        </is>
      </c>
      <c r="E14" t="inlineStr">
        <is>
          <t>24,79,000</t>
        </is>
      </c>
      <c r="F14" t="inlineStr">
        <is>
          <t>AS PER NIT</t>
        </is>
      </c>
      <c r="G14" t="inlineStr">
        <is>
          <t>BIKANER</t>
        </is>
      </c>
    </row>
    <row r="15">
      <c r="A15" s="1" t="n">
        <v>13</v>
      </c>
      <c r="B15">
        <f>HYPERLINK("https://eproc.rajasthan.gov.in/nicgep/app?component=%24DirectLink&amp;page=FrontEndViewTender&amp;service=direct&amp;session=T&amp;sp=Skvwofv66BskbBJpY80sz1g%3D%3D", "CIVIL WORK IN GUPS LAKHANSAR")</f>
        <v/>
      </c>
      <c r="C15" t="inlineStr">
        <is>
          <t>Rajasthan Council of School Education</t>
        </is>
      </c>
      <c r="D15" t="inlineStr">
        <is>
          <t>23-May-2025 06:00 PM</t>
        </is>
      </c>
      <c r="E15" t="inlineStr">
        <is>
          <t>9,81,000</t>
        </is>
      </c>
      <c r="F15" t="inlineStr">
        <is>
          <t>AS PER NIT</t>
        </is>
      </c>
      <c r="G15" t="inlineStr">
        <is>
          <t>BIKANER</t>
        </is>
      </c>
    </row>
    <row r="16">
      <c r="A16" s="1" t="n">
        <v>14</v>
      </c>
      <c r="B16">
        <f>HYPERLINK("https://eproc.rajasthan.gov.in/nicgep/app?component=%24DirectLink&amp;page=FrontEndViewTender&amp;service=direct&amp;session=T&amp;sp=SXNbca3LEk17%2FRMLgBfkc9w%3D%3D", "CIVIL WORK IN GSSS INDPALSAR BADA BAS")</f>
        <v/>
      </c>
      <c r="C16" t="inlineStr">
        <is>
          <t>Rajasthan Council of School Education</t>
        </is>
      </c>
      <c r="D16" t="inlineStr">
        <is>
          <t>23-May-2025 06:00 PM</t>
        </is>
      </c>
      <c r="E16" t="inlineStr">
        <is>
          <t>24,79,000</t>
        </is>
      </c>
      <c r="F16" t="inlineStr">
        <is>
          <t>AS PER NIT</t>
        </is>
      </c>
      <c r="G16" t="inlineStr">
        <is>
          <t>BIKANER</t>
        </is>
      </c>
    </row>
    <row r="17">
      <c r="A17" s="1" t="n">
        <v>15</v>
      </c>
      <c r="B17">
        <f>HYPERLINK("https://eproc.rajasthan.gov.in/nicgep/app?component=%24DirectLink&amp;page=FrontEndViewTender&amp;service=direct&amp;session=T&amp;sp=S73hQMcFw5Ewq0MbZ12ekWA%3D%3D", "CIVIL WORK IN GSSS JETASAR")</f>
        <v/>
      </c>
      <c r="C17" t="inlineStr">
        <is>
          <t>Rajasthan Council of School Education</t>
        </is>
      </c>
      <c r="D17" t="inlineStr">
        <is>
          <t>23-May-2025 06:00 PM</t>
        </is>
      </c>
      <c r="E17" t="inlineStr">
        <is>
          <t>24,79,000</t>
        </is>
      </c>
      <c r="F17" t="inlineStr">
        <is>
          <t>AS PER NIT</t>
        </is>
      </c>
      <c r="G17" t="inlineStr">
        <is>
          <t>BIKANER</t>
        </is>
      </c>
    </row>
    <row r="18">
      <c r="A18" s="1" t="n">
        <v>16</v>
      </c>
      <c r="B18">
        <f>HYPERLINK("https://eproc.rajasthan.gov.in/nicgep/app?component=%24DirectLink&amp;page=FrontEndViewTender&amp;service=direct&amp;session=T&amp;sp=SH1e533akIG1D%2FZ8d0xe%2Frw%3D%3D", "CIVIL WORK IN GSSS UDAIRAMSAR SHREE SHIV PRATAP BAJAJ")</f>
        <v/>
      </c>
      <c r="C18" t="inlineStr">
        <is>
          <t>Rajasthan Council of School Education</t>
        </is>
      </c>
      <c r="D18" t="inlineStr">
        <is>
          <t>23-May-2025 06:00 PM</t>
        </is>
      </c>
      <c r="E18" t="inlineStr">
        <is>
          <t>24,79,000</t>
        </is>
      </c>
      <c r="F18" t="inlineStr">
        <is>
          <t>AS PER NIT</t>
        </is>
      </c>
      <c r="G18" t="inlineStr">
        <is>
          <t>BIKANER</t>
        </is>
      </c>
    </row>
    <row r="19">
      <c r="A19" s="1" t="n">
        <v>17</v>
      </c>
      <c r="B19">
        <f>HYPERLINK("https://eproc.rajasthan.gov.in/nicgep/app?component=%24DirectLink&amp;page=FrontEndViewTender&amp;service=direct&amp;session=T&amp;sp=SC8cqd13yZSBC3i%2F1h814dg%3D%3D", "CIVIL WORK IN GUPS PARVTI TALAI KAHAJUWLA")</f>
        <v/>
      </c>
      <c r="C19" t="inlineStr">
        <is>
          <t>Rajasthan Council of School Education</t>
        </is>
      </c>
      <c r="D19" t="inlineStr">
        <is>
          <t>23-May-2025 06:00 PM</t>
        </is>
      </c>
      <c r="E19" t="inlineStr">
        <is>
          <t>9,81,000</t>
        </is>
      </c>
      <c r="F19" t="inlineStr">
        <is>
          <t>AS PER NIT</t>
        </is>
      </c>
      <c r="G19" t="inlineStr">
        <is>
          <t>BIKANER</t>
        </is>
      </c>
    </row>
    <row r="20">
      <c r="A20" s="1" t="n">
        <v>18</v>
      </c>
      <c r="B20">
        <f>HYPERLINK("https://eproc.rajasthan.gov.in/nicgep/app?component=%24DirectLink&amp;page=FrontEndViewTender&amp;service=direct&amp;session=T&amp;sp=Sgt0riLtOwvKu54TRmh%2B1zw%3D%3D", "CIVIL WORK IN GSSS MOMASAR")</f>
        <v/>
      </c>
      <c r="C20" t="inlineStr">
        <is>
          <t>Rajasthan Council of School Education</t>
        </is>
      </c>
      <c r="D20" t="inlineStr">
        <is>
          <t>23-May-2025 06:00 PM</t>
        </is>
      </c>
      <c r="E20" t="inlineStr">
        <is>
          <t>24,79,000</t>
        </is>
      </c>
      <c r="F20" t="inlineStr">
        <is>
          <t>AS PER NIT</t>
        </is>
      </c>
      <c r="G20" t="inlineStr">
        <is>
          <t>BIKANER</t>
        </is>
      </c>
    </row>
    <row r="21">
      <c r="A21" s="1" t="n">
        <v>19</v>
      </c>
      <c r="B21">
        <f>HYPERLINK("https://eproc.rajasthan.gov.in/nicgep/app?component=%24DirectLink&amp;page=FrontEndViewTender&amp;service=direct&amp;session=T&amp;sp=S4%2FA25%2Fh1sukGPyB6ZrDZDQ%3D%3D", "CIVIL WORK IN GSSS BANDHALA")</f>
        <v/>
      </c>
      <c r="C21" t="inlineStr">
        <is>
          <t>Rajasthan Council of School Education</t>
        </is>
      </c>
      <c r="D21" t="inlineStr">
        <is>
          <t>23-May-2025 06:00 PM</t>
        </is>
      </c>
      <c r="E21" t="inlineStr">
        <is>
          <t>24,79,000</t>
        </is>
      </c>
      <c r="F21" t="inlineStr">
        <is>
          <t>AS PER NIT</t>
        </is>
      </c>
      <c r="G21" t="inlineStr">
        <is>
          <t>BIKANER</t>
        </is>
      </c>
    </row>
    <row r="22">
      <c r="A22" s="1" t="n">
        <v>20</v>
      </c>
      <c r="B22">
        <f>HYPERLINK("https://eproc.rajasthan.gov.in/nicgep/app?component=%24DirectLink&amp;page=FrontEndViewTender&amp;service=direct&amp;session=T&amp;sp=SQH47FIM6hna%2F1exp1%2FRKBg%3D%3D", "CIVIL WORK IN GSSS KANVALISAR")</f>
        <v/>
      </c>
      <c r="C22" t="inlineStr">
        <is>
          <t>Rajasthan Council of School Education</t>
        </is>
      </c>
      <c r="D22" t="inlineStr">
        <is>
          <t>23-May-2025 06:00 PM</t>
        </is>
      </c>
      <c r="E22" t="inlineStr">
        <is>
          <t>24,79,000</t>
        </is>
      </c>
      <c r="F22" t="inlineStr">
        <is>
          <t>AS PER NIT</t>
        </is>
      </c>
      <c r="G22" t="inlineStr">
        <is>
          <t>BIKANER</t>
        </is>
      </c>
    </row>
    <row r="23">
      <c r="A23" s="1" t="n">
        <v>21</v>
      </c>
      <c r="B23">
        <f>HYPERLINK("https://eproc.rajasthan.gov.in/nicgep/app?component=%24DirectLink&amp;page=FrontEndViewTender&amp;service=direct&amp;session=T&amp;sp=SBL2xEOcCSOXrhg5Knr2iQg%3D%3D", "CIVIL WORK IN GUPS BANDARWALA")</f>
        <v/>
      </c>
      <c r="C23" t="inlineStr">
        <is>
          <t>Rajasthan Council of School Education</t>
        </is>
      </c>
      <c r="D23" t="inlineStr">
        <is>
          <t>23-May-2025 06:00 PM</t>
        </is>
      </c>
      <c r="E23" t="inlineStr">
        <is>
          <t>9,81,000</t>
        </is>
      </c>
      <c r="F23" t="inlineStr">
        <is>
          <t>AS PER NIT</t>
        </is>
      </c>
      <c r="G23" t="inlineStr">
        <is>
          <t>BIKANER</t>
        </is>
      </c>
    </row>
    <row r="24">
      <c r="A24" s="1" t="n">
        <v>22</v>
      </c>
      <c r="B24">
        <f>HYPERLINK("https://eproc.rajasthan.gov.in/nicgep/app?component=%24DirectLink&amp;page=FrontEndViewTender&amp;service=direct&amp;session=T&amp;sp=SnT30nzsvuSHKYUPKdXbbNQ%3D%3D", "CIVIL WORK IN GSSS SATTASAR")</f>
        <v/>
      </c>
      <c r="C24" t="inlineStr">
        <is>
          <t>Rajasthan Council of School Education</t>
        </is>
      </c>
      <c r="D24" t="inlineStr">
        <is>
          <t>23-May-2025 06:00 PM</t>
        </is>
      </c>
      <c r="E24" t="inlineStr">
        <is>
          <t>24,79,000</t>
        </is>
      </c>
      <c r="F24" t="inlineStr">
        <is>
          <t>AS PER NIT</t>
        </is>
      </c>
      <c r="G24" t="inlineStr">
        <is>
          <t>BIKANER</t>
        </is>
      </c>
    </row>
    <row r="25">
      <c r="A25" s="1" t="n">
        <v>23</v>
      </c>
      <c r="B25">
        <f>HYPERLINK("https://eproc.rajasthan.gov.in/nicgep/app?component=%24DirectLink&amp;page=FrontEndViewTender&amp;service=direct&amp;session=T&amp;sp=SnZZbVOtuvojfPUJCfHV0Zw%3D%3D", "CIVIL WORK IN GSSS RAMDA")</f>
        <v/>
      </c>
      <c r="C25" t="inlineStr">
        <is>
          <t>Rajasthan Council of School Education</t>
        </is>
      </c>
      <c r="D25" t="inlineStr">
        <is>
          <t>23-May-2025 06:00 PM</t>
        </is>
      </c>
      <c r="E25" t="inlineStr">
        <is>
          <t>24,79,000</t>
        </is>
      </c>
      <c r="F25" t="inlineStr">
        <is>
          <t>AS PER NIT</t>
        </is>
      </c>
      <c r="G25" t="inlineStr">
        <is>
          <t>BIKANER</t>
        </is>
      </c>
    </row>
    <row r="26">
      <c r="A26" s="1" t="n">
        <v>24</v>
      </c>
      <c r="B26">
        <f>HYPERLINK("https://eproc.rajasthan.gov.in/nicgep/app?component=%24DirectLink&amp;page=FrontEndViewTender&amp;service=direct&amp;session=T&amp;sp=S4cSaU%2Bh4eyerkpX%2B0xbhag%3D%3D", "CIVIL WORK IN GSSS RAWAT MINOR")</f>
        <v/>
      </c>
      <c r="C26" t="inlineStr">
        <is>
          <t>Rajasthan Council of School Education</t>
        </is>
      </c>
      <c r="D26" t="inlineStr">
        <is>
          <t>23-May-2025 06:00 PM</t>
        </is>
      </c>
      <c r="E26" t="inlineStr">
        <is>
          <t>24,79,000</t>
        </is>
      </c>
      <c r="F26" t="inlineStr">
        <is>
          <t>AS PER NIT</t>
        </is>
      </c>
      <c r="G26" t="inlineStr">
        <is>
          <t>BIKANER</t>
        </is>
      </c>
    </row>
    <row r="27">
      <c r="A27" s="1" t="n">
        <v>25</v>
      </c>
      <c r="B27">
        <f>HYPERLINK("https://eproc.rajasthan.gov.in/nicgep/app?component=%24DirectLink&amp;page=FrontEndViewTender&amp;service=direct&amp;session=T&amp;sp=SHb9D13PB8a55Z7zlx5aUGw%3D%3D", "CIVIL WORK IN GSSS MEHRASAR NEAR NAKHAT BANA TEMPLE")</f>
        <v/>
      </c>
      <c r="C27" t="inlineStr">
        <is>
          <t>Rajasthan Council of School Education</t>
        </is>
      </c>
      <c r="D27" t="inlineStr">
        <is>
          <t>23-May-2025 06:00 PM</t>
        </is>
      </c>
      <c r="E27" t="inlineStr">
        <is>
          <t>24,79,000</t>
        </is>
      </c>
      <c r="F27" t="inlineStr">
        <is>
          <t>AS PER NIT</t>
        </is>
      </c>
      <c r="G27" t="inlineStr">
        <is>
          <t>BIKANER</t>
        </is>
      </c>
    </row>
    <row r="28">
      <c r="A28" s="1" t="n">
        <v>26</v>
      </c>
      <c r="B28">
        <f>HYPERLINK("https://eproc.rajasthan.gov.in/nicgep/app?component=%24DirectLink&amp;page=FrontEndViewTender&amp;service=direct&amp;session=T&amp;sp=SLvnD%2B83FCzmGaLOJhsZpGA%3D%3D", "CIVIL WORK IN GSSS PUNRASAR")</f>
        <v/>
      </c>
      <c r="C28" t="inlineStr">
        <is>
          <t>Rajasthan Council of School Education</t>
        </is>
      </c>
      <c r="D28" t="inlineStr">
        <is>
          <t>23-May-2025 06:00 PM</t>
        </is>
      </c>
      <c r="E28" t="inlineStr">
        <is>
          <t>24,79,000</t>
        </is>
      </c>
      <c r="F28" t="inlineStr">
        <is>
          <t>AS PER NIT</t>
        </is>
      </c>
      <c r="G28" t="inlineStr">
        <is>
          <t>BIKANER</t>
        </is>
      </c>
    </row>
    <row r="29">
      <c r="A29" s="1" t="n">
        <v>27</v>
      </c>
      <c r="B29">
        <f>HYPERLINK("https://eproc.rajasthan.gov.in/nicgep/app?component=%24DirectLink&amp;page=FrontEndViewTender&amp;service=direct&amp;session=T&amp;sp=S4WfjvuYjvNCrkh8Qu20miw%3D%3D", "CIVIL WORK IN GSSS TAKHTPURA")</f>
        <v/>
      </c>
      <c r="C29" t="inlineStr">
        <is>
          <t>Rajasthan Council of School Education</t>
        </is>
      </c>
      <c r="D29" t="inlineStr">
        <is>
          <t>23-May-2025 06:00 PM</t>
        </is>
      </c>
      <c r="E29" t="inlineStr">
        <is>
          <t>24,79,000</t>
        </is>
      </c>
      <c r="F29" t="inlineStr">
        <is>
          <t>AS PER NIT</t>
        </is>
      </c>
      <c r="G29" t="inlineStr">
        <is>
          <t>BIKANER</t>
        </is>
      </c>
    </row>
    <row r="30">
      <c r="A30" s="1" t="n">
        <v>28</v>
      </c>
      <c r="B30">
        <f>HYPERLINK("https://eproc.rajasthan.gov.in/nicgep/app?component=%24DirectLink&amp;page=FrontEndViewTender&amp;service=direct&amp;session=T&amp;sp=Sax1T1MC1kIR0iV6JizDnxw%3D%3D", "CIVIL WORK IN GSSS BHANDSAR")</f>
        <v/>
      </c>
      <c r="C30" t="inlineStr">
        <is>
          <t>Rajasthan Council of School Education</t>
        </is>
      </c>
      <c r="D30" t="inlineStr">
        <is>
          <t>23-May-2025 06:00 PM</t>
        </is>
      </c>
      <c r="E30" t="inlineStr">
        <is>
          <t>24,79,000</t>
        </is>
      </c>
      <c r="F30" t="inlineStr">
        <is>
          <t>AS PER NIT</t>
        </is>
      </c>
      <c r="G30" t="inlineStr">
        <is>
          <t>BIKANER</t>
        </is>
      </c>
    </row>
    <row r="31">
      <c r="A31" s="1" t="n">
        <v>29</v>
      </c>
      <c r="B31">
        <f>HYPERLINK("https://eproc.rajasthan.gov.in/nicgep/app?component=%24DirectLink&amp;page=FrontEndViewTender&amp;service=direct&amp;session=T&amp;sp=StoxmTCqMEq07T1np%2FKZrFA%3D%3D", "CONSTRUCTION OF 1 ACR GUPS FATHEPUR BLOCK- SULTANPUR , DISTT- KOTA")</f>
        <v/>
      </c>
      <c r="C31" t="inlineStr">
        <is>
          <t>Rajasthan Council of School Education</t>
        </is>
      </c>
      <c r="D31" t="inlineStr">
        <is>
          <t>23-May-2025 06:00 PM</t>
        </is>
      </c>
      <c r="E31" t="inlineStr">
        <is>
          <t>9,81,000</t>
        </is>
      </c>
      <c r="F31" t="inlineStr">
        <is>
          <t>CONSTRUCTION OF 1 ACR GUPS FATHEPUR BLOCK- SULTANPUR , DISTT- KOTA</t>
        </is>
      </c>
      <c r="G31" t="inlineStr">
        <is>
          <t>KOTA</t>
        </is>
      </c>
    </row>
    <row r="32">
      <c r="A32" s="1" t="n">
        <v>30</v>
      </c>
      <c r="B32">
        <f>HYPERLINK("https://eproc.rajasthan.gov.in/nicgep/app?component=%24DirectLink&amp;page=FrontEndViewTender&amp;service=direct&amp;session=T&amp;sp=SRkuV0DQZjyBy5AuXjk0EqA%3D%3D", "CONSTRUCTION OF 1 ACR GUPS KHEDLI MAHARAJA BLOCK- ITAWA , DISTT- KOTA")</f>
        <v/>
      </c>
      <c r="C32" t="inlineStr">
        <is>
          <t>Rajasthan Council of School Education</t>
        </is>
      </c>
      <c r="D32" t="inlineStr">
        <is>
          <t>23-May-2025 06:00 PM</t>
        </is>
      </c>
      <c r="E32" t="inlineStr">
        <is>
          <t>9,81,000</t>
        </is>
      </c>
      <c r="F32" t="inlineStr">
        <is>
          <t>CONSTRUCTION OF 1 ACR GUPS KHEDLI MAHARAJA BLOCK- ITAWA , DISTT- KOTA</t>
        </is>
      </c>
      <c r="G32" t="inlineStr">
        <is>
          <t>KOTA</t>
        </is>
      </c>
    </row>
    <row r="33">
      <c r="A33" s="1" t="n">
        <v>31</v>
      </c>
      <c r="B33">
        <f>HYPERLINK("https://eproc.rajasthan.gov.in/nicgep/app?component=%24DirectLink&amp;page=FrontEndViewTender&amp;service=direct&amp;session=T&amp;sp=SkH9nUgU1R1WbLq%2Btm%2BXMaA%3D%3D", "CONSTRUCTION OF 1 ACR GUPS BARNAHALI BLOCK- ITAWA , DISTT- KOTA")</f>
        <v/>
      </c>
      <c r="C33" t="inlineStr">
        <is>
          <t>Rajasthan Council of School Education</t>
        </is>
      </c>
      <c r="D33" t="inlineStr">
        <is>
          <t>23-May-2025 06:00 PM</t>
        </is>
      </c>
      <c r="E33" t="inlineStr">
        <is>
          <t>9,81,000</t>
        </is>
      </c>
      <c r="F33" t="inlineStr">
        <is>
          <t>CONSTRUCTION OF 1 ACR GUPS BARNAHALI BLOCK- ITAWA , DISTT- KOTA</t>
        </is>
      </c>
      <c r="G33" t="inlineStr">
        <is>
          <t>KOTA</t>
        </is>
      </c>
    </row>
    <row r="34">
      <c r="A34" s="1" t="n">
        <v>32</v>
      </c>
      <c r="B34">
        <f>HYPERLINK("https://eproc.rajasthan.gov.in/nicgep/app?component=%24DirectLink&amp;page=FrontEndViewTender&amp;service=direct&amp;session=T&amp;sp=Sor4deefqXDRTrvPnGEEsmA%3D%3D", "CONSTRUCTION OF 1 ACR GUPS LAKHNI BLOCK- ITAWA , DISTT- KOTA")</f>
        <v/>
      </c>
      <c r="C34" t="inlineStr">
        <is>
          <t>Rajasthan Council of School Education</t>
        </is>
      </c>
      <c r="D34" t="inlineStr">
        <is>
          <t>23-May-2025 06:00 PM</t>
        </is>
      </c>
      <c r="E34" t="inlineStr">
        <is>
          <t>9,81,000</t>
        </is>
      </c>
      <c r="F34" t="inlineStr">
        <is>
          <t>CONSTRUCTION OF 1 ACR GUPS LAKHNI BLOCK- ITAWA , DISTT- KOTA</t>
        </is>
      </c>
      <c r="G34" t="inlineStr">
        <is>
          <t>KOTA</t>
        </is>
      </c>
    </row>
    <row r="35">
      <c r="A35" s="1" t="n">
        <v>33</v>
      </c>
      <c r="B35">
        <f>HYPERLINK("https://eproc.rajasthan.gov.in/nicgep/app?component=%24DirectLink&amp;page=FrontEndViewTender&amp;service=direct&amp;session=T&amp;sp=Sa3qJsnBS888Ei9PbnN4JhA%3D%3D", "CONSTRUCTION OF 1 ACR GGSSS KOTDA DEEP SHINGH BLOCK- SULTANPUR , DISTT- KOTA")</f>
        <v/>
      </c>
      <c r="C35" t="inlineStr">
        <is>
          <t>Rajasthan Council of School Education</t>
        </is>
      </c>
      <c r="D35" t="inlineStr">
        <is>
          <t>23-May-2025 06:00 PM</t>
        </is>
      </c>
      <c r="E35" t="inlineStr">
        <is>
          <t>9,81,000</t>
        </is>
      </c>
      <c r="F35" t="inlineStr">
        <is>
          <t>CONSTRUCTION OF 1 ACR GGSSS KOTDA DEEP SHINGH BLOCK- SULTANPUR , DISTT- KOTA</t>
        </is>
      </c>
      <c r="G35" t="inlineStr">
        <is>
          <t>KOTA</t>
        </is>
      </c>
    </row>
    <row r="36">
      <c r="A36" s="1" t="n">
        <v>34</v>
      </c>
      <c r="B36">
        <f>HYPERLINK("https://eproc.rajasthan.gov.in/nicgep/app?component=%24DirectLink&amp;page=FrontEndViewTender&amp;service=direct&amp;session=T&amp;sp=SgEH6fdD9%2BJP5Zo6pwu5VBQ%3D%3D", "CONSTRUCTION OF 1 ACR GGSSS TAKARWADA BLOCK- SULTANPUR , DISTT- KOTA")</f>
        <v/>
      </c>
      <c r="C36" t="inlineStr">
        <is>
          <t>Rajasthan Council of School Education</t>
        </is>
      </c>
      <c r="D36" t="inlineStr">
        <is>
          <t>23-May-2025 06:00 PM</t>
        </is>
      </c>
      <c r="E36" t="inlineStr">
        <is>
          <t>9,81,000</t>
        </is>
      </c>
      <c r="F36" t="inlineStr">
        <is>
          <t>CONSTRUCTION OF 1 ACR GGSSS TAKARWADA BLOCK- SULTANPUR , DISTT- KOTA</t>
        </is>
      </c>
      <c r="G36" t="inlineStr">
        <is>
          <t>KOTA</t>
        </is>
      </c>
    </row>
    <row r="37">
      <c r="A37" s="1" t="n">
        <v>35</v>
      </c>
      <c r="B37">
        <f>HYPERLINK("https://eproc.rajasthan.gov.in/nicgep/app?component=%24DirectLink&amp;page=FrontEndViewTender&amp;service=direct&amp;session=T&amp;sp=Sr9EMlhWqk%2B4xPM6Q37drJQ%3D%3D", "CONSTRUCTION OF 1 ACR GGUPS NIMOLA BLOCK- ITAWA , DISTT- KOTA")</f>
        <v/>
      </c>
      <c r="C37" t="inlineStr">
        <is>
          <t>Rajasthan Council of School Education</t>
        </is>
      </c>
      <c r="D37" t="inlineStr">
        <is>
          <t>23-May-2025 06:00 PM</t>
        </is>
      </c>
      <c r="E37" t="inlineStr">
        <is>
          <t>9,81,000</t>
        </is>
      </c>
      <c r="F37" t="inlineStr">
        <is>
          <t>CONSTRUCTION OF 1 ACR GGUPS NIMOLA BLOCK- ITAWA , DISTT- KOTA</t>
        </is>
      </c>
      <c r="G37" t="inlineStr">
        <is>
          <t>KOTA</t>
        </is>
      </c>
    </row>
    <row r="38">
      <c r="A38" s="1" t="n">
        <v>36</v>
      </c>
      <c r="B38">
        <f>HYPERLINK("https://eproc.rajasthan.gov.in/nicgep/app?component=%24DirectLink&amp;page=FrontEndViewTender&amp;service=direct&amp;session=T&amp;sp=SR497WqLBHPhG2nhGMLnx0A%3D%3D", "Construction of CC Road at DIET Building Bagari (Sojat)")</f>
        <v/>
      </c>
      <c r="C38" t="inlineStr">
        <is>
          <t>Rajasthan Council of School Education</t>
        </is>
      </c>
      <c r="D38" t="inlineStr">
        <is>
          <t>22-May-2025 06:00 PM</t>
        </is>
      </c>
      <c r="E38" t="inlineStr">
        <is>
          <t>9,79,206</t>
        </is>
      </c>
      <c r="F38" t="inlineStr">
        <is>
          <t>Construction of CC Road at DIET Building Bagari (Sojat)</t>
        </is>
      </c>
      <c r="G38" t="inlineStr">
        <is>
          <t>Pali</t>
        </is>
      </c>
    </row>
    <row r="39">
      <c r="A39" s="1" t="n">
        <v>37</v>
      </c>
      <c r="B39">
        <f>HYPERLINK("https://eproc.rajasthan.gov.in/nicgep/app?component=%24DirectLink&amp;page=FrontEndViewTender&amp;service=direct&amp;session=T&amp;sp=SCMBd8cHkP5jFqbWtv545wQ%3D%3D", "CONSTRUCTION OF 1 ACR MGGS KANWAS BLOCK- SANGOD , DISTT- KOTA")</f>
        <v/>
      </c>
      <c r="C39" t="inlineStr">
        <is>
          <t>Rajasthan Council of School Education</t>
        </is>
      </c>
      <c r="D39" t="inlineStr">
        <is>
          <t>23-May-2025 06:00 PM</t>
        </is>
      </c>
      <c r="E39" t="inlineStr">
        <is>
          <t>9,81,000</t>
        </is>
      </c>
      <c r="F39" t="inlineStr">
        <is>
          <t>CONSTRUCTION OF 1 ACR MGGS KANWAS BLOCK- SANGOD , DISTT- KOTA</t>
        </is>
      </c>
      <c r="G39" t="inlineStr">
        <is>
          <t>KOTA</t>
        </is>
      </c>
    </row>
    <row r="40">
      <c r="A40" s="1" t="n">
        <v>38</v>
      </c>
      <c r="B40">
        <f>HYPERLINK("https://eproc.rajasthan.gov.in/nicgep/app?component=%24DirectLink&amp;page=FrontEndViewTender&amp;service=direct&amp;session=T&amp;sp=S3qMfqRmH5EvnMPPCf2oj7g%3D%3D", "CONSTRUCTION OF 1 ACR GPS POLAIKHURD BLOCK- SANGOD , DISTT- KOTA")</f>
        <v/>
      </c>
      <c r="C40" t="inlineStr">
        <is>
          <t>Rajasthan Council of School Education</t>
        </is>
      </c>
      <c r="D40" t="inlineStr">
        <is>
          <t>23-May-2025 06:00 PM</t>
        </is>
      </c>
      <c r="E40" t="inlineStr">
        <is>
          <t>9,81,000</t>
        </is>
      </c>
      <c r="F40" t="inlineStr">
        <is>
          <t>CONSTRUCTION OF 1 ACR GPS POLAIKHURD BLOCK- SANGOD , DISTT- KOTA</t>
        </is>
      </c>
      <c r="G40" t="inlineStr">
        <is>
          <t>KOTA</t>
        </is>
      </c>
    </row>
    <row r="41">
      <c r="A41" s="1" t="n">
        <v>39</v>
      </c>
      <c r="B41">
        <f>HYPERLINK("https://eproc.rajasthan.gov.in/nicgep/app?component=%24DirectLink&amp;page=FrontEndViewTender&amp;service=direct&amp;session=T&amp;sp=S5gtGvrisCshdqEavukEVvg%3D%3D", "CONSTRUCTION OF 1 ACR GSSS GANISH GANJ BLOCK- ITAWA , DISTT- KOTA")</f>
        <v/>
      </c>
      <c r="C41" t="inlineStr">
        <is>
          <t>Rajasthan Council of School Education</t>
        </is>
      </c>
      <c r="D41" t="inlineStr">
        <is>
          <t>23-May-2025 06:00 PM</t>
        </is>
      </c>
      <c r="E41" t="inlineStr">
        <is>
          <t>9,81,000</t>
        </is>
      </c>
      <c r="F41" t="inlineStr">
        <is>
          <t>CONSTRUCTION OF 1 ACR GSSS GANISH GANJ BLOCK- ITAWA , DISTT- KOTA</t>
        </is>
      </c>
      <c r="G41" t="inlineStr">
        <is>
          <t>KOTA</t>
        </is>
      </c>
    </row>
    <row r="42">
      <c r="A42" s="1" t="n">
        <v>40</v>
      </c>
      <c r="B42">
        <f>HYPERLINK("https://eproc.rajasthan.gov.in/nicgep/app?component=%24DirectLink&amp;page=FrontEndViewTender&amp;service=direct&amp;session=T&amp;sp=Sw2OuRVI%2B8Xuxeexevpsc0A%3D%3D", "CONSTRUCTION OF 1 ACR MGGS ROJARI BLOCK- KOTA , DISTT- KOTA")</f>
        <v/>
      </c>
      <c r="C42" t="inlineStr">
        <is>
          <t>Rajasthan Council of School Education</t>
        </is>
      </c>
      <c r="D42" t="inlineStr">
        <is>
          <t>23-May-2025 06:00 PM</t>
        </is>
      </c>
      <c r="E42" t="inlineStr">
        <is>
          <t>9,81,000</t>
        </is>
      </c>
      <c r="F42" t="inlineStr">
        <is>
          <t>CONSTRUCTION OF 1 ACR MGGS ROJARI BLOCK- KOTA , DISTT- KOTA</t>
        </is>
      </c>
      <c r="G42" t="inlineStr">
        <is>
          <t>KOTA</t>
        </is>
      </c>
    </row>
    <row r="43">
      <c r="A43" s="1" t="n">
        <v>41</v>
      </c>
      <c r="B43">
        <f>HYPERLINK("https://eproc.rajasthan.gov.in/nicgep/app?component=%24DirectLink&amp;page=FrontEndViewTender&amp;service=direct&amp;session=T&amp;sp=SI8lFnQlllHjNfr%2BiZRqWDA%3D%3D", "CONSTRUCTION OF 1 ACR GSSS KISHORPURA BLOCK- SULTANPUR , DISTT- KOTA")</f>
        <v/>
      </c>
      <c r="C43" t="inlineStr">
        <is>
          <t>Rajasthan Council of School Education</t>
        </is>
      </c>
      <c r="D43" t="inlineStr">
        <is>
          <t>23-May-2025 06:00 PM</t>
        </is>
      </c>
      <c r="E43" t="inlineStr">
        <is>
          <t>9,81,000</t>
        </is>
      </c>
      <c r="F43" t="inlineStr">
        <is>
          <t>CONSTRUCTION OF 1 ACR GSSS KISHORPURA BLOCK- SULTANPUR , DISTT- KOTA</t>
        </is>
      </c>
      <c r="G43" t="inlineStr">
        <is>
          <t>KOTA</t>
        </is>
      </c>
    </row>
    <row r="44">
      <c r="A44" s="1" t="n">
        <v>42</v>
      </c>
      <c r="B44">
        <f>HYPERLINK("https://eproc.rajasthan.gov.in/nicgep/app?component=%24DirectLink&amp;page=FrontEndViewTender&amp;service=direct&amp;session=T&amp;sp=SMzQKpawfdOBLeMmpy2DZRQ%3D%3D", "CONSTRUCTION OF 1 ACR MGGS MORK GAON BLOCK- KHAIRABAD , DISTT- KOTA")</f>
        <v/>
      </c>
      <c r="C44" t="inlineStr">
        <is>
          <t>Rajasthan Council of School Education</t>
        </is>
      </c>
      <c r="D44" t="inlineStr">
        <is>
          <t>23-May-2025 06:00 PM</t>
        </is>
      </c>
      <c r="E44" t="inlineStr">
        <is>
          <t>9,81,000</t>
        </is>
      </c>
      <c r="F44" t="inlineStr">
        <is>
          <t>CONSTRUCTION OF 1 ACR MGGS MORK GAON BLOCK- KHAIRABAD , DISTT- KOTA</t>
        </is>
      </c>
      <c r="G44" t="inlineStr">
        <is>
          <t>KOTA</t>
        </is>
      </c>
    </row>
    <row r="45">
      <c r="A45" s="1" t="n">
        <v>43</v>
      </c>
      <c r="B45">
        <f>HYPERLINK("https://eproc.rajasthan.gov.in/nicgep/app?component=%24DirectLink&amp;page=FrontEndViewTender&amp;service=direct&amp;session=T&amp;sp=Slp%2Flg9Acolg%2BtjiuLD36QQ%3D%3D", "CONSTRUCTION OF 1 ACR GSSS SAHARAWADA BLOCK- KHAIRABAD , DISTT- KOTA")</f>
        <v/>
      </c>
      <c r="C45" t="inlineStr">
        <is>
          <t>Rajasthan Council of School Education</t>
        </is>
      </c>
      <c r="D45" t="inlineStr">
        <is>
          <t>23-May-2025 06:00 PM</t>
        </is>
      </c>
      <c r="E45" t="inlineStr">
        <is>
          <t>9,81,000</t>
        </is>
      </c>
      <c r="F45" t="inlineStr">
        <is>
          <t>CONSTRUCTION OF 1 ACR GSSS SAHARAWADA BLOCK- KHAIRABAD , DISTT- KOTA</t>
        </is>
      </c>
      <c r="G45" t="inlineStr">
        <is>
          <t>KOTA</t>
        </is>
      </c>
    </row>
    <row r="46">
      <c r="A46" s="1" t="n">
        <v>44</v>
      </c>
      <c r="B46">
        <f>HYPERLINK("https://eproc.rajasthan.gov.in/nicgep/app?component=%24DirectLink&amp;page=FrontEndViewTender&amp;service=direct&amp;session=T&amp;sp=Sm1Sz1r30ApQBQAims8%2Btqw%3D%3D", "CONSTRUCTION OF 1 ACR GSSS PIPA KHEDI BLOCK- KHAIRABAD , DISTT- KOTA")</f>
        <v/>
      </c>
      <c r="C46" t="inlineStr">
        <is>
          <t>Rajasthan Council of School Education</t>
        </is>
      </c>
      <c r="D46" t="inlineStr">
        <is>
          <t>23-May-2025 06:00 PM</t>
        </is>
      </c>
      <c r="E46" t="inlineStr">
        <is>
          <t>9,81,000</t>
        </is>
      </c>
      <c r="F46" t="inlineStr">
        <is>
          <t>CONSTRUCTION OF 1 ACR GSSS PIPA KHEDI BLOCK- KHAIRABAD , DISTT- KOTA</t>
        </is>
      </c>
      <c r="G46" t="inlineStr">
        <is>
          <t>KOTA</t>
        </is>
      </c>
    </row>
    <row r="47">
      <c r="A47" s="1" t="n">
        <v>45</v>
      </c>
      <c r="B47">
        <f>HYPERLINK("https://eproc.rajasthan.gov.in/nicgep/app?component=%24DirectLink&amp;page=FrontEndViewTender&amp;service=direct&amp;session=T&amp;sp=SqdjhbmTXPnnBIBZgI8wtBQ%3D%3D", "CONSTRUCTION OF 1 ACR GUPS GANESH NAGAR BLOCK- KOTA , DISTT- KOTA")</f>
        <v/>
      </c>
      <c r="C47" t="inlineStr">
        <is>
          <t>Rajasthan Council of School Education</t>
        </is>
      </c>
      <c r="D47" t="inlineStr">
        <is>
          <t>23-May-2025 06:00 PM</t>
        </is>
      </c>
      <c r="E47" t="inlineStr">
        <is>
          <t>9,81,000</t>
        </is>
      </c>
      <c r="F47" t="inlineStr">
        <is>
          <t>CONSTRUCTION OF 1 ACR GUPS GANESH NAGAR BLOCK- KOTA , DISTT- KOTA</t>
        </is>
      </c>
      <c r="G47" t="inlineStr">
        <is>
          <t>KOTA</t>
        </is>
      </c>
    </row>
    <row r="48">
      <c r="A48" s="1" t="n">
        <v>46</v>
      </c>
      <c r="B48">
        <f>HYPERLINK("https://eproc.rajasthan.gov.in/nicgep/app?component=%24DirectLink&amp;page=FrontEndViewTender&amp;service=direct&amp;session=T&amp;sp=SVsj9FHB0IdRXuAP3Jk89pA%3D%3D", "CONSTRUCTION OF 1 ACR GGUPS KHEDA RUDHA BLOCK- KHAIRABAD , DISTT- KOTA")</f>
        <v/>
      </c>
      <c r="C48" t="inlineStr">
        <is>
          <t>Rajasthan Council of School Education</t>
        </is>
      </c>
      <c r="D48" t="inlineStr">
        <is>
          <t>23-May-2025 06:00 PM</t>
        </is>
      </c>
      <c r="E48" t="inlineStr">
        <is>
          <t>9,81,000</t>
        </is>
      </c>
      <c r="F48" t="inlineStr">
        <is>
          <t>CONSTRUCTION OF 1 ACR GGUPS KHEDA RUDHA BLOCK- KHAIRABAD , DISTT- KOTA</t>
        </is>
      </c>
      <c r="G48" t="inlineStr">
        <is>
          <t>KOTA</t>
        </is>
      </c>
    </row>
    <row r="49">
      <c r="A49" s="1" t="n">
        <v>47</v>
      </c>
      <c r="B49">
        <f>HYPERLINK("https://eproc.rajasthan.gov.in/nicgep/app?component=%24DirectLink&amp;page=FrontEndViewTender&amp;service=direct&amp;session=T&amp;sp=S1l%2BI4NB%2FILsDqw37boWuyQ%3D%3D", "CONSTRUCTION OF 1 ACR GSSS KHEDA RUDHA BLOCK- KHAIRABAD , DISTT- KOTA")</f>
        <v/>
      </c>
      <c r="C49" t="inlineStr">
        <is>
          <t>Rajasthan Council of School Education</t>
        </is>
      </c>
      <c r="D49" t="inlineStr">
        <is>
          <t>23-May-2025 06:00 PM</t>
        </is>
      </c>
      <c r="E49" t="inlineStr">
        <is>
          <t>9,81,000</t>
        </is>
      </c>
      <c r="F49" t="inlineStr">
        <is>
          <t>CONSTRUCTION OF 1 ACR GSSS KHEDA RUDHA BLOCK- KHAIRABAD , DISTT- KOTA</t>
        </is>
      </c>
      <c r="G49" t="inlineStr">
        <is>
          <t>KOTA</t>
        </is>
      </c>
    </row>
    <row r="50">
      <c r="A50" s="1" t="n">
        <v>48</v>
      </c>
      <c r="B50">
        <f>HYPERLINK("https://eproc.rajasthan.gov.in/nicgep/app?component=%24DirectLink&amp;page=FrontEndViewTender&amp;service=direct&amp;session=T&amp;sp=StOUUcg%2Flo4pK%2BDhnJbpr8A%3D%3D", "CONSTRUCTION OF 1 ACR GSSS TALAB BLOCK- ITAWA , DISTT- KOTA")</f>
        <v/>
      </c>
      <c r="C50" t="inlineStr">
        <is>
          <t>Rajasthan Council of School Education</t>
        </is>
      </c>
      <c r="D50" t="inlineStr">
        <is>
          <t>23-May-2025 06:00 PM</t>
        </is>
      </c>
      <c r="E50" t="inlineStr">
        <is>
          <t>9,81,000</t>
        </is>
      </c>
      <c r="F50" t="inlineStr">
        <is>
          <t>CONSTRUCTION OF 1 ACR GSSS TALAB BLOCK- ITAWA , DISTT- KOTA</t>
        </is>
      </c>
      <c r="G50" t="inlineStr">
        <is>
          <t>KOTA</t>
        </is>
      </c>
    </row>
    <row r="51">
      <c r="A51" s="1" t="n">
        <v>49</v>
      </c>
      <c r="B51">
        <f>HYPERLINK("https://eproc.rajasthan.gov.in/nicgep/app?component=%24DirectLink&amp;page=FrontEndViewTender&amp;service=direct&amp;session=T&amp;sp=SBGKG%2FVFXOXX7qD9mvpFmAw%3D%3D", "CONSTRUCTION OF 1 ACR GUPS NIYAMATKHEDI BLOCK- KOTA , DISTT- KOTA")</f>
        <v/>
      </c>
      <c r="C51" t="inlineStr">
        <is>
          <t>Rajasthan Council of School Education</t>
        </is>
      </c>
      <c r="D51" t="inlineStr">
        <is>
          <t>23-May-2025 06:00 PM</t>
        </is>
      </c>
      <c r="E51" t="inlineStr">
        <is>
          <t>9,81,000</t>
        </is>
      </c>
      <c r="F51" t="inlineStr">
        <is>
          <t>CONSTRUCTION OF 1 ACR GUPS NIYAMATKHEDI BLOCK- KOTA , DISTT- KOTA</t>
        </is>
      </c>
      <c r="G51" t="inlineStr">
        <is>
          <t>KOTA</t>
        </is>
      </c>
    </row>
    <row r="52">
      <c r="A52" s="1" t="n">
        <v>50</v>
      </c>
      <c r="B52">
        <f>HYPERLINK("https://eproc.rajasthan.gov.in/nicgep/app?component=%24DirectLink&amp;page=FrontEndViewTender&amp;service=direct&amp;session=T&amp;sp=S86OVn7zZ%2BD6cRztmJMdj7Q%3D%3D", "CONSTRUCTION OF 1 ACR GSSS BRAJRAJ PURA-II (DIET PARISAR) BLOCK- KOTA , DISTT- KOTA")</f>
        <v/>
      </c>
      <c r="C52" t="inlineStr">
        <is>
          <t>Rajasthan Council of School Education</t>
        </is>
      </c>
      <c r="D52" t="inlineStr">
        <is>
          <t>23-May-2025 06:00 PM</t>
        </is>
      </c>
      <c r="E52" t="inlineStr">
        <is>
          <t>9,81,000</t>
        </is>
      </c>
      <c r="F52" t="inlineStr">
        <is>
          <t>CONSTRUCTION OF 1 ACR GSSS BRAJRAJ PURA-II (DIET PARISAR) BLOCK- KOTA , DISTT- KOTA</t>
        </is>
      </c>
      <c r="G52" t="inlineStr">
        <is>
          <t>KOTA</t>
        </is>
      </c>
    </row>
    <row r="53">
      <c r="A53" s="1" t="n">
        <v>51</v>
      </c>
      <c r="B53">
        <f>HYPERLINK("https://eproc.rajasthan.gov.in/nicgep/app?component=%24DirectLink&amp;page=FrontEndViewTender&amp;service=direct&amp;session=T&amp;sp=Syqr5o6t2JlfFeTXd4oD6DQ%3D%3D", "CONSTRUCTION OF 1 ACR GSSS GADIYA BLOCK- KHAIRABAD , DISTT- KOTA")</f>
        <v/>
      </c>
      <c r="C53" t="inlineStr">
        <is>
          <t>Rajasthan Council of School Education</t>
        </is>
      </c>
      <c r="D53" t="inlineStr">
        <is>
          <t>23-May-2025 06:00 PM</t>
        </is>
      </c>
      <c r="E53" t="inlineStr">
        <is>
          <t>9,81,000</t>
        </is>
      </c>
      <c r="F53" t="inlineStr">
        <is>
          <t>CONSTRUCTION OF 1 ACR GSSS GADIYA BLOCK- KHAIRABAD , DISTT- KOTA</t>
        </is>
      </c>
      <c r="G53" t="inlineStr">
        <is>
          <t>KOTA</t>
        </is>
      </c>
    </row>
    <row r="54">
      <c r="A54" s="1" t="n">
        <v>52</v>
      </c>
      <c r="B54">
        <f>HYPERLINK("https://eproc.rajasthan.gov.in/nicgep/app?component=%24DirectLink&amp;page=FrontEndViewTender&amp;service=direct&amp;session=T&amp;sp=ScvpX1tQw6svHE8Lor0hdaw%3D%3D", "CONSTRUCTION OF 1 ACR GUPS KASOLI BLOCK- SANGOD , DISTT- KOTA")</f>
        <v/>
      </c>
      <c r="C54" t="inlineStr">
        <is>
          <t>Rajasthan Council of School Education</t>
        </is>
      </c>
      <c r="D54" t="inlineStr">
        <is>
          <t>23-May-2025 06:00 PM</t>
        </is>
      </c>
      <c r="E54" t="inlineStr">
        <is>
          <t>9,81,000</t>
        </is>
      </c>
      <c r="F54" t="inlineStr">
        <is>
          <t>CONSTRUCTION OF 1 ACR GUPS KASOLI BLOCK- SANGOD , DISTT- KOTA</t>
        </is>
      </c>
      <c r="G54" t="inlineStr">
        <is>
          <t>KOTA</t>
        </is>
      </c>
    </row>
    <row r="55">
      <c r="A55" s="1" t="n">
        <v>53</v>
      </c>
      <c r="B55">
        <f>HYPERLINK("https://eproc.rajasthan.gov.in/nicgep/app?component=%24DirectLink&amp;page=FrontEndViewTender&amp;service=direct&amp;session=T&amp;sp=Slun3585yrYBOoCEqJJnfJA%3D%3D", "CONSTRUCTION OF 1 ACR GPS BARKHEDA BLOCK- SANGOD , DISTT- KOTA")</f>
        <v/>
      </c>
      <c r="C55" t="inlineStr">
        <is>
          <t>Rajasthan Council of School Education</t>
        </is>
      </c>
      <c r="D55" t="inlineStr">
        <is>
          <t>23-May-2025 06:00 PM</t>
        </is>
      </c>
      <c r="E55" t="inlineStr">
        <is>
          <t>9,81,000</t>
        </is>
      </c>
      <c r="F55" t="inlineStr">
        <is>
          <t>CONSTRUCTION OF 1 ACR GPS BARKHEDA BLOCK- SANGOD , DISTT- KOTA</t>
        </is>
      </c>
      <c r="G55" t="inlineStr">
        <is>
          <t>KOTA</t>
        </is>
      </c>
    </row>
    <row r="56">
      <c r="A56" s="1" t="n">
        <v>54</v>
      </c>
      <c r="B56">
        <f>HYPERLINK("https://eproc.rajasthan.gov.in/nicgep/app?component=%24DirectLink&amp;page=FrontEndViewTender&amp;service=direct&amp;session=T&amp;sp=SyFwj0HB1W9YMTtXVY%2FOH5A%3D%3D", "CONSTRUCTION OF 1 ACR GUPS PALA HEDA BLOCK- SANGOD , DISTT- KOTA")</f>
        <v/>
      </c>
      <c r="C56" t="inlineStr">
        <is>
          <t>Rajasthan Council of School Education</t>
        </is>
      </c>
      <c r="D56" t="inlineStr">
        <is>
          <t>23-May-2025 06:00 PM</t>
        </is>
      </c>
      <c r="E56" t="inlineStr">
        <is>
          <t>9,81,000</t>
        </is>
      </c>
      <c r="F56" t="inlineStr">
        <is>
          <t>CONSTRUCTION OF 1 ACR GUPS PALA HEDA BLOCK- SANGOD , DISTT- KOTA</t>
        </is>
      </c>
      <c r="G56" t="inlineStr">
        <is>
          <t>KOTA</t>
        </is>
      </c>
    </row>
    <row r="57">
      <c r="A57" s="1" t="n">
        <v>55</v>
      </c>
      <c r="B57">
        <f>HYPERLINK("https://eproc.rajasthan.gov.in/nicgep/app?component=%24DirectLink&amp;page=FrontEndViewTender&amp;service=direct&amp;session=T&amp;sp=SjOIznHvR%2Fi4kEBJmpZeqMw%3D%3D", "CONSTRUCTION OF 1 ACR GUPS DABRI KHURD BLOCK- SANGOD , DISTT- KOTA")</f>
        <v/>
      </c>
      <c r="C57" t="inlineStr">
        <is>
          <t>Rajasthan Council of School Education</t>
        </is>
      </c>
      <c r="D57" t="inlineStr">
        <is>
          <t>23-May-2025 06:00 PM</t>
        </is>
      </c>
      <c r="E57" t="inlineStr">
        <is>
          <t>9,81,000</t>
        </is>
      </c>
      <c r="F57" t="inlineStr">
        <is>
          <t>CONSTRUCTION OF 1 ACR GUPS DABRI KHURD BLOCK- SANGOD , DISTT- KOTA</t>
        </is>
      </c>
      <c r="G57" t="inlineStr">
        <is>
          <t>KOTA</t>
        </is>
      </c>
    </row>
    <row r="58">
      <c r="A58" s="1" t="n">
        <v>56</v>
      </c>
      <c r="B58">
        <f>HYPERLINK("https://eproc.rajasthan.gov.in/nicgep/app?component=%24DirectLink&amp;page=FrontEndViewTender&amp;service=direct&amp;session=T&amp;sp=SmzFLwa4FobvIVWjBuYkHgA%3D%3D", "CONSTRUCTION OF 1 ACR GSSS NAYA GOWN DHULET BLOCK- LADPURA , DISTT- KOTA")</f>
        <v/>
      </c>
      <c r="C58" t="inlineStr">
        <is>
          <t>Rajasthan Council of School Education</t>
        </is>
      </c>
      <c r="D58" t="inlineStr">
        <is>
          <t>23-May-2025 06:00 PM</t>
        </is>
      </c>
      <c r="E58" t="inlineStr">
        <is>
          <t>9,81,000</t>
        </is>
      </c>
      <c r="F58" t="inlineStr">
        <is>
          <t>CONSTRUCTION OF 1 ACR GSSS NAYA GOWN DHULET BLOCK- LADPURA , DISTT- KOTA</t>
        </is>
      </c>
      <c r="G58" t="inlineStr">
        <is>
          <t>KOTA</t>
        </is>
      </c>
    </row>
    <row r="59">
      <c r="A59" s="1" t="n">
        <v>57</v>
      </c>
      <c r="B59">
        <f>HYPERLINK("https://eproc.rajasthan.gov.in/nicgep/app?component=%24DirectLink&amp;page=FrontEndViewTender&amp;service=direct&amp;session=T&amp;sp=SnRXMNsxKAy7GLKbTdWWPHQ%3D%3D", "CONSTRUCTION OF 1 ACR GSSS KAJHURI ODHPUR BLOCK- SANGOD , DISTT- KOTA")</f>
        <v/>
      </c>
      <c r="C59" t="inlineStr">
        <is>
          <t>Rajasthan Council of School Education</t>
        </is>
      </c>
      <c r="D59" t="inlineStr">
        <is>
          <t>23-May-2025 06:00 PM</t>
        </is>
      </c>
      <c r="E59" t="inlineStr">
        <is>
          <t>9,81,000</t>
        </is>
      </c>
      <c r="F59" t="inlineStr">
        <is>
          <t>CONSTRUCTION OF 1 ACR GSSS KAJHURI ODHPUR BLOCK- SANGOD , DISTT- KOTA</t>
        </is>
      </c>
      <c r="G59" t="inlineStr">
        <is>
          <t>KOTA</t>
        </is>
      </c>
    </row>
    <row r="60">
      <c r="A60" s="1" t="n">
        <v>58</v>
      </c>
      <c r="B60">
        <f>HYPERLINK("https://eproc.rajasthan.gov.in/nicgep/app?component=%24DirectLink&amp;page=FrontEndViewTender&amp;service=direct&amp;session=T&amp;sp=SXJr039Uao%2Fp6QV5wXqCHRQ%3D%3D", "CONSTRUCTION OF 1 ACR GSSS NALODI BLOCK- SANGOD , DISTT- KOTA")</f>
        <v/>
      </c>
      <c r="C60" t="inlineStr">
        <is>
          <t>Rajasthan Council of School Education</t>
        </is>
      </c>
      <c r="D60" t="inlineStr">
        <is>
          <t>23-May-2025 06:00 PM</t>
        </is>
      </c>
      <c r="E60" t="inlineStr">
        <is>
          <t>9,81,000</t>
        </is>
      </c>
      <c r="F60" t="inlineStr">
        <is>
          <t>CONSTRUCTION OF 1 ACR GSSS NALODI BLOCK- SANGOD , DISTT- KOTA</t>
        </is>
      </c>
      <c r="G60" t="inlineStr">
        <is>
          <t>KOTA</t>
        </is>
      </c>
    </row>
    <row r="61">
      <c r="A61" s="1" t="n">
        <v>59</v>
      </c>
      <c r="B61">
        <f>HYPERLINK("https://eproc.rajasthan.gov.in/nicgep/app?component=%24DirectLink&amp;page=FrontEndViewTender&amp;service=direct&amp;session=T&amp;sp=Sj4CmWo2MavF4zxdCAoZB8w%3D%3D", "CONSTRUCTION OF 1 ACR GSSS GODLIYA HEDI BLOCK- LADPURA , DISTT- KOTA")</f>
        <v/>
      </c>
      <c r="C61" t="inlineStr">
        <is>
          <t>Rajasthan Council of School Education</t>
        </is>
      </c>
      <c r="D61" t="inlineStr">
        <is>
          <t>23-May-2025 06:00 PM</t>
        </is>
      </c>
      <c r="E61" t="inlineStr">
        <is>
          <t>9,81,000</t>
        </is>
      </c>
      <c r="F61" t="inlineStr">
        <is>
          <t>CONSTRUCTION OF 1 ACR GSSS GODLIYA HEDI BLOCK- LADPURA , DISTT- KOTA</t>
        </is>
      </c>
      <c r="G61" t="inlineStr">
        <is>
          <t>KOTA</t>
        </is>
      </c>
    </row>
    <row r="62">
      <c r="A62" s="1" t="n">
        <v>60</v>
      </c>
      <c r="B62">
        <f>HYPERLINK("https://eproc.rajasthan.gov.in/nicgep/app?component=%24DirectLink&amp;page=FrontEndViewTender&amp;service=direct&amp;session=T&amp;sp=Skl5JP0TJlO6KkrpnGf4arA%3D%3D", "CONSTRUCTION OF 1 ACR GUPS LAKHAWA BLOCK- LADPURA , DISTT- KOTA")</f>
        <v/>
      </c>
      <c r="C62" t="inlineStr">
        <is>
          <t>Rajasthan Council of School Education</t>
        </is>
      </c>
      <c r="D62" t="inlineStr">
        <is>
          <t>23-May-2025 06:00 PM</t>
        </is>
      </c>
      <c r="E62" t="inlineStr">
        <is>
          <t>9,81,000</t>
        </is>
      </c>
      <c r="F62" t="inlineStr">
        <is>
          <t>CONSTRUCTION OF 1 ACR GUPS LAKHAWA BLOCK- LADPURA , DISTT- KOTA</t>
        </is>
      </c>
      <c r="G62" t="inlineStr">
        <is>
          <t>KOTA</t>
        </is>
      </c>
    </row>
    <row r="63">
      <c r="A63" s="1" t="n">
        <v>61</v>
      </c>
      <c r="B63">
        <f>HYPERLINK("https://eproc.rajasthan.gov.in/nicgep/app?component=%24DirectLink&amp;page=FrontEndViewTender&amp;service=direct&amp;session=T&amp;sp=SzC2asFSAmZWaPsS90NQZQQ%3D%3D", "CONSTRUCTION OF 1 ACR GUPS DAHARA BLOCK- LADPURA , DISTT- KOTA")</f>
        <v/>
      </c>
      <c r="C63" t="inlineStr">
        <is>
          <t>Rajasthan Council of School Education</t>
        </is>
      </c>
      <c r="D63" t="inlineStr">
        <is>
          <t>23-May-2025 06:00 PM</t>
        </is>
      </c>
      <c r="E63" t="inlineStr">
        <is>
          <t>9,81,000</t>
        </is>
      </c>
      <c r="F63" t="inlineStr">
        <is>
          <t>CONSTRUCTION OF 1 ACR GUPS DAHARA BLOCK- LADPURA , DISTT- KOTA</t>
        </is>
      </c>
      <c r="G63" t="inlineStr">
        <is>
          <t>KOTA</t>
        </is>
      </c>
    </row>
    <row r="64">
      <c r="A64" s="1" t="n">
        <v>62</v>
      </c>
      <c r="B64">
        <f>HYPERLINK("https://eproc.rajasthan.gov.in/nicgep/app?component=%24DirectLink&amp;page=FrontEndViewTender&amp;service=direct&amp;session=T&amp;sp=STcmwysU5%2FOfRYvbVQX9HzQ%3D%3D", "CONSTRUCTION OF 1 ACR GSSS GANDIFALI BLOCK- LADPURA , DISTT- KOTA")</f>
        <v/>
      </c>
      <c r="C64" t="inlineStr">
        <is>
          <t>Rajasthan Council of School Education</t>
        </is>
      </c>
      <c r="D64" t="inlineStr">
        <is>
          <t>23-May-2025 06:00 PM</t>
        </is>
      </c>
      <c r="E64" t="inlineStr">
        <is>
          <t>9,81,000</t>
        </is>
      </c>
      <c r="F64" t="inlineStr">
        <is>
          <t>CONSTRUCTION OF 1 ACR GSSS GANDIFALI BLOCK- LADPURA , DISTT- KOTA</t>
        </is>
      </c>
      <c r="G64" t="inlineStr">
        <is>
          <t>KOTA</t>
        </is>
      </c>
    </row>
    <row r="65">
      <c r="A65" s="1" t="n">
        <v>63</v>
      </c>
      <c r="B65">
        <f>HYPERLINK("https://eproc.rajasthan.gov.in/nicgep/app?component=%24DirectLink&amp;page=FrontEndViewTender&amp;service=direct&amp;session=T&amp;sp=SWfRhd%2FEXM4PvZyJzEKs4Kw%3D%3D", "CONSTRUCTION OF 1 ACR GSSS ARJUNPURA BLOCK- LADPURA , DISTT- KOTA")</f>
        <v/>
      </c>
      <c r="C65" t="inlineStr">
        <is>
          <t>Rajasthan Council of School Education</t>
        </is>
      </c>
      <c r="D65" t="inlineStr">
        <is>
          <t>23-May-2025 06:00 PM</t>
        </is>
      </c>
      <c r="E65" t="inlineStr">
        <is>
          <t>9,81,000</t>
        </is>
      </c>
      <c r="F65" t="inlineStr">
        <is>
          <t>CONSTRUCTION OF 1 ACR GSSS ARJUNPURA BLOCK- LADPURA , DISTT- KOTA</t>
        </is>
      </c>
      <c r="G65" t="inlineStr">
        <is>
          <t>KOTA</t>
        </is>
      </c>
    </row>
    <row r="66">
      <c r="A66" s="1" t="n">
        <v>64</v>
      </c>
      <c r="B66">
        <f>HYPERLINK("https://eproc.rajasthan.gov.in/nicgep/app?component=%24DirectLink&amp;page=FrontEndViewTender&amp;service=direct&amp;session=T&amp;sp=S7vNvgXlPkV8ia92L5g8l0w%3D%3D", "CONSTRUCTION OF 1 ACR GSSS KOTRI BLOCK- LADPURA , DISTT- KOTA")</f>
        <v/>
      </c>
      <c r="C66" t="inlineStr">
        <is>
          <t>Rajasthan Council of School Education</t>
        </is>
      </c>
      <c r="D66" t="inlineStr">
        <is>
          <t>23-May-2025 06:00 PM</t>
        </is>
      </c>
      <c r="E66" t="inlineStr">
        <is>
          <t>9,81,000</t>
        </is>
      </c>
      <c r="F66" t="inlineStr">
        <is>
          <t>CONSTRUCTION OF 1 ACR GSSS KOTRI BLOCK- LADPURA , DISTT- KOTA</t>
        </is>
      </c>
      <c r="G66" t="inlineStr">
        <is>
          <t>KOTA</t>
        </is>
      </c>
    </row>
    <row r="67">
      <c r="A67" s="1" t="n">
        <v>65</v>
      </c>
      <c r="B67">
        <f>HYPERLINK("https://eproc.rajasthan.gov.in/nicgep/app?component=%24DirectLink&amp;page=FrontEndViewTender&amp;service=direct&amp;session=T&amp;sp=SpKBY2gsHKJHGO7B5gWWnzg%3D%3D", "CONSTRUCTION OF 1 ACR GSSS MANASH GAON BLOCK- LADPURA , DISTT- KOTA")</f>
        <v/>
      </c>
      <c r="C67" t="inlineStr">
        <is>
          <t>Rajasthan Council of School Education</t>
        </is>
      </c>
      <c r="D67" t="inlineStr">
        <is>
          <t>23-May-2025 06:00 PM</t>
        </is>
      </c>
      <c r="E67" t="inlineStr">
        <is>
          <t>9,81,000</t>
        </is>
      </c>
      <c r="F67" t="inlineStr">
        <is>
          <t>CONSTRUCTION OF 1 ACR GSSS MANASH GAON BLOCK- LADPURA , DISTT- KOTA</t>
        </is>
      </c>
      <c r="G67" t="inlineStr">
        <is>
          <t>KOTA</t>
        </is>
      </c>
    </row>
    <row r="68">
      <c r="A68" s="1" t="n">
        <v>66</v>
      </c>
      <c r="B68">
        <f>HYPERLINK("https://eproc.rajasthan.gov.in/nicgep/app?component=%24DirectLink&amp;page=FrontEndViewTender&amp;service=direct&amp;session=T&amp;sp=SLAqpImbTa2799VpNV2CAfw%3D%3D", "CONSTRUCTION OF 1 ACR GSSS DASLANA BLOCK- LADPURA , DISTT- KOTA")</f>
        <v/>
      </c>
      <c r="C68" t="inlineStr">
        <is>
          <t>Rajasthan Council of School Education</t>
        </is>
      </c>
      <c r="D68" t="inlineStr">
        <is>
          <t>23-May-2025 06:00 PM</t>
        </is>
      </c>
      <c r="E68" t="inlineStr">
        <is>
          <t>9,81,000</t>
        </is>
      </c>
      <c r="F68" t="inlineStr">
        <is>
          <t>CONSTRUCTION OF 1 ACR GSSS DASLANA BLOCK- LADPURA , DISTT- KOTA</t>
        </is>
      </c>
      <c r="G68" t="inlineStr">
        <is>
          <t>KOTA</t>
        </is>
      </c>
    </row>
    <row r="69">
      <c r="A69" s="1" t="n">
        <v>67</v>
      </c>
      <c r="B69">
        <f>HYPERLINK("https://eproc.rajasthan.gov.in/nicgep/app?component=%24DirectLink&amp;page=FrontEndViewTender&amp;service=direct&amp;session=T&amp;sp=Si0mpOqyrmH7h2KimqFsPcQ%3D%3D", "CONSTRUCTION OF 1 ACR GGSSS UDHYOG NAGAR BLOCK- KOTA , DISTT- KOTA")</f>
        <v/>
      </c>
      <c r="C69" t="inlineStr">
        <is>
          <t>Rajasthan Council of School Education</t>
        </is>
      </c>
      <c r="D69" t="inlineStr">
        <is>
          <t>23-May-2025 06:00 PM</t>
        </is>
      </c>
      <c r="E69" t="inlineStr">
        <is>
          <t>9,81,000</t>
        </is>
      </c>
      <c r="F69" t="inlineStr">
        <is>
          <t>CONSTRUCTION OF 1 ACR GGSSS UDHYOG NAGAR BLOCK- KOTA , DISTT- KOTA</t>
        </is>
      </c>
      <c r="G69" t="inlineStr">
        <is>
          <t>KOTA</t>
        </is>
      </c>
    </row>
    <row r="70">
      <c r="A70" s="1" t="n">
        <v>68</v>
      </c>
      <c r="B70">
        <f>HYPERLINK("https://eproc.rajasthan.gov.in/nicgep/app?component=%24DirectLink&amp;page=FrontEndViewTender&amp;service=direct&amp;session=T&amp;sp=SjMcHv3UHK61Hiz8wdA%2FXBw%3D%3D", "CONSTRUCTION OF 1 ACR GGSSS KANSUWA BLOCK- LADPURA , DISTT- KOTA")</f>
        <v/>
      </c>
      <c r="C70" t="inlineStr">
        <is>
          <t>Rajasthan Council of School Education</t>
        </is>
      </c>
      <c r="D70" t="inlineStr">
        <is>
          <t>23-May-2025 06:00 PM</t>
        </is>
      </c>
      <c r="E70" t="inlineStr">
        <is>
          <t>9,81,000</t>
        </is>
      </c>
      <c r="F70" t="inlineStr">
        <is>
          <t>CONSTRUCTION OF 1 ACR GGSSS KANSUWA BLOCK- LADPURA , DISTT- KOTA</t>
        </is>
      </c>
      <c r="G70" t="inlineStr">
        <is>
          <t>KOTA</t>
        </is>
      </c>
    </row>
    <row r="71">
      <c r="A71" s="1" t="n">
        <v>69</v>
      </c>
      <c r="B71">
        <f>HYPERLINK("https://eproc.rajasthan.gov.in/nicgep/app?component=%24DirectLink&amp;page=FrontEndViewTender&amp;service=direct&amp;session=T&amp;sp=SdKF0thjOI90TgBDPVVW%2F3g%3D%3D", "Strengthening work for ACR")</f>
        <v/>
      </c>
      <c r="C71" t="inlineStr">
        <is>
          <t>Rajasthan Council of School Education</t>
        </is>
      </c>
      <c r="D71" t="inlineStr">
        <is>
          <t>23-May-2025 06:00 PM</t>
        </is>
      </c>
      <c r="E71" t="inlineStr">
        <is>
          <t>12,40,000</t>
        </is>
      </c>
      <c r="F71" t="inlineStr">
        <is>
          <t>Strengthening work for ACR at GSSS, Mochal (Sheoganj)</t>
        </is>
      </c>
      <c r="G71" t="inlineStr">
        <is>
          <t>Mochal</t>
        </is>
      </c>
    </row>
    <row r="72">
      <c r="A72" s="1" t="n">
        <v>70</v>
      </c>
      <c r="B72">
        <f>HYPERLINK("https://eproc.rajasthan.gov.in/nicgep/app?component=%24DirectLink&amp;page=FrontEndViewTender&amp;service=direct&amp;session=T&amp;sp=SkH62QUK9aWAZz%2F1wnpyNNw%3D%3D", "Construction/ Strengthening work for ACR (IX to X) under Lekhanudan Budget 2024-25 (Phase-II)")</f>
        <v/>
      </c>
      <c r="C72" t="inlineStr">
        <is>
          <t>Rajasthan Council of School Education</t>
        </is>
      </c>
      <c r="D72" t="inlineStr">
        <is>
          <t>23-May-2025 06:00 PM</t>
        </is>
      </c>
      <c r="E72" t="inlineStr">
        <is>
          <t>12,40,000</t>
        </is>
      </c>
      <c r="F72" t="inlineStr">
        <is>
          <t>Construction/ Strengthening work for ACR (IX to X) under Lekhanudan Budget 2024-25 (Phase-II) at GSSS, Meerpur</t>
        </is>
      </c>
      <c r="G72" t="inlineStr">
        <is>
          <t>Meerpur</t>
        </is>
      </c>
    </row>
    <row r="73">
      <c r="A73" s="1" t="n">
        <v>71</v>
      </c>
      <c r="B73">
        <f>HYPERLINK("https://eproc.rajasthan.gov.in/nicgep/app?component=%24DirectLink&amp;page=FrontEndViewTender&amp;service=direct&amp;session=T&amp;sp=S01MNjGxJa1O1wYTDatN9fA%3D%3D", "GSSS BHANDANA")</f>
        <v/>
      </c>
      <c r="C73" t="inlineStr">
        <is>
          <t>Rajasthan Council of School Education</t>
        </is>
      </c>
      <c r="D73" t="inlineStr">
        <is>
          <t>23-May-2025 06:00 PM</t>
        </is>
      </c>
      <c r="E73" t="inlineStr">
        <is>
          <t>13,45,000</t>
        </is>
      </c>
      <c r="F73" t="inlineStr">
        <is>
          <t>GSSS BHANDANA</t>
        </is>
      </c>
      <c r="G73" t="inlineStr">
        <is>
          <t>GSSS BHANDANA</t>
        </is>
      </c>
    </row>
    <row r="74">
      <c r="A74" s="1" t="n">
        <v>72</v>
      </c>
      <c r="B74">
        <f>HYPERLINK("https://eproc.rajasthan.gov.in/nicgep/app?component=%24DirectLink&amp;page=FrontEndViewTender&amp;service=direct&amp;session=T&amp;sp=St8JZifhsej8DMKVDkijHZQ%3D%3D", "MGGS GUPTESHWAR ROAD DAUSA")</f>
        <v/>
      </c>
      <c r="C74" t="inlineStr">
        <is>
          <t>Rajasthan Council of School Education</t>
        </is>
      </c>
      <c r="D74" t="inlineStr">
        <is>
          <t>23-May-2025 06:00 PM</t>
        </is>
      </c>
      <c r="E74" t="inlineStr">
        <is>
          <t>25,85,000</t>
        </is>
      </c>
      <c r="F74" t="inlineStr">
        <is>
          <t>MGGS GUPTESHWAR ROAD DAUSA</t>
        </is>
      </c>
      <c r="G74" t="inlineStr">
        <is>
          <t>MGGS GUPTESHWAR ROAD DAUSA</t>
        </is>
      </c>
    </row>
    <row r="75">
      <c r="A75" s="1" t="n">
        <v>73</v>
      </c>
      <c r="B75">
        <f>HYPERLINK("https://eproc.rajasthan.gov.in/nicgep/app?component=%24DirectLink&amp;page=FrontEndViewTender&amp;service=direct&amp;session=T&amp;sp=SO4ZfIIYVn0VX8h2RT6FHwA%3D%3D", "MGGS LAWAN")</f>
        <v/>
      </c>
      <c r="C75" t="inlineStr">
        <is>
          <t>Rajasthan Council of School Education</t>
        </is>
      </c>
      <c r="D75" t="inlineStr">
        <is>
          <t>23-May-2025 06:00 PM</t>
        </is>
      </c>
      <c r="E75" t="inlineStr">
        <is>
          <t>25,85,000</t>
        </is>
      </c>
      <c r="F75" t="inlineStr">
        <is>
          <t>MGGS LAWAN</t>
        </is>
      </c>
      <c r="G75" t="inlineStr">
        <is>
          <t>MGGS LAWAN</t>
        </is>
      </c>
    </row>
    <row r="76">
      <c r="A76" s="1" t="n">
        <v>74</v>
      </c>
      <c r="B76">
        <f>HYPERLINK("https://eproc.rajasthan.gov.in/nicgep/app?component=%24DirectLink&amp;page=FrontEndViewTender&amp;service=direct&amp;session=T&amp;sp=SK%2BjjwC4did8y4XDKepo5tg%3D%3D", "GUPS ALIPURA")</f>
        <v/>
      </c>
      <c r="C76" t="inlineStr">
        <is>
          <t>Rajasthan Council of School Education</t>
        </is>
      </c>
      <c r="D76" t="inlineStr">
        <is>
          <t>23-May-2025 06:00 PM</t>
        </is>
      </c>
      <c r="E76" t="inlineStr">
        <is>
          <t>23,25,000</t>
        </is>
      </c>
      <c r="F76" t="inlineStr">
        <is>
          <t>GUPS ALIPURA</t>
        </is>
      </c>
      <c r="G76" t="inlineStr">
        <is>
          <t>GUPS ALIPURA</t>
        </is>
      </c>
    </row>
    <row r="77">
      <c r="A77" s="1" t="n">
        <v>75</v>
      </c>
      <c r="B77">
        <f>HYPERLINK("https://eproc.rajasthan.gov.in/nicgep/app?component=%24DirectLink&amp;page=FrontEndViewTender&amp;service=direct&amp;session=T&amp;sp=SHmaQ9PC8rugppZfqmJxDsQ%3D%3D", "GSSS KHANPURA")</f>
        <v/>
      </c>
      <c r="C77" t="inlineStr">
        <is>
          <t>Rajasthan Council of School Education</t>
        </is>
      </c>
      <c r="D77" t="inlineStr">
        <is>
          <t>23-May-2025 06:00 PM</t>
        </is>
      </c>
      <c r="E77" t="inlineStr">
        <is>
          <t>25,85,000</t>
        </is>
      </c>
      <c r="F77" t="inlineStr">
        <is>
          <t>GSSS KHANPURA</t>
        </is>
      </c>
      <c r="G77" t="inlineStr">
        <is>
          <t>GSSS KHANPURA</t>
        </is>
      </c>
    </row>
    <row r="78">
      <c r="A78" s="1" t="n">
        <v>76</v>
      </c>
      <c r="B78">
        <f>HYPERLINK("https://eproc.rajasthan.gov.in/nicgep/app?component=%24DirectLink&amp;page=FrontEndViewTender&amp;service=direct&amp;session=T&amp;sp=S%2BM7rPCJIigPpLnhrU%2F3Niw%3D%3D", "CONSTRUCTION OF 1 ACR GGSSS MAHAVEER NAGAR THIRD BLOCK- KOTA , DISTT- KOTA")</f>
        <v/>
      </c>
      <c r="C78" t="inlineStr">
        <is>
          <t>Rajasthan Council of School Education</t>
        </is>
      </c>
      <c r="D78" t="inlineStr">
        <is>
          <t>23-May-2025 06:00 PM</t>
        </is>
      </c>
      <c r="E78" t="inlineStr">
        <is>
          <t>9,81,000</t>
        </is>
      </c>
      <c r="F78" t="inlineStr">
        <is>
          <t>CONSTRUCTION OF 1 ACR GGSSS MAHAVEER NAGAR THIRD BLOCK- KOTA , DISTT- KOTA</t>
        </is>
      </c>
      <c r="G78" t="inlineStr">
        <is>
          <t>KOTA</t>
        </is>
      </c>
    </row>
    <row r="79">
      <c r="A79" s="1" t="n">
        <v>77</v>
      </c>
      <c r="B79">
        <f>HYPERLINK("https://eproc.rajasthan.gov.in/nicgep/app?component=%24DirectLink&amp;page=FrontEndViewTender&amp;service=direct&amp;session=T&amp;sp=S2fZVj4jTchw23mIQ20CWnA%3D%3D", "CONSTRUCTION OF 1 ACR GSSS SANTOSHI NAGAR KB BLOCK- KOTA , DISTT- KOTA")</f>
        <v/>
      </c>
      <c r="C79" t="inlineStr">
        <is>
          <t>Rajasthan Council of School Education</t>
        </is>
      </c>
      <c r="D79" t="inlineStr">
        <is>
          <t>23-May-2025 06:00 PM</t>
        </is>
      </c>
      <c r="E79" t="inlineStr">
        <is>
          <t>9,81,000</t>
        </is>
      </c>
      <c r="F79" t="inlineStr">
        <is>
          <t>CONSTRUCTION OF 1 ACR GSSS SANTOSHI NAGAR KB BLOCK- KOTA , DISTT- KOTA</t>
        </is>
      </c>
      <c r="G79" t="inlineStr">
        <is>
          <t>KOTA</t>
        </is>
      </c>
    </row>
    <row r="80">
      <c r="A80" s="1" t="n">
        <v>78</v>
      </c>
      <c r="B80">
        <f>HYPERLINK("https://eproc.rajasthan.gov.in/nicgep/app?component=%24DirectLink&amp;page=FrontEndViewTender&amp;service=direct&amp;session=T&amp;sp=S%2B2t6bRyojyVnSm5iY%2FimrQ%3D%3D", "CONSTRUCTION OF 1 ACR GSSS R.K.PURAM BLOCK- KOTA , DISTT- KOTA")</f>
        <v/>
      </c>
      <c r="C80" t="inlineStr">
        <is>
          <t>Rajasthan Council of School Education</t>
        </is>
      </c>
      <c r="D80" t="inlineStr">
        <is>
          <t>23-May-2025 06:00 PM</t>
        </is>
      </c>
      <c r="E80" t="inlineStr">
        <is>
          <t>9,81,000</t>
        </is>
      </c>
      <c r="F80" t="inlineStr">
        <is>
          <t>CONSTRUCTION OF 1 ACR GSSS R.K.PURAM BLOCK- KOTA , DISTT- KOTA</t>
        </is>
      </c>
      <c r="G80" t="inlineStr">
        <is>
          <t>KOTA</t>
        </is>
      </c>
    </row>
    <row r="81">
      <c r="A81" s="1" t="n">
        <v>79</v>
      </c>
      <c r="B81">
        <f>HYPERLINK("https://eproc.rajasthan.gov.in/nicgep/app?component=%24DirectLink&amp;page=FrontEndViewTender&amp;service=direct&amp;session=T&amp;sp=S9iPYfAKou5wEB5YEk02LaA%3D%3D", "CONSTRUCTION OF 1 ACR GGSSS VIGYAN NAGAR WARD 57 BLOCK- KOTA , DISTT- KOTA")</f>
        <v/>
      </c>
      <c r="C81" t="inlineStr">
        <is>
          <t>Rajasthan Council of School Education</t>
        </is>
      </c>
      <c r="D81" t="inlineStr">
        <is>
          <t>23-May-2025 06:00 PM</t>
        </is>
      </c>
      <c r="E81" t="inlineStr">
        <is>
          <t>9,81,000</t>
        </is>
      </c>
      <c r="F81" t="inlineStr">
        <is>
          <t>CONSTRUCTION OF 1 ACR GGSSS VIGYAN NAGAR WARD 57 BLOCK- KOTA , DISTT- KOTA</t>
        </is>
      </c>
      <c r="G81" t="inlineStr">
        <is>
          <t>KOTA</t>
        </is>
      </c>
    </row>
    <row r="82">
      <c r="A82" s="1" t="n">
        <v>80</v>
      </c>
      <c r="B82">
        <f>HYPERLINK("https://eproc.rajasthan.gov.in/nicgep/app?component=%24DirectLink&amp;page=FrontEndViewTender&amp;service=direct&amp;session=T&amp;sp=SxBkDt3hp3KDheFfecQRHBA%3D%3D", "CONSTRUCTION OF 2 ACR GSSS KESHAVPURA SECTER-6 BLOCK- KOTA , DISTT- KOTA")</f>
        <v/>
      </c>
      <c r="C82" t="inlineStr">
        <is>
          <t>Rajasthan Council of School Education</t>
        </is>
      </c>
      <c r="D82" t="inlineStr">
        <is>
          <t>23-May-2025 06:00 PM</t>
        </is>
      </c>
      <c r="E82" t="inlineStr">
        <is>
          <t>19,61,000</t>
        </is>
      </c>
      <c r="F82" t="inlineStr">
        <is>
          <t>CONSTRUCTION OF 2 ACR GSSS KESHAVPURA SECTER-6 BLOCK- KOTA , DISTT- KOTA</t>
        </is>
      </c>
      <c r="G82" t="inlineStr">
        <is>
          <t>KOTA</t>
        </is>
      </c>
    </row>
    <row r="83">
      <c r="A83" s="1" t="n">
        <v>81</v>
      </c>
      <c r="B83">
        <f>HYPERLINK("https://eproc.rajasthan.gov.in/nicgep/app?component=%24DirectLink&amp;page=FrontEndViewTender&amp;service=direct&amp;session=T&amp;sp=SuZ8mOSFvUifgx8%2BPBOn%2FPQ%3D%3D", "CONSTRUCTION OF 2 ACR GSSS SUBASHA NAGAR SECOND BLOCK- KOTA , DISTT- KOTA")</f>
        <v/>
      </c>
      <c r="C83" t="inlineStr">
        <is>
          <t>Rajasthan Council of School Education</t>
        </is>
      </c>
      <c r="D83" t="inlineStr">
        <is>
          <t>23-May-2025 06:00 PM</t>
        </is>
      </c>
      <c r="E83" t="inlineStr">
        <is>
          <t>19,61,000</t>
        </is>
      </c>
      <c r="F83" t="inlineStr">
        <is>
          <t>CONSTRUCTION OF 2 ACR GSSS SUBASHA NAGAR SECOND BLOCK- KOTA , DISTT- KOTA</t>
        </is>
      </c>
      <c r="G83" t="inlineStr">
        <is>
          <t>KOTA</t>
        </is>
      </c>
    </row>
    <row r="84">
      <c r="A84" s="1" t="n">
        <v>82</v>
      </c>
      <c r="B84">
        <f>HYPERLINK("https://eproc.rajasthan.gov.in/nicgep/app?component=%24DirectLink&amp;page=FrontEndViewTender&amp;service=direct&amp;session=T&amp;sp=SGpXyNK%2BmFsvPaDBHlXVsmg%3D%3D", "CONSTRUCTION OF 2 ACR GSSS SHIV PURA BLOCK- KOTA , DISTT- KOTA")</f>
        <v/>
      </c>
      <c r="C84" t="inlineStr">
        <is>
          <t>Rajasthan Council of School Education</t>
        </is>
      </c>
      <c r="D84" t="inlineStr">
        <is>
          <t>23-May-2025 06:00 PM</t>
        </is>
      </c>
      <c r="E84" t="inlineStr">
        <is>
          <t>19,61,000</t>
        </is>
      </c>
      <c r="F84" t="inlineStr">
        <is>
          <t>CONSTRUCTION OF 2 ACR GSSS SHIV PURA BLOCK- KOTA , DISTT- KOTA</t>
        </is>
      </c>
      <c r="G84" t="inlineStr">
        <is>
          <t>KOTA</t>
        </is>
      </c>
    </row>
    <row r="85">
      <c r="A85" s="1" t="n">
        <v>83</v>
      </c>
      <c r="B85">
        <f>HYPERLINK("https://eproc.rajasthan.gov.in/nicgep/app?component=%24DirectLink&amp;page=FrontEndViewTender&amp;service=direct&amp;session=T&amp;sp=Spl6Xz4Xhb0y9UAk833fCfQ%3D%3D", "CONSTRUCTION OF 2 ACR GPS GANESHPURA BLOCK- KOTA , DISTT- KOTA")</f>
        <v/>
      </c>
      <c r="C85" t="inlineStr">
        <is>
          <t>Rajasthan Council of School Education</t>
        </is>
      </c>
      <c r="D85" t="inlineStr">
        <is>
          <t>23-May-2025 06:00 PM</t>
        </is>
      </c>
      <c r="E85" t="inlineStr">
        <is>
          <t>19,61,000</t>
        </is>
      </c>
      <c r="F85" t="inlineStr">
        <is>
          <t>CONSTRUCTION OF 2 ACR GPS GANESHPURA BLOCK- KOTA , DISTT- KOTA</t>
        </is>
      </c>
      <c r="G85" t="inlineStr">
        <is>
          <t>KOTA</t>
        </is>
      </c>
    </row>
    <row r="86">
      <c r="A86" s="1" t="n">
        <v>84</v>
      </c>
      <c r="B86">
        <f>HYPERLINK("https://eproc.rajasthan.gov.in/nicgep/app?component=%24DirectLink&amp;page=FrontEndViewTender&amp;service=direct&amp;session=T&amp;sp=SQ2NNOxMK%2B0hCy3NC7nq6Fw%3D%3D", "CONSTRUCTION OF 2 ACR GSSS RAMNAGAR BANJARA BASTI BLOCK- KOTA , DISTT- KOTA")</f>
        <v/>
      </c>
      <c r="C86" t="inlineStr">
        <is>
          <t>Rajasthan Council of School Education</t>
        </is>
      </c>
      <c r="D86" t="inlineStr">
        <is>
          <t>23-May-2025 06:00 PM</t>
        </is>
      </c>
      <c r="E86" t="inlineStr">
        <is>
          <t>19,61,000</t>
        </is>
      </c>
      <c r="F86" t="inlineStr">
        <is>
          <t>CONSTRUCTION OF 2 ACR GSSS RAMNAGAR BANJARA BASTI BLOCK- KOTA , DISTT- KOTA</t>
        </is>
      </c>
      <c r="G86" t="inlineStr">
        <is>
          <t>KOTA</t>
        </is>
      </c>
    </row>
    <row r="87">
      <c r="A87" s="1" t="n">
        <v>85</v>
      </c>
      <c r="B87">
        <f>HYPERLINK("https://eproc.rajasthan.gov.in/nicgep/app?component=%24DirectLink&amp;page=FrontEndViewTender&amp;service=direct&amp;session=T&amp;sp=S7Clt1IelgBv3iwNHg6nPQw%3D%3D", "CONSTRUCTION OF 2 ACR GSSS BAPU NAGAR WARD 69 BLOCK- KOTA , DISTT- KOTA")</f>
        <v/>
      </c>
      <c r="C87" t="inlineStr">
        <is>
          <t>Rajasthan Council of School Education</t>
        </is>
      </c>
      <c r="D87" t="inlineStr">
        <is>
          <t>23-May-2025 06:00 PM</t>
        </is>
      </c>
      <c r="E87" t="inlineStr">
        <is>
          <t>19,61,000</t>
        </is>
      </c>
      <c r="F87" t="inlineStr">
        <is>
          <t>CONSTRUCTION OF 2 ACR GSSS BAPU NAGAR WARD 69 BLOCK- KOTA , DISTT- KOTA</t>
        </is>
      </c>
      <c r="G87" t="inlineStr">
        <is>
          <t>KOTA</t>
        </is>
      </c>
    </row>
    <row r="88">
      <c r="A88" s="1" t="n">
        <v>86</v>
      </c>
      <c r="B88">
        <f>HYPERLINK("https://eproc.rajasthan.gov.in/nicgep/app?component=%24DirectLink&amp;page=FrontEndViewTender&amp;service=direct&amp;session=T&amp;sp=SxU5JKPaBwtINpMcQGB938w%3D%3D", "CONSTRUCTION OF 2 ACR GSSS BHADANA BLOCK- KOTA , DISTT- KOTA")</f>
        <v/>
      </c>
      <c r="C88" t="inlineStr">
        <is>
          <t>Rajasthan Council of School Education</t>
        </is>
      </c>
      <c r="D88" t="inlineStr">
        <is>
          <t>23-May-2025 06:00 PM</t>
        </is>
      </c>
      <c r="E88" t="inlineStr">
        <is>
          <t>19,61,000</t>
        </is>
      </c>
      <c r="F88" t="inlineStr">
        <is>
          <t>CONSTRUCTION OF 2 ACR GSSS BHADANA BLOCK- KOTA , DISTT- KOTA</t>
        </is>
      </c>
      <c r="G88" t="inlineStr">
        <is>
          <t>KOTA</t>
        </is>
      </c>
    </row>
    <row r="89">
      <c r="A89" s="1" t="n">
        <v>87</v>
      </c>
      <c r="B89">
        <f>HYPERLINK("https://eproc.rajasthan.gov.in/nicgep/app?component=%24DirectLink&amp;page=FrontEndViewTender&amp;service=direct&amp;session=T&amp;sp=SrbK9EJ8y79jh%2Bw%2BjHVggew%3D%3D", "CONSTRUCTION OF 2 ACR GSSS JHALIPURA BLOCK- KOTA , DISTT- KOTA")</f>
        <v/>
      </c>
      <c r="C89" t="inlineStr">
        <is>
          <t>Rajasthan Council of School Education</t>
        </is>
      </c>
      <c r="D89" t="inlineStr">
        <is>
          <t>23-May-2025 06:00 PM</t>
        </is>
      </c>
      <c r="E89" t="inlineStr">
        <is>
          <t>19,61,000</t>
        </is>
      </c>
      <c r="F89" t="inlineStr">
        <is>
          <t>CONSTRUCTION OF 2 ACR GSSS JHALIPURA BLOCK- KOTA , DISTT- KOTA</t>
        </is>
      </c>
      <c r="G89" t="inlineStr">
        <is>
          <t>KOTA</t>
        </is>
      </c>
    </row>
    <row r="90">
      <c r="A90" s="1" t="n">
        <v>88</v>
      </c>
      <c r="B90">
        <f>HYPERLINK("https://eproc.rajasthan.gov.in/nicgep/app?component=%24DirectLink&amp;page=FrontEndViewTender&amp;service=direct&amp;session=T&amp;sp=SDOFpqTZRHY8ETCyQKF0ymg%3D%3D", "Construction/ Strengthening work for ACR (Up to-VIII)")</f>
        <v/>
      </c>
      <c r="C90" t="inlineStr">
        <is>
          <t>Rajasthan Council of School Education</t>
        </is>
      </c>
      <c r="D90" t="inlineStr">
        <is>
          <t>23-May-2025 06:00 PM</t>
        </is>
      </c>
      <c r="E90" t="inlineStr">
        <is>
          <t>9,81,000</t>
        </is>
      </c>
      <c r="F90" t="inlineStr">
        <is>
          <t>Construction/ Strengthening work for ACR (Up to-VIII) at Govt. Upper Primary School, Ummedgarh_Purana</t>
        </is>
      </c>
      <c r="G90" t="inlineStr">
        <is>
          <t>Ummedgar_Purana</t>
        </is>
      </c>
    </row>
    <row r="91">
      <c r="A91" s="1" t="n">
        <v>89</v>
      </c>
      <c r="B91">
        <f>HYPERLINK("https://eproc.rajasthan.gov.in/nicgep/app?component=%24DirectLink&amp;page=FrontEndViewTender&amp;service=direct&amp;session=T&amp;sp=Sx1dJ4cEp1wwCwO9z%2FaDY3A%3D%3D", "Construction/ Strengthening work for ACR (Up to-VIII)")</f>
        <v/>
      </c>
      <c r="C91" t="inlineStr">
        <is>
          <t>Rajasthan Council of School Education</t>
        </is>
      </c>
      <c r="D91" t="inlineStr">
        <is>
          <t>23-May-2025 06:00 PM</t>
        </is>
      </c>
      <c r="E91" t="inlineStr">
        <is>
          <t>9,81,000</t>
        </is>
      </c>
      <c r="F91" t="inlineStr">
        <is>
          <t>Construction/ Strengthening work for ACR (Up to-VIII) at Govt. Upper Primary School, Rowara_Ka_Goliya</t>
        </is>
      </c>
      <c r="G91" t="inlineStr">
        <is>
          <t>Rowara_Ka_Goliya</t>
        </is>
      </c>
    </row>
    <row r="92">
      <c r="A92" s="1" t="n">
        <v>90</v>
      </c>
      <c r="B92">
        <f>HYPERLINK("https://eproc.rajasthan.gov.in/nicgep/app?component=%24DirectLink&amp;page=FrontEndViewTender&amp;service=direct&amp;session=T&amp;sp=SDNp6KQ%2FMwRWgXJQs9DI68A%3D%3D", "Construction/ Strengthening work for ACR (Up to-VIII)")</f>
        <v/>
      </c>
      <c r="C92" t="inlineStr">
        <is>
          <t>Rajasthan Council of School Education</t>
        </is>
      </c>
      <c r="D92" t="inlineStr">
        <is>
          <t>23-May-2025 06:00 PM</t>
        </is>
      </c>
      <c r="E92" t="inlineStr">
        <is>
          <t>9,81,000</t>
        </is>
      </c>
      <c r="F92" t="inlineStr">
        <is>
          <t>Construction/ Strengthening work for ACR (Up to-VIII) at GSSS_Uttra_Bhagali</t>
        </is>
      </c>
      <c r="G92" t="inlineStr">
        <is>
          <t>Uttra_Bhagli</t>
        </is>
      </c>
    </row>
    <row r="93">
      <c r="A93" s="1" t="n">
        <v>91</v>
      </c>
      <c r="B93">
        <f>HYPERLINK("https://eproc.rajasthan.gov.in/nicgep/app?component=%24DirectLink&amp;page=FrontEndViewTender&amp;service=direct&amp;session=T&amp;sp=S6JwjOihJDGR56bFjAo22ow%3D%3D", "Construction/ Strengthening work for ACR (Up to-VIII)")</f>
        <v/>
      </c>
      <c r="C93" t="inlineStr">
        <is>
          <t>Rajasthan Council of School Education</t>
        </is>
      </c>
      <c r="D93" t="inlineStr">
        <is>
          <t>23-May-2025 06:00 PM</t>
        </is>
      </c>
      <c r="E93" t="inlineStr">
        <is>
          <t>9,81,000</t>
        </is>
      </c>
      <c r="F93" t="inlineStr">
        <is>
          <t>Construction/ Strengthening work for ACR (Up to-VIII) at Govt. Upper Primary School, Darbari_Kheda</t>
        </is>
      </c>
      <c r="G93" t="inlineStr">
        <is>
          <t>Darbari_Kheda</t>
        </is>
      </c>
    </row>
    <row r="94">
      <c r="A94" s="1" t="n">
        <v>92</v>
      </c>
      <c r="B94">
        <f>HYPERLINK("https://eproc.rajasthan.gov.in/nicgep/app?component=%24DirectLink&amp;page=FrontEndViewTender&amp;service=direct&amp;session=T&amp;sp=SbSskHtT7fjy%2Bgz3jGYTR6Q%3D%3D", "Construction/ Strengthening work for ACR (IX to X) under Lekhanudan Budget 2024-25 (Phase-II)")</f>
        <v/>
      </c>
      <c r="C94" t="inlineStr">
        <is>
          <t>Rajasthan Council of School Education</t>
        </is>
      </c>
      <c r="D94" t="inlineStr">
        <is>
          <t>23-May-2025 06:00 PM</t>
        </is>
      </c>
      <c r="E94" t="inlineStr">
        <is>
          <t>12,40,000</t>
        </is>
      </c>
      <c r="F94" t="inlineStr">
        <is>
          <t>Construction/ Strengthening work for ACR (IX to X) under Lekhanudan Budget 2024-25 (Phase-II) at MGGS Hastinapur Kalandri</t>
        </is>
      </c>
      <c r="G94" t="inlineStr">
        <is>
          <t>Hastinapur kalandri</t>
        </is>
      </c>
    </row>
    <row r="95">
      <c r="A95" s="1" t="n">
        <v>93</v>
      </c>
      <c r="B95">
        <f>HYPERLINK("https://eproc.rajasthan.gov.in/nicgep/app?component=%24DirectLink&amp;page=FrontEndViewTender&amp;service=direct&amp;session=T&amp;sp=SfUD6FyV96vX3yndyhDbzZA%3D%3D", "Construction/ Strengthening work for ACR (IX to X) under Lekhanudan Budget 2024-25 (Phase-II)")</f>
        <v/>
      </c>
      <c r="C95" t="inlineStr">
        <is>
          <t>Rajasthan Council of School Education</t>
        </is>
      </c>
      <c r="D95" t="inlineStr">
        <is>
          <t>23-May-2025 06:00 PM</t>
        </is>
      </c>
      <c r="E95" t="inlineStr">
        <is>
          <t>12,40,000</t>
        </is>
      </c>
      <c r="F95" t="inlineStr">
        <is>
          <t>Construction/ Strengthening work for ACR (IX to X) under Lekhanudan Budget 2024-25 (Phase-II) at GSSS, Malap (Pindwara)</t>
        </is>
      </c>
      <c r="G95" t="inlineStr">
        <is>
          <t>Malap</t>
        </is>
      </c>
    </row>
    <row r="96">
      <c r="A96" s="1" t="n">
        <v>94</v>
      </c>
      <c r="B96">
        <f>HYPERLINK("https://eproc.rajasthan.gov.in/nicgep/app?component=%24DirectLink&amp;page=FrontEndViewTender&amp;service=direct&amp;session=T&amp;sp=SWZNFi5E3h1Hs6%2FwgN%2B8Z2g%3D%3D", "Construction/ Strengthening work for ACR (Up to-VIII)")</f>
        <v/>
      </c>
      <c r="C96" t="inlineStr">
        <is>
          <t>Rajasthan Council of School Education</t>
        </is>
      </c>
      <c r="D96" t="inlineStr">
        <is>
          <t>23-May-2025 06:00 PM</t>
        </is>
      </c>
      <c r="E96" t="inlineStr">
        <is>
          <t>9,81,000</t>
        </is>
      </c>
      <c r="F96" t="inlineStr">
        <is>
          <t>Construction/ Strengthening work for ACR (Up to-VIII) GPS_Ranela_Fali</t>
        </is>
      </c>
      <c r="G96" t="inlineStr">
        <is>
          <t>Ranela_Fali</t>
        </is>
      </c>
    </row>
    <row r="97">
      <c r="A97" s="1" t="n">
        <v>95</v>
      </c>
      <c r="B97">
        <f>HYPERLINK("https://eproc.rajasthan.gov.in/nicgep/app?component=%24DirectLink&amp;page=FrontEndViewTender&amp;service=direct&amp;session=T&amp;sp=S0lMkxGuGy4DsFXi3pZrtIw%3D%3D", "Construction/ Strengthening work for ACR (Up to-VIII)")</f>
        <v/>
      </c>
      <c r="C97" t="inlineStr">
        <is>
          <t>Rajasthan Council of School Education</t>
        </is>
      </c>
      <c r="D97" t="inlineStr">
        <is>
          <t>23-May-2025 06:00 PM</t>
        </is>
      </c>
      <c r="E97" t="inlineStr">
        <is>
          <t>9,81,000</t>
        </is>
      </c>
      <c r="F97" t="inlineStr">
        <is>
          <t>Construction/ Strengthening work for ACR (Up to-VIII) at Govt. Primary School, Naveen Bhatwara</t>
        </is>
      </c>
      <c r="G97" t="inlineStr">
        <is>
          <t>Naveen Bhatwara</t>
        </is>
      </c>
    </row>
    <row r="98">
      <c r="A98" s="1" t="n">
        <v>96</v>
      </c>
      <c r="B98">
        <f>HYPERLINK("https://eproc.rajasthan.gov.in/nicgep/app?component=%24DirectLink&amp;page=FrontEndViewTender&amp;service=direct&amp;session=T&amp;sp=Su0T8mbM8Fr4MhaG0euPN6w%3D%3D", "Construction/ Strengthening work for ACR (Up to-VIII)")</f>
        <v/>
      </c>
      <c r="C98" t="inlineStr">
        <is>
          <t>Rajasthan Council of School Education</t>
        </is>
      </c>
      <c r="D98" t="inlineStr">
        <is>
          <t>23-May-2025 06:00 PM</t>
        </is>
      </c>
      <c r="E98" t="inlineStr">
        <is>
          <t>9,81,000</t>
        </is>
      </c>
      <c r="F98" t="inlineStr">
        <is>
          <t>Construction/ Strengthening work for ACR (Up to-VIII) at GPS Jodfali (Pindwara)</t>
        </is>
      </c>
      <c r="G98" t="inlineStr">
        <is>
          <t>Jodfali</t>
        </is>
      </c>
    </row>
    <row r="99">
      <c r="A99" s="1" t="n">
        <v>97</v>
      </c>
      <c r="B99">
        <f>HYPERLINK("https://eproc.rajasthan.gov.in/nicgep/app?component=%24DirectLink&amp;page=FrontEndViewTender&amp;service=direct&amp;session=T&amp;sp=SJP3q%2BdYYVzp9Nml178ylgA%3D%3D", "Construction/ Strengthening work for ACR (Up to-VIII)")</f>
        <v/>
      </c>
      <c r="C99" t="inlineStr">
        <is>
          <t>Rajasthan Council of School Education</t>
        </is>
      </c>
      <c r="D99" t="inlineStr">
        <is>
          <t>23-May-2025 06:00 PM</t>
        </is>
      </c>
      <c r="E99" t="inlineStr">
        <is>
          <t>9,81,000</t>
        </is>
      </c>
      <c r="F99" t="inlineStr">
        <is>
          <t>Construction/ Strengthening work for ACR (Up to-VIII) at GUPS, Chapari (Aburoad)</t>
        </is>
      </c>
      <c r="G99" t="inlineStr">
        <is>
          <t>Chapari</t>
        </is>
      </c>
    </row>
    <row r="100">
      <c r="A100" s="1" t="n">
        <v>98</v>
      </c>
      <c r="B100">
        <f>HYPERLINK("https://eproc.rajasthan.gov.in/nicgep/app?component=%24DirectLink&amp;page=FrontEndViewTender&amp;service=direct&amp;session=T&amp;sp=SkOf5f%2BP2wrIkh0sd7kG%2BpQ%3D%3D", "Construction/ Strengthening work for ACR (Up to-VIII)")</f>
        <v/>
      </c>
      <c r="C100" t="inlineStr">
        <is>
          <t>Rajasthan Council of School Education</t>
        </is>
      </c>
      <c r="D100" t="inlineStr">
        <is>
          <t>23-May-2025 06:00 PM</t>
        </is>
      </c>
      <c r="E100" t="inlineStr">
        <is>
          <t>9,81,000</t>
        </is>
      </c>
      <c r="F100" t="inlineStr">
        <is>
          <t>Construction/ Strengthening work for ACR (Up to-VIII) at Govt. Upper Primary School, Lotiwara_Chhota</t>
        </is>
      </c>
      <c r="G100" t="inlineStr">
        <is>
          <t>Lotiwara_Chhota</t>
        </is>
      </c>
    </row>
    <row r="101">
      <c r="A101" s="1" t="n">
        <v>99</v>
      </c>
      <c r="B101">
        <f>HYPERLINK("https://eproc.rajasthan.gov.in/nicgep/app?component=%24DirectLink&amp;page=FrontEndViewTender&amp;service=direct&amp;session=T&amp;sp=SFgzxZNKExYTMKQWwf6UM7Q%3D%3D", "Construction/ Strengthening work for ACR (Up to-VIII)")</f>
        <v/>
      </c>
      <c r="C101" t="inlineStr">
        <is>
          <t>Rajasthan Council of School Education</t>
        </is>
      </c>
      <c r="D101" t="inlineStr">
        <is>
          <t>23-May-2025 06:00 PM</t>
        </is>
      </c>
      <c r="E101" t="inlineStr">
        <is>
          <t>9,81,000</t>
        </is>
      </c>
      <c r="F101" t="inlineStr">
        <is>
          <t>Construction/ Strengthening work for ACR (Up to-VIII) at Govt. Upper Primary School, Reechadi</t>
        </is>
      </c>
      <c r="G101" t="inlineStr">
        <is>
          <t>Reechadi</t>
        </is>
      </c>
    </row>
    <row r="102">
      <c r="A102" s="1" t="n">
        <v>100</v>
      </c>
      <c r="B102">
        <f>HYPERLINK("https://eproc.rajasthan.gov.in/nicgep/app?component=%24DirectLink&amp;page=FrontEndViewTender&amp;service=direct&amp;session=T&amp;sp=Sg63vcv4IIcIy6NygX1mktw%3D%3D", "Construction of 1 ACR and 1 Toilet work under Lekhanudan Budget 2024-25 (Phase-II)")</f>
        <v/>
      </c>
      <c r="C102" t="inlineStr">
        <is>
          <t>Rajasthan Council of School Education</t>
        </is>
      </c>
      <c r="D102" t="inlineStr">
        <is>
          <t>23-May-2025 06:00 PM</t>
        </is>
      </c>
      <c r="E102" t="inlineStr">
        <is>
          <t>13,43,000</t>
        </is>
      </c>
      <c r="F102" t="inlineStr">
        <is>
          <t>Construction of 1 ACR and 1 Toilet work under Lekhanudan Budget 2024-25 (Phase-II) at GPS_Gopi_Dhani_(Pindwara)</t>
        </is>
      </c>
      <c r="G102" t="inlineStr">
        <is>
          <t>Gopi_Dhani</t>
        </is>
      </c>
    </row>
    <row r="103">
      <c r="A103" s="1" t="n">
        <v>101</v>
      </c>
      <c r="B103">
        <f>HYPERLINK("https://eproc.rajasthan.gov.in/nicgep/app?component=%24DirectLink&amp;page=FrontEndViewTender&amp;service=direct&amp;session=T&amp;sp=SzAh7EWDEfyReLTEkPLIJjw%3D%3D", "Construction/ Strengthening work for ACR")</f>
        <v/>
      </c>
      <c r="C103" t="inlineStr">
        <is>
          <t>Rajasthan Council of School Education</t>
        </is>
      </c>
      <c r="D103" t="inlineStr">
        <is>
          <t>23-May-2025 06:00 PM</t>
        </is>
      </c>
      <c r="E103" t="inlineStr">
        <is>
          <t>9,81,000</t>
        </is>
      </c>
      <c r="F103" t="inlineStr">
        <is>
          <t>Construction/ Strengthening work for ACR at GPS_Naivela_Fali (Aburoad)</t>
        </is>
      </c>
      <c r="G103" t="inlineStr">
        <is>
          <t>Naivela_Fali</t>
        </is>
      </c>
    </row>
    <row r="104">
      <c r="A104" s="1" t="n">
        <v>102</v>
      </c>
      <c r="B104">
        <f>HYPERLINK("https://eproc.rajasthan.gov.in/nicgep/app?component=%24DirectLink&amp;page=FrontEndViewTender&amp;service=direct&amp;session=T&amp;sp=SGP0ITYiP%2BQP%2FABIpusUASg%3D%3D", "Construction/ Strengthening work for ACR (IX to X)")</f>
        <v/>
      </c>
      <c r="C104" t="inlineStr">
        <is>
          <t>Rajasthan Council of School Education</t>
        </is>
      </c>
      <c r="D104" t="inlineStr">
        <is>
          <t>23-May-2025 06:00 PM</t>
        </is>
      </c>
      <c r="E104" t="inlineStr">
        <is>
          <t>12,40,000</t>
        </is>
      </c>
      <c r="F104" t="inlineStr">
        <is>
          <t>Construction/ Strengthening work for ACR (IX to X) at GSSS, Sarupganj_Boys</t>
        </is>
      </c>
      <c r="G104" t="inlineStr">
        <is>
          <t>Sarupganj</t>
        </is>
      </c>
    </row>
    <row r="105">
      <c r="A105" s="1" t="n">
        <v>103</v>
      </c>
      <c r="B105">
        <f>HYPERLINK("https://eproc.rajasthan.gov.in/nicgep/app?component=%24DirectLink&amp;page=FrontEndViewTender&amp;service=direct&amp;session=T&amp;sp=Sbt30wNHoO9bJ41p7NNh7%2Bg%3D%3D", "Construction/ Strengthening work for ACR")</f>
        <v/>
      </c>
      <c r="C105" t="inlineStr">
        <is>
          <t>Rajasthan Council of School Education</t>
        </is>
      </c>
      <c r="D105" t="inlineStr">
        <is>
          <t>23-May-2025 06:00 PM</t>
        </is>
      </c>
      <c r="E105" t="inlineStr">
        <is>
          <t>9,81,000</t>
        </is>
      </c>
      <c r="F105" t="inlineStr">
        <is>
          <t>Construction/ Strengthening work for ACR at GPS_Kalora_Fali (Abr)</t>
        </is>
      </c>
      <c r="G105" t="inlineStr">
        <is>
          <t>Kalora fali</t>
        </is>
      </c>
    </row>
    <row r="106">
      <c r="A106" s="1" t="n">
        <v>104</v>
      </c>
      <c r="B106">
        <f>HYPERLINK("https://eproc.rajasthan.gov.in/nicgep/app?component=%24DirectLink&amp;page=FrontEndViewTender&amp;service=direct&amp;session=T&amp;sp=SxxRNC4NcX5ffOMkiasmL0A%3D%3D", "Construction/ Strengthening work for ACR (IX to X) under Lekhanudan Budget 2024-25 (Phase-II)")</f>
        <v/>
      </c>
      <c r="C106" t="inlineStr">
        <is>
          <t>Rajasthan Council of School Education</t>
        </is>
      </c>
      <c r="D106" t="inlineStr">
        <is>
          <t>23-May-2025 06:00 PM</t>
        </is>
      </c>
      <c r="E106" t="inlineStr">
        <is>
          <t>12,40,000</t>
        </is>
      </c>
      <c r="F106" t="inlineStr">
        <is>
          <t>Construction/ Strengthening work for ACR (IX to X) under Lekhanudan Budget 2024-25 (Phase-II) at GSSS, Paniya_Fali</t>
        </is>
      </c>
      <c r="G106" t="inlineStr">
        <is>
          <t>Paniyafali</t>
        </is>
      </c>
    </row>
    <row r="107">
      <c r="A107" s="1" t="n">
        <v>105</v>
      </c>
      <c r="B107">
        <f>HYPERLINK("https://eproc.rajasthan.gov.in/nicgep/app?component=%24DirectLink&amp;page=FrontEndViewTender&amp;service=direct&amp;session=T&amp;sp=SFGMOxWASyhN7GollYof%2FJA%3D%3D", "Construction/ Strengthening work for Toilet")</f>
        <v/>
      </c>
      <c r="C107" t="inlineStr">
        <is>
          <t>Rajasthan Council of School Education</t>
        </is>
      </c>
      <c r="D107" t="inlineStr">
        <is>
          <t>23-May-2025 06:00 PM</t>
        </is>
      </c>
      <c r="E107" t="inlineStr">
        <is>
          <t>3,64,000</t>
        </is>
      </c>
      <c r="F107" t="inlineStr">
        <is>
          <t>Construction/ Strengthening work for Toilet at GSSS, Arathwara (Sheoganj)</t>
        </is>
      </c>
      <c r="G107" t="inlineStr">
        <is>
          <t>Arathwara</t>
        </is>
      </c>
    </row>
    <row r="108">
      <c r="A108" s="1" t="n">
        <v>106</v>
      </c>
      <c r="B108">
        <f>HYPERLINK("https://eproc.rajasthan.gov.in/nicgep/app?component=%24DirectLink&amp;page=FrontEndViewTender&amp;service=direct&amp;session=T&amp;sp=SZLdvbF8zqNxgp0gX4WFiuQ%3D%3D", "Construction/ Strengthening work for ACR (IX to X) under Lekhanudan Budget 2024-25 (Phase-II)")</f>
        <v/>
      </c>
      <c r="C108" t="inlineStr">
        <is>
          <t>Rajasthan Council of School Education</t>
        </is>
      </c>
      <c r="D108" t="inlineStr">
        <is>
          <t>23-May-2025 06:00 PM</t>
        </is>
      </c>
      <c r="E108" t="inlineStr">
        <is>
          <t>12,40,000</t>
        </is>
      </c>
      <c r="F108" t="inlineStr">
        <is>
          <t>Construction/ Strengthening work for ACR (IX to X) under Lekhanudan Budget 2024-25 (Phase-II) at Rajpura</t>
        </is>
      </c>
      <c r="G108" t="inlineStr">
        <is>
          <t>Rajpura</t>
        </is>
      </c>
    </row>
    <row r="109">
      <c r="A109" s="1" t="n">
        <v>107</v>
      </c>
      <c r="B109">
        <f>HYPERLINK("https://eproc.rajasthan.gov.in/nicgep/app?component=%24DirectLink&amp;page=FrontEndViewTender&amp;service=direct&amp;session=T&amp;sp=Sxh2uUO2aFJyXoXIXEbqGow%3D%3D", "Construction/ Strengthening work for ACR (IX to X)")</f>
        <v/>
      </c>
      <c r="C109" t="inlineStr">
        <is>
          <t>Rajasthan Council of School Education</t>
        </is>
      </c>
      <c r="D109" t="inlineStr">
        <is>
          <t>23-May-2025 06:00 PM</t>
        </is>
      </c>
      <c r="E109" t="inlineStr">
        <is>
          <t>12,40,000</t>
        </is>
      </c>
      <c r="F109" t="inlineStr">
        <is>
          <t>Construction/ Strengthening work for ACR (IX to X) at PM SHRI GSSS, Sheoganj</t>
        </is>
      </c>
      <c r="G109" t="inlineStr">
        <is>
          <t>Sheoganj</t>
        </is>
      </c>
    </row>
    <row r="110">
      <c r="A110" s="1" t="n">
        <v>108</v>
      </c>
      <c r="B110">
        <f>HYPERLINK("https://eproc.rajasthan.gov.in/nicgep/app?component=%24DirectLink&amp;page=FrontEndViewTender&amp;service=direct&amp;session=T&amp;sp=SI0fZkjdNMq7GbK416UeorQ%3D%3D", "Construction/ Strengthening work for ACR (IX to X)")</f>
        <v/>
      </c>
      <c r="C110" t="inlineStr">
        <is>
          <t>Rajasthan Council of School Education</t>
        </is>
      </c>
      <c r="D110" t="inlineStr">
        <is>
          <t>23-May-2025 06:00 PM</t>
        </is>
      </c>
      <c r="E110" t="inlineStr">
        <is>
          <t>12,40,000</t>
        </is>
      </c>
      <c r="F110" t="inlineStr">
        <is>
          <t>Construction/ Strengthening work for ACR (IX to X) GSSS_Kalandri</t>
        </is>
      </c>
      <c r="G110" t="inlineStr">
        <is>
          <t>Kalandri</t>
        </is>
      </c>
    </row>
    <row r="111">
      <c r="A111" s="1" t="n">
        <v>109</v>
      </c>
      <c r="B111">
        <f>HYPERLINK("https://eproc.rajasthan.gov.in/nicgep/app?component=%24DirectLink&amp;page=FrontEndViewTender&amp;service=direct&amp;session=T&amp;sp=S1Vn9AUdBhaFXpeZ1IIpxEg%3D%3D", "Construction/ Strengthening work for ACR (IX to X)")</f>
        <v/>
      </c>
      <c r="C111" t="inlineStr">
        <is>
          <t>Rajasthan Council of School Education</t>
        </is>
      </c>
      <c r="D111" t="inlineStr">
        <is>
          <t>23-May-2025 06:00 PM</t>
        </is>
      </c>
      <c r="E111" t="inlineStr">
        <is>
          <t>12,40,000</t>
        </is>
      </c>
      <c r="F111" t="inlineStr">
        <is>
          <t>Construction/ Strengthening work for ACR (IX to X) at GSSS_Tarungi</t>
        </is>
      </c>
      <c r="G111" t="inlineStr">
        <is>
          <t>Tarungi</t>
        </is>
      </c>
    </row>
    <row r="112">
      <c r="A112" s="1" t="n">
        <v>110</v>
      </c>
      <c r="B112">
        <f>HYPERLINK("https://eproc.rajasthan.gov.in/nicgep/app?component=%24DirectLink&amp;page=FrontEndViewTender&amp;service=direct&amp;session=T&amp;sp=SaJQI2ul%2F2vEJQANq0ySViw%3D%3D", "Construction/ Strengthening work for ACR (IX to X) under Lekhanudan Budget 2024-25 (Phase-II)")</f>
        <v/>
      </c>
      <c r="C112" t="inlineStr">
        <is>
          <t>Rajasthan Council of School Education</t>
        </is>
      </c>
      <c r="D112" t="inlineStr">
        <is>
          <t>23-May-2025 06:00 PM</t>
        </is>
      </c>
      <c r="E112" t="inlineStr">
        <is>
          <t>12,40,000</t>
        </is>
      </c>
      <c r="F112" t="inlineStr">
        <is>
          <t>Construction/ Strengthening work for ACR (IX to X) under Lekhanudan Budget 2024-25 (Phase-II) at GSSS, Sanpur</t>
        </is>
      </c>
      <c r="G112" t="inlineStr">
        <is>
          <t>Sanpur</t>
        </is>
      </c>
    </row>
    <row r="113">
      <c r="A113" s="1" t="n">
        <v>111</v>
      </c>
      <c r="B113">
        <f>HYPERLINK("https://eproc.rajasthan.gov.in/nicgep/app?component=%24DirectLink&amp;page=FrontEndViewTender&amp;service=direct&amp;session=T&amp;sp=S9hbSrZkzzeEuDCAYQzSuew%3D%3D", "Construction/ Strengthening work for ACR (Up to-VIII)")</f>
        <v/>
      </c>
      <c r="C113" t="inlineStr">
        <is>
          <t>Rajasthan Council of School Education</t>
        </is>
      </c>
      <c r="D113" t="inlineStr">
        <is>
          <t>23-May-2025 06:00 PM</t>
        </is>
      </c>
      <c r="E113" t="inlineStr">
        <is>
          <t>9,81,000</t>
        </is>
      </c>
      <c r="F113" t="inlineStr">
        <is>
          <t>Construction/ Strengthening work for ACR (Up to-VIII) at Govt. Upper Primary School, Savrata</t>
        </is>
      </c>
      <c r="G113" t="inlineStr">
        <is>
          <t>Savrata</t>
        </is>
      </c>
    </row>
    <row r="114">
      <c r="A114" s="1" t="n">
        <v>112</v>
      </c>
      <c r="B114">
        <f>HYPERLINK("https://eproc.rajasthan.gov.in/nicgep/app?component=%24DirectLink&amp;page=FrontEndViewTender&amp;service=direct&amp;session=T&amp;sp=SQS4Qz0B9nnF4n%2Fj%2FpArjEg%3D%3D", "Construction/ Strengthening work for ACR (Up to-VIII)")</f>
        <v/>
      </c>
      <c r="C114" t="inlineStr">
        <is>
          <t>Rajasthan Council of School Education</t>
        </is>
      </c>
      <c r="D114" t="inlineStr">
        <is>
          <t>23-May-2025 06:00 PM</t>
        </is>
      </c>
      <c r="E114" t="inlineStr">
        <is>
          <t>9,81,000</t>
        </is>
      </c>
      <c r="F114" t="inlineStr">
        <is>
          <t>Construction/ Strengthening work for ACR (Up to-VIII) at GPS_Peepaliya</t>
        </is>
      </c>
      <c r="G114" t="inlineStr">
        <is>
          <t>Peepaliya</t>
        </is>
      </c>
    </row>
    <row r="115">
      <c r="A115" s="1" t="n">
        <v>113</v>
      </c>
      <c r="B115">
        <f>HYPERLINK("https://eproc.rajasthan.gov.in/nicgep/app?component=%24DirectLink&amp;page=FrontEndViewTender&amp;service=direct&amp;session=T&amp;sp=SHSoRAOd802zWMl60lyBivg%3D%3D", "Construction/ Strengthening work for ACR (Up to-VIII)")</f>
        <v/>
      </c>
      <c r="C115" t="inlineStr">
        <is>
          <t>Rajasthan Council of School Education</t>
        </is>
      </c>
      <c r="D115" t="inlineStr">
        <is>
          <t>23-May-2025 06:00 PM</t>
        </is>
      </c>
      <c r="E115" t="inlineStr">
        <is>
          <t>9,81,000</t>
        </is>
      </c>
      <c r="F115" t="inlineStr">
        <is>
          <t>Construction/ Strengthening work for ACR (Up to-VIII) at GPS_Lalpura Vadvaj</t>
        </is>
      </c>
      <c r="G115" t="inlineStr">
        <is>
          <t>Lalpura Vadvaj</t>
        </is>
      </c>
    </row>
    <row r="116">
      <c r="A116" s="1" t="n">
        <v>114</v>
      </c>
      <c r="B116">
        <f>HYPERLINK("https://eproc.rajasthan.gov.in/nicgep/app?component=%24DirectLink&amp;page=FrontEndViewTender&amp;service=direct&amp;session=T&amp;sp=SMyeGMOWwWnZ2x%2Bp2aXd1iw%3D%3D", "Construction/ Strengthening work for ACR (Up to-VIII)")</f>
        <v/>
      </c>
      <c r="C116" t="inlineStr">
        <is>
          <t>Rajasthan Council of School Education</t>
        </is>
      </c>
      <c r="D116" t="inlineStr">
        <is>
          <t>23-May-2025 06:00 PM</t>
        </is>
      </c>
      <c r="E116" t="inlineStr">
        <is>
          <t>9,81,000</t>
        </is>
      </c>
      <c r="F116" t="inlineStr">
        <is>
          <t>Construction/ Strengthening work for ACR (Up to-VIII) at GPS_Chouhan Fali (Pindwara)</t>
        </is>
      </c>
      <c r="G116" t="inlineStr">
        <is>
          <t>Chouhanfali</t>
        </is>
      </c>
    </row>
    <row r="117">
      <c r="A117" s="1" t="n">
        <v>115</v>
      </c>
      <c r="B117">
        <f>HYPERLINK("https://eproc.rajasthan.gov.in/nicgep/app?component=%24DirectLink&amp;page=FrontEndViewTender&amp;service=direct&amp;session=T&amp;sp=S8gVcD9o6Ahai7U9TiMiC2w%3D%3D", "Construction/ Strengthening work for ACR (Up to-VIII)")</f>
        <v/>
      </c>
      <c r="C117" t="inlineStr">
        <is>
          <t>Rajasthan Council of School Education</t>
        </is>
      </c>
      <c r="D117" t="inlineStr">
        <is>
          <t>23-May-2025 06:00 PM</t>
        </is>
      </c>
      <c r="E117" t="inlineStr">
        <is>
          <t>9,81,000</t>
        </is>
      </c>
      <c r="F117" t="inlineStr">
        <is>
          <t>Construction/ Strengthening work for ACR (Up to-VIII) at Govt. Upper Primary School, Salotra</t>
        </is>
      </c>
      <c r="G117" t="inlineStr">
        <is>
          <t>Salotra</t>
        </is>
      </c>
    </row>
    <row r="118">
      <c r="A118" s="1" t="n">
        <v>116</v>
      </c>
      <c r="B118">
        <f>HYPERLINK("https://eproc.rajasthan.gov.in/nicgep/app?component=%24DirectLink&amp;page=FrontEndViewTender&amp;service=direct&amp;session=T&amp;sp=SoU9RBX4yCnNewTgbrtv8Pw%3D%3D", "Construction/ Strengthening work for Toilet")</f>
        <v/>
      </c>
      <c r="C118" t="inlineStr">
        <is>
          <t>Rajasthan Council of School Education</t>
        </is>
      </c>
      <c r="D118" t="inlineStr">
        <is>
          <t>23-May-2025 06:00 PM</t>
        </is>
      </c>
      <c r="E118" t="inlineStr">
        <is>
          <t>3,64,000</t>
        </is>
      </c>
      <c r="F118" t="inlineStr">
        <is>
          <t>Construction/ Strengthening work for Toilet at MGGS, Badgaon</t>
        </is>
      </c>
      <c r="G118" t="inlineStr">
        <is>
          <t>Badgaon</t>
        </is>
      </c>
    </row>
    <row r="119">
      <c r="A119" s="1" t="n">
        <v>117</v>
      </c>
      <c r="B119">
        <f>HYPERLINK("https://eproc.rajasthan.gov.in/nicgep/app?component=%24DirectLink&amp;page=FrontEndViewTender&amp;service=direct&amp;session=T&amp;sp=SZxb1k01%2BMPneSoGJ%2BHaAkw%3D%3D", "Construction/ Strengthening work for Toilet")</f>
        <v/>
      </c>
      <c r="C119" t="inlineStr">
        <is>
          <t>Rajasthan Council of School Education</t>
        </is>
      </c>
      <c r="D119" t="inlineStr">
        <is>
          <t>23-May-2025 06:00 PM</t>
        </is>
      </c>
      <c r="E119" t="inlineStr">
        <is>
          <t>3,64,000</t>
        </is>
      </c>
      <c r="F119" t="inlineStr">
        <is>
          <t>Construction/ Strengthening work for Toilet at GSSS, Mermandwara</t>
        </is>
      </c>
      <c r="G119" t="inlineStr">
        <is>
          <t>Mermandwara</t>
        </is>
      </c>
    </row>
    <row r="120">
      <c r="A120" s="1" t="n">
        <v>118</v>
      </c>
      <c r="B120">
        <f>HYPERLINK("https://eproc.rajasthan.gov.in/nicgep/app?component=%24DirectLink&amp;page=FrontEndViewTender&amp;service=direct&amp;session=T&amp;sp=SZZxl2eTINVx46Z3loXhoaQ%3D%3D", "Construction/ Strengthening work for ACR (IX to X) under Lekhanudan Budget 2024-25 (Phase-II)")</f>
        <v/>
      </c>
      <c r="C120" t="inlineStr">
        <is>
          <t>Rajasthan Council of School Education</t>
        </is>
      </c>
      <c r="D120" t="inlineStr">
        <is>
          <t>23-May-2025 06:00 PM</t>
        </is>
      </c>
      <c r="E120" t="inlineStr">
        <is>
          <t>12,40,000</t>
        </is>
      </c>
      <c r="F120" t="inlineStr">
        <is>
          <t>Construction/ Strengthening work for ACR (IX to X) under Lekhanudan Budget 2024-25 (Phase-II) GSSS_Pahadkala (Pindwara)</t>
        </is>
      </c>
      <c r="G120" t="inlineStr">
        <is>
          <t>Pahadkala</t>
        </is>
      </c>
    </row>
    <row r="121">
      <c r="A121" s="1" t="n">
        <v>119</v>
      </c>
      <c r="B121">
        <f>HYPERLINK("https://eproc.rajasthan.gov.in/nicgep/app?component=%24DirectLink&amp;page=FrontEndViewTender&amp;service=direct&amp;session=T&amp;sp=S%2Fe1wok4lmoT6GNSWMecHoQ%3D%3D", "Construction/ Strengthening work for ACR (IX to X) under Lekhanudan Budget 2024-25 (Phase-II)")</f>
        <v/>
      </c>
      <c r="C121" t="inlineStr">
        <is>
          <t>Rajasthan Council of School Education</t>
        </is>
      </c>
      <c r="D121" t="inlineStr">
        <is>
          <t>23-May-2025 06:00 PM</t>
        </is>
      </c>
      <c r="E121" t="inlineStr">
        <is>
          <t>12,40,000</t>
        </is>
      </c>
      <c r="F121" t="inlineStr">
        <is>
          <t>Construction/ Strengthening work for ACR (IX to X) under Lekhanudan Budget 2024-25 (Phase-II) at GSSS_Uplagarh (Abr)</t>
        </is>
      </c>
      <c r="G121" t="inlineStr">
        <is>
          <t>Uplagarh</t>
        </is>
      </c>
    </row>
    <row r="122">
      <c r="A122" s="1" t="n">
        <v>120</v>
      </c>
      <c r="B122">
        <f>HYPERLINK("https://eproc.rajasthan.gov.in/nicgep/app?component=%24DirectLink&amp;page=FrontEndViewTender&amp;service=direct&amp;session=T&amp;sp=SHb4kFB0g38L9l1ez4MsGQQ%3D%3D", "Construction/ Strengthening work for ACR (IX to X) under Lekhanudan Budget 2024-25 (Phase-II)")</f>
        <v/>
      </c>
      <c r="C122" t="inlineStr">
        <is>
          <t>Rajasthan Council of School Education</t>
        </is>
      </c>
      <c r="D122" t="inlineStr">
        <is>
          <t>23-May-2025 06:00 PM</t>
        </is>
      </c>
      <c r="E122" t="inlineStr">
        <is>
          <t>12,40,000</t>
        </is>
      </c>
      <c r="F122" t="inlineStr">
        <is>
          <t>Construction/ Strengthening work for ACR (IX to X) under Lekhanudan Budget 2024-25 (Phase-II) MGGS_Girvar</t>
        </is>
      </c>
      <c r="G122" t="inlineStr">
        <is>
          <t>Girvar</t>
        </is>
      </c>
    </row>
    <row r="123">
      <c r="A123" s="1" t="n">
        <v>121</v>
      </c>
      <c r="B123">
        <f>HYPERLINK("https://eproc.rajasthan.gov.in/nicgep/app?component=%24DirectLink&amp;page=FrontEndViewTender&amp;service=direct&amp;session=T&amp;sp=SHhYqYbKkkKFpFsgfiPuskA%3D%3D", "Construction/ Strengthening work for ACR (IX to X) under Lekhanudan Budget 2024-25 (Phase-II)")</f>
        <v/>
      </c>
      <c r="C123" t="inlineStr">
        <is>
          <t>Rajasthan Council of School Education</t>
        </is>
      </c>
      <c r="D123" t="inlineStr">
        <is>
          <t>23-May-2025 06:00 PM</t>
        </is>
      </c>
      <c r="E123" t="inlineStr">
        <is>
          <t>12,40,000</t>
        </is>
      </c>
      <c r="F123" t="inlineStr">
        <is>
          <t>Construction/ Strengthening work for ACR (IX to X) under Lekhanudan Budget 2024-25 (Phase-II) at GGSSS, Mandar (Reodar)</t>
        </is>
      </c>
      <c r="G123" t="inlineStr">
        <is>
          <t>Mandar</t>
        </is>
      </c>
    </row>
    <row r="124">
      <c r="A124" s="1" t="n">
        <v>122</v>
      </c>
      <c r="B124">
        <f>HYPERLINK("https://eproc.rajasthan.gov.in/nicgep/app?component=%24DirectLink&amp;page=FrontEndViewTender&amp;service=direct&amp;session=T&amp;sp=S36ZPKThI6q%2FFuzBx1n13YQ%3D%3D", "Construction/ Strengthening work for ACR (IX to X)")</f>
        <v/>
      </c>
      <c r="C124" t="inlineStr">
        <is>
          <t>Rajasthan Council of School Education</t>
        </is>
      </c>
      <c r="D124" t="inlineStr">
        <is>
          <t>23-May-2025 06:00 PM</t>
        </is>
      </c>
      <c r="E124" t="inlineStr">
        <is>
          <t>12,40,000</t>
        </is>
      </c>
      <c r="F124" t="inlineStr">
        <is>
          <t>Construction/ Strengthening work for ACR (IX to X) at GSSS, Naradra (Sheoganj)</t>
        </is>
      </c>
      <c r="G124" t="inlineStr">
        <is>
          <t>Naradra</t>
        </is>
      </c>
    </row>
    <row r="125">
      <c r="A125" s="1" t="n">
        <v>123</v>
      </c>
      <c r="B125">
        <f>HYPERLINK("https://eproc.rajasthan.gov.in/nicgep/app?component=%24DirectLink&amp;page=FrontEndViewTender&amp;service=direct&amp;session=T&amp;sp=Sui0%2B%2BYBx18sNRi34AP19MQ%3D%3D", "Construction/ Strengthening work for ACR (Up to-VIII)")</f>
        <v/>
      </c>
      <c r="C125" t="inlineStr">
        <is>
          <t>Rajasthan Council of School Education</t>
        </is>
      </c>
      <c r="D125" t="inlineStr">
        <is>
          <t>23-May-2025 06:00 PM</t>
        </is>
      </c>
      <c r="E125" t="inlineStr">
        <is>
          <t>9,81,000</t>
        </is>
      </c>
      <c r="F125" t="inlineStr">
        <is>
          <t>Construction/ Strengthening work for ACR (Up to-VIII) at GPS Lalpura Jeerawal</t>
        </is>
      </c>
      <c r="G125" t="inlineStr">
        <is>
          <t>Lalpura Jirawal</t>
        </is>
      </c>
    </row>
    <row r="126">
      <c r="A126" s="1" t="n">
        <v>124</v>
      </c>
      <c r="B126">
        <f>HYPERLINK("https://eproc.rajasthan.gov.in/nicgep/app?component=%24DirectLink&amp;page=FrontEndViewTender&amp;service=direct&amp;session=T&amp;sp=S4CVYa8afYY%2BQdFncS0v2Og%3D%3D", "Construction/ Strengthening work for ACR (Up to-VIII)")</f>
        <v/>
      </c>
      <c r="C126" t="inlineStr">
        <is>
          <t>Rajasthan Council of School Education</t>
        </is>
      </c>
      <c r="D126" t="inlineStr">
        <is>
          <t>23-May-2025 06:00 PM</t>
        </is>
      </c>
      <c r="E126" t="inlineStr">
        <is>
          <t>9,81,000</t>
        </is>
      </c>
      <c r="F126" t="inlineStr">
        <is>
          <t>Construction/ Strengthening work for ACR (Up to-VIII) at Govt. Upper Primary School, Morvada</t>
        </is>
      </c>
      <c r="G126" t="inlineStr">
        <is>
          <t>Morvada</t>
        </is>
      </c>
    </row>
    <row r="127">
      <c r="A127" s="1" t="n">
        <v>125</v>
      </c>
      <c r="B127">
        <f>HYPERLINK("https://eproc.rajasthan.gov.in/nicgep/app?component=%24DirectLink&amp;page=FrontEndViewTender&amp;service=direct&amp;session=T&amp;sp=SkAp2I4i5IlMkKWb6tlZGeQ%3D%3D", "Construction/ Strengthening work for ACR (Up to-VIII)")</f>
        <v/>
      </c>
      <c r="C127" t="inlineStr">
        <is>
          <t>Rajasthan Council of School Education</t>
        </is>
      </c>
      <c r="D127" t="inlineStr">
        <is>
          <t>23-May-2025 06:00 PM</t>
        </is>
      </c>
      <c r="E127" t="inlineStr">
        <is>
          <t>9,81,000</t>
        </is>
      </c>
      <c r="F127" t="inlineStr">
        <is>
          <t>Construction/ Strengthening work for ACR (Up to-VIII) at GUPS Danpaur</t>
        </is>
      </c>
      <c r="G127" t="inlineStr">
        <is>
          <t>Danpaur</t>
        </is>
      </c>
    </row>
    <row r="128">
      <c r="A128" s="1" t="n">
        <v>126</v>
      </c>
      <c r="B128">
        <f>HYPERLINK("https://eproc.rajasthan.gov.in/nicgep/app?component=%24DirectLink&amp;page=FrontEndViewTender&amp;service=direct&amp;session=T&amp;sp=SOlNYq%2BuwdY0gTjqV2et1AQ%3D%3D", "Construction of 1 ACR and 1 Toilet work under Lekhanudan Budget 2024-25 (Phase-II)")</f>
        <v/>
      </c>
      <c r="C128" t="inlineStr">
        <is>
          <t>Rajasthan Council of School Education</t>
        </is>
      </c>
      <c r="D128" t="inlineStr">
        <is>
          <t>23-May-2025 06:00 PM</t>
        </is>
      </c>
      <c r="E128" t="inlineStr">
        <is>
          <t>13,43,000</t>
        </is>
      </c>
      <c r="F128" t="inlineStr">
        <is>
          <t>Construction of 1 ACR and 1 Toilet work under Lekhanudan Budget 2024-25 (Phase-II) at GUPS Akuna</t>
        </is>
      </c>
      <c r="G128" t="inlineStr">
        <is>
          <t>Akuna</t>
        </is>
      </c>
    </row>
    <row r="129">
      <c r="A129" s="1" t="n">
        <v>127</v>
      </c>
      <c r="B129">
        <f>HYPERLINK("https://eproc.rajasthan.gov.in/nicgep/app?component=%24DirectLink&amp;page=FrontEndViewTender&amp;service=direct&amp;session=T&amp;sp=S5P7QZz6GBlH2W7qplgMYMQ%3D%3D", "(254) Construction of Toilet GUPS BAPU NAGAR SUMERPUR 1 Toilet")</f>
        <v/>
      </c>
      <c r="C129" t="inlineStr">
        <is>
          <t>Rajasthan Council of School Education</t>
        </is>
      </c>
      <c r="D129" t="inlineStr">
        <is>
          <t>23-May-2025 06:00 PM</t>
        </is>
      </c>
      <c r="E129" t="inlineStr">
        <is>
          <t>3,65,000</t>
        </is>
      </c>
      <c r="F129" t="inlineStr">
        <is>
          <t>(254) Construction of Toilet GUPS BAPU NAGAR SUMERPUR 1 Toilet</t>
        </is>
      </c>
      <c r="G129" t="inlineStr">
        <is>
          <t>Pali</t>
        </is>
      </c>
    </row>
    <row r="130">
      <c r="A130" s="1" t="n">
        <v>128</v>
      </c>
      <c r="B130">
        <f>HYPERLINK("https://eproc.rajasthan.gov.in/nicgep/app?component=%24DirectLink&amp;page=FrontEndViewTender&amp;service=direct&amp;session=T&amp;sp=SdqYcGsJozR%2BkIC8DKecJXA%3D%3D", "(255) Construction of Toilet GUPS BHOOTMAGARI SANDERAO 1 Toilet")</f>
        <v/>
      </c>
      <c r="C130" t="inlineStr">
        <is>
          <t>Rajasthan Council of School Education</t>
        </is>
      </c>
      <c r="D130" t="inlineStr">
        <is>
          <t>23-May-2025 06:00 PM</t>
        </is>
      </c>
      <c r="E130" t="inlineStr">
        <is>
          <t>3,65,000</t>
        </is>
      </c>
      <c r="F130" t="inlineStr">
        <is>
          <t>(255) Construction of Toilet GUPS BHOOTMAGARI SANDERAO 1 Toilet</t>
        </is>
      </c>
      <c r="G130" t="inlineStr">
        <is>
          <t>Pali</t>
        </is>
      </c>
    </row>
    <row r="131">
      <c r="A131" s="1" t="n">
        <v>129</v>
      </c>
      <c r="B131">
        <f>HYPERLINK("https://eproc.rajasthan.gov.in/nicgep/app?component=%24DirectLink&amp;page=FrontEndViewTender&amp;service=direct&amp;session=T&amp;sp=SEwWL6tADWVkNTeFqdGG1jw%3D%3D", "CONSTRUCTION OF 2 ACR Govt. SSS Akoda")</f>
        <v/>
      </c>
      <c r="C131" t="inlineStr">
        <is>
          <t>Rajasthan Council of School Education</t>
        </is>
      </c>
      <c r="D131" t="inlineStr">
        <is>
          <t>23-May-2025 06:00 PM</t>
        </is>
      </c>
      <c r="E131" t="inlineStr">
        <is>
          <t>24,79,000</t>
        </is>
      </c>
      <c r="F131" t="inlineStr">
        <is>
          <t>CONSTRUCTION OF 2 ACR Govt. SSS Akoda</t>
        </is>
      </c>
      <c r="G131" t="inlineStr">
        <is>
          <t>BUNDI</t>
        </is>
      </c>
    </row>
    <row r="132">
      <c r="A132" s="1" t="n">
        <v>130</v>
      </c>
      <c r="B132">
        <f>HYPERLINK("https://eproc.rajasthan.gov.in/nicgep/app?component=%24DirectLink&amp;page=FrontEndViewTender&amp;service=direct&amp;session=T&amp;sp=SjH%2BDZOdgGfYGcaE%2BS06QKg%3D%3D", "CONSTRUCTION OF 2 ACR Govt. SSS Dadun")</f>
        <v/>
      </c>
      <c r="C132" t="inlineStr">
        <is>
          <t>Rajasthan Council of School Education</t>
        </is>
      </c>
      <c r="D132" t="inlineStr">
        <is>
          <t>23-May-2025 06:00 PM</t>
        </is>
      </c>
      <c r="E132" t="inlineStr">
        <is>
          <t>24,79,000</t>
        </is>
      </c>
      <c r="F132" t="inlineStr">
        <is>
          <t>CONSTRUCTION OF 2 ACR Govt. SSS Dadun</t>
        </is>
      </c>
      <c r="G132" t="inlineStr">
        <is>
          <t>BUNDI</t>
        </is>
      </c>
    </row>
    <row r="133">
      <c r="A133" s="1" t="n">
        <v>131</v>
      </c>
      <c r="B133">
        <f>HYPERLINK("https://eproc.rajasthan.gov.in/nicgep/app?component=%24DirectLink&amp;page=FrontEndViewTender&amp;service=direct&amp;session=T&amp;sp=SmXD2HL%2Fr5Pk9OwqNrihF9g%3D%3D", "GUPS SHIVRAMPURA")</f>
        <v/>
      </c>
      <c r="C133" t="inlineStr">
        <is>
          <t>Rajasthan Council of School Education</t>
        </is>
      </c>
      <c r="D133" t="inlineStr">
        <is>
          <t>23-May-2025 06:00 PM</t>
        </is>
      </c>
      <c r="E133" t="inlineStr">
        <is>
          <t>9,80,000</t>
        </is>
      </c>
      <c r="F133" t="inlineStr">
        <is>
          <t>GUPS SHIVRAMPURA</t>
        </is>
      </c>
      <c r="G133" t="inlineStr">
        <is>
          <t>GUPS SHIVRAMPURA</t>
        </is>
      </c>
    </row>
    <row r="134">
      <c r="A134" s="1" t="n">
        <v>132</v>
      </c>
      <c r="B134">
        <f>HYPERLINK("https://eproc.rajasthan.gov.in/nicgep/app?component=%24DirectLink&amp;page=FrontEndViewTender&amp;service=direct&amp;session=T&amp;sp=S2EMD1OUXlTph9hBIoTdM7g%3D%3D", "GSSS HODALI")</f>
        <v/>
      </c>
      <c r="C134" t="inlineStr">
        <is>
          <t>Rajasthan Council of School Education</t>
        </is>
      </c>
      <c r="D134" t="inlineStr">
        <is>
          <t>23-May-2025 06:00 PM</t>
        </is>
      </c>
      <c r="E134" t="inlineStr">
        <is>
          <t>9,80,000</t>
        </is>
      </c>
      <c r="F134" t="inlineStr">
        <is>
          <t>GSSS HODALI</t>
        </is>
      </c>
      <c r="G134" t="inlineStr">
        <is>
          <t>GSSS HODALI</t>
        </is>
      </c>
    </row>
    <row r="135">
      <c r="A135" s="1" t="n">
        <v>133</v>
      </c>
      <c r="B135">
        <f>HYPERLINK("https://eproc.rajasthan.gov.in/nicgep/app?component=%24DirectLink&amp;page=FrontEndViewTender&amp;service=direct&amp;session=T&amp;sp=SOyYGFBovWVrcO5V6jxsloA%3D%3D", "GSSS UDAWALA")</f>
        <v/>
      </c>
      <c r="C135" t="inlineStr">
        <is>
          <t>Rajasthan Council of School Education</t>
        </is>
      </c>
      <c r="D135" t="inlineStr">
        <is>
          <t>23-May-2025 06:00 PM</t>
        </is>
      </c>
      <c r="E135" t="inlineStr">
        <is>
          <t>12,40,000</t>
        </is>
      </c>
      <c r="F135" t="inlineStr">
        <is>
          <t>GSSS UDAWALA</t>
        </is>
      </c>
      <c r="G135" t="inlineStr">
        <is>
          <t>GSSS UDAWALA</t>
        </is>
      </c>
    </row>
    <row r="136">
      <c r="A136" s="1" t="n">
        <v>134</v>
      </c>
      <c r="B136">
        <f>HYPERLINK("https://eproc.rajasthan.gov.in/nicgep/app?component=%24DirectLink&amp;page=FrontEndViewTender&amp;service=direct&amp;session=T&amp;sp=SfBk79WE5J2CkZsa8hnfJsQ%3D%3D", "GUPS SANSKRIT RAWAN KA TILA")</f>
        <v/>
      </c>
      <c r="C136" t="inlineStr">
        <is>
          <t>Rajasthan Council of School Education</t>
        </is>
      </c>
      <c r="D136" t="inlineStr">
        <is>
          <t>23-May-2025 06:00 PM</t>
        </is>
      </c>
      <c r="E136" t="inlineStr">
        <is>
          <t>9,80,000</t>
        </is>
      </c>
      <c r="F136" t="inlineStr">
        <is>
          <t>GUPS SANSKRIT RAWAN KA TILA</t>
        </is>
      </c>
      <c r="G136" t="inlineStr">
        <is>
          <t>GUPS SANSKRIT RAWAN KA TILA</t>
        </is>
      </c>
    </row>
    <row r="137">
      <c r="A137" s="1" t="n">
        <v>135</v>
      </c>
      <c r="B137">
        <f>HYPERLINK("https://eproc.rajasthan.gov.in/nicgep/app?component=%24DirectLink&amp;page=FrontEndViewTender&amp;service=direct&amp;session=T&amp;sp=SSkjtYnLsvQ8jXtolzvm1gQ%3D%3D", "CONSTRUCTION OF 2 ACR Govt. SSS Rajlavta")</f>
        <v/>
      </c>
      <c r="C137" t="inlineStr">
        <is>
          <t>Rajasthan Council of School Education</t>
        </is>
      </c>
      <c r="D137" t="inlineStr">
        <is>
          <t>23-May-2025 06:00 PM</t>
        </is>
      </c>
      <c r="E137" t="inlineStr">
        <is>
          <t>24,79,000</t>
        </is>
      </c>
      <c r="F137" t="inlineStr">
        <is>
          <t>CONSTRUCTION OF 2 ACR Govt. SSS Rajlavta</t>
        </is>
      </c>
      <c r="G137" t="inlineStr">
        <is>
          <t>BUNDI</t>
        </is>
      </c>
    </row>
    <row r="138">
      <c r="A138" s="1" t="n">
        <v>136</v>
      </c>
      <c r="B138">
        <f>HYPERLINK("https://eproc.rajasthan.gov.in/nicgep/app?component=%24DirectLink&amp;page=FrontEndViewTender&amp;service=direct&amp;session=T&amp;sp=SKhPKDOqP%2FSPLnNR%2FFlfTWg%3D%3D", "Construction of 1 ACR and 1 Toilet work under Lekhanudan Budget 2024-25 (Phase-II)")</f>
        <v/>
      </c>
      <c r="C138" t="inlineStr">
        <is>
          <t>Rajasthan Council of School Education</t>
        </is>
      </c>
      <c r="D138" t="inlineStr">
        <is>
          <t>23-May-2025 06:00 PM</t>
        </is>
      </c>
      <c r="E138" t="inlineStr">
        <is>
          <t>13,43,000</t>
        </is>
      </c>
      <c r="F138" t="inlineStr">
        <is>
          <t>Construction of 1 ACR and 1 Toilet work under Lekhanudan Budget 2024-25 (Phase-II) at GUPS_Goliya_Dhanari</t>
        </is>
      </c>
      <c r="G138" t="inlineStr">
        <is>
          <t>Goliya Dhanari</t>
        </is>
      </c>
    </row>
    <row r="139">
      <c r="A139" s="1" t="n">
        <v>137</v>
      </c>
      <c r="B139">
        <f>HYPERLINK("https://eproc.rajasthan.gov.in/nicgep/app?component=%24DirectLink&amp;page=FrontEndViewTender&amp;service=direct&amp;session=T&amp;sp=SwdTn583IoOZrK%2FPLK5Qd%2BQ%3D%3D", "GSSS DHARMPURA")</f>
        <v/>
      </c>
      <c r="C139" t="inlineStr">
        <is>
          <t>Rajasthan Council of School Education</t>
        </is>
      </c>
      <c r="D139" t="inlineStr">
        <is>
          <t>23-May-2025 06:00 PM</t>
        </is>
      </c>
      <c r="E139" t="inlineStr">
        <is>
          <t>12,40,000</t>
        </is>
      </c>
      <c r="F139" t="inlineStr">
        <is>
          <t>GSSS DHARMPURA</t>
        </is>
      </c>
      <c r="G139" t="inlineStr">
        <is>
          <t>GSSS DHARMPURA</t>
        </is>
      </c>
    </row>
    <row r="140">
      <c r="A140" s="1" t="n">
        <v>138</v>
      </c>
      <c r="B140">
        <f>HYPERLINK("https://eproc.rajasthan.gov.in/nicgep/app?component=%24DirectLink&amp;page=FrontEndViewTender&amp;service=direct&amp;session=T&amp;sp=SYD6jBwwiEJzDT5A5I%2Bka8A%3D%3D", "(253) Construction of Toilet GUPS NO 01 SUMERPUR 1 Toilet")</f>
        <v/>
      </c>
      <c r="C140" t="inlineStr">
        <is>
          <t>Rajasthan Council of School Education</t>
        </is>
      </c>
      <c r="D140" t="inlineStr">
        <is>
          <t>23-May-2025 06:00 PM</t>
        </is>
      </c>
      <c r="E140" t="inlineStr">
        <is>
          <t>3,65,000</t>
        </is>
      </c>
      <c r="F140" t="inlineStr">
        <is>
          <t>(253) Construction of Toilet GUPS NO 01 SUMERPUR 1 Toilet</t>
        </is>
      </c>
      <c r="G140" t="inlineStr">
        <is>
          <t>Pali</t>
        </is>
      </c>
    </row>
    <row r="141">
      <c r="A141" s="1" t="n">
        <v>139</v>
      </c>
      <c r="B141">
        <f>HYPERLINK("https://eproc.rajasthan.gov.in/nicgep/app?component=%24DirectLink&amp;page=FrontEndViewTender&amp;service=direct&amp;session=T&amp;sp=SneoecfqthseU3RXdonWe3g%3D%3D", "GSSS LAWAN")</f>
        <v/>
      </c>
      <c r="C141" t="inlineStr">
        <is>
          <t>Rajasthan Council of School Education</t>
        </is>
      </c>
      <c r="D141" t="inlineStr">
        <is>
          <t>23-May-2025 06:00 PM</t>
        </is>
      </c>
      <c r="E141" t="inlineStr">
        <is>
          <t>9,80,000</t>
        </is>
      </c>
      <c r="F141" t="inlineStr">
        <is>
          <t>GSSS LAWAN</t>
        </is>
      </c>
      <c r="G141" t="inlineStr">
        <is>
          <t>GSSS LAWAN</t>
        </is>
      </c>
    </row>
    <row r="142">
      <c r="A142" s="1" t="n">
        <v>140</v>
      </c>
      <c r="B142">
        <f>HYPERLINK("https://eproc.rajasthan.gov.in/nicgep/app?component=%24DirectLink&amp;page=FrontEndViewTender&amp;service=direct&amp;session=T&amp;sp=SO9xyHFhuf4oJ1b5x4xWpQA%3D%3D", "GSSS SINDOLI")</f>
        <v/>
      </c>
      <c r="C142" t="inlineStr">
        <is>
          <t>Rajasthan Council of School Education</t>
        </is>
      </c>
      <c r="D142" t="inlineStr">
        <is>
          <t>23-May-2025 06:00 PM</t>
        </is>
      </c>
      <c r="E142" t="inlineStr">
        <is>
          <t>12,40,000</t>
        </is>
      </c>
      <c r="F142" t="inlineStr">
        <is>
          <t>GSSS SINDOLI</t>
        </is>
      </c>
      <c r="G142" t="inlineStr">
        <is>
          <t>GSSS SINDOLI</t>
        </is>
      </c>
    </row>
    <row r="143">
      <c r="A143" s="1" t="n">
        <v>141</v>
      </c>
      <c r="B143">
        <f>HYPERLINK("https://eproc.rajasthan.gov.in/nicgep/app?component=%24DirectLink&amp;page=FrontEndViewTender&amp;service=direct&amp;session=T&amp;sp=SwKfUBinTsLNJTBxQzTdMfA%3D%3D", "CONSTRUCTION OF 2 ACR Govt. SSS Laxmipura")</f>
        <v/>
      </c>
      <c r="C143" t="inlineStr">
        <is>
          <t>Rajasthan Council of School Education</t>
        </is>
      </c>
      <c r="D143" t="inlineStr">
        <is>
          <t>23-May-2025 06:00 PM</t>
        </is>
      </c>
      <c r="E143" t="inlineStr">
        <is>
          <t>24,79,000</t>
        </is>
      </c>
      <c r="F143" t="inlineStr">
        <is>
          <t>CONSTRUCTION OF 2 ACR Govt. SSS Laxmipura</t>
        </is>
      </c>
      <c r="G143" t="inlineStr">
        <is>
          <t>BUNDI</t>
        </is>
      </c>
    </row>
    <row r="144">
      <c r="A144" s="1" t="n">
        <v>142</v>
      </c>
      <c r="B144">
        <f>HYPERLINK("https://eproc.rajasthan.gov.in/nicgep/app?component=%24DirectLink&amp;page=FrontEndViewTender&amp;service=direct&amp;session=T&amp;sp=SjZAK8Mw6ZZpkKk7YJHoMZA%3D%3D", "CONSTRUCTION OF 1 ACR Govt. UPS Devriya")</f>
        <v/>
      </c>
      <c r="C144" t="inlineStr">
        <is>
          <t>Rajasthan Council of School Education</t>
        </is>
      </c>
      <c r="D144" t="inlineStr">
        <is>
          <t>23-May-2025 06:00 PM</t>
        </is>
      </c>
      <c r="E144" t="inlineStr">
        <is>
          <t>9,81,000</t>
        </is>
      </c>
      <c r="F144" t="inlineStr">
        <is>
          <t>CONSTRUCTION OF 1 ACR Govt. UPS Devriya</t>
        </is>
      </c>
      <c r="G144" t="inlineStr">
        <is>
          <t>BUNDI</t>
        </is>
      </c>
    </row>
    <row r="145">
      <c r="A145" s="1" t="n">
        <v>143</v>
      </c>
      <c r="B145">
        <f>HYPERLINK("https://eproc.rajasthan.gov.in/nicgep/app?component=%24DirectLink&amp;page=FrontEndViewTender&amp;service=direct&amp;session=T&amp;sp=S%2BotBkz5ZMn5v%2BG%2FaCSvoBA%3D%3D", "CONSTRUCTION OF 2 ACR Govt. SSS Gothda")</f>
        <v/>
      </c>
      <c r="C145" t="inlineStr">
        <is>
          <t>Rajasthan Council of School Education</t>
        </is>
      </c>
      <c r="D145" t="inlineStr">
        <is>
          <t>23-May-2025 06:00 PM</t>
        </is>
      </c>
      <c r="E145" t="inlineStr">
        <is>
          <t>24,79,000</t>
        </is>
      </c>
      <c r="F145" t="inlineStr">
        <is>
          <t>CONSTRUCTION OF 2 ACR Govt. SSS Gothda</t>
        </is>
      </c>
      <c r="G145" t="inlineStr">
        <is>
          <t>BUNDI</t>
        </is>
      </c>
    </row>
    <row r="146">
      <c r="A146" s="1" t="n">
        <v>144</v>
      </c>
      <c r="B146">
        <f>HYPERLINK("https://eproc.rajasthan.gov.in/nicgep/app?component=%24DirectLink&amp;page=FrontEndViewTender&amp;service=direct&amp;session=T&amp;sp=SY4iUmA28lcEWsU44iONr4w%3D%3D", "Construction/ Strengthening work for ACR (IX to X)")</f>
        <v/>
      </c>
      <c r="C146" t="inlineStr">
        <is>
          <t>Rajasthan Council of School Education</t>
        </is>
      </c>
      <c r="D146" t="inlineStr">
        <is>
          <t>23-May-2025 06:00 PM</t>
        </is>
      </c>
      <c r="E146" t="inlineStr">
        <is>
          <t>12,40,000</t>
        </is>
      </c>
      <c r="F146" t="inlineStr">
        <is>
          <t>Construction/ Strengthening work for ACR (IX to X) under Lekhanudan Budget 2024-25 (Phase-II) at GSSS_Uplagarh</t>
        </is>
      </c>
      <c r="G146" t="inlineStr">
        <is>
          <t>Uplagarh</t>
        </is>
      </c>
    </row>
    <row r="147">
      <c r="A147" s="1" t="n">
        <v>145</v>
      </c>
      <c r="B147">
        <f>HYPERLINK("https://eproc.rajasthan.gov.in/nicgep/app?component=%24DirectLink&amp;page=FrontEndViewTender&amp;service=direct&amp;session=T&amp;sp=S%2BDzo8kNc%2Bec%2BQVuPdQIudg%3D%3D", "Construction/ Strengthening work for ACR (Up to-VIII) at Govt. Primary School")</f>
        <v/>
      </c>
      <c r="C147" t="inlineStr">
        <is>
          <t>Rajasthan Council of School Education</t>
        </is>
      </c>
      <c r="D147" t="inlineStr">
        <is>
          <t>23-May-2025 06:00 PM</t>
        </is>
      </c>
      <c r="E147" t="inlineStr">
        <is>
          <t>9,81,000</t>
        </is>
      </c>
      <c r="F147" t="inlineStr">
        <is>
          <t>Construction/ Strengthening work for ACR (Up to-VIII) at Govt. Primary School, Bhootiyavas_Sildar</t>
        </is>
      </c>
      <c r="G147" t="inlineStr">
        <is>
          <t>Sildar</t>
        </is>
      </c>
    </row>
    <row r="148">
      <c r="A148" s="1" t="n">
        <v>146</v>
      </c>
      <c r="B148">
        <f>HYPERLINK("https://eproc.rajasthan.gov.in/nicgep/app?component=%24DirectLink&amp;page=FrontEndViewTender&amp;service=direct&amp;session=T&amp;sp=ShhFm6ZxSg5%2BHOtyPVrjRhw%3D%3D", "Construction/ Strengthening work for Toilet")</f>
        <v/>
      </c>
      <c r="C148" t="inlineStr">
        <is>
          <t>Rajasthan Council of School Education</t>
        </is>
      </c>
      <c r="D148" t="inlineStr">
        <is>
          <t>23-May-2025 06:00 PM</t>
        </is>
      </c>
      <c r="E148" t="inlineStr">
        <is>
          <t>3,64,000</t>
        </is>
      </c>
      <c r="F148" t="inlineStr">
        <is>
          <t>Construction/ Strengthening work for Toilet at GPS_Moila_Bhakhari</t>
        </is>
      </c>
      <c r="G148" t="inlineStr">
        <is>
          <t>Moila_Bhakhari</t>
        </is>
      </c>
    </row>
    <row r="149">
      <c r="A149" s="1" t="n">
        <v>147</v>
      </c>
      <c r="B149">
        <f>HYPERLINK("https://eproc.rajasthan.gov.in/nicgep/app?component=%24DirectLink&amp;page=FrontEndViewTender&amp;service=direct&amp;session=T&amp;sp=SkBEBiqt0TTJck20aKicgdQ%3D%3D", "(205) Construction of Class Room and Girls Toilet GUPS MALDAR KI DHANI 2 ACR and 1 Girls Toilet")</f>
        <v/>
      </c>
      <c r="C149" t="inlineStr">
        <is>
          <t>Rajasthan Council of School Education</t>
        </is>
      </c>
      <c r="D149" t="inlineStr">
        <is>
          <t>23-May-2025 06:00 PM</t>
        </is>
      </c>
      <c r="E149" t="inlineStr">
        <is>
          <t>28,41,000</t>
        </is>
      </c>
      <c r="F149" t="inlineStr">
        <is>
          <t>(205) Construction of Class Room and Girls Toilet GUPS MALDAR KI DHANI 2 ACR and 1 Girls Toilet</t>
        </is>
      </c>
      <c r="G149" t="inlineStr">
        <is>
          <t>Pali</t>
        </is>
      </c>
    </row>
    <row r="150">
      <c r="A150" s="1" t="n">
        <v>148</v>
      </c>
      <c r="B150">
        <f>HYPERLINK("https://eproc.rajasthan.gov.in/nicgep/app?component=%24DirectLink&amp;page=FrontEndViewTender&amp;service=direct&amp;session=T&amp;sp=SfDtD3PsPZcPTcwOdrwWP5A%3D%3D", "(206) Construction of Class Room and Girls Toilet GUPS TANI 2 ACR and 1 Girls Toilet")</f>
        <v/>
      </c>
      <c r="C150" t="inlineStr">
        <is>
          <t>Rajasthan Council of School Education</t>
        </is>
      </c>
      <c r="D150" t="inlineStr">
        <is>
          <t>23-May-2025 06:00 PM</t>
        </is>
      </c>
      <c r="E150" t="inlineStr">
        <is>
          <t>28,41,000</t>
        </is>
      </c>
      <c r="F150" t="inlineStr">
        <is>
          <t>(206) Construction of Class Room and Girls Toilet GUPS TANI 2 ACR and 1 Girls Toilet</t>
        </is>
      </c>
      <c r="G150" t="inlineStr">
        <is>
          <t>Pali</t>
        </is>
      </c>
    </row>
    <row r="151">
      <c r="A151" s="1" t="n">
        <v>149</v>
      </c>
      <c r="B151">
        <f>HYPERLINK("https://eproc.rajasthan.gov.in/nicgep/app?component=%24DirectLink&amp;page=FrontEndViewTender&amp;service=direct&amp;session=T&amp;sp=S2VirH4erOR6Lqvxe%2Fy2XYQ%3D%3D", "(207) Construction of Class Room and Girls Toilet GUPS INDRA COLONY FALNA 2 ACR and 1 Girls Toilet")</f>
        <v/>
      </c>
      <c r="C151" t="inlineStr">
        <is>
          <t>Rajasthan Council of School Education</t>
        </is>
      </c>
      <c r="D151" t="inlineStr">
        <is>
          <t>23-May-2025 06:00 PM</t>
        </is>
      </c>
      <c r="E151" t="inlineStr">
        <is>
          <t>28,41,000</t>
        </is>
      </c>
      <c r="F151" t="inlineStr">
        <is>
          <t>(207) Construction of Class Room and Girls Toilet GUPS INDRA COLONY FALNA 2 ACR and 1 Girls Toilet</t>
        </is>
      </c>
      <c r="G151" t="inlineStr">
        <is>
          <t>Pali</t>
        </is>
      </c>
    </row>
    <row r="152">
      <c r="A152" s="1" t="n">
        <v>150</v>
      </c>
      <c r="B152">
        <f>HYPERLINK("https://eproc.rajasthan.gov.in/nicgep/app?component=%24DirectLink&amp;page=FrontEndViewTender&amp;service=direct&amp;session=T&amp;sp=Ss38Zwe8LobDXdYjONRTQRg%3D%3D", "(208) Construction of Class Room and Girls Toilet GUPS KORWA 2 ACR and 1 Girls Toilet")</f>
        <v/>
      </c>
      <c r="C152" t="inlineStr">
        <is>
          <t>Rajasthan Council of School Education</t>
        </is>
      </c>
      <c r="D152" t="inlineStr">
        <is>
          <t>23-May-2025 06:00 PM</t>
        </is>
      </c>
      <c r="E152" t="inlineStr">
        <is>
          <t>28,41,000</t>
        </is>
      </c>
      <c r="F152" t="inlineStr">
        <is>
          <t>(208) Construction of Class Room and Girls Toilet GUPS KORWA 2 ACR and 1 Girls Toilet</t>
        </is>
      </c>
      <c r="G152" t="inlineStr">
        <is>
          <t>Pali</t>
        </is>
      </c>
    </row>
    <row r="153">
      <c r="A153" s="1" t="n">
        <v>151</v>
      </c>
      <c r="B153">
        <f>HYPERLINK("https://eproc.rajasthan.gov.in/nicgep/app?component=%24DirectLink&amp;page=FrontEndViewTender&amp;service=direct&amp;session=T&amp;sp=SfFFfNlG%2BWGNIfLmfvTYkUQ%3D%3D", "(209) Construction of Class Room and Girls Toilet GUPS NADIYA 2 ACR and 1 Girls Toilet")</f>
        <v/>
      </c>
      <c r="C153" t="inlineStr">
        <is>
          <t>Rajasthan Council of School Education</t>
        </is>
      </c>
      <c r="D153" t="inlineStr">
        <is>
          <t>23-May-2025 06:00 PM</t>
        </is>
      </c>
      <c r="E153" t="inlineStr">
        <is>
          <t>28,41,000</t>
        </is>
      </c>
      <c r="F153" t="inlineStr">
        <is>
          <t>(209) Construction of Class Room and Girls Toilet GUPS NADIYA 2 ACR and 1 Girls Toilet</t>
        </is>
      </c>
      <c r="G153" t="inlineStr">
        <is>
          <t>Pali</t>
        </is>
      </c>
    </row>
    <row r="154">
      <c r="A154" s="1" t="n">
        <v>152</v>
      </c>
      <c r="B154">
        <f>HYPERLINK("https://eproc.rajasthan.gov.in/nicgep/app?component=%24DirectLink&amp;page=FrontEndViewTender&amp;service=direct&amp;session=T&amp;sp=SsCKSQxzAzbAz6UkGCMsmog%3D%3D", "GSSS SALEMPURA")</f>
        <v/>
      </c>
      <c r="C154" t="inlineStr">
        <is>
          <t>Rajasthan Council of School Education</t>
        </is>
      </c>
      <c r="D154" t="inlineStr">
        <is>
          <t>23-May-2025 06:00 PM</t>
        </is>
      </c>
      <c r="E154" t="inlineStr">
        <is>
          <t>12,40,000</t>
        </is>
      </c>
      <c r="F154" t="inlineStr">
        <is>
          <t>GSSS SALEMPURA</t>
        </is>
      </c>
      <c r="G154" t="inlineStr">
        <is>
          <t>GSSS SALEMPURA</t>
        </is>
      </c>
    </row>
    <row r="155">
      <c r="A155" s="1" t="n">
        <v>153</v>
      </c>
      <c r="B155">
        <f>HYPERLINK("https://eproc.rajasthan.gov.in/nicgep/app?component=%24DirectLink&amp;page=FrontEndViewTender&amp;service=direct&amp;session=T&amp;sp=ShwauTvS4ekWX8TPKNTDeTA%3D%3D", "GSSS GAGLYAWAS")</f>
        <v/>
      </c>
      <c r="C155" t="inlineStr">
        <is>
          <t>Rajasthan Council of School Education</t>
        </is>
      </c>
      <c r="D155" t="inlineStr">
        <is>
          <t>23-May-2025 06:00 PM</t>
        </is>
      </c>
      <c r="E155" t="inlineStr">
        <is>
          <t>24,79,000</t>
        </is>
      </c>
      <c r="F155" t="inlineStr">
        <is>
          <t>GSSS GAGLYAWAS</t>
        </is>
      </c>
      <c r="G155" t="inlineStr">
        <is>
          <t>GSSS GAGLYAWAS</t>
        </is>
      </c>
    </row>
    <row r="156">
      <c r="A156" s="1" t="n">
        <v>154</v>
      </c>
      <c r="B156">
        <f>HYPERLINK("https://eproc.rajasthan.gov.in/nicgep/app?component=%24DirectLink&amp;page=FrontEndViewTender&amp;service=direct&amp;session=T&amp;sp=S2Ee4UHb2vgUpK4u4AftBGA%3D%3D", "GSSS AMRABAD")</f>
        <v/>
      </c>
      <c r="C156" t="inlineStr">
        <is>
          <t>Rajasthan Council of School Education</t>
        </is>
      </c>
      <c r="D156" t="inlineStr">
        <is>
          <t>23-May-2025 06:00 PM</t>
        </is>
      </c>
      <c r="E156" t="inlineStr">
        <is>
          <t>12,40,000</t>
        </is>
      </c>
      <c r="F156" t="inlineStr">
        <is>
          <t>GSSS AMRABAD</t>
        </is>
      </c>
      <c r="G156" t="inlineStr">
        <is>
          <t>GSSS AMRABAD</t>
        </is>
      </c>
    </row>
    <row r="157">
      <c r="A157" s="1" t="n">
        <v>155</v>
      </c>
      <c r="B157">
        <f>HYPERLINK("https://eproc.rajasthan.gov.in/nicgep/app?component=%24DirectLink&amp;page=FrontEndViewTender&amp;service=direct&amp;session=T&amp;sp=SD4xumlPPlzgVg7Z5LajcAQ%3D%3D", "GSSS BIDOLI")</f>
        <v/>
      </c>
      <c r="C157" t="inlineStr">
        <is>
          <t>Rajasthan Council of School Education</t>
        </is>
      </c>
      <c r="D157" t="inlineStr">
        <is>
          <t>23-May-2025 06:00 PM</t>
        </is>
      </c>
      <c r="E157" t="inlineStr">
        <is>
          <t>12,40,000</t>
        </is>
      </c>
      <c r="F157" t="inlineStr">
        <is>
          <t>GSSS BIDOLI</t>
        </is>
      </c>
      <c r="G157" t="inlineStr">
        <is>
          <t>GSSS BIDOLI</t>
        </is>
      </c>
    </row>
    <row r="158">
      <c r="A158" s="1" t="n">
        <v>156</v>
      </c>
      <c r="B158">
        <f>HYPERLINK("https://eproc.rajasthan.gov.in/nicgep/app?component=%24DirectLink&amp;page=FrontEndViewTender&amp;service=direct&amp;session=T&amp;sp=SDvbtxlMto98ZAP7QJQyq9Q%3D%3D", "GSSS KUNDAL")</f>
        <v/>
      </c>
      <c r="C158" t="inlineStr">
        <is>
          <t>Rajasthan Council of School Education</t>
        </is>
      </c>
      <c r="D158" t="inlineStr">
        <is>
          <t>23-May-2025 06:00 PM</t>
        </is>
      </c>
      <c r="E158" t="inlineStr">
        <is>
          <t>12,40,000</t>
        </is>
      </c>
      <c r="F158" t="inlineStr">
        <is>
          <t>GSSS KUNDAL</t>
        </is>
      </c>
      <c r="G158" t="inlineStr">
        <is>
          <t>GSSS KUNDAL</t>
        </is>
      </c>
    </row>
    <row r="159">
      <c r="A159" s="1" t="n">
        <v>157</v>
      </c>
      <c r="B159">
        <f>HYPERLINK("https://eproc.rajasthan.gov.in/nicgep/app?component=%24DirectLink&amp;page=FrontEndViewTender&amp;service=direct&amp;session=T&amp;sp=Sh9OPZdnkDfMnymwasygQmQ%3D%3D", "GUPS JHAJHARWALI")</f>
        <v/>
      </c>
      <c r="C159" t="inlineStr">
        <is>
          <t>Rajasthan Council of School Education</t>
        </is>
      </c>
      <c r="D159" t="inlineStr">
        <is>
          <t>23-May-2025 06:00 PM</t>
        </is>
      </c>
      <c r="E159" t="inlineStr">
        <is>
          <t>9,80,000</t>
        </is>
      </c>
      <c r="F159" t="inlineStr">
        <is>
          <t>GUPS JHAJHARWALI</t>
        </is>
      </c>
      <c r="G159" t="inlineStr">
        <is>
          <t>GUPS JHAJHARWALI</t>
        </is>
      </c>
    </row>
    <row r="160">
      <c r="A160" s="1" t="n">
        <v>158</v>
      </c>
      <c r="B160">
        <f>HYPERLINK("https://eproc.rajasthan.gov.in/nicgep/app?component=%24DirectLink&amp;page=FrontEndViewTender&amp;service=direct&amp;session=T&amp;sp=SiM5BRKpodnsbny%2F8pQ5tVA%3D%3D", "MGGS DAUSA KHURD")</f>
        <v/>
      </c>
      <c r="C160" t="inlineStr">
        <is>
          <t>Rajasthan Council of School Education</t>
        </is>
      </c>
      <c r="D160" t="inlineStr">
        <is>
          <t>23-May-2025 06:00 PM</t>
        </is>
      </c>
      <c r="E160" t="inlineStr">
        <is>
          <t>24,79,000</t>
        </is>
      </c>
      <c r="F160" t="inlineStr">
        <is>
          <t>MGGS DAUSA KHURD</t>
        </is>
      </c>
      <c r="G160" t="inlineStr">
        <is>
          <t>MGGS DAUSA KHURD</t>
        </is>
      </c>
    </row>
    <row r="161">
      <c r="A161" s="1" t="n">
        <v>159</v>
      </c>
      <c r="B161">
        <f>HYPERLINK("https://eproc.rajasthan.gov.in/nicgep/app?component=%24DirectLink&amp;page=FrontEndViewTender&amp;service=direct&amp;session=T&amp;sp=S%2BTpCwQl%2FPT%2BCHeJBxqFopg%3D%3D", "Construction/ Strengthening work for ACR (IX to X) under Lekhanudan Budget 2024-25 (Phase-II)")</f>
        <v/>
      </c>
      <c r="C161" t="inlineStr">
        <is>
          <t>Rajasthan Council of School Education</t>
        </is>
      </c>
      <c r="D161" t="inlineStr">
        <is>
          <t>23-May-2025 06:00 PM</t>
        </is>
      </c>
      <c r="E161" t="inlineStr">
        <is>
          <t>12,40,000</t>
        </is>
      </c>
      <c r="F161" t="inlineStr">
        <is>
          <t>Construction/ Strengthening work for ACR (IX to X) under Lekhanudan Budget 2024-25 (Phase-II) at MGGS, Padiv</t>
        </is>
      </c>
      <c r="G161" t="inlineStr">
        <is>
          <t>Padeev</t>
        </is>
      </c>
    </row>
    <row r="162">
      <c r="A162" s="1" t="n">
        <v>160</v>
      </c>
      <c r="B162">
        <f>HYPERLINK("https://eproc.rajasthan.gov.in/nicgep/app?component=%24DirectLink&amp;page=FrontEndViewTender&amp;service=direct&amp;session=T&amp;sp=S4SSNCDRZ1FpyU0GAsHFiwA%3D%3D", "GUPS BHIARIPURA")</f>
        <v/>
      </c>
      <c r="C162" t="inlineStr">
        <is>
          <t>Rajasthan Council of School Education</t>
        </is>
      </c>
      <c r="D162" t="inlineStr">
        <is>
          <t>23-May-2025 06:00 PM</t>
        </is>
      </c>
      <c r="E162" t="inlineStr">
        <is>
          <t>9,80,000</t>
        </is>
      </c>
      <c r="F162" t="inlineStr">
        <is>
          <t>GUPS BHIARIPURA</t>
        </is>
      </c>
      <c r="G162" t="inlineStr">
        <is>
          <t>GUPS BHIARIPURA</t>
        </is>
      </c>
    </row>
    <row r="163">
      <c r="A163" s="1" t="n">
        <v>161</v>
      </c>
      <c r="B163">
        <f>HYPERLINK("https://eproc.rajasthan.gov.in/nicgep/app?component=%24DirectLink&amp;page=FrontEndViewTender&amp;service=direct&amp;session=T&amp;sp=SK1TwxiT2ZDktlGxzXpKLAA%3D%3D", "Construction/ Strengthening work for ACR (Up to-VIII)")</f>
        <v/>
      </c>
      <c r="C163" t="inlineStr">
        <is>
          <t>Rajasthan Council of School Education</t>
        </is>
      </c>
      <c r="D163" t="inlineStr">
        <is>
          <t>23-May-2025 06:00 PM</t>
        </is>
      </c>
      <c r="E163" t="inlineStr">
        <is>
          <t>9,81,000</t>
        </is>
      </c>
      <c r="F163" t="inlineStr">
        <is>
          <t>Construction/ Strengthening work for ACR (Up to-VIII) at Govt. Upper Primary School, Ummedgarh_Naya</t>
        </is>
      </c>
      <c r="G163" t="inlineStr">
        <is>
          <t>Ummedgarh Naya</t>
        </is>
      </c>
    </row>
    <row r="164">
      <c r="A164" s="1" t="n">
        <v>162</v>
      </c>
      <c r="B164">
        <f>HYPERLINK("https://eproc.rajasthan.gov.in/nicgep/app?component=%24DirectLink&amp;page=FrontEndViewTender&amp;service=direct&amp;session=T&amp;sp=SuqpyBXi8XZfHxE6r1FgQIg%3D%3D", "Construction/ Strengthening work for ACR (Up to-VIII)")</f>
        <v/>
      </c>
      <c r="C164" t="inlineStr">
        <is>
          <t>Rajasthan Council of School Education</t>
        </is>
      </c>
      <c r="D164" t="inlineStr">
        <is>
          <t>23-May-2025 06:00 PM</t>
        </is>
      </c>
      <c r="E164" t="inlineStr">
        <is>
          <t>9,81,000</t>
        </is>
      </c>
      <c r="F164" t="inlineStr">
        <is>
          <t>Construction/ Strengthening work for ACR (Up to-VIII) at Govt. Upper Primary School, Devnagar</t>
        </is>
      </c>
      <c r="G164" t="inlineStr">
        <is>
          <t>Devnagar</t>
        </is>
      </c>
    </row>
    <row r="165">
      <c r="A165" s="1" t="n">
        <v>163</v>
      </c>
      <c r="B165">
        <f>HYPERLINK("https://eproc.rajasthan.gov.in/nicgep/app?component=%24DirectLink&amp;page=FrontEndViewTender&amp;service=direct&amp;session=T&amp;sp=SlLx5VVBRnGhw%2FdRllOKr2A%3D%3D", "GUPS DADANKA")</f>
        <v/>
      </c>
      <c r="C165" t="inlineStr">
        <is>
          <t>Rajasthan Council of School Education</t>
        </is>
      </c>
      <c r="D165" t="inlineStr">
        <is>
          <t>23-May-2025 06:00 PM</t>
        </is>
      </c>
      <c r="E165" t="inlineStr">
        <is>
          <t>9,80,000</t>
        </is>
      </c>
      <c r="F165" t="inlineStr">
        <is>
          <t>GUPS DADANKA</t>
        </is>
      </c>
      <c r="G165" t="inlineStr">
        <is>
          <t>GUPS DADANKA</t>
        </is>
      </c>
    </row>
    <row r="166">
      <c r="A166" s="1" t="n">
        <v>164</v>
      </c>
      <c r="B166">
        <f>HYPERLINK("https://eproc.rajasthan.gov.in/nicgep/app?component=%24DirectLink&amp;page=FrontEndViewTender&amp;service=direct&amp;session=T&amp;sp=S0ecJCUwwl%2BGmW9BCcPgj7A%3D%3D", "Construction/ Strengthening work for ACR (Up to-VIII)")</f>
        <v/>
      </c>
      <c r="C166" t="inlineStr">
        <is>
          <t>Rajasthan Council of School Education</t>
        </is>
      </c>
      <c r="D166" t="inlineStr">
        <is>
          <t>23-May-2025 06:00 PM</t>
        </is>
      </c>
      <c r="E166" t="inlineStr">
        <is>
          <t>9,81,000</t>
        </is>
      </c>
      <c r="F166" t="inlineStr">
        <is>
          <t>Construction/ Strengthening work for ACR (Up to-VIII) at GUPS Abela</t>
        </is>
      </c>
      <c r="G166" t="inlineStr">
        <is>
          <t>Abela</t>
        </is>
      </c>
    </row>
    <row r="167">
      <c r="A167" s="1" t="n">
        <v>165</v>
      </c>
      <c r="B167">
        <f>HYPERLINK("https://eproc.rajasthan.gov.in/nicgep/app?component=%24DirectLink&amp;page=FrontEndViewTender&amp;service=direct&amp;session=T&amp;sp=ShKeFxYFoduCN8bNUQJhiuA%3D%3D", "Construction/ Strengthening work for ACR (Up to-VIII)")</f>
        <v/>
      </c>
      <c r="C167" t="inlineStr">
        <is>
          <t>Rajasthan Council of School Education</t>
        </is>
      </c>
      <c r="D167" t="inlineStr">
        <is>
          <t>23-May-2025 06:00 PM</t>
        </is>
      </c>
      <c r="E167" t="inlineStr">
        <is>
          <t>9,81,000</t>
        </is>
      </c>
      <c r="F167" t="inlineStr">
        <is>
          <t>Construction/ Strengthening work for ACR (Up to-VIII) at GUPS_Churlikheda_Ishra</t>
        </is>
      </c>
      <c r="G167" t="inlineStr">
        <is>
          <t>Churlikhera</t>
        </is>
      </c>
    </row>
    <row r="168">
      <c r="A168" s="1" t="n">
        <v>166</v>
      </c>
      <c r="B168">
        <f>HYPERLINK("https://eproc.rajasthan.gov.in/nicgep/app?component=%24DirectLink&amp;page=FrontEndViewTender&amp;service=direct&amp;session=T&amp;sp=SgJ765QMb%2FCmsktGl55VjHg%3D%3D", "(243) Construction of Toilet GUPS PADASALA 1 Toilet")</f>
        <v/>
      </c>
      <c r="C168" t="inlineStr">
        <is>
          <t>Rajasthan Council of School Education</t>
        </is>
      </c>
      <c r="D168" t="inlineStr">
        <is>
          <t>23-May-2025 06:00 PM</t>
        </is>
      </c>
      <c r="E168" t="inlineStr">
        <is>
          <t>3,65,000</t>
        </is>
      </c>
      <c r="F168" t="inlineStr">
        <is>
          <t>(243) Construction of Toilet GUPS PADASALA 1 Toilet</t>
        </is>
      </c>
      <c r="G168" t="inlineStr">
        <is>
          <t>Pali</t>
        </is>
      </c>
    </row>
    <row r="169">
      <c r="A169" s="1" t="n">
        <v>167</v>
      </c>
      <c r="B169">
        <f>HYPERLINK("https://eproc.rajasthan.gov.in/nicgep/app?component=%24DirectLink&amp;page=FrontEndViewTender&amp;service=direct&amp;session=T&amp;sp=SS5%2B9i0RwOSrKRoIJwVBXXg%3D%3D", "(241) Construction of Toilet GUPS BALELAV 2 Toilet")</f>
        <v/>
      </c>
      <c r="C169" t="inlineStr">
        <is>
          <t>Rajasthan Council of School Education</t>
        </is>
      </c>
      <c r="D169" t="inlineStr">
        <is>
          <t>23-May-2025 06:00 PM</t>
        </is>
      </c>
      <c r="E169" t="inlineStr">
        <is>
          <t>7,29,000</t>
        </is>
      </c>
      <c r="F169" t="inlineStr">
        <is>
          <t>(241) Construction of Toilet GUPS BALELAV 2 Toilet</t>
        </is>
      </c>
      <c r="G169" t="inlineStr">
        <is>
          <t>Pali</t>
        </is>
      </c>
    </row>
    <row r="170">
      <c r="A170" s="1" t="n">
        <v>168</v>
      </c>
      <c r="B170">
        <f>HYPERLINK("https://eproc.rajasthan.gov.in/nicgep/app?component=%24DirectLink&amp;page=FrontEndViewTender&amp;service=direct&amp;session=T&amp;sp=SiJBZVbPG8owI85wDfrE35w%3D%3D", "(245) Construction of Toilet GUPS KANELAV 1 Toilet")</f>
        <v/>
      </c>
      <c r="C170" t="inlineStr">
        <is>
          <t>Rajasthan Council of School Education</t>
        </is>
      </c>
      <c r="D170" t="inlineStr">
        <is>
          <t>23-May-2025 06:00 PM</t>
        </is>
      </c>
      <c r="E170" t="inlineStr">
        <is>
          <t>3,65,000</t>
        </is>
      </c>
      <c r="F170" t="inlineStr">
        <is>
          <t>(245) Construction of Toilet GUPS KANELAV 1 Toilet</t>
        </is>
      </c>
      <c r="G170" t="inlineStr">
        <is>
          <t>Pali</t>
        </is>
      </c>
    </row>
    <row r="171">
      <c r="A171" s="1" t="n">
        <v>169</v>
      </c>
      <c r="B171">
        <f>HYPERLINK("https://eproc.rajasthan.gov.in/nicgep/app?component=%24DirectLink&amp;page=FrontEndViewTender&amp;service=direct&amp;session=T&amp;sp=Sdx2iRBTskJFTDmx5LbG48A%3D%3D", "(244) Construction of Toilet GUPS SAPUNI 1 Toilet")</f>
        <v/>
      </c>
      <c r="C171" t="inlineStr">
        <is>
          <t>Rajasthan Council of School Education</t>
        </is>
      </c>
      <c r="D171" t="inlineStr">
        <is>
          <t>23-May-2025 06:00 PM</t>
        </is>
      </c>
      <c r="E171" t="inlineStr">
        <is>
          <t>3,65,000</t>
        </is>
      </c>
      <c r="F171" t="inlineStr">
        <is>
          <t>(244) Construction of Toilet GUPS SAPUNI 1 Toilet</t>
        </is>
      </c>
      <c r="G171" t="inlineStr">
        <is>
          <t>Pali</t>
        </is>
      </c>
    </row>
    <row r="172">
      <c r="A172" s="1" t="n">
        <v>170</v>
      </c>
      <c r="B172">
        <f>HYPERLINK("https://eproc.rajasthan.gov.in/nicgep/app?component=%24DirectLink&amp;page=FrontEndViewTender&amp;service=direct&amp;session=T&amp;sp=SAeGp0W27KexzFR84DthsvQ%3D%3D", "(248) Construction of Toilet GSSS MADARI 1 Toilet")</f>
        <v/>
      </c>
      <c r="C172" t="inlineStr">
        <is>
          <t>Rajasthan Council of School Education</t>
        </is>
      </c>
      <c r="D172" t="inlineStr">
        <is>
          <t>23-May-2025 06:00 PM</t>
        </is>
      </c>
      <c r="E172" t="inlineStr">
        <is>
          <t>3,65,000</t>
        </is>
      </c>
      <c r="F172" t="inlineStr">
        <is>
          <t>(248) Construction of Toilet GSSS MADARI 1 Toilet</t>
        </is>
      </c>
      <c r="G172" t="inlineStr">
        <is>
          <t>Pali</t>
        </is>
      </c>
    </row>
    <row r="173">
      <c r="A173" s="1" t="n">
        <v>171</v>
      </c>
      <c r="B173">
        <f>HYPERLINK("https://eproc.rajasthan.gov.in/nicgep/app?component=%24DirectLink&amp;page=FrontEndViewTender&amp;service=direct&amp;session=T&amp;sp=SUdeVmyAIZQPvthXvHuIEvQ%3D%3D", "(247) Construction of Toilet GGSSS DENDA 1 Toilet")</f>
        <v/>
      </c>
      <c r="C173" t="inlineStr">
        <is>
          <t>Rajasthan Council of School Education</t>
        </is>
      </c>
      <c r="D173" t="inlineStr">
        <is>
          <t>23-May-2025 06:00 PM</t>
        </is>
      </c>
      <c r="E173" t="inlineStr">
        <is>
          <t>3,65,000</t>
        </is>
      </c>
      <c r="F173" t="inlineStr">
        <is>
          <t>(247) Construction of Toilet GGSSS DENDA 1 Toilet</t>
        </is>
      </c>
      <c r="G173" t="inlineStr">
        <is>
          <t>Pali</t>
        </is>
      </c>
    </row>
    <row r="174">
      <c r="A174" s="1" t="n">
        <v>172</v>
      </c>
      <c r="B174">
        <f>HYPERLINK("https://eproc.rajasthan.gov.in/nicgep/app?component=%24DirectLink&amp;page=FrontEndViewTender&amp;service=direct&amp;session=T&amp;sp=SuSXaRr0zfO1kHLbyVES4%2FA%3D%3D", "(249) Construction of Toilet GUPS KILIWARA (MGGS) 1 Toilet")</f>
        <v/>
      </c>
      <c r="C174" t="inlineStr">
        <is>
          <t>Rajasthan Council of School Education</t>
        </is>
      </c>
      <c r="D174" t="inlineStr">
        <is>
          <t>23-May-2025 06:00 PM</t>
        </is>
      </c>
      <c r="E174" t="inlineStr">
        <is>
          <t>3,65,000</t>
        </is>
      </c>
      <c r="F174" t="inlineStr">
        <is>
          <t>(249) Construction of Toilet GUPS KILIWARA (MGGS) 1 Toilet</t>
        </is>
      </c>
      <c r="G174" t="inlineStr">
        <is>
          <t>Pali</t>
        </is>
      </c>
    </row>
    <row r="175">
      <c r="A175" s="1" t="n">
        <v>173</v>
      </c>
      <c r="B175">
        <f>HYPERLINK("https://eproc.rajasthan.gov.in/nicgep/app?component=%24DirectLink&amp;page=FrontEndViewTender&amp;service=direct&amp;session=T&amp;sp=SVoN3pyTtGkw14dZWq6XCIw%3D%3D", "(250) Construction of Toilet GUPS VENPURA 1 Toilet")</f>
        <v/>
      </c>
      <c r="C175" t="inlineStr">
        <is>
          <t>Rajasthan Council of School Education</t>
        </is>
      </c>
      <c r="D175" t="inlineStr">
        <is>
          <t>23-May-2025 06:00 PM</t>
        </is>
      </c>
      <c r="E175" t="inlineStr">
        <is>
          <t>3,65,000</t>
        </is>
      </c>
      <c r="F175" t="inlineStr">
        <is>
          <t>(250) Construction of Toilet GUPS VENPURA 1 Toilet</t>
        </is>
      </c>
      <c r="G175" t="inlineStr">
        <is>
          <t>Pali</t>
        </is>
      </c>
    </row>
    <row r="176">
      <c r="A176" s="1" t="n">
        <v>174</v>
      </c>
      <c r="B176">
        <f>HYPERLINK("https://eproc.rajasthan.gov.in/nicgep/app?component=%24DirectLink&amp;page=FrontEndViewTender&amp;service=direct&amp;session=T&amp;sp=S1Hu3Y89Uy%2BpDP%2B%2Bi8LnJEQ%3D%3D", "(251) Construction of Toilet GUPS RAJPURA 1 Toilet")</f>
        <v/>
      </c>
      <c r="C176" t="inlineStr">
        <is>
          <t>Rajasthan Council of School Education</t>
        </is>
      </c>
      <c r="D176" t="inlineStr">
        <is>
          <t>23-May-2025 06:00 PM</t>
        </is>
      </c>
      <c r="E176" t="inlineStr">
        <is>
          <t>3,65,000</t>
        </is>
      </c>
      <c r="F176" t="inlineStr">
        <is>
          <t>(251) Construction of Toilet GUPS RAJPURA 1 Toilet</t>
        </is>
      </c>
      <c r="G176" t="inlineStr">
        <is>
          <t>Pali</t>
        </is>
      </c>
    </row>
    <row r="177">
      <c r="A177" s="1" t="n">
        <v>175</v>
      </c>
      <c r="B177">
        <f>HYPERLINK("https://eproc.rajasthan.gov.in/nicgep/app?component=%24DirectLink&amp;page=FrontEndViewTender&amp;service=direct&amp;session=T&amp;sp=St79fbmET%2BPzQgVzWsXa%2BGw%3D%3D", "(252) Construction of Toilet GUPS KANPURA 1 Toilet")</f>
        <v/>
      </c>
      <c r="C177" t="inlineStr">
        <is>
          <t>Rajasthan Council of School Education</t>
        </is>
      </c>
      <c r="D177" t="inlineStr">
        <is>
          <t>23-May-2025 06:00 PM</t>
        </is>
      </c>
      <c r="E177" t="inlineStr">
        <is>
          <t>3,65,000</t>
        </is>
      </c>
      <c r="F177" t="inlineStr">
        <is>
          <t>(252) Construction of Toilet GUPS KANPURA 1 Toilet</t>
        </is>
      </c>
      <c r="G177" t="inlineStr">
        <is>
          <t>Pali</t>
        </is>
      </c>
    </row>
    <row r="178">
      <c r="A178" s="1" t="n">
        <v>176</v>
      </c>
      <c r="B178">
        <f>HYPERLINK("https://eproc.rajasthan.gov.in/nicgep/app?component=%24DirectLink&amp;page=FrontEndViewTender&amp;service=direct&amp;session=T&amp;sp=SEZTvUognPfwq%2BGvU3OCloA%3D%3D", "GUPS SISODIYA")</f>
        <v/>
      </c>
      <c r="C178" t="inlineStr">
        <is>
          <t>Rajasthan Council of School Education</t>
        </is>
      </c>
      <c r="D178" t="inlineStr">
        <is>
          <t>23-May-2025 06:00 PM</t>
        </is>
      </c>
      <c r="E178" t="inlineStr">
        <is>
          <t>9,80,000</t>
        </is>
      </c>
      <c r="F178" t="inlineStr">
        <is>
          <t>GUPS SISODIYA</t>
        </is>
      </c>
      <c r="G178" t="inlineStr">
        <is>
          <t>GUPS SISODIYA</t>
        </is>
      </c>
    </row>
    <row r="179">
      <c r="A179" s="1" t="n">
        <v>177</v>
      </c>
      <c r="B179">
        <f>HYPERLINK("https://eproc.rajasthan.gov.in/nicgep/app?component=%24DirectLink&amp;page=FrontEndViewTender&amp;service=direct&amp;session=T&amp;sp=SJFiuIzEzuhicvilfZNmN5Q%3D%3D", "GSSS VAYSO KA NOHRA")</f>
        <v/>
      </c>
      <c r="C179" t="inlineStr">
        <is>
          <t>Rajasthan Council of School Education</t>
        </is>
      </c>
      <c r="D179" t="inlineStr">
        <is>
          <t>23-May-2025 06:00 PM</t>
        </is>
      </c>
      <c r="E179" t="inlineStr">
        <is>
          <t>12,40,000</t>
        </is>
      </c>
      <c r="F179" t="inlineStr">
        <is>
          <t>GSSS VAYSO KA NOHRA</t>
        </is>
      </c>
      <c r="G179" t="inlineStr">
        <is>
          <t>GSSS VAYSO KA NOHRA</t>
        </is>
      </c>
    </row>
    <row r="180">
      <c r="A180" s="1" t="n">
        <v>178</v>
      </c>
      <c r="B180">
        <f>HYPERLINK("https://eproc.rajasthan.gov.in/nicgep/app?component=%24DirectLink&amp;page=FrontEndViewTender&amp;service=direct&amp;session=T&amp;sp=SCSQdiXs0SvMmo7bIBHUefA%3D%3D", "GUPS ROOPPURA")</f>
        <v/>
      </c>
      <c r="C180" t="inlineStr">
        <is>
          <t>Rajasthan Council of School Education</t>
        </is>
      </c>
      <c r="D180" t="inlineStr">
        <is>
          <t>23-May-2025 06:00 PM</t>
        </is>
      </c>
      <c r="E180" t="inlineStr">
        <is>
          <t>19,61,000</t>
        </is>
      </c>
      <c r="F180" t="inlineStr">
        <is>
          <t>GUPS ROOPPURA</t>
        </is>
      </c>
      <c r="G180" t="inlineStr">
        <is>
          <t>GUPS ROOPPURA</t>
        </is>
      </c>
    </row>
    <row r="181">
      <c r="A181" s="1" t="n">
        <v>179</v>
      </c>
      <c r="B181">
        <f>HYPERLINK("https://eproc.rajasthan.gov.in/nicgep/app?component=%24DirectLink&amp;page=FrontEndViewTender&amp;service=direct&amp;session=T&amp;sp=SFgU8L2tjCQzDsWZbvgRrLw%3D%3D", "Construction/ Strengthening work for ACR (IX to X)")</f>
        <v/>
      </c>
      <c r="C181" t="inlineStr">
        <is>
          <t>Rajasthan Council of School Education</t>
        </is>
      </c>
      <c r="D181" t="inlineStr">
        <is>
          <t>23-May-2025 06:00 PM</t>
        </is>
      </c>
      <c r="E181" t="inlineStr">
        <is>
          <t>12,40,000</t>
        </is>
      </c>
      <c r="F181" t="inlineStr">
        <is>
          <t>Construction/ Strengthening work for ACR (IX to X) at GSSS, Bhatkara (Sirohi)</t>
        </is>
      </c>
      <c r="G181" t="inlineStr">
        <is>
          <t>Bhatkara</t>
        </is>
      </c>
    </row>
    <row r="182">
      <c r="A182" s="1" t="n">
        <v>180</v>
      </c>
      <c r="B182">
        <f>HYPERLINK("https://eproc.rajasthan.gov.in/nicgep/app?component=%24DirectLink&amp;page=FrontEndViewTender&amp;service=direct&amp;session=T&amp;sp=S6e1eotYFeh0YpjV5IcHpGA%3D%3D", "Construction/ Strengthening work for ACR (Up to-VIII)")</f>
        <v/>
      </c>
      <c r="C182" t="inlineStr">
        <is>
          <t>Rajasthan Council of School Education</t>
        </is>
      </c>
      <c r="D182" t="inlineStr">
        <is>
          <t>23-May-2025 06:00 PM</t>
        </is>
      </c>
      <c r="E182" t="inlineStr">
        <is>
          <t>9,81,000</t>
        </is>
      </c>
      <c r="F182" t="inlineStr">
        <is>
          <t>Construction/ Strengthening work for ACR (Up to-VIII) at Govt. Upper Primary School, Sanskrit_Sirohi</t>
        </is>
      </c>
      <c r="G182" t="inlineStr">
        <is>
          <t>Sirohi</t>
        </is>
      </c>
    </row>
    <row r="183">
      <c r="A183" s="1" t="n">
        <v>181</v>
      </c>
      <c r="B183">
        <f>HYPERLINK("https://eproc.rajasthan.gov.in/nicgep/app?component=%24DirectLink&amp;page=FrontEndViewTender&amp;service=direct&amp;session=T&amp;sp=SZ6sH1PaUuDZovm%2FkmDsDwA%3D%3D", "MGGS KHOHRAPADA")</f>
        <v/>
      </c>
      <c r="C183" t="inlineStr">
        <is>
          <t>Rajasthan Council of School Education</t>
        </is>
      </c>
      <c r="D183" t="inlineStr">
        <is>
          <t>23-May-2025 06:00 PM</t>
        </is>
      </c>
      <c r="E183" t="inlineStr">
        <is>
          <t>12,40,000</t>
        </is>
      </c>
      <c r="F183" t="inlineStr">
        <is>
          <t>MGGS KHOHRAPADA</t>
        </is>
      </c>
      <c r="G183" t="inlineStr">
        <is>
          <t>MGGS KHOHRAPADA</t>
        </is>
      </c>
    </row>
    <row r="184">
      <c r="A184" s="1" t="n">
        <v>182</v>
      </c>
      <c r="B184">
        <f>HYPERLINK("https://eproc.rajasthan.gov.in/nicgep/app?component=%24DirectLink&amp;page=FrontEndViewTender&amp;service=direct&amp;session=T&amp;sp=Sq0ad82zEAiCDf0C7vlTfUQ%3D%3D", "CONSTRUCTION OF 2 ACR Govt. SSS Ronija")</f>
        <v/>
      </c>
      <c r="C184" t="inlineStr">
        <is>
          <t>Rajasthan Council of School Education</t>
        </is>
      </c>
      <c r="D184" t="inlineStr">
        <is>
          <t>23-May-2025 06:00 PM</t>
        </is>
      </c>
      <c r="E184" t="inlineStr">
        <is>
          <t>24,79,000</t>
        </is>
      </c>
      <c r="F184" t="inlineStr">
        <is>
          <t>CONSTRUCTION OF 2 ACR Govt. SSS Ronija</t>
        </is>
      </c>
      <c r="G184" t="inlineStr">
        <is>
          <t>BUNDI</t>
        </is>
      </c>
    </row>
    <row r="185">
      <c r="A185" s="1" t="n">
        <v>183</v>
      </c>
      <c r="B185">
        <f>HYPERLINK("https://eproc.rajasthan.gov.in/nicgep/app?component=%24DirectLink&amp;page=FrontEndViewTender&amp;service=direct&amp;session=T&amp;sp=S%2Fe4p7ZlxZ2smHYaMukK5Wg%3D%3D", "Construction/ Strengthening work for Toilet")</f>
        <v/>
      </c>
      <c r="C185" t="inlineStr">
        <is>
          <t>Rajasthan Council of School Education</t>
        </is>
      </c>
      <c r="D185" t="inlineStr">
        <is>
          <t>23-May-2025 06:00 PM</t>
        </is>
      </c>
      <c r="E185" t="inlineStr">
        <is>
          <t>3,64,000</t>
        </is>
      </c>
      <c r="F185" t="inlineStr">
        <is>
          <t>Construction/ Strengthening work for Toilet at GUPS Vadeli</t>
        </is>
      </c>
      <c r="G185" t="inlineStr">
        <is>
          <t>Vadeli</t>
        </is>
      </c>
    </row>
    <row r="186">
      <c r="A186" s="1" t="n">
        <v>184</v>
      </c>
      <c r="B186">
        <f>HYPERLINK("https://eproc.rajasthan.gov.in/nicgep/app?component=%24DirectLink&amp;page=FrontEndViewTender&amp;service=direct&amp;session=T&amp;sp=SFOHYAEfpK7ZdClp9vsdo%2Bw%3D%3D", "(210) Construction of Class Room GUPS UPARALA BHIMANA 1 CLASS ROOM (IX-XII) AND 1 GIRLS TOILET")</f>
        <v/>
      </c>
      <c r="C186" t="inlineStr">
        <is>
          <t>Rajasthan Council of School Education</t>
        </is>
      </c>
      <c r="D186" t="inlineStr">
        <is>
          <t>23-May-2025 06:00 PM</t>
        </is>
      </c>
      <c r="E186" t="inlineStr">
        <is>
          <t>16,03,000</t>
        </is>
      </c>
      <c r="F186" t="inlineStr">
        <is>
          <t>(210) Construction of Class Room GUPS UPARALA BHIMANA 1 CLASS ROOM (IX-XII) AND 1 GIRLS TOILET</t>
        </is>
      </c>
      <c r="G186" t="inlineStr">
        <is>
          <t>Pali</t>
        </is>
      </c>
    </row>
    <row r="187">
      <c r="A187" s="1" t="n">
        <v>185</v>
      </c>
      <c r="B187">
        <f>HYPERLINK("https://eproc.rajasthan.gov.in/nicgep/app?component=%24DirectLink&amp;page=FrontEndViewTender&amp;service=direct&amp;session=T&amp;sp=Sr51Vat7S3WcUADOsBDhxNA%3D%3D", "(211) Construction of Class Room GSSS JOGRAWAS 2 ACR")</f>
        <v/>
      </c>
      <c r="C187" t="inlineStr">
        <is>
          <t>Rajasthan Council of School Education</t>
        </is>
      </c>
      <c r="D187" t="inlineStr">
        <is>
          <t>23-May-2025 06:00 PM</t>
        </is>
      </c>
      <c r="E187" t="inlineStr">
        <is>
          <t>24,76,000</t>
        </is>
      </c>
      <c r="F187" t="inlineStr">
        <is>
          <t>(211) Construction of Class Room GSSS JOGRAWAS 2 ACR</t>
        </is>
      </c>
      <c r="G187" t="inlineStr">
        <is>
          <t>Pali</t>
        </is>
      </c>
    </row>
    <row r="188">
      <c r="A188" s="1" t="n">
        <v>186</v>
      </c>
      <c r="B188">
        <f>HYPERLINK("https://eproc.rajasthan.gov.in/nicgep/app?component=%24DirectLink&amp;page=FrontEndViewTender&amp;service=direct&amp;session=T&amp;sp=SExINjMkJBos4UOFBueLwCA%3D%3D", "(224) Construction of Class Room and Girls Toilet GGSSS Mandla 2 ACR and 1 Girls Toilet")</f>
        <v/>
      </c>
      <c r="C188" t="inlineStr">
        <is>
          <t>Rajasthan Council of School Education</t>
        </is>
      </c>
      <c r="D188" t="inlineStr">
        <is>
          <t>23-May-2025 06:00 PM</t>
        </is>
      </c>
      <c r="E188" t="inlineStr">
        <is>
          <t>28,41,000</t>
        </is>
      </c>
      <c r="F188" t="inlineStr">
        <is>
          <t>(224) Construction of Class Room and Girls Toilet GGSSS Mandla 2 ACR and 1 Girls Toilet</t>
        </is>
      </c>
      <c r="G188" t="inlineStr">
        <is>
          <t>Pali</t>
        </is>
      </c>
    </row>
    <row r="189">
      <c r="A189" s="1" t="n">
        <v>187</v>
      </c>
      <c r="B189">
        <f>HYPERLINK("https://eproc.rajasthan.gov.in/nicgep/app?component=%24DirectLink&amp;page=FrontEndViewTender&amp;service=direct&amp;session=T&amp;sp=SaVbgyX8Yi09qXaAM%2FiWuIw%3D%3D", "(212) Construction of Class Room MGGS GUDA BHOPA 2 ACR")</f>
        <v/>
      </c>
      <c r="C189" t="inlineStr">
        <is>
          <t>Rajasthan Council of School Education</t>
        </is>
      </c>
      <c r="D189" t="inlineStr">
        <is>
          <t>23-May-2025 06:00 PM</t>
        </is>
      </c>
      <c r="E189" t="inlineStr">
        <is>
          <t>24,76,000</t>
        </is>
      </c>
      <c r="F189" t="inlineStr">
        <is>
          <t>(212) Construction of Class Room MGGS GUDA BHOPA 2 ACR</t>
        </is>
      </c>
      <c r="G189" t="inlineStr">
        <is>
          <t>Pali</t>
        </is>
      </c>
    </row>
    <row r="190">
      <c r="A190" s="1" t="n">
        <v>188</v>
      </c>
      <c r="B190">
        <f>HYPERLINK("https://eproc.rajasthan.gov.in/nicgep/app?component=%24DirectLink&amp;page=FrontEndViewTender&amp;service=direct&amp;session=T&amp;sp=SorNG7vlDycqHvzOouxujEg%3D%3D", "(213) Construction of Class Room GGSSS SARAN 2 ACR")</f>
        <v/>
      </c>
      <c r="C190" t="inlineStr">
        <is>
          <t>Rajasthan Council of School Education</t>
        </is>
      </c>
      <c r="D190" t="inlineStr">
        <is>
          <t>23-May-2025 06:00 PM</t>
        </is>
      </c>
      <c r="E190" t="inlineStr">
        <is>
          <t>24,76,000</t>
        </is>
      </c>
      <c r="F190" t="inlineStr">
        <is>
          <t>(213) Construction of Class Room GGSSS SARAN 2 ACR</t>
        </is>
      </c>
      <c r="G190" t="inlineStr">
        <is>
          <t>Pali</t>
        </is>
      </c>
    </row>
    <row r="191">
      <c r="A191" s="1" t="n">
        <v>189</v>
      </c>
      <c r="B191">
        <f>HYPERLINK("https://eproc.rajasthan.gov.in/nicgep/app?component=%24DirectLink&amp;page=FrontEndViewTender&amp;service=direct&amp;session=T&amp;sp=SDtwAkcrHwgiKfoCDwnUo%2FQ%3D%3D", "(236) Construction of ACR GUPS BASANI JODHRAJ 1 ACR (Up to VIII)")</f>
        <v/>
      </c>
      <c r="C191" t="inlineStr">
        <is>
          <t>Rajasthan Council of School Education</t>
        </is>
      </c>
      <c r="D191" t="inlineStr">
        <is>
          <t>23-May-2025 06:00 PM</t>
        </is>
      </c>
      <c r="E191" t="inlineStr">
        <is>
          <t>9,81,000</t>
        </is>
      </c>
      <c r="F191" t="inlineStr">
        <is>
          <t>(236) Construction of ACR GUPS BASANI JODHRAJ 1 ACR (Up to VIII)</t>
        </is>
      </c>
      <c r="G191" t="inlineStr">
        <is>
          <t>Pali</t>
        </is>
      </c>
    </row>
    <row r="192">
      <c r="A192" s="1" t="n">
        <v>190</v>
      </c>
      <c r="B192">
        <f>HYPERLINK("https://eproc.rajasthan.gov.in/nicgep/app?component=%24DirectLink&amp;page=FrontEndViewTender&amp;service=direct&amp;session=T&amp;sp=SfFEHIxoEe2IwXU76Iufq3g%3D%3D", "(225) Construction of Class Room and Girls Toilet GGSSS Khariya Neev 2 ACR and 1 Girls Toilet")</f>
        <v/>
      </c>
      <c r="C192" t="inlineStr">
        <is>
          <t>Rajasthan Council of School Education</t>
        </is>
      </c>
      <c r="D192" t="inlineStr">
        <is>
          <t>23-May-2025 06:00 PM</t>
        </is>
      </c>
      <c r="E192" t="inlineStr">
        <is>
          <t>28,41,000</t>
        </is>
      </c>
      <c r="F192" t="inlineStr">
        <is>
          <t>(225) Construction of Class Room and Girls Toilet GGSSS Khariya Neev 2 ACR and 1 Girls Toilet</t>
        </is>
      </c>
      <c r="G192" t="inlineStr">
        <is>
          <t>Pali</t>
        </is>
      </c>
    </row>
    <row r="193">
      <c r="A193" s="1" t="n">
        <v>191</v>
      </c>
      <c r="B193">
        <f>HYPERLINK("https://eproc.rajasthan.gov.in/nicgep/app?component=%24DirectLink&amp;page=FrontEndViewTender&amp;service=direct&amp;session=T&amp;sp=SgG6kmcP2L7xvlQTPBpW2ew%3D%3D", "(214) Construction of Class Room SD PITALIYA GGSSS MANDA 2 ACR")</f>
        <v/>
      </c>
      <c r="C193" t="inlineStr">
        <is>
          <t>Rajasthan Council of School Education</t>
        </is>
      </c>
      <c r="D193" t="inlineStr">
        <is>
          <t>23-May-2025 06:00 PM</t>
        </is>
      </c>
      <c r="E193" t="inlineStr">
        <is>
          <t>24,76,000</t>
        </is>
      </c>
      <c r="F193" t="inlineStr">
        <is>
          <t>(214) Construction of Class Room SD PITALIYA GGSSS MANDA 2 ACR</t>
        </is>
      </c>
      <c r="G193" t="inlineStr">
        <is>
          <t>Pali</t>
        </is>
      </c>
    </row>
    <row r="194">
      <c r="A194" s="1" t="n">
        <v>192</v>
      </c>
      <c r="B194">
        <f>HYPERLINK("https://eproc.rajasthan.gov.in/nicgep/app?component=%24DirectLink&amp;page=FrontEndViewTender&amp;service=direct&amp;session=T&amp;sp=S75LLcZtpS3NLvrrczqEXvQ%3D%3D", "(215) Construction of ACR GUPS SHIVSAGAR 2 ACR (Upto Class VIII)")</f>
        <v/>
      </c>
      <c r="C194" t="inlineStr">
        <is>
          <t>Rajasthan Council of School Education</t>
        </is>
      </c>
      <c r="D194" t="inlineStr">
        <is>
          <t>23-May-2025 06:00 PM</t>
        </is>
      </c>
      <c r="E194" t="inlineStr">
        <is>
          <t>19,61,000</t>
        </is>
      </c>
      <c r="F194" t="inlineStr">
        <is>
          <t>(215) Construction of ACR GUPS SHIVSAGAR 2 ACR (Upto Class VIII)</t>
        </is>
      </c>
      <c r="G194" t="inlineStr">
        <is>
          <t>Pali</t>
        </is>
      </c>
    </row>
    <row r="195">
      <c r="A195" s="1" t="n">
        <v>193</v>
      </c>
      <c r="B195">
        <f>HYPERLINK("https://eproc.rajasthan.gov.in/nicgep/app?component=%24DirectLink&amp;page=FrontEndViewTender&amp;service=direct&amp;session=T&amp;sp=SqYzed5BrWwJXPuBNZ%2Bhy1w%3D%3D", "(226) Construction of Class Room and Girls Toilet GSSS Mariyamali 2 ACR and 1 Girls Toilet")</f>
        <v/>
      </c>
      <c r="C195" t="inlineStr">
        <is>
          <t>Rajasthan Council of School Education</t>
        </is>
      </c>
      <c r="D195" t="inlineStr">
        <is>
          <t>23-May-2025 06:00 PM</t>
        </is>
      </c>
      <c r="E195" t="inlineStr">
        <is>
          <t>28,41,000</t>
        </is>
      </c>
      <c r="F195" t="inlineStr">
        <is>
          <t>(226) Construction of Class Room and Girls Toilet GSSS Mariyamali 2 ACR and 1 Girls Toilet</t>
        </is>
      </c>
      <c r="G195" t="inlineStr">
        <is>
          <t>Pali</t>
        </is>
      </c>
    </row>
    <row r="196">
      <c r="A196" s="1" t="n">
        <v>194</v>
      </c>
      <c r="B196">
        <f>HYPERLINK("https://eproc.rajasthan.gov.in/nicgep/app?component=%24DirectLink&amp;page=FrontEndViewTender&amp;service=direct&amp;session=T&amp;sp=S5ii8Mnljwk4At8mo91bo3A%3D%3D", "(216) Construction of Class Room MS LODHA GSSS MELA DARWAJA PALI 1 CLASS ROOM (IX-XII)")</f>
        <v/>
      </c>
      <c r="C196" t="inlineStr">
        <is>
          <t>Rajasthan Council of School Education</t>
        </is>
      </c>
      <c r="D196" t="inlineStr">
        <is>
          <t>23-May-2025 06:00 PM</t>
        </is>
      </c>
      <c r="E196" t="inlineStr">
        <is>
          <t>12,38,000</t>
        </is>
      </c>
      <c r="F196" t="inlineStr">
        <is>
          <t>(216) Construction of Class Room MS LODHA GSSS MELA DARWAJA PALI 1 CLASS ROOM (IX-XII)</t>
        </is>
      </c>
      <c r="G196" t="inlineStr">
        <is>
          <t>Pali</t>
        </is>
      </c>
    </row>
    <row r="197">
      <c r="A197" s="1" t="n">
        <v>195</v>
      </c>
      <c r="B197">
        <f>HYPERLINK("https://eproc.rajasthan.gov.in/nicgep/app?component=%24DirectLink&amp;page=FrontEndViewTender&amp;service=direct&amp;session=T&amp;sp=SvPFlrmYnNGLmEujS7Hmf2A%3D%3D", "(237) Construction of ACR GUPS POKARIYA DHANI 1 ACR (Up to VIII)")</f>
        <v/>
      </c>
      <c r="C197" t="inlineStr">
        <is>
          <t>Rajasthan Council of School Education</t>
        </is>
      </c>
      <c r="D197" t="inlineStr">
        <is>
          <t>23-May-2025 06:00 PM</t>
        </is>
      </c>
      <c r="E197" t="inlineStr">
        <is>
          <t>9,81,000</t>
        </is>
      </c>
      <c r="F197" t="inlineStr">
        <is>
          <t>(237) Construction of ACR GUPS POKARIYA DHANI 1 ACR (Up to VIII)</t>
        </is>
      </c>
      <c r="G197" t="inlineStr">
        <is>
          <t>Pali</t>
        </is>
      </c>
    </row>
    <row r="198">
      <c r="A198" s="1" t="n">
        <v>196</v>
      </c>
      <c r="B198">
        <f>HYPERLINK("https://eproc.rajasthan.gov.in/nicgep/app?component=%24DirectLink&amp;page=FrontEndViewTender&amp;service=direct&amp;session=T&amp;sp=S3eOoUWmhox9Fp9ICQGaV2Q%3D%3D", "(227) Construction of Class Room and Girls Toilet GSSS Chandlai 2 ACR and 1 Girls Toilet")</f>
        <v/>
      </c>
      <c r="C198" t="inlineStr">
        <is>
          <t>Rajasthan Council of School Education</t>
        </is>
      </c>
      <c r="D198" t="inlineStr">
        <is>
          <t>23-May-2025 06:00 PM</t>
        </is>
      </c>
      <c r="E198" t="inlineStr">
        <is>
          <t>28,41,000</t>
        </is>
      </c>
      <c r="F198" t="inlineStr">
        <is>
          <t>(227) Construction of Class Room and Girls Toilet GSSS Chandlai 2 ACR and 1 Girls Toilet</t>
        </is>
      </c>
      <c r="G198" t="inlineStr">
        <is>
          <t>Pali</t>
        </is>
      </c>
    </row>
    <row r="199">
      <c r="A199" s="1" t="n">
        <v>197</v>
      </c>
      <c r="B199">
        <f>HYPERLINK("https://eproc.rajasthan.gov.in/nicgep/app?component=%24DirectLink&amp;page=FrontEndViewTender&amp;service=direct&amp;session=T&amp;sp=SfwjPMsW12F9nvYhyvQDNKA%3D%3D", "(217) Construction of Class Room and Girls Toilet GSSS ARTIYA 2 ACR and 1 Girls Toilet")</f>
        <v/>
      </c>
      <c r="C199" t="inlineStr">
        <is>
          <t>Rajasthan Council of School Education</t>
        </is>
      </c>
      <c r="D199" t="inlineStr">
        <is>
          <t>23-May-2025 06:00 PM</t>
        </is>
      </c>
      <c r="E199" t="inlineStr">
        <is>
          <t>28,41,000</t>
        </is>
      </c>
      <c r="F199" t="inlineStr">
        <is>
          <t>(217) Construction of Class Room and Girls Toilet GSSS ARTIYA 2 ACR and 1 Girls Toilet</t>
        </is>
      </c>
      <c r="G199" t="inlineStr">
        <is>
          <t>Pali</t>
        </is>
      </c>
    </row>
    <row r="200">
      <c r="A200" s="1" t="n">
        <v>198</v>
      </c>
      <c r="B200">
        <f>HYPERLINK("https://eproc.rajasthan.gov.in/nicgep/app?component=%24DirectLink&amp;page=FrontEndViewTender&amp;service=direct&amp;session=T&amp;sp=S0SQivd7hfE5rL85adq2aqQ%3D%3D", "(218) Construction of ACR GUPS DUNGARPUR 2 ACR (Upto Class VIII)")</f>
        <v/>
      </c>
      <c r="C200" t="inlineStr">
        <is>
          <t>Rajasthan Council of School Education</t>
        </is>
      </c>
      <c r="D200" t="inlineStr">
        <is>
          <t>23-May-2025 06:00 PM</t>
        </is>
      </c>
      <c r="E200" t="inlineStr">
        <is>
          <t>19,61,000</t>
        </is>
      </c>
      <c r="F200" t="inlineStr">
        <is>
          <t>(218) Construction of ACR GUPS DUNGARPUR 2 ACR (Upto Class VIII)</t>
        </is>
      </c>
      <c r="G200" t="inlineStr">
        <is>
          <t>Pali</t>
        </is>
      </c>
    </row>
    <row r="201">
      <c r="A201" s="1" t="n">
        <v>199</v>
      </c>
      <c r="B201">
        <f>HYPERLINK("https://eproc.rajasthan.gov.in/nicgep/app?component=%24DirectLink&amp;page=FrontEndViewTender&amp;service=direct&amp;session=T&amp;sp=S5b5P39FsssCQNjSMhm2oug%3D%3D", "(228) Construction of Class Room and Girls Toilet GSSS Harpat 2 ACR and 1 Girls Toilet")</f>
        <v/>
      </c>
      <c r="C201" t="inlineStr">
        <is>
          <t>Rajasthan Council of School Education</t>
        </is>
      </c>
      <c r="D201" t="inlineStr">
        <is>
          <t>23-May-2025 06:00 PM</t>
        </is>
      </c>
      <c r="E201" t="inlineStr">
        <is>
          <t>28,41,000</t>
        </is>
      </c>
      <c r="F201" t="inlineStr">
        <is>
          <t>(228) Construction of Class Room and Girls Toilet GSSS Harpat 2 ACR and 1 Girls Toilet</t>
        </is>
      </c>
      <c r="G201" t="inlineStr">
        <is>
          <t>Pali</t>
        </is>
      </c>
    </row>
    <row r="202">
      <c r="A202" s="1" t="n">
        <v>200</v>
      </c>
      <c r="B202">
        <f>HYPERLINK("https://eproc.rajasthan.gov.in/nicgep/app?component=%24DirectLink&amp;page=FrontEndViewTender&amp;service=direct&amp;session=T&amp;sp=SCZK3fesRzbBJNpiovn5FTA%3D%3D", "(219) Construction of ACR GUPS FEKARIYA 1 ACR (Up to VIII)")</f>
        <v/>
      </c>
      <c r="C202" t="inlineStr">
        <is>
          <t>Rajasthan Council of School Education</t>
        </is>
      </c>
      <c r="D202" t="inlineStr">
        <is>
          <t>23-May-2025 06:00 PM</t>
        </is>
      </c>
      <c r="E202" t="inlineStr">
        <is>
          <t>9,81,000</t>
        </is>
      </c>
      <c r="F202" t="inlineStr">
        <is>
          <t>(219) Construction of ACR GUPS FEKARIYA 1 ACR (Up to VIII)</t>
        </is>
      </c>
      <c r="G202" t="inlineStr">
        <is>
          <t>Pali</t>
        </is>
      </c>
    </row>
    <row r="203">
      <c r="A203" s="1" t="n">
        <v>201</v>
      </c>
      <c r="B203">
        <f>HYPERLINK("https://eproc.rajasthan.gov.in/nicgep/app?component=%24DirectLink&amp;page=FrontEndViewTender&amp;service=direct&amp;session=T&amp;sp=SDzf8j3jf3ZltsoRkXApLxQ%3D%3D", "(229) Construction of ACR GUPS RUNDIYA 1 ACR (Up to VIII)")</f>
        <v/>
      </c>
      <c r="C203" t="inlineStr">
        <is>
          <t>Rajasthan Council of School Education</t>
        </is>
      </c>
      <c r="D203" t="inlineStr">
        <is>
          <t>23-May-2025 06:00 PM</t>
        </is>
      </c>
      <c r="E203" t="inlineStr">
        <is>
          <t>9,81,000</t>
        </is>
      </c>
      <c r="F203" t="inlineStr">
        <is>
          <t>(229) Construction of ACR GUPS RUNDIYA 1 ACR (Up to VIII)</t>
        </is>
      </c>
      <c r="G203" t="inlineStr">
        <is>
          <t>Pali</t>
        </is>
      </c>
    </row>
    <row r="204">
      <c r="A204" s="1" t="n">
        <v>202</v>
      </c>
      <c r="B204">
        <f>HYPERLINK("https://eproc.rajasthan.gov.in/nicgep/app?component=%24DirectLink&amp;page=FrontEndViewTender&amp;service=direct&amp;session=T&amp;sp=SwlGsB4qZhhv45wOgwKCpXQ%3D%3D", "(238) Construction of Toilet GUPS ENDLAWAS 1 Toilet")</f>
        <v/>
      </c>
      <c r="C204" t="inlineStr">
        <is>
          <t>Rajasthan Council of School Education</t>
        </is>
      </c>
      <c r="D204" t="inlineStr">
        <is>
          <t>23-May-2025 06:00 PM</t>
        </is>
      </c>
      <c r="E204" t="inlineStr">
        <is>
          <t>3,65,000</t>
        </is>
      </c>
      <c r="F204" t="inlineStr">
        <is>
          <t>(238) Construction of Toilet GUPS ENDLAWAS 1 Toilet</t>
        </is>
      </c>
      <c r="G204" t="inlineStr">
        <is>
          <t>Pali</t>
        </is>
      </c>
    </row>
    <row r="205">
      <c r="A205" s="1" t="n">
        <v>203</v>
      </c>
      <c r="B205">
        <f>HYPERLINK("https://eproc.rajasthan.gov.in/nicgep/app?component=%24DirectLink&amp;page=FrontEndViewTender&amp;service=direct&amp;session=T&amp;sp=SAnW%2B4XnLStzz34JKC9c%2Bqg%3D%3D", "(230) Construction of ACR GUPS AALAWAS 1 ACR (Up to VIII)")</f>
        <v/>
      </c>
      <c r="C205" t="inlineStr">
        <is>
          <t>Rajasthan Council of School Education</t>
        </is>
      </c>
      <c r="D205" t="inlineStr">
        <is>
          <t>23-May-2025 06:00 PM</t>
        </is>
      </c>
      <c r="E205" t="inlineStr">
        <is>
          <t>9,81,000</t>
        </is>
      </c>
      <c r="F205" t="inlineStr">
        <is>
          <t>(230) Construction of ACR GUPS AALAWAS 1 ACR (Up to VIII)</t>
        </is>
      </c>
      <c r="G205" t="inlineStr">
        <is>
          <t>Pali</t>
        </is>
      </c>
    </row>
    <row r="206">
      <c r="A206" s="1" t="n">
        <v>204</v>
      </c>
      <c r="B206">
        <f>HYPERLINK("https://eproc.rajasthan.gov.in/nicgep/app?component=%24DirectLink&amp;page=FrontEndViewTender&amp;service=direct&amp;session=T&amp;sp=S9tGiZ8tmbBSbZhO%2FZgjqzA%3D%3D", "(220) Construction of ACR GUPS MUKANPURA 1 ACR (Up to VIII)")</f>
        <v/>
      </c>
      <c r="C206" t="inlineStr">
        <is>
          <t>Rajasthan Council of School Education</t>
        </is>
      </c>
      <c r="D206" t="inlineStr">
        <is>
          <t>23-May-2025 06:00 PM</t>
        </is>
      </c>
      <c r="E206" t="inlineStr">
        <is>
          <t>9,81,000</t>
        </is>
      </c>
      <c r="F206" t="inlineStr">
        <is>
          <t>(220) Construction of ACR GUPS MUKANPURA 1 ACR (Up to VIII)</t>
        </is>
      </c>
      <c r="G206" t="inlineStr">
        <is>
          <t>Pali</t>
        </is>
      </c>
    </row>
    <row r="207">
      <c r="A207" s="1" t="n">
        <v>205</v>
      </c>
      <c r="B207">
        <f>HYPERLINK("https://eproc.rajasthan.gov.in/nicgep/app?component=%24DirectLink&amp;page=FrontEndViewTender&amp;service=direct&amp;session=T&amp;sp=S7RdBSeEMkw3p3WiwCc0FAA%3D%3D", "(231) Construction of ACR GUPS BAGAWAS 1 ACR (Up to VIII)")</f>
        <v/>
      </c>
      <c r="C207" t="inlineStr">
        <is>
          <t>Rajasthan Council of School Education</t>
        </is>
      </c>
      <c r="D207" t="inlineStr">
        <is>
          <t>23-May-2025 06:00 PM</t>
        </is>
      </c>
      <c r="E207" t="inlineStr">
        <is>
          <t>9,81,000</t>
        </is>
      </c>
      <c r="F207" t="inlineStr">
        <is>
          <t>(231) Construction of ACR GUPS BAGAWAS 1 ACR (Up to VIII)</t>
        </is>
      </c>
      <c r="G207" t="inlineStr">
        <is>
          <t>Pali</t>
        </is>
      </c>
    </row>
    <row r="208">
      <c r="A208" s="1" t="n">
        <v>206</v>
      </c>
      <c r="B208">
        <f>HYPERLINK("https://eproc.rajasthan.gov.in/nicgep/app?component=%24DirectLink&amp;page=FrontEndViewTender&amp;service=direct&amp;session=T&amp;sp=SbgtDwWUU4mqtpK%2BYIaeBCw%3D%3D", "(221) Construction of ACR GUPS PATI 2 ACR (Upto Class VIII)")</f>
        <v/>
      </c>
      <c r="C208" t="inlineStr">
        <is>
          <t>Rajasthan Council of School Education</t>
        </is>
      </c>
      <c r="D208" t="inlineStr">
        <is>
          <t>23-May-2025 06:00 PM</t>
        </is>
      </c>
      <c r="E208" t="inlineStr">
        <is>
          <t>19,61,000</t>
        </is>
      </c>
      <c r="F208" t="inlineStr">
        <is>
          <t>(221) Construction of ACR GUPS PATI 2 ACR (Upto Class VIII)</t>
        </is>
      </c>
      <c r="G208" t="inlineStr">
        <is>
          <t>Pali</t>
        </is>
      </c>
    </row>
    <row r="209">
      <c r="A209" s="1" t="n">
        <v>207</v>
      </c>
      <c r="B209">
        <f>HYPERLINK("https://eproc.rajasthan.gov.in/nicgep/app?component=%24DirectLink&amp;page=FrontEndViewTender&amp;service=direct&amp;session=T&amp;sp=S0Pb%2BiHNVV%2FRegQt8TzB8oA%3D%3D", "(242) Construction of Toilet GUPS PENAWA 1 Toilet")</f>
        <v/>
      </c>
      <c r="C209" t="inlineStr">
        <is>
          <t>Rajasthan Council of School Education</t>
        </is>
      </c>
      <c r="D209" t="inlineStr">
        <is>
          <t>23-May-2025 06:00 PM</t>
        </is>
      </c>
      <c r="E209" t="inlineStr">
        <is>
          <t>3,65,000</t>
        </is>
      </c>
      <c r="F209" t="inlineStr">
        <is>
          <t>(242) Construction of Toilet GUPS PENAWA 1 Toilet</t>
        </is>
      </c>
      <c r="G209" t="inlineStr">
        <is>
          <t>Pali</t>
        </is>
      </c>
    </row>
    <row r="210">
      <c r="A210" s="1" t="n">
        <v>208</v>
      </c>
      <c r="B210">
        <f>HYPERLINK("https://eproc.rajasthan.gov.in/nicgep/app?component=%24DirectLink&amp;page=FrontEndViewTender&amp;service=direct&amp;session=T&amp;sp=S5r7p4ed676NcWwyx4H4vqA%3D%3D", "(222) Construction of ACR GUPS BANDAAI 1 ACR (Up to VIII)")</f>
        <v/>
      </c>
      <c r="C210" t="inlineStr">
        <is>
          <t>Rajasthan Council of School Education</t>
        </is>
      </c>
      <c r="D210" t="inlineStr">
        <is>
          <t>23-May-2025 06:00 PM</t>
        </is>
      </c>
      <c r="E210" t="inlineStr">
        <is>
          <t>9,81,000</t>
        </is>
      </c>
      <c r="F210" t="inlineStr">
        <is>
          <t>(222) Construction of ACR GUPS BANDAAI 1 ACR (Up to VIII)</t>
        </is>
      </c>
      <c r="G210" t="inlineStr">
        <is>
          <t>Pali</t>
        </is>
      </c>
    </row>
    <row r="211">
      <c r="A211" s="1" t="n">
        <v>209</v>
      </c>
      <c r="B211">
        <f>HYPERLINK("https://eproc.rajasthan.gov.in/nicgep/app?component=%24DirectLink&amp;page=FrontEndViewTender&amp;service=direct&amp;session=T&amp;sp=SVPu6n%2F2pdpb14uIuInghDw%3D%3D", "(232) Construction of ACR GUPS KHARANI KHARDA 1 ACR (Up to VIII)")</f>
        <v/>
      </c>
      <c r="C211" t="inlineStr">
        <is>
          <t>Rajasthan Council of School Education</t>
        </is>
      </c>
      <c r="D211" t="inlineStr">
        <is>
          <t>23-May-2025 06:00 PM</t>
        </is>
      </c>
      <c r="E211" t="inlineStr">
        <is>
          <t>9,81,000</t>
        </is>
      </c>
      <c r="F211" t="inlineStr">
        <is>
          <t>(232) Construction of ACR GUPS KHARANI KHARDA 1 ACR (Up to VIII)</t>
        </is>
      </c>
      <c r="G211" t="inlineStr">
        <is>
          <t>Pali</t>
        </is>
      </c>
    </row>
    <row r="212">
      <c r="A212" s="1" t="n">
        <v>210</v>
      </c>
      <c r="B212">
        <f>HYPERLINK("https://eproc.rajasthan.gov.in/nicgep/app?component=%24DirectLink&amp;page=FrontEndViewTender&amp;service=direct&amp;session=T&amp;sp=SE9PkpOoAgY2OXxYsRbHLzw%3D%3D", "(223) Construction of Class Room and Girls Toilet GSSS Dhinawas 2 ACR and 1 Girls Toilet")</f>
        <v/>
      </c>
      <c r="C212" t="inlineStr">
        <is>
          <t>Rajasthan Council of School Education</t>
        </is>
      </c>
      <c r="D212" t="inlineStr">
        <is>
          <t>23-May-2025 06:00 PM</t>
        </is>
      </c>
      <c r="E212" t="inlineStr">
        <is>
          <t>28,41,000</t>
        </is>
      </c>
      <c r="F212" t="inlineStr">
        <is>
          <t>(223) Construction of Class Room and Girls Toilet GSSS Dhinawas 2 ACR and 1 Girls Toilet</t>
        </is>
      </c>
      <c r="G212" t="inlineStr">
        <is>
          <t>Pali</t>
        </is>
      </c>
    </row>
    <row r="213">
      <c r="A213" s="1" t="n">
        <v>211</v>
      </c>
      <c r="B213">
        <f>HYPERLINK("https://eproc.rajasthan.gov.in/nicgep/app?component=%24DirectLink&amp;page=FrontEndViewTender&amp;service=direct&amp;session=T&amp;sp=SI3kCDlykL6TIFmsJRQld4Q%3D%3D", "(233) Construction of ACR GUPS BILARIYA GATE 1 ACR (Up to VIII)")</f>
        <v/>
      </c>
      <c r="C213" t="inlineStr">
        <is>
          <t>Rajasthan Council of School Education</t>
        </is>
      </c>
      <c r="D213" t="inlineStr">
        <is>
          <t>23-May-2025 06:00 PM</t>
        </is>
      </c>
      <c r="E213" t="inlineStr">
        <is>
          <t>9,81,000</t>
        </is>
      </c>
      <c r="F213" t="inlineStr">
        <is>
          <t>(233) Construction of ACR GUPS BILARIYA GATE 1 ACR (Up to VIII)</t>
        </is>
      </c>
      <c r="G213" t="inlineStr">
        <is>
          <t>Pali</t>
        </is>
      </c>
    </row>
    <row r="214">
      <c r="A214" s="1" t="n">
        <v>212</v>
      </c>
      <c r="B214">
        <f>HYPERLINK("https://eproc.rajasthan.gov.in/nicgep/app?component=%24DirectLink&amp;page=FrontEndViewTender&amp;service=direct&amp;session=T&amp;sp=SW3fWfLHkgaHHHlHi6eUI3g%3D%3D", "(239) Construction of Toilet GUPS UTWAN 1 Toilet")</f>
        <v/>
      </c>
      <c r="C214" t="inlineStr">
        <is>
          <t>Rajasthan Council of School Education</t>
        </is>
      </c>
      <c r="D214" t="inlineStr">
        <is>
          <t>23-May-2025 06:00 PM</t>
        </is>
      </c>
      <c r="E214" t="inlineStr">
        <is>
          <t>3,65,000</t>
        </is>
      </c>
      <c r="F214" t="inlineStr">
        <is>
          <t>(239) Construction of Toilet GUPS UTWAN 1 Toilet</t>
        </is>
      </c>
      <c r="G214" t="inlineStr">
        <is>
          <t>Pali</t>
        </is>
      </c>
    </row>
    <row r="215">
      <c r="A215" s="1" t="n">
        <v>213</v>
      </c>
      <c r="B215">
        <f>HYPERLINK("https://eproc.rajasthan.gov.in/nicgep/app?component=%24DirectLink&amp;page=FrontEndViewTender&amp;service=direct&amp;session=T&amp;sp=SRLnLMQiMWmYtuSWj0broIw%3D%3D", "(234) Construction of ACR GPS SARANGWAS 1 ACR (Up to VIII)")</f>
        <v/>
      </c>
      <c r="C215" t="inlineStr">
        <is>
          <t>Rajasthan Council of School Education</t>
        </is>
      </c>
      <c r="D215" t="inlineStr">
        <is>
          <t>23-May-2025 06:00 PM</t>
        </is>
      </c>
      <c r="E215" t="inlineStr">
        <is>
          <t>9,81,000</t>
        </is>
      </c>
      <c r="F215" t="inlineStr">
        <is>
          <t>(234) Construction of ACR GPS SARANGWAS 1 ACR (Up to VIII)</t>
        </is>
      </c>
      <c r="G215" t="inlineStr">
        <is>
          <t>Pali</t>
        </is>
      </c>
    </row>
    <row r="216">
      <c r="A216" s="1" t="n">
        <v>214</v>
      </c>
      <c r="B216">
        <f>HYPERLINK("https://eproc.rajasthan.gov.in/nicgep/app?component=%24DirectLink&amp;page=FrontEndViewTender&amp;service=direct&amp;session=T&amp;sp=SMb2193tHeGNv2KPKCrh0JQ%3D%3D", "(235) Construction of ACR GUPS CHAMADIYAK 1 ACR (Up to VIII)")</f>
        <v/>
      </c>
      <c r="C216" t="inlineStr">
        <is>
          <t>Rajasthan Council of School Education</t>
        </is>
      </c>
      <c r="D216" t="inlineStr">
        <is>
          <t>23-May-2025 06:00 PM</t>
        </is>
      </c>
      <c r="E216" t="inlineStr">
        <is>
          <t>9,81,000</t>
        </is>
      </c>
      <c r="F216" t="inlineStr">
        <is>
          <t>(235) Construction of ACR GUPS CHAMADIYAK 1 ACR (Up to VIII)</t>
        </is>
      </c>
      <c r="G216" t="inlineStr">
        <is>
          <t>Pali</t>
        </is>
      </c>
    </row>
    <row r="217">
      <c r="A217" s="1" t="n">
        <v>215</v>
      </c>
      <c r="B217">
        <f>HYPERLINK("https://eproc.rajasthan.gov.in/nicgep/app?component=%24DirectLink&amp;page=FrontEndViewTender&amp;service=direct&amp;session=T&amp;sp=SC92z0yKRqfPHzSmS73FKJw%3D%3D", "(246) Construction of Toilet GUPS BALA 1 Toilet")</f>
        <v/>
      </c>
      <c r="C217" t="inlineStr">
        <is>
          <t>Rajasthan Council of School Education</t>
        </is>
      </c>
      <c r="D217" t="inlineStr">
        <is>
          <t>23-May-2025 06:00 PM</t>
        </is>
      </c>
      <c r="E217" t="inlineStr">
        <is>
          <t>3,65,000</t>
        </is>
      </c>
      <c r="F217" t="inlineStr">
        <is>
          <t>(246) Construction of Toilet GUPS BALA 1 Toilet</t>
        </is>
      </c>
      <c r="G217" t="inlineStr">
        <is>
          <t>Pali</t>
        </is>
      </c>
    </row>
    <row r="218">
      <c r="A218" s="1" t="n">
        <v>216</v>
      </c>
      <c r="B218">
        <f>HYPERLINK("https://eproc.rajasthan.gov.in/nicgep/app?component=%24DirectLink&amp;page=FrontEndViewTender&amp;service=direct&amp;session=T&amp;sp=Suq5uyNMuEkaNzwiNnOS93Q%3D%3D", "(240) Construction of Toilet GUPS SOVANIYA 1 Toilet")</f>
        <v/>
      </c>
      <c r="C218" t="inlineStr">
        <is>
          <t>Rajasthan Council of School Education</t>
        </is>
      </c>
      <c r="D218" t="inlineStr">
        <is>
          <t>23-May-2025 06:00 PM</t>
        </is>
      </c>
      <c r="E218" t="inlineStr">
        <is>
          <t>3,65,000</t>
        </is>
      </c>
      <c r="F218" t="inlineStr">
        <is>
          <t>(240) Construction of Toilet GUPS SOVANIYA 1 Toilet</t>
        </is>
      </c>
      <c r="G218" t="inlineStr">
        <is>
          <t>Pali</t>
        </is>
      </c>
    </row>
    <row r="219">
      <c r="A219" s="1" t="n">
        <v>217</v>
      </c>
      <c r="B219">
        <f>HYPERLINK("https://eproc.rajasthan.gov.in/nicgep/app?component=%24DirectLink&amp;page=FrontEndViewTender&amp;service=direct&amp;session=T&amp;sp=SaPlczBMDjRuiVD8IHB3jcA%3D%3D", "Construction/ Strengthening work for ACR")</f>
        <v/>
      </c>
      <c r="C219" t="inlineStr">
        <is>
          <t>Rajasthan Council of School Education</t>
        </is>
      </c>
      <c r="D219" t="inlineStr">
        <is>
          <t>23-May-2025 06:00 PM</t>
        </is>
      </c>
      <c r="E219" t="inlineStr">
        <is>
          <t>9,81,000</t>
        </is>
      </c>
      <c r="F219" t="inlineStr">
        <is>
          <t>Construction/ Strengthening work for ACR at GUPS_Borpani</t>
        </is>
      </c>
      <c r="G219" t="inlineStr">
        <is>
          <t>Borpani</t>
        </is>
      </c>
    </row>
    <row r="220">
      <c r="A220" s="1" t="n">
        <v>218</v>
      </c>
      <c r="B220">
        <f>HYPERLINK("https://eproc.rajasthan.gov.in/nicgep/app?component=%24DirectLink&amp;page=FrontEndViewTender&amp;service=direct&amp;session=T&amp;sp=StA0RdDXRbymMTVtzwbTGhw%3D%3D", "Construction/ Strengthening work for ACR (Up to-VIII)")</f>
        <v/>
      </c>
      <c r="C220" t="inlineStr">
        <is>
          <t>Rajasthan Council of School Education</t>
        </is>
      </c>
      <c r="D220" t="inlineStr">
        <is>
          <t>23-May-2025 06:00 PM</t>
        </is>
      </c>
      <c r="E220" t="inlineStr">
        <is>
          <t>9,81,000</t>
        </is>
      </c>
      <c r="F220" t="inlineStr">
        <is>
          <t>Construction/ Strengthening work for ACR (Up to-VIII) at GPS_Indifali_Deri</t>
        </is>
      </c>
      <c r="G220" t="inlineStr">
        <is>
          <t>Indifali_Deri</t>
        </is>
      </c>
    </row>
    <row r="221">
      <c r="A221" s="1" t="n">
        <v>219</v>
      </c>
      <c r="B221">
        <f>HYPERLINK("https://eproc.rajasthan.gov.in/nicgep/app?component=%24DirectLink&amp;page=FrontEndViewTender&amp;service=direct&amp;session=T&amp;sp=S8%2BteUJ%2FzG3Wc7nhaTAq9Tg%3D%3D", "Strengthening of Existing School Work At GSSS, Salagrampura, CHAKSU, JAIPUR")</f>
        <v/>
      </c>
      <c r="C221" t="inlineStr">
        <is>
          <t>Rajasthan Council of School Education</t>
        </is>
      </c>
      <c r="D221" t="inlineStr">
        <is>
          <t>23-May-2025 06:00 PM</t>
        </is>
      </c>
      <c r="E221" t="inlineStr">
        <is>
          <t>12,40,000</t>
        </is>
      </c>
      <c r="F221" t="inlineStr">
        <is>
          <t>Strengthening of Existing School Work At GSSS, Salagrampura, CHAKSU, JAIPUR</t>
        </is>
      </c>
      <c r="G221" t="inlineStr">
        <is>
          <t>Strengthening of Existing School Work At GSSS, Sal</t>
        </is>
      </c>
    </row>
    <row r="222">
      <c r="A222" s="1" t="n">
        <v>220</v>
      </c>
      <c r="B222">
        <f>HYPERLINK("https://eproc.rajasthan.gov.in/nicgep/app?component=%24DirectLink&amp;page=FrontEndViewTender&amp;service=direct&amp;session=T&amp;sp=S1j1J6NM6soeNQgpcuP1pXw%3D%3D", "Strengthening of Existing School Work At GUPS, KHEDA JAGANNATHPURA, KOTKHAWADA, JAIPUR")</f>
        <v/>
      </c>
      <c r="C222" t="inlineStr">
        <is>
          <t>Rajasthan Council of School Education</t>
        </is>
      </c>
      <c r="D222" t="inlineStr">
        <is>
          <t>23-May-2025 06:00 PM</t>
        </is>
      </c>
      <c r="E222" t="inlineStr">
        <is>
          <t>12,40,000</t>
        </is>
      </c>
      <c r="F222" t="inlineStr">
        <is>
          <t>Strengthening of Existing School Work At GUPS, KHEDA JAGANNATHPURA, KOTKHAWADA, JAIPUR</t>
        </is>
      </c>
      <c r="G222" t="inlineStr">
        <is>
          <t>Strengthening of Existing School Work At GUPS, KHE</t>
        </is>
      </c>
    </row>
    <row r="223">
      <c r="A223" s="1" t="n">
        <v>221</v>
      </c>
      <c r="B223">
        <f>HYPERLINK("https://eproc.rajasthan.gov.in/nicgep/app?component=%24DirectLink&amp;page=FrontEndViewTender&amp;service=direct&amp;session=T&amp;sp=SZYMd4RUp90gkLPTspKHdmA%3D%3D", "Strengthening of Existing School at GOVT PS MAHESHVAS KHURDH, JALSU, JAIPUR")</f>
        <v/>
      </c>
      <c r="C223" t="inlineStr">
        <is>
          <t>Rajasthan Council of School Education</t>
        </is>
      </c>
      <c r="D223" t="inlineStr">
        <is>
          <t>23-May-2025 06:00 PM</t>
        </is>
      </c>
      <c r="E223" t="inlineStr">
        <is>
          <t>9,81,000</t>
        </is>
      </c>
      <c r="F223" t="inlineStr">
        <is>
          <t>Strengthening of Existing School at GOVT PS MAHESHVAS KHURDH, JALSU, JAIPUR</t>
        </is>
      </c>
      <c r="G223" t="inlineStr">
        <is>
          <t>Strengthening of Existing School at GOVT PS MAHESH</t>
        </is>
      </c>
    </row>
    <row r="224">
      <c r="A224" s="1" t="n">
        <v>222</v>
      </c>
      <c r="B224">
        <f>HYPERLINK("https://eproc.rajasthan.gov.in/nicgep/app?component=%24DirectLink&amp;page=FrontEndViewTender&amp;service=direct&amp;session=T&amp;sp=SAqsHmxpD6xmpu96WUHyU%2FA%3D%3D", "Strengthening of Existing School at GOVT SEN.SEC SCHOOL BIDARA, SHAHPURA, JAIPUR")</f>
        <v/>
      </c>
      <c r="C224" t="inlineStr">
        <is>
          <t>Rajasthan Council of School Education</t>
        </is>
      </c>
      <c r="D224" t="inlineStr">
        <is>
          <t>23-May-2025 06:00 PM</t>
        </is>
      </c>
      <c r="E224" t="inlineStr">
        <is>
          <t>9,81,000</t>
        </is>
      </c>
      <c r="F224" t="inlineStr">
        <is>
          <t>Strengthening of Existing School at GOVT SEN.SEC SCHOOL BIDARA, SHAHPURA, JAIPUR</t>
        </is>
      </c>
      <c r="G224" t="inlineStr">
        <is>
          <t>Strengthening of Existing School at GOVT SEN.SEC S</t>
        </is>
      </c>
    </row>
    <row r="225">
      <c r="A225" s="1" t="n">
        <v>223</v>
      </c>
      <c r="B225">
        <f>HYPERLINK("https://eproc.rajasthan.gov.in/nicgep/app?component=%24DirectLink&amp;page=FrontEndViewTender&amp;service=direct&amp;session=T&amp;sp=S46AF0jkUe0FJbReTWDojNg%3D%3D", "Strengthening of Existing School at MAHATMA GANDHI GOVT SCHOOL LETKABAS,SHAHPURA, JAIPUR")</f>
        <v/>
      </c>
      <c r="C225" t="inlineStr">
        <is>
          <t>Rajasthan Council of School Education</t>
        </is>
      </c>
      <c r="D225" t="inlineStr">
        <is>
          <t>23-May-2025 06:00 PM</t>
        </is>
      </c>
      <c r="E225" t="inlineStr">
        <is>
          <t>9,81,000</t>
        </is>
      </c>
      <c r="F225" t="inlineStr">
        <is>
          <t>Strengthening of Existing School at MAHATMA GANDHI GOVT SCHOOL LETKABAS,SHAHPURA, JAIPUR</t>
        </is>
      </c>
      <c r="G225" t="inlineStr">
        <is>
          <t>Strengthening of Existing School at MAHATMA GANDHI</t>
        </is>
      </c>
    </row>
    <row r="226">
      <c r="A226" s="1" t="n">
        <v>224</v>
      </c>
      <c r="B226">
        <f>HYPERLINK("https://eproc.rajasthan.gov.in/nicgep/app?component=%24DirectLink&amp;page=FrontEndViewTender&amp;service=direct&amp;session=T&amp;sp=S0P4Moxv182kY07u75DU2Dw%3D%3D", "Strengthening of Existing School at GOVT PS SANSKRIT SCHOOL SURANA, SHAHPURA, JAIPUR")</f>
        <v/>
      </c>
      <c r="C226" t="inlineStr">
        <is>
          <t>Rajasthan Council of School Education</t>
        </is>
      </c>
      <c r="D226" t="inlineStr">
        <is>
          <t>23-May-2025 06:00 PM</t>
        </is>
      </c>
      <c r="E226" t="inlineStr">
        <is>
          <t>9,81,000</t>
        </is>
      </c>
      <c r="F226" t="inlineStr">
        <is>
          <t>Strengthening of Existing School at GOVT PS SANSKRIT SCHOOL SURANA, SHAHPURA, JAIPUR</t>
        </is>
      </c>
      <c r="G226" t="inlineStr">
        <is>
          <t>Strengthening of Existing School at GOVT PS SANSKR</t>
        </is>
      </c>
    </row>
    <row r="227">
      <c r="A227" s="1" t="n">
        <v>225</v>
      </c>
      <c r="B227">
        <f>HYPERLINK("https://eproc.rajasthan.gov.in/nicgep/app?component=%24DirectLink&amp;page=FrontEndViewTender&amp;service=direct&amp;session=T&amp;sp=SwPakE%2Fok1i94E30fMYrvKA%3D%3D", "Strengthening of Existing School at GOVT PS AAKEDA DUNGAR, AMBER, JAIPUR")</f>
        <v/>
      </c>
      <c r="C227" t="inlineStr">
        <is>
          <t>Rajasthan Council of School Education</t>
        </is>
      </c>
      <c r="D227" t="inlineStr">
        <is>
          <t>23-May-2025 06:00 PM</t>
        </is>
      </c>
      <c r="E227" t="inlineStr">
        <is>
          <t>9,81,000</t>
        </is>
      </c>
      <c r="F227" t="inlineStr">
        <is>
          <t>Strengthening of Existing School at GOVT PS AAKEDA DUNGAR, AMBER, JAIPUR</t>
        </is>
      </c>
      <c r="G227" t="inlineStr">
        <is>
          <t>Strengthening of Existing School at GOVT PS AAKEDA</t>
        </is>
      </c>
    </row>
    <row r="228">
      <c r="A228" s="1" t="n">
        <v>226</v>
      </c>
      <c r="B228">
        <f>HYPERLINK("https://eproc.rajasthan.gov.in/nicgep/app?component=%24DirectLink&amp;page=FrontEndViewTender&amp;service=direct&amp;session=T&amp;sp=S5jWIBpVaU33HRJR0Ckk77w%3D%3D", "Strengthening of Existing School at GOVT UPS RANIPURA, SHAHPURA, JAIPUR")</f>
        <v/>
      </c>
      <c r="C228" t="inlineStr">
        <is>
          <t>Rajasthan Council of School Education</t>
        </is>
      </c>
      <c r="D228" t="inlineStr">
        <is>
          <t>23-May-2025 06:00 PM</t>
        </is>
      </c>
      <c r="E228" t="inlineStr">
        <is>
          <t>9,81,000</t>
        </is>
      </c>
      <c r="F228" t="inlineStr">
        <is>
          <t>Strengthening of Existing School at GOVT UPS RANIPURA, SHAHPURA, JAIPUR</t>
        </is>
      </c>
      <c r="G228" t="inlineStr">
        <is>
          <t>Strengthening of Existing School at GOVT UPS RANIP</t>
        </is>
      </c>
    </row>
    <row r="229">
      <c r="A229" s="1" t="n">
        <v>227</v>
      </c>
      <c r="B229">
        <f>HYPERLINK("https://eproc.rajasthan.gov.in/nicgep/app?component=%24DirectLink&amp;page=FrontEndViewTender&amp;service=direct&amp;session=T&amp;sp=Sw2KsX2XoXgsKH7Lzv4iJ1w%3D%3D", "Strengthening of Existing School at GOVT.BOYS.SEN SEC SCH SANGANER, SANGANER CITY, JAIPUR")</f>
        <v/>
      </c>
      <c r="C229" t="inlineStr">
        <is>
          <t>Rajasthan Council of School Education</t>
        </is>
      </c>
      <c r="D229" t="inlineStr">
        <is>
          <t>23-May-2025 06:00 PM</t>
        </is>
      </c>
      <c r="E229" t="inlineStr">
        <is>
          <t>12,40,000</t>
        </is>
      </c>
      <c r="F229" t="inlineStr">
        <is>
          <t>Strengthening of Existing School at GOVT.BOYS.SEN SEC SCH SANGANER, SANGANER CITY, JAIPUR</t>
        </is>
      </c>
      <c r="G229" t="inlineStr">
        <is>
          <t>Strengthening of Existing School at GOVT.BOYS.SEN</t>
        </is>
      </c>
    </row>
    <row r="230">
      <c r="A230" s="1" t="n">
        <v>228</v>
      </c>
      <c r="B230">
        <f>HYPERLINK("https://eproc.rajasthan.gov.in/nicgep/app?component=%24DirectLink&amp;page=FrontEndViewTender&amp;service=direct&amp;session=T&amp;sp=SCt7L04%2BE9d07wgkVtXrXQw%3D%3D", "Strengthening of Existing School at GOVT Sr. Sec. SCHOOL KHOKHAWALA, BASSI, JAIPUR")</f>
        <v/>
      </c>
      <c r="C230" t="inlineStr">
        <is>
          <t>Rajasthan Council of School Education</t>
        </is>
      </c>
      <c r="D230" t="inlineStr">
        <is>
          <t>23-May-2025 06:00 PM</t>
        </is>
      </c>
      <c r="E230" t="inlineStr">
        <is>
          <t>12,40,000</t>
        </is>
      </c>
      <c r="F230" t="inlineStr">
        <is>
          <t>Strengthening of Existing School at GOVT Sr. Sec. SCHOOL KHOKHAWALA, BASSI, JAIPUR</t>
        </is>
      </c>
      <c r="G230" t="inlineStr">
        <is>
          <t>Strengthening of Existing School at GOVT Sr. Sec.</t>
        </is>
      </c>
    </row>
    <row r="231">
      <c r="A231" s="1" t="n">
        <v>229</v>
      </c>
      <c r="B231">
        <f>HYPERLINK("https://eproc.rajasthan.gov.in/nicgep/app?component=%24DirectLink&amp;page=FrontEndViewTender&amp;service=direct&amp;session=T&amp;sp=SKmfQYpC%2FGReSRMggVrSqZQ%3D%3D", "Strengthening of Existing School at GOVT UPS MAHESHPURA RAVAN, JALSU, JAIPUR")</f>
        <v/>
      </c>
      <c r="C231" t="inlineStr">
        <is>
          <t>Rajasthan Council of School Education</t>
        </is>
      </c>
      <c r="D231" t="inlineStr">
        <is>
          <t>23-May-2025 06:00 PM</t>
        </is>
      </c>
      <c r="E231" t="inlineStr">
        <is>
          <t>3,65,000</t>
        </is>
      </c>
      <c r="F231" t="inlineStr">
        <is>
          <t>Strengthening of Existing School at GOVT UPS MAHESHPURA RAVAN, JALSU, JAIPUR</t>
        </is>
      </c>
      <c r="G231" t="inlineStr">
        <is>
          <t>Strengthening of Existing School at GOVT UPS MAHES</t>
        </is>
      </c>
    </row>
    <row r="232">
      <c r="A232" s="1" t="n">
        <v>230</v>
      </c>
      <c r="B232">
        <f>HYPERLINK("https://eproc.rajasthan.gov.in/nicgep/app?component=%24DirectLink&amp;page=FrontEndViewTender&amp;service=direct&amp;session=T&amp;sp=S0QAe0JWAuYx4iVsbnwAhyg%3D%3D", "Strengthening of Existing School at GOVT SR. SEC. SCH. LAL GARH, BASSI, JAIPUR")</f>
        <v/>
      </c>
      <c r="C232" t="inlineStr">
        <is>
          <t>Rajasthan Council of School Education</t>
        </is>
      </c>
      <c r="D232" t="inlineStr">
        <is>
          <t>23-May-2025 06:00 PM</t>
        </is>
      </c>
      <c r="E232" t="inlineStr">
        <is>
          <t>12,40,000</t>
        </is>
      </c>
      <c r="F232" t="inlineStr">
        <is>
          <t>Strengthening of Existing School at GOVT SR. SEC. SCH. LAL GARH, BASSI, JAIPUR</t>
        </is>
      </c>
      <c r="G232" t="inlineStr">
        <is>
          <t>Strengthening of Existing School at GOVT SR. SEC.</t>
        </is>
      </c>
    </row>
    <row r="233">
      <c r="A233" s="1" t="n">
        <v>231</v>
      </c>
      <c r="B233">
        <f>HYPERLINK("https://eproc.rajasthan.gov.in/nicgep/app?component=%24DirectLink&amp;page=FrontEndViewTender&amp;service=direct&amp;session=T&amp;sp=Svq3dSCYHrQbgMQ1pfz3YKg%3D%3D", "Strengthening of Existing School at GOVT SR. SEC.SCH. KUTHADA KHURD, BASSI, JAIPUR")</f>
        <v/>
      </c>
      <c r="C233" t="inlineStr">
        <is>
          <t>Rajasthan Council of School Education</t>
        </is>
      </c>
      <c r="D233" t="inlineStr">
        <is>
          <t>23-May-2025 06:00 PM</t>
        </is>
      </c>
      <c r="E233" t="inlineStr">
        <is>
          <t>12,40,000</t>
        </is>
      </c>
      <c r="F233" t="inlineStr">
        <is>
          <t>Strengthening of Existing School at GOVT SR. SEC.SCH. KUTHADA KHURD, BASSI, JAIPUR</t>
        </is>
      </c>
      <c r="G233" t="inlineStr">
        <is>
          <t>Strengthening of Existing School at GOVT SR. SEC.S</t>
        </is>
      </c>
    </row>
    <row r="234">
      <c r="A234" s="1" t="n">
        <v>232</v>
      </c>
      <c r="B234">
        <f>HYPERLINK("https://eproc.rajasthan.gov.in/nicgep/app?component=%24DirectLink&amp;page=FrontEndViewTender&amp;service=direct&amp;session=T&amp;sp=S67Pjwn%2BQ44BOYfNOx8UmYw%3D%3D", "Strengthening of Existing School at GOVT VARISTH UPADHYAY HANUTIYA, SHAHPURA, JAIPUR")</f>
        <v/>
      </c>
      <c r="C234" t="inlineStr">
        <is>
          <t>Rajasthan Council of School Education</t>
        </is>
      </c>
      <c r="D234" t="inlineStr">
        <is>
          <t>23-May-2025 06:00 PM</t>
        </is>
      </c>
      <c r="E234" t="inlineStr">
        <is>
          <t>9,81,000</t>
        </is>
      </c>
      <c r="F234" t="inlineStr">
        <is>
          <t>Strengthening of Existing School at GOVT VARISTH UPADHYAY HANUTIYA, SHAHPURA, JAIPUR</t>
        </is>
      </c>
      <c r="G234" t="inlineStr">
        <is>
          <t>Strengthening of Existing School at GOVT VARISTH</t>
        </is>
      </c>
    </row>
    <row r="235">
      <c r="A235" s="1" t="n">
        <v>233</v>
      </c>
      <c r="B235">
        <f>HYPERLINK("https://eproc.rajasthan.gov.in/nicgep/app?component=%24DirectLink&amp;page=FrontEndViewTender&amp;service=direct&amp;session=T&amp;sp=SWyqjMZawqGRYrY6iN51xuA%3D%3D", "Strengthening of Existing School at GOVT SENIOR SECONDARY SCHOOL MAMTORI KALA, SHAHPURA, JAIPUR")</f>
        <v/>
      </c>
      <c r="C235" t="inlineStr">
        <is>
          <t>Rajasthan Council of School Education</t>
        </is>
      </c>
      <c r="D235" t="inlineStr">
        <is>
          <t>23-May-2025 06:00 PM</t>
        </is>
      </c>
      <c r="E235" t="inlineStr">
        <is>
          <t>9,81,000</t>
        </is>
      </c>
      <c r="F235" t="inlineStr">
        <is>
          <t>Strengthening of Existing School at GOVT SENIOR SECONDARY SCHOOL MAMTORI KALA, SHAHPURA, JAIPUR</t>
        </is>
      </c>
      <c r="G235" t="inlineStr">
        <is>
          <t>Strengthening of Existing School at GOVT SENIOR SE</t>
        </is>
      </c>
    </row>
    <row r="236">
      <c r="A236" s="1" t="n">
        <v>234</v>
      </c>
      <c r="B236">
        <f>HYPERLINK("https://eproc.rajasthan.gov.in/nicgep/app?component=%24DirectLink&amp;page=FrontEndViewTender&amp;service=direct&amp;session=T&amp;sp=SqNpwLNKgk2x%2F0RFVlss1kg%3D%3D", "Strengthening of Existing School at GOVT G VARISTH SAN NAWALPURA, SHAHPURA, JAIPUR")</f>
        <v/>
      </c>
      <c r="C236" t="inlineStr">
        <is>
          <t>Rajasthan Council of School Education</t>
        </is>
      </c>
      <c r="D236" t="inlineStr">
        <is>
          <t>23-May-2025 06:00 PM</t>
        </is>
      </c>
      <c r="E236" t="inlineStr">
        <is>
          <t>9,81,000</t>
        </is>
      </c>
      <c r="F236" t="inlineStr">
        <is>
          <t>Strengthening of Existing School at GOVT G VARISTH SAN NAWALPURA, SHAHPURA, JAIPUR</t>
        </is>
      </c>
      <c r="G236" t="inlineStr">
        <is>
          <t>Strengthening of Existing School at GOVT G VARISTH</t>
        </is>
      </c>
    </row>
    <row r="237">
      <c r="A237" s="1" t="n">
        <v>235</v>
      </c>
      <c r="B237">
        <f>HYPERLINK("https://eproc.rajasthan.gov.in/nicgep/app?component=%24DirectLink&amp;page=FrontEndViewTender&amp;service=direct&amp;session=T&amp;sp=SLjeHXr2qWLC9VvHxn9o8gA%3D%3D", "Strengthening of Existing School at GOVT SEN SEC SHERPURA, SHAHPURA, JAIPUR")</f>
        <v/>
      </c>
      <c r="C237" t="inlineStr">
        <is>
          <t>Rajasthan Council of School Education</t>
        </is>
      </c>
      <c r="D237" t="inlineStr">
        <is>
          <t>23-May-2025 06:00 PM</t>
        </is>
      </c>
      <c r="E237" t="inlineStr">
        <is>
          <t>9,81,000</t>
        </is>
      </c>
      <c r="F237" t="inlineStr">
        <is>
          <t>Strengthening of Existing School at GOVT SEN SEC SHERPURA, SHAHPURA, JAIPUR</t>
        </is>
      </c>
      <c r="G237" t="inlineStr">
        <is>
          <t>Strengthening of Existing School at GOVT SEN SEC S</t>
        </is>
      </c>
    </row>
    <row r="238">
      <c r="A238" s="1" t="n">
        <v>236</v>
      </c>
      <c r="B238">
        <f>HYPERLINK("https://eproc.rajasthan.gov.in/nicgep/app?component=%24DirectLink&amp;page=FrontEndViewTender&amp;service=direct&amp;session=T&amp;sp=SH4TRiMc1P0cAjf6QwzWoVA%3D%3D", "Strengthening of Existing School at GOVT SENIOR SECONDARY SCHOOL PEEPLOD, SHAHPURA, JAIPUR")</f>
        <v/>
      </c>
      <c r="C238" t="inlineStr">
        <is>
          <t>Rajasthan Council of School Education</t>
        </is>
      </c>
      <c r="D238" t="inlineStr">
        <is>
          <t>23-May-2025 06:00 PM</t>
        </is>
      </c>
      <c r="E238" t="inlineStr">
        <is>
          <t>9,81,000</t>
        </is>
      </c>
      <c r="F238" t="inlineStr">
        <is>
          <t>Strengthening of Existing School at GOVT SENIOR SECONDARY SCHOOL PEEPLOD, SHAHPURA, JAIPUR</t>
        </is>
      </c>
      <c r="G238" t="inlineStr">
        <is>
          <t>Strengthening of Existing School at GOVT SENIOR SE</t>
        </is>
      </c>
    </row>
    <row r="239">
      <c r="A239" s="1" t="n">
        <v>237</v>
      </c>
      <c r="B239">
        <f>HYPERLINK("https://eproc.rajasthan.gov.in/nicgep/app?component=%24DirectLink&amp;page=FrontEndViewTender&amp;service=direct&amp;session=T&amp;sp=SvGqnhR1K9PZITCkwxdHLbg%3D%3D", "Strengthening of Existing School at GOVT ADARSH SEN.SEC.SCH DEVIPURA, SHAHPURA, JAIPUR")</f>
        <v/>
      </c>
      <c r="C239" t="inlineStr">
        <is>
          <t>Rajasthan Council of School Education</t>
        </is>
      </c>
      <c r="D239" t="inlineStr">
        <is>
          <t>23-May-2025 06:00 PM</t>
        </is>
      </c>
      <c r="E239" t="inlineStr">
        <is>
          <t>9,81,000</t>
        </is>
      </c>
      <c r="F239" t="inlineStr">
        <is>
          <t>Strengthening of Existing School at GOVT ADARSH SEN.SEC.SCH DEVIPURA, SHAHPURA, JAIPUR</t>
        </is>
      </c>
      <c r="G239" t="inlineStr">
        <is>
          <t>Strengthening of Existing School at GOVT ADARSH SE</t>
        </is>
      </c>
    </row>
    <row r="240">
      <c r="A240" s="1" t="n">
        <v>238</v>
      </c>
      <c r="B240">
        <f>HYPERLINK("https://eproc.rajasthan.gov.in/nicgep/app?component=%24DirectLink&amp;page=FrontEndViewTender&amp;service=direct&amp;session=T&amp;sp=SapZCd6oR1%2BcsE9DV0Llb%2BQ%3D%3D", "Strengthening of Existing School Work At GPS, Gurjaro Ki Dhani Lakawas, CHAKSU, JAIPUR")</f>
        <v/>
      </c>
      <c r="C240" t="inlineStr">
        <is>
          <t>Rajasthan Council of School Education</t>
        </is>
      </c>
      <c r="D240" t="inlineStr">
        <is>
          <t>23-May-2025 06:00 PM</t>
        </is>
      </c>
      <c r="E240" t="inlineStr">
        <is>
          <t>9,81,000</t>
        </is>
      </c>
      <c r="F240" t="inlineStr">
        <is>
          <t>Strengthening of Existing School Work At GPS, Gurjaro Ki Dhani Lakawas, CHAKSU, JAIPUR</t>
        </is>
      </c>
      <c r="G240" t="inlineStr">
        <is>
          <t>Strengthening of Existing School Work At GPS, Gurj</t>
        </is>
      </c>
    </row>
    <row r="241">
      <c r="A241" s="1" t="n">
        <v>239</v>
      </c>
      <c r="B241">
        <f>HYPERLINK("https://eproc.rajasthan.gov.in/nicgep/app?component=%24DirectLink&amp;page=FrontEndViewTender&amp;service=direct&amp;session=T&amp;sp=SLr2xOWgopuYWxPuusSxpDA%3D%3D", "Strengthening of Existing School Work At GUPS, Gogiyawas, Chaksu, Jaipur")</f>
        <v/>
      </c>
      <c r="C241" t="inlineStr">
        <is>
          <t>Rajasthan Council of School Education</t>
        </is>
      </c>
      <c r="D241" t="inlineStr">
        <is>
          <t>23-May-2025 06:00 PM</t>
        </is>
      </c>
      <c r="E241" t="inlineStr">
        <is>
          <t>9,81,000</t>
        </is>
      </c>
      <c r="F241" t="inlineStr">
        <is>
          <t>Strengthening of Existing School Work At GUPS, Gogiyawas, Chaksu, Jaipur</t>
        </is>
      </c>
      <c r="G241" t="inlineStr">
        <is>
          <t>Strengthening of Existing School Work At GUPS, Gog</t>
        </is>
      </c>
    </row>
    <row r="242">
      <c r="A242" s="1" t="n">
        <v>240</v>
      </c>
      <c r="B242">
        <f>HYPERLINK("https://eproc.rajasthan.gov.in/nicgep/app?component=%24DirectLink&amp;page=FrontEndViewTender&amp;service=direct&amp;session=T&amp;sp=SsB7bSXgZIsuLEUVoXB%2FfCA%3D%3D", "Strengthening of Existing School Work At GSSS, Dabich, MADHORAJPURA, JAIPUR")</f>
        <v/>
      </c>
      <c r="C242" t="inlineStr">
        <is>
          <t>Rajasthan Council of School Education</t>
        </is>
      </c>
      <c r="D242" t="inlineStr">
        <is>
          <t>23-May-2025 06:00 PM</t>
        </is>
      </c>
      <c r="E242" t="inlineStr">
        <is>
          <t>12,40,000</t>
        </is>
      </c>
      <c r="F242" t="inlineStr">
        <is>
          <t>Strengthening of Existing School Work At GSSS, Dabich, MADHORAJPURA, JAIPUR</t>
        </is>
      </c>
      <c r="G242" t="inlineStr">
        <is>
          <t>Strengthening of Existing School Work At GSSS, Dab</t>
        </is>
      </c>
    </row>
    <row r="243">
      <c r="A243" s="1" t="n">
        <v>241</v>
      </c>
      <c r="B243">
        <f>HYPERLINK("https://eproc.rajasthan.gov.in/nicgep/app?component=%24DirectLink&amp;page=FrontEndViewTender&amp;service=direct&amp;session=T&amp;sp=SWIFaubR8Z2%2B2qIMdoTc1yA%3D%3D", "Strengthening of Existing School at GOVT PS GHOSALYA KI DHANI KACHOLIYA, BASSI, JAIPUR")</f>
        <v/>
      </c>
      <c r="C243" t="inlineStr">
        <is>
          <t>Rajasthan Council of School Education</t>
        </is>
      </c>
      <c r="D243" t="inlineStr">
        <is>
          <t>23-May-2025 06:00 PM</t>
        </is>
      </c>
      <c r="E243" t="inlineStr">
        <is>
          <t>9,81,000</t>
        </is>
      </c>
      <c r="F243" t="inlineStr">
        <is>
          <t>Strengthening of Existing School at GOVT PS GHOSALYA KI DHANI KACHOLIYA, BASSI, JAIPUR</t>
        </is>
      </c>
      <c r="G243" t="inlineStr">
        <is>
          <t>Strengthening of Existing School at GOVT PS GHOSAL</t>
        </is>
      </c>
    </row>
    <row r="244">
      <c r="A244" s="1" t="n">
        <v>242</v>
      </c>
      <c r="B244">
        <f>HYPERLINK("https://eproc.rajasthan.gov.in/nicgep/app?component=%24DirectLink&amp;page=FrontEndViewTender&amp;service=direct&amp;session=T&amp;sp=SWeNerXdmxHv0w0dqUKhnfw%3D%3D", "Strengthening of Existing School at GOVT SANSKRAT UPS P KE DHANI JATWARA, BASSI, JAIPUR")</f>
        <v/>
      </c>
      <c r="C244" t="inlineStr">
        <is>
          <t>Rajasthan Council of School Education</t>
        </is>
      </c>
      <c r="D244" t="inlineStr">
        <is>
          <t>23-May-2025 06:00 PM</t>
        </is>
      </c>
      <c r="E244" t="inlineStr">
        <is>
          <t>9,81,000</t>
        </is>
      </c>
      <c r="F244" t="inlineStr">
        <is>
          <t>Strengthening of Existing School at GOVT SANSKRAT UPS P KE DHANI JATWARA, BASSI, JAIPUR</t>
        </is>
      </c>
      <c r="G244" t="inlineStr">
        <is>
          <t>Strengthening of Existing School at GOVT SANSKRAT</t>
        </is>
      </c>
    </row>
    <row r="245">
      <c r="A245" s="1" t="n">
        <v>243</v>
      </c>
      <c r="B245">
        <f>HYPERLINK("https://eproc.rajasthan.gov.in/nicgep/app?component=%24DirectLink&amp;page=FrontEndViewTender&amp;service=direct&amp;session=T&amp;sp=Sx%2Fvq9c8aNAtJ2Lu7UKHzMA%3D%3D", "Strengthening of Existing School Work At GOVT PS BIHARIPURA, BASSI, JAIPUR")</f>
        <v/>
      </c>
      <c r="C245" t="inlineStr">
        <is>
          <t>Rajasthan Council of School Education</t>
        </is>
      </c>
      <c r="D245" t="inlineStr">
        <is>
          <t>23-May-2025 06:00 PM</t>
        </is>
      </c>
      <c r="E245" t="inlineStr">
        <is>
          <t>9,81,000</t>
        </is>
      </c>
      <c r="F245" t="inlineStr">
        <is>
          <t>Strengthening of Existing School Work At GOVT PS BIHARIPURA, BASSI, JAIPUR</t>
        </is>
      </c>
      <c r="G245" t="inlineStr">
        <is>
          <t>Strengthening of Existing School Work At GOVT PS B</t>
        </is>
      </c>
    </row>
    <row r="246">
      <c r="A246" s="1" t="n">
        <v>244</v>
      </c>
      <c r="B246">
        <f>HYPERLINK("https://eproc.rajasthan.gov.in/nicgep/app?component=%24DirectLink&amp;page=FrontEndViewTender&amp;service=direct&amp;session=T&amp;sp=S7%2BSh36J8F00J5mO06uYMQw%3D%3D", "Strengthening of Existing School at GOVT UPS KALYANPURA, BASSI, JAIPUR")</f>
        <v/>
      </c>
      <c r="C246" t="inlineStr">
        <is>
          <t>Rajasthan Council of School Education</t>
        </is>
      </c>
      <c r="D246" t="inlineStr">
        <is>
          <t>23-May-2025 06:00 PM</t>
        </is>
      </c>
      <c r="E246" t="inlineStr">
        <is>
          <t>9,81,000</t>
        </is>
      </c>
      <c r="F246" t="inlineStr">
        <is>
          <t>Strengthening of Existing School at GOVT UPS KALYANPURA, BASSI, JAIPUR</t>
        </is>
      </c>
      <c r="G246" t="inlineStr">
        <is>
          <t>Strengthening of Existing School at GOVT UPS KALYA</t>
        </is>
      </c>
    </row>
    <row r="247">
      <c r="A247" s="1" t="n">
        <v>245</v>
      </c>
      <c r="B247">
        <f>HYPERLINK("https://eproc.rajasthan.gov.in/nicgep/app?component=%24DirectLink&amp;page=FrontEndViewTender&amp;service=direct&amp;session=T&amp;sp=SUpbvTpVjOViBYlf2ETgxew%3D%3D", "Strengthening of Existing School at GOVT UPS SHRI GOVINDPURA, AMER, JAIPUR")</f>
        <v/>
      </c>
      <c r="C247" t="inlineStr">
        <is>
          <t>Rajasthan Council of School Education</t>
        </is>
      </c>
      <c r="D247" t="inlineStr">
        <is>
          <t>23-May-2025 06:00 PM</t>
        </is>
      </c>
      <c r="E247" t="inlineStr">
        <is>
          <t>9,81,000</t>
        </is>
      </c>
      <c r="F247" t="inlineStr">
        <is>
          <t>Strengthening of Existing School at GOVT UPS SHRI GOVINDPURA, AMER, JAIPUR</t>
        </is>
      </c>
      <c r="G247" t="inlineStr">
        <is>
          <t>Strengthening of Existing School at GOVT UPS SHRI</t>
        </is>
      </c>
    </row>
    <row r="248">
      <c r="A248" s="1" t="n">
        <v>246</v>
      </c>
      <c r="B248">
        <f>HYPERLINK("https://eproc.rajasthan.gov.in/nicgep/app?component=%24DirectLink&amp;page=FrontEndViewTender&amp;service=direct&amp;session=T&amp;sp=SNCm12MICpjtWiQYgch5Rdw%3D%3D", "Strengthening of Existing School at GOVT UPS GHATAVADA, AMBER, JAIPUR")</f>
        <v/>
      </c>
      <c r="C248" t="inlineStr">
        <is>
          <t>Rajasthan Council of School Education</t>
        </is>
      </c>
      <c r="D248" t="inlineStr">
        <is>
          <t>23-May-2025 06:00 PM</t>
        </is>
      </c>
      <c r="E248" t="inlineStr">
        <is>
          <t>9,81,000</t>
        </is>
      </c>
      <c r="F248" t="inlineStr">
        <is>
          <t>Strengthening of Existing School at GOVT UPS GHATAVADA, AMBER, JAIPUR</t>
        </is>
      </c>
      <c r="G248" t="inlineStr">
        <is>
          <t>Strengthening of Existing School at GOVT UPS GHATA</t>
        </is>
      </c>
    </row>
    <row r="249">
      <c r="A249" s="1" t="n">
        <v>247</v>
      </c>
      <c r="B249">
        <f>HYPERLINK("https://eproc.rajasthan.gov.in/nicgep/app?component=%24DirectLink&amp;page=FrontEndViewTender&amp;service=direct&amp;session=T&amp;sp=S%2BTzvcB6HzqGfj%2BM8LbxjlA%3D%3D", "Strengthening of Existing School at GOVT PS SHREE RAMPURA, BASSI, JAIPUR")</f>
        <v/>
      </c>
      <c r="C249" t="inlineStr">
        <is>
          <t>Rajasthan Council of School Education</t>
        </is>
      </c>
      <c r="D249" t="inlineStr">
        <is>
          <t>23-May-2025 06:00 PM</t>
        </is>
      </c>
      <c r="E249" t="inlineStr">
        <is>
          <t>9,81,000</t>
        </is>
      </c>
      <c r="F249" t="inlineStr">
        <is>
          <t>Strengthening of Existing School at GOVT PS SHREE RAMPURA, BASSI, JAIPUR</t>
        </is>
      </c>
      <c r="G249" t="inlineStr">
        <is>
          <t>Strengthening of Existing School at GOVT PS SHREE</t>
        </is>
      </c>
    </row>
    <row r="250">
      <c r="A250" s="1" t="n">
        <v>248</v>
      </c>
      <c r="B250">
        <f>HYPERLINK("https://eproc.rajasthan.gov.in/nicgep/app?component=%24DirectLink&amp;page=FrontEndViewTender&amp;service=direct&amp;session=T&amp;sp=S9PpqHr9lE%2BGMFiPkeT%2BVEw%3D%3D", "Strengthening of Existing School at MAHATMA GANDHI GOVT SCHOOL SITAPURA, JHOTWARA CITY, JAIPUR")</f>
        <v/>
      </c>
      <c r="C250" t="inlineStr">
        <is>
          <t>Rajasthan Council of School Education</t>
        </is>
      </c>
      <c r="D250" t="inlineStr">
        <is>
          <t>23-May-2025 06:00 PM</t>
        </is>
      </c>
      <c r="E250" t="inlineStr">
        <is>
          <t>12,40,000</t>
        </is>
      </c>
      <c r="F250" t="inlineStr">
        <is>
          <t>Strengthening of Existing School at MAHATMA GANDHI GOVT SCHOOL SITAPURA, JHOTWARA CITY, JAIPUR</t>
        </is>
      </c>
      <c r="G250" t="inlineStr">
        <is>
          <t>Strengthening of Existing School at MAHATMA GANDHI</t>
        </is>
      </c>
    </row>
    <row r="251">
      <c r="A251" s="1" t="n">
        <v>249</v>
      </c>
      <c r="B251">
        <f>HYPERLINK("https://eproc.rajasthan.gov.in/nicgep/app?component=%24DirectLink&amp;page=FrontEndViewTender&amp;service=direct&amp;session=T&amp;sp=SHJPnB4lYCSCRCXZruNWY2A%3D%3D", "Strengthening of Existing School Work At GOVT. SENIOR SECONDARY SCHOOL BHATTO KI GALI, JALSU, JAIPUR")</f>
        <v/>
      </c>
      <c r="C251" t="inlineStr">
        <is>
          <t>Rajasthan Council of School Education</t>
        </is>
      </c>
      <c r="D251" t="inlineStr">
        <is>
          <t>23-May-2025 06:00 PM</t>
        </is>
      </c>
      <c r="E251" t="inlineStr">
        <is>
          <t>9,81,000</t>
        </is>
      </c>
      <c r="F251" t="inlineStr">
        <is>
          <t>Strengthening of Existing School Work At GOVT. SENIOR SECONDARY SCHOOL BHATTO KI GALI, JALSU, JAIPUR</t>
        </is>
      </c>
      <c r="G251" t="inlineStr">
        <is>
          <t>Strengthening of Existing School Work At GOVT. SEN</t>
        </is>
      </c>
    </row>
    <row r="252">
      <c r="A252" s="1" t="n">
        <v>250</v>
      </c>
      <c r="B252">
        <f>HYPERLINK("https://eproc.rajasthan.gov.in/nicgep/app?component=%24DirectLink&amp;page=FrontEndViewTender&amp;service=direct&amp;session=T&amp;sp=SH%2BQeOi9e%2FPQoP26z2%2BZtoA%3D%3D", "Strengthening of Existing School at GOVT SEN.SEC.SCH. KANT, SHAHPURA, JAIPUR")</f>
        <v/>
      </c>
      <c r="C252" t="inlineStr">
        <is>
          <t>Rajasthan Council of School Education</t>
        </is>
      </c>
      <c r="D252" t="inlineStr">
        <is>
          <t>23-May-2025 06:00 PM</t>
        </is>
      </c>
      <c r="E252" t="inlineStr">
        <is>
          <t>9,81,000</t>
        </is>
      </c>
      <c r="F252" t="inlineStr">
        <is>
          <t>Strengthening of Existing School at GOVT SEN.SEC.SCH. KANT, SHAHPURA, JAIPUR</t>
        </is>
      </c>
      <c r="G252" t="inlineStr">
        <is>
          <t>Strengthening of Existing School at GOVT SEN.SEC.S</t>
        </is>
      </c>
    </row>
    <row r="253">
      <c r="A253" s="1" t="n">
        <v>251</v>
      </c>
      <c r="B253">
        <f>HYPERLINK("https://eproc.rajasthan.gov.in/nicgep/app?component=%24DirectLink&amp;page=FrontEndViewTender&amp;service=direct&amp;session=T&amp;sp=SV%2B2aGenWQj5FJ4mjy57pDw%3D%3D", "Strengthening of Existing School at MAHATMA GANDHI GOVERMENT SCHOOL KALYANPURA, SANGANER CITY, JAIPUR")</f>
        <v/>
      </c>
      <c r="C253" t="inlineStr">
        <is>
          <t>Rajasthan Council of School Education</t>
        </is>
      </c>
      <c r="D253" t="inlineStr">
        <is>
          <t>23-May-2025 06:00 PM</t>
        </is>
      </c>
      <c r="E253" t="inlineStr">
        <is>
          <t>12,40,000</t>
        </is>
      </c>
      <c r="F253" t="inlineStr">
        <is>
          <t>Strengthening of Existing School at MAHATMA GANDHI GOVERMENT SCHOOL KALYANPURA, SANGANER CITY, JAIPUR</t>
        </is>
      </c>
      <c r="G253" t="inlineStr">
        <is>
          <t>Strengthening of Existing School at MAHATMA GANDHI</t>
        </is>
      </c>
    </row>
    <row r="254">
      <c r="A254" s="1" t="n">
        <v>252</v>
      </c>
      <c r="B254">
        <f>HYPERLINK("https://eproc.rajasthan.gov.in/nicgep/app?component=%24DirectLink&amp;page=FrontEndViewTender&amp;service=direct&amp;session=T&amp;sp=SdpUi61lBt%2BwbTPDJDvHXXA%3D%3D", "Strengthening of Existing School at MAHATMA GANDHI GOVERMENT SCHOOL JOTADAWALA, SANGANER CITY, JAIPUR")</f>
        <v/>
      </c>
      <c r="C254" t="inlineStr">
        <is>
          <t>Rajasthan Council of School Education</t>
        </is>
      </c>
      <c r="D254" t="inlineStr">
        <is>
          <t>23-May-2025 06:00 PM</t>
        </is>
      </c>
      <c r="E254" t="inlineStr">
        <is>
          <t>12,40,000</t>
        </is>
      </c>
      <c r="F254" t="inlineStr">
        <is>
          <t>Strengthening of Existing School at MAHATMA GANDHI GOVERMENT SCHOOL JOTADAWALA, SANGANER CITY, JAIPUR</t>
        </is>
      </c>
      <c r="G254" t="inlineStr">
        <is>
          <t>Strengthening of Existing School at MAHATMA GANDHI</t>
        </is>
      </c>
    </row>
    <row r="255">
      <c r="A255" s="1" t="n">
        <v>253</v>
      </c>
      <c r="B255">
        <f>HYPERLINK("https://eproc.rajasthan.gov.in/nicgep/app?component=%24DirectLink&amp;page=FrontEndViewTender&amp;service=direct&amp;session=T&amp;sp=SPoa%2BcbN0b0KLJkuTrRIboA%3D%3D", "Strengthening of Existing School at SHREE KALYAN SINGH GOVT SR. SEC SCHOOL, SHAHPURA, JAIPUR")</f>
        <v/>
      </c>
      <c r="C255" t="inlineStr">
        <is>
          <t>Rajasthan Council of School Education</t>
        </is>
      </c>
      <c r="D255" t="inlineStr">
        <is>
          <t>23-May-2025 06:00 PM</t>
        </is>
      </c>
      <c r="E255" t="inlineStr">
        <is>
          <t>9,81,000</t>
        </is>
      </c>
      <c r="F255" t="inlineStr">
        <is>
          <t>Strengthening of Existing School at SHREE KALYAN SINGH GOVT SR. SEC SCHOOL, SHAHPURA, JAIPUR</t>
        </is>
      </c>
      <c r="G255" t="inlineStr">
        <is>
          <t>Strengthening of Existing School at SHREE KALYAN S</t>
        </is>
      </c>
    </row>
    <row r="256">
      <c r="A256" s="1" t="n">
        <v>254</v>
      </c>
      <c r="B256">
        <f>HYPERLINK("https://eproc.rajasthan.gov.in/nicgep/app?component=%24DirectLink&amp;page=FrontEndViewTender&amp;service=direct&amp;session=T&amp;sp=SOPfIsZuFZyzI9MHb%2B38NOA%3D%3D", "Strengthening of Existing School at GOVT UPS KHOJAWALA, SHAHPURA, JAIPUR")</f>
        <v/>
      </c>
      <c r="C256" t="inlineStr">
        <is>
          <t>Rajasthan Council of School Education</t>
        </is>
      </c>
      <c r="D256" t="inlineStr">
        <is>
          <t>23-May-2025 06:00 PM</t>
        </is>
      </c>
      <c r="E256" t="inlineStr">
        <is>
          <t>9,81,000</t>
        </is>
      </c>
      <c r="F256" t="inlineStr">
        <is>
          <t>Strengthening of Existing School at GOVT UPS KHOJAWALA, SHAHPURA, JAIPUR</t>
        </is>
      </c>
      <c r="G256" t="inlineStr">
        <is>
          <t>Strengthening of Existing School at GOVT UPS KHOJA</t>
        </is>
      </c>
    </row>
    <row r="257">
      <c r="A257" s="1" t="n">
        <v>255</v>
      </c>
      <c r="B257">
        <f>HYPERLINK("https://eproc.rajasthan.gov.in/nicgep/app?component=%24DirectLink&amp;page=FrontEndViewTender&amp;service=direct&amp;session=T&amp;sp=SlAkqtl7vXDcsMYt%2F1ZnmuA%3D%3D", "Strengthening of Existing School at G G UPS TITARIYA, CHAKSU, JAIPUR")</f>
        <v/>
      </c>
      <c r="C257" t="inlineStr">
        <is>
          <t>Rajasthan Council of School Education</t>
        </is>
      </c>
      <c r="D257" t="inlineStr">
        <is>
          <t>23-May-2025 06:00 PM</t>
        </is>
      </c>
      <c r="E257" t="inlineStr">
        <is>
          <t>9,81,000</t>
        </is>
      </c>
      <c r="F257" t="inlineStr">
        <is>
          <t>Strengthening of Existing School at G G UPS TITARIYA, CHAKSU, JAIPUR</t>
        </is>
      </c>
      <c r="G257" t="inlineStr">
        <is>
          <t>Strengthening of Existing School at G G UPS TITAR</t>
        </is>
      </c>
    </row>
    <row r="258">
      <c r="A258" s="1" t="n">
        <v>256</v>
      </c>
      <c r="B258">
        <f>HYPERLINK("https://eproc.rajasthan.gov.in/nicgep/app?component=%24DirectLink&amp;page=FrontEndViewTender&amp;service=direct&amp;session=T&amp;sp=ST%2FtIrlvete7sx%2FXWnfQnbw%3D%3D", "Strengthening of Existing School at GUPS CHIMAPURA, KOTKHAWADA, JAIPUR")</f>
        <v/>
      </c>
      <c r="C258" t="inlineStr">
        <is>
          <t>Rajasthan Council of School Education</t>
        </is>
      </c>
      <c r="D258" t="inlineStr">
        <is>
          <t>23-May-2025 06:00 PM</t>
        </is>
      </c>
      <c r="E258" t="inlineStr">
        <is>
          <t>9,81,000</t>
        </is>
      </c>
      <c r="F258" t="inlineStr">
        <is>
          <t>Strengthening of Existing School at GUPS CHIMAPURA, KOTKHAWADA, JAIPUR</t>
        </is>
      </c>
      <c r="G258" t="inlineStr">
        <is>
          <t>Strengthening of Existing School at GUPS CHIMAPUR</t>
        </is>
      </c>
    </row>
    <row r="259">
      <c r="A259" s="1" t="n">
        <v>257</v>
      </c>
      <c r="B259">
        <f>HYPERLINK("https://eproc.rajasthan.gov.in/nicgep/app?component=%24DirectLink&amp;page=FrontEndViewTender&amp;service=direct&amp;session=T&amp;sp=Sxf%2Fz6UQafJFBYIPpxexfnQ%3D%3D", "Strengthening of Existing School at MAHATMA GANDHI GOVT SCHOOL DEVAN, SHAHPURA, JAIPUR")</f>
        <v/>
      </c>
      <c r="C259" t="inlineStr">
        <is>
          <t>Rajasthan Council of School Education</t>
        </is>
      </c>
      <c r="D259" t="inlineStr">
        <is>
          <t>23-May-2025 06:00 PM</t>
        </is>
      </c>
      <c r="E259" t="inlineStr">
        <is>
          <t>9,81,000</t>
        </is>
      </c>
      <c r="F259" t="inlineStr">
        <is>
          <t>Strengthening of Existing School at MAHATMA GANDHI GOVT SCHOOL DEVAN, SHAHPURA, JAIPUR</t>
        </is>
      </c>
      <c r="G259" t="inlineStr">
        <is>
          <t>Strengthening of Existing School at MAHATMA GANDHI</t>
        </is>
      </c>
    </row>
    <row r="260">
      <c r="A260" s="1" t="n">
        <v>258</v>
      </c>
      <c r="B260">
        <f>HYPERLINK("https://eproc.rajasthan.gov.in/nicgep/app?component=%24DirectLink&amp;page=FrontEndViewTender&amp;service=direct&amp;session=T&amp;sp=SLsg%2FC92FmqsU1K5lG2sNYg%3D%3D", "Strengthening of Existing School at GOVT. GIRLS SEN SEC. SCH SHAHPURA, JAIPUR")</f>
        <v/>
      </c>
      <c r="C260" t="inlineStr">
        <is>
          <t>Rajasthan Council of School Education</t>
        </is>
      </c>
      <c r="D260" t="inlineStr">
        <is>
          <t>23-May-2025 06:00 PM</t>
        </is>
      </c>
      <c r="E260" t="inlineStr">
        <is>
          <t>9,81,000</t>
        </is>
      </c>
      <c r="F260" t="inlineStr">
        <is>
          <t>Strengthening of Existing School at GOVT. GIRLS SEN SEC. SCH SHAHPURA, JAIPUR</t>
        </is>
      </c>
      <c r="G260" t="inlineStr">
        <is>
          <t>Strengthening of Existing School at GOVT. GIRLS S</t>
        </is>
      </c>
    </row>
    <row r="261">
      <c r="A261" s="1" t="n">
        <v>259</v>
      </c>
      <c r="B261">
        <f>HYPERLINK("https://eproc.rajasthan.gov.in/nicgep/app?component=%24DirectLink&amp;page=FrontEndViewTender&amp;service=direct&amp;session=T&amp;sp=SmOov7sl%2FayyFcqUPtK9nTw%3D%3D", "SCHOOL STRENGTHENING WORKS AT GSSS TIDI BLOCK GIRWA UDAIPUR")</f>
        <v/>
      </c>
      <c r="C261" t="inlineStr">
        <is>
          <t>Rajasthan Council of School Education</t>
        </is>
      </c>
      <c r="D261" t="inlineStr">
        <is>
          <t>19-May-2025 06:00 PM</t>
        </is>
      </c>
      <c r="E261" t="inlineStr">
        <is>
          <t>2,07,000</t>
        </is>
      </c>
      <c r="F261" t="inlineStr">
        <is>
          <t>SCHOOL STRENGTHENING WORKS AT GSSS TIDI BLOCK GIRWA UDAIPUR</t>
        </is>
      </c>
      <c r="G261" t="inlineStr">
        <is>
          <t>GSSS TIDI BLOCK GIRWA UDAIPUR</t>
        </is>
      </c>
    </row>
    <row r="262">
      <c r="A262" s="1" t="n">
        <v>260</v>
      </c>
      <c r="B262">
        <f>HYPERLINK("https://eproc.rajasthan.gov.in/nicgep/app?component=%24DirectLink&amp;page=FrontEndViewTender&amp;service=direct&amp;session=T&amp;sp=S8TK3KLrXFhrInssKwL6j2g%3D%3D", "CONSTRUCTION OF TWO CLASS ROOM WORK AT GUPS LAAPIYA")</f>
        <v/>
      </c>
      <c r="C262" t="inlineStr">
        <is>
          <t>Rajasthan Council of School Education</t>
        </is>
      </c>
      <c r="D262" t="inlineStr">
        <is>
          <t>23-May-2025 06:00 PM</t>
        </is>
      </c>
      <c r="E262" t="inlineStr">
        <is>
          <t>19,61,000</t>
        </is>
      </c>
      <c r="F262" t="inlineStr">
        <is>
          <t>CONSTRUCTION OF TWO CLASS ROOM WORK AT GUPS LAAPIYA</t>
        </is>
      </c>
      <c r="G262" t="inlineStr">
        <is>
          <t>BHILWARA</t>
        </is>
      </c>
    </row>
    <row r="263">
      <c r="A263" s="1" t="n">
        <v>261</v>
      </c>
      <c r="B263">
        <f>HYPERLINK("https://eproc.rajasthan.gov.in/nicgep/app?component=%24DirectLink&amp;page=FrontEndViewTender&amp;service=direct&amp;session=T&amp;sp=SuBIpfYTu6i3FbBxY1VY9Dw%3D%3D", "CONSTRUCTION OF TWO CLASS ROOM WORK AT GUPS NAI ARWAD")</f>
        <v/>
      </c>
      <c r="C263" t="inlineStr">
        <is>
          <t>Rajasthan Council of School Education</t>
        </is>
      </c>
      <c r="D263" t="inlineStr">
        <is>
          <t>23-May-2025 06:00 PM</t>
        </is>
      </c>
      <c r="E263" t="inlineStr">
        <is>
          <t>19,61,000</t>
        </is>
      </c>
      <c r="F263" t="inlineStr">
        <is>
          <t>CONSTRUCTION OF TWO CLASS ROOM WORK AT GUPS NAI ARWAD</t>
        </is>
      </c>
      <c r="G263" t="inlineStr">
        <is>
          <t>BHILWARA</t>
        </is>
      </c>
    </row>
    <row r="264">
      <c r="A264" s="1" t="n">
        <v>262</v>
      </c>
      <c r="B264">
        <f>HYPERLINK("https://eproc.rajasthan.gov.in/nicgep/app?component=%24DirectLink&amp;page=FrontEndViewTender&amp;service=direct&amp;session=T&amp;sp=SkzQLEfGSFe3Fv4PPcMHlEg%3D%3D", "Construction of 1 ACR at Govt. Sr.Sec. Sch. Shahid Ratanlal Jat Pahadi")</f>
        <v/>
      </c>
      <c r="C264" t="inlineStr">
        <is>
          <t>Rajasthan Council of School Education</t>
        </is>
      </c>
      <c r="D264" t="inlineStr">
        <is>
          <t>23-May-2025 06:00 PM</t>
        </is>
      </c>
      <c r="E264" t="inlineStr">
        <is>
          <t>12,38,000</t>
        </is>
      </c>
      <c r="F264" t="inlineStr">
        <is>
          <t>Construction of 1 ACR at Govt. Sr.Sec. Sch. Shahid Ratanlal Jat Pahadi</t>
        </is>
      </c>
      <c r="G264" t="inlineStr">
        <is>
          <t>Tonk</t>
        </is>
      </c>
    </row>
    <row r="265">
      <c r="A265" s="1" t="n">
        <v>263</v>
      </c>
      <c r="B265">
        <f>HYPERLINK("https://eproc.rajasthan.gov.in/nicgep/app?component=%24DirectLink&amp;page=FrontEndViewTender&amp;service=direct&amp;session=T&amp;sp=Suyqq%2FocLvuPda6NhnKVbow%3D%3D", "Construction of 1 ACR at Mahatma Gandhi Govt. Sch. Churada")</f>
        <v/>
      </c>
      <c r="C265" t="inlineStr">
        <is>
          <t>Rajasthan Council of School Education</t>
        </is>
      </c>
      <c r="D265" t="inlineStr">
        <is>
          <t>23-May-2025 06:00 PM</t>
        </is>
      </c>
      <c r="E265" t="inlineStr">
        <is>
          <t>12,38,000</t>
        </is>
      </c>
      <c r="F265" t="inlineStr">
        <is>
          <t>Construction of 1 ACR at Mahatma Gandhi Govt. Sch. Churada</t>
        </is>
      </c>
      <c r="G265" t="inlineStr">
        <is>
          <t>Tonk</t>
        </is>
      </c>
    </row>
    <row r="266">
      <c r="A266" s="1" t="n">
        <v>264</v>
      </c>
      <c r="B266">
        <f>HYPERLINK("https://eproc.rajasthan.gov.in/nicgep/app?component=%24DirectLink&amp;page=FrontEndViewTender&amp;service=direct&amp;session=T&amp;sp=SA%2BYKDHOGwTfW%2FnTvnxZ2hA%3D%3D", "Construction of 1 ACR at Govt. Sr.Sec. School at Arniya")</f>
        <v/>
      </c>
      <c r="C266" t="inlineStr">
        <is>
          <t>Rajasthan Council of School Education</t>
        </is>
      </c>
      <c r="D266" t="inlineStr">
        <is>
          <t>23-May-2025 06:00 PM</t>
        </is>
      </c>
      <c r="E266" t="inlineStr">
        <is>
          <t>12,38,000</t>
        </is>
      </c>
      <c r="F266" t="inlineStr">
        <is>
          <t>Construction of 1 ACR at Govt. Sr.Sec. School at Arniya</t>
        </is>
      </c>
      <c r="G266" t="inlineStr">
        <is>
          <t>Tonk</t>
        </is>
      </c>
    </row>
    <row r="267">
      <c r="A267" s="1" t="n">
        <v>265</v>
      </c>
      <c r="B267">
        <f>HYPERLINK("https://eproc.rajasthan.gov.in/nicgep/app?component=%24DirectLink&amp;page=FrontEndViewTender&amp;service=direct&amp;session=T&amp;sp=SQp3rTXgu8wX6SLP63%2Frvjw%3D%3D", "Construction of 1 ACR at Govt. Sr.Sec. School at Harbhanwta")</f>
        <v/>
      </c>
      <c r="C267" t="inlineStr">
        <is>
          <t>Rajasthan Council of School Education</t>
        </is>
      </c>
      <c r="D267" t="inlineStr">
        <is>
          <t>23-May-2025 06:00 PM</t>
        </is>
      </c>
      <c r="E267" t="inlineStr">
        <is>
          <t>12,38,000</t>
        </is>
      </c>
      <c r="F267" t="inlineStr">
        <is>
          <t>Construction of 1 ACR at Govt. Sr.Sec. School at Harbhanwta</t>
        </is>
      </c>
      <c r="G267" t="inlineStr">
        <is>
          <t>Tonk</t>
        </is>
      </c>
    </row>
    <row r="268">
      <c r="A268" s="1" t="n">
        <v>266</v>
      </c>
      <c r="B268">
        <f>HYPERLINK("https://eproc.rajasthan.gov.in/nicgep/app?component=%24DirectLink&amp;page=FrontEndViewTender&amp;service=direct&amp;session=T&amp;sp=SMsBznzO%2BgZNnuQS0O82qfg%3D%3D", "Construction of 1 ACR at Govt. Sr.Sec. School at Mandaliya")</f>
        <v/>
      </c>
      <c r="C268" t="inlineStr">
        <is>
          <t>Rajasthan Council of School Education</t>
        </is>
      </c>
      <c r="D268" t="inlineStr">
        <is>
          <t>23-May-2025 06:00 PM</t>
        </is>
      </c>
      <c r="E268" t="inlineStr">
        <is>
          <t>9,81,000</t>
        </is>
      </c>
      <c r="F268" t="inlineStr">
        <is>
          <t>Construction of 1 ACR at Govt. Sr.Sec. School at Mandaliya</t>
        </is>
      </c>
      <c r="G268" t="inlineStr">
        <is>
          <t>Tonk</t>
        </is>
      </c>
    </row>
    <row r="269">
      <c r="A269" s="1" t="n">
        <v>267</v>
      </c>
      <c r="B269">
        <f>HYPERLINK("https://eproc.rajasthan.gov.in/nicgep/app?component=%24DirectLink&amp;page=FrontEndViewTender&amp;service=direct&amp;session=T&amp;sp=S2BKqXtJLZHRxWCtyAHHlNA%3D%3D", "Construction of 1 ACR at Govt. Sr.Sec. School at Choriya")</f>
        <v/>
      </c>
      <c r="C269" t="inlineStr">
        <is>
          <t>Rajasthan Council of School Education</t>
        </is>
      </c>
      <c r="D269" t="inlineStr">
        <is>
          <t>23-May-2025 06:00 PM</t>
        </is>
      </c>
      <c r="E269" t="inlineStr">
        <is>
          <t>12,38,000</t>
        </is>
      </c>
      <c r="F269" t="inlineStr">
        <is>
          <t>Construction of 1 ACR at Govt. Sr.Sec. School at Choriya</t>
        </is>
      </c>
      <c r="G269" t="inlineStr">
        <is>
          <t>Tonk</t>
        </is>
      </c>
    </row>
    <row r="270">
      <c r="A270" s="1" t="n">
        <v>268</v>
      </c>
      <c r="B270">
        <f>HYPERLINK("https://eproc.rajasthan.gov.in/nicgep/app?component=%24DirectLink&amp;page=FrontEndViewTender&amp;service=direct&amp;session=T&amp;sp=S5oLHAIw0oTId%2FooY1LERtQ%3D%3D", "Construction of 1 ACR at Govt. UPS Sarsadi Rampura")</f>
        <v/>
      </c>
      <c r="C270" t="inlineStr">
        <is>
          <t>Rajasthan Council of School Education</t>
        </is>
      </c>
      <c r="D270" t="inlineStr">
        <is>
          <t>23-May-2025 06:00 PM</t>
        </is>
      </c>
      <c r="E270" t="inlineStr">
        <is>
          <t>9,81,000</t>
        </is>
      </c>
      <c r="F270" t="inlineStr">
        <is>
          <t>Construction of 1 ACR at Govt. UPS Sarsadi Rampura</t>
        </is>
      </c>
      <c r="G270" t="inlineStr">
        <is>
          <t>Tonk</t>
        </is>
      </c>
    </row>
    <row r="271">
      <c r="A271" s="1" t="n">
        <v>269</v>
      </c>
      <c r="B271">
        <f>HYPERLINK("https://eproc.rajasthan.gov.in/nicgep/app?component=%24DirectLink&amp;page=FrontEndViewTender&amp;service=direct&amp;session=T&amp;sp=SM%2FeBObf%2BhknDC3uBXBEMHA%3D%3D", "Construction of 1 ACR at Govt. Sec. Sch. Dhani Jugalpura")</f>
        <v/>
      </c>
      <c r="C271" t="inlineStr">
        <is>
          <t>Rajasthan Council of School Education</t>
        </is>
      </c>
      <c r="D271" t="inlineStr">
        <is>
          <t>23-May-2025 06:00 PM</t>
        </is>
      </c>
      <c r="E271" t="inlineStr">
        <is>
          <t>12,38,000</t>
        </is>
      </c>
      <c r="F271" t="inlineStr">
        <is>
          <t>Construction of 1 ACR at Govt. Sec. Sch. Dhani Jugalpura</t>
        </is>
      </c>
      <c r="G271" t="inlineStr">
        <is>
          <t>Tonk</t>
        </is>
      </c>
    </row>
    <row r="272">
      <c r="A272" s="1" t="n">
        <v>270</v>
      </c>
      <c r="B272">
        <f>HYPERLINK("https://eproc.rajasthan.gov.in/nicgep/app?component=%24DirectLink&amp;page=FrontEndViewTender&amp;service=direct&amp;session=T&amp;sp=SszIUnVtZcuZXadJoKhhbUQ%3D%3D", "Construction of 1 ACR at Govt. Sec. School at Gunsi")</f>
        <v/>
      </c>
      <c r="C272" t="inlineStr">
        <is>
          <t>Rajasthan Council of School Education</t>
        </is>
      </c>
      <c r="D272" t="inlineStr">
        <is>
          <t>23-May-2025 06:00 PM</t>
        </is>
      </c>
      <c r="E272" t="inlineStr">
        <is>
          <t>12,38,000</t>
        </is>
      </c>
      <c r="F272" t="inlineStr">
        <is>
          <t>Construction of 1 ACR at Govt. Sec. School at Gunsi</t>
        </is>
      </c>
      <c r="G272" t="inlineStr">
        <is>
          <t>Tonk</t>
        </is>
      </c>
    </row>
    <row r="273">
      <c r="A273" s="1" t="n">
        <v>271</v>
      </c>
      <c r="B273">
        <f>HYPERLINK("https://eproc.rajasthan.gov.in/nicgep/app?component=%24DirectLink&amp;page=FrontEndViewTender&amp;service=direct&amp;session=T&amp;sp=SdaggV93nBa0DOffT5ifiMA%3D%3D", "Construction of 1 ACR at Govt. Sr. Sec. School at Ukhlana")</f>
        <v/>
      </c>
      <c r="C273" t="inlineStr">
        <is>
          <t>Rajasthan Council of School Education</t>
        </is>
      </c>
      <c r="D273" t="inlineStr">
        <is>
          <t>23-May-2025 06:00 PM</t>
        </is>
      </c>
      <c r="E273" t="inlineStr">
        <is>
          <t>12,38,000</t>
        </is>
      </c>
      <c r="F273" t="inlineStr">
        <is>
          <t>Construction of 1 ACR at Govt. Sr. Sec. School at Ukhlana</t>
        </is>
      </c>
      <c r="G273" t="inlineStr">
        <is>
          <t>Tonk</t>
        </is>
      </c>
    </row>
    <row r="274">
      <c r="A274" s="1" t="n">
        <v>272</v>
      </c>
      <c r="B274">
        <f>HYPERLINK("https://eproc.rajasthan.gov.in/nicgep/app?component=%24DirectLink&amp;page=FrontEndViewTender&amp;service=direct&amp;session=T&amp;sp=SqxIE8AuQUMtUhYpYATqkSg%3D%3D", "CONSTRUCTION OF CLASS ROOM WITH VERNDHA WORK AT GOVT SR SEC SCHOOL HABASPURA, DUDU, JAIPUR")</f>
        <v/>
      </c>
      <c r="C274" t="inlineStr">
        <is>
          <t>Rajasthan Council of School Education</t>
        </is>
      </c>
      <c r="D274" t="inlineStr">
        <is>
          <t>22-May-2025 06:00 PM</t>
        </is>
      </c>
      <c r="E274" t="inlineStr">
        <is>
          <t>9,80,000</t>
        </is>
      </c>
      <c r="F274" t="inlineStr">
        <is>
          <t>CONSTRUCTION OF CLASS ROOM WITH VERNDHA WORK AT GOVT SR SEC SCHOOL HABASPURA, DUDU, JAIPUR</t>
        </is>
      </c>
      <c r="G274" t="inlineStr">
        <is>
          <t>CONSTRUCTION OF CLASS ROOM WITH VERNDHA WORK AT GO</t>
        </is>
      </c>
    </row>
    <row r="275">
      <c r="A275" s="1" t="n">
        <v>273</v>
      </c>
      <c r="B275">
        <f>HYPERLINK("https://eproc.rajasthan.gov.in/nicgep/app?component=%24DirectLink&amp;page=FrontEndViewTender&amp;service=direct&amp;session=T&amp;sp=SwcJn7sqZgNe05KAcb%2FKCIA%3D%3D", "Construction of 2 ACR at Govt. Sr. Sec. School at Talibpura")</f>
        <v/>
      </c>
      <c r="C275" t="inlineStr">
        <is>
          <t>Rajasthan Council of School Education</t>
        </is>
      </c>
      <c r="D275" t="inlineStr">
        <is>
          <t>23-May-2025 06:00 PM</t>
        </is>
      </c>
      <c r="E275" t="inlineStr">
        <is>
          <t>24,76,000</t>
        </is>
      </c>
      <c r="F275" t="inlineStr">
        <is>
          <t>Construction of 2 ACR at Govt. Sr. Sec. School at Talibpura</t>
        </is>
      </c>
      <c r="G275" t="inlineStr">
        <is>
          <t>Tonk</t>
        </is>
      </c>
    </row>
    <row r="276">
      <c r="A276" s="1" t="n">
        <v>274</v>
      </c>
      <c r="B276">
        <f>HYPERLINK("https://eproc.rajasthan.gov.in/nicgep/app?component=%24DirectLink&amp;page=FrontEndViewTender&amp;service=direct&amp;session=T&amp;sp=SKHNwWKMpH8rt%2Fs41fia7Zw%3D%3D", "CONSTRUCTION OF CLASS ROOM AT DARBAR GSSS (EM) SAMBHAR LAKE, JAIPUR")</f>
        <v/>
      </c>
      <c r="C276" t="inlineStr">
        <is>
          <t>Rajasthan Council of School Education</t>
        </is>
      </c>
      <c r="D276" t="inlineStr">
        <is>
          <t>26-May-2025 06:00 PM</t>
        </is>
      </c>
      <c r="E276" t="inlineStr">
        <is>
          <t>6,80,000</t>
        </is>
      </c>
      <c r="F276" t="inlineStr">
        <is>
          <t>CONSTRUCTION OF CLASS ROOM AT DARBAR GSSS (EM) SAMBHAR LAKE, JAIPUR</t>
        </is>
      </c>
      <c r="G276" t="inlineStr">
        <is>
          <t>CONSTRUCTION OF CLASS ROOM AT DARBAR GSSS (EM) SAM</t>
        </is>
      </c>
    </row>
    <row r="277">
      <c r="A277" s="1" t="n">
        <v>275</v>
      </c>
      <c r="B277">
        <f>HYPERLINK("https://eproc.rajasthan.gov.in/nicgep/app?component=%24DirectLink&amp;page=FrontEndViewTender&amp;service=direct&amp;session=T&amp;sp=SyTCatS4uCGjIY1Sd5nTMIQ%3D%3D", "Construction of 1 ACR at Govt. Sec. School at Chogai")</f>
        <v/>
      </c>
      <c r="C277" t="inlineStr">
        <is>
          <t>Rajasthan Council of School Education</t>
        </is>
      </c>
      <c r="D277" t="inlineStr">
        <is>
          <t>23-May-2025 06:00 PM</t>
        </is>
      </c>
      <c r="E277" t="inlineStr">
        <is>
          <t>12,38,000</t>
        </is>
      </c>
      <c r="F277" t="inlineStr">
        <is>
          <t>Construction of 1 ACR at Govt. Sec. School at Chogai</t>
        </is>
      </c>
      <c r="G277" t="inlineStr">
        <is>
          <t>Tonk</t>
        </is>
      </c>
    </row>
    <row r="278">
      <c r="A278" s="1" t="n">
        <v>276</v>
      </c>
      <c r="B278">
        <f>HYPERLINK("https://eproc.rajasthan.gov.in/nicgep/app?component=%24DirectLink&amp;page=FrontEndViewTender&amp;service=direct&amp;session=T&amp;sp=SaurOWrZJXo30HDanjoM%2BDQ%3D%3D", "Construction of 1 ACR at Govt. Sr. Sec. School at Rasulpura")</f>
        <v/>
      </c>
      <c r="C278" t="inlineStr">
        <is>
          <t>Rajasthan Council of School Education</t>
        </is>
      </c>
      <c r="D278" t="inlineStr">
        <is>
          <t>23-May-2025 06:00 PM</t>
        </is>
      </c>
      <c r="E278" t="inlineStr">
        <is>
          <t>12,38,000</t>
        </is>
      </c>
      <c r="F278" t="inlineStr">
        <is>
          <t>Construction of 1 ACR at Govt. Sr. Sec. School at Rasulpura</t>
        </is>
      </c>
      <c r="G278" t="inlineStr">
        <is>
          <t>Tonk</t>
        </is>
      </c>
    </row>
    <row r="279">
      <c r="A279" s="1" t="n">
        <v>277</v>
      </c>
      <c r="B279">
        <f>HYPERLINK("https://eproc.rajasthan.gov.in/nicgep/app?component=%24DirectLink&amp;page=FrontEndViewTender&amp;service=direct&amp;session=T&amp;sp=S9W6axGTLbyDrNV85JYy1eQ%3D%3D", "SCHOOL STRENGTHENING WORKS AT GUPS UPLA FALA BLOCK KHERWARA UDAIPUR")</f>
        <v/>
      </c>
      <c r="C279" t="inlineStr">
        <is>
          <t>Rajasthan Council of School Education</t>
        </is>
      </c>
      <c r="D279" t="inlineStr">
        <is>
          <t>19-May-2025 06:00 PM</t>
        </is>
      </c>
      <c r="E279" t="inlineStr">
        <is>
          <t>4,54,000</t>
        </is>
      </c>
      <c r="F279" t="inlineStr">
        <is>
          <t>SCHOOL STRENGTHENING WORKS AT GUPS UPLA FALA BLOCK KHERWARA UDAIPUR</t>
        </is>
      </c>
      <c r="G279" t="inlineStr">
        <is>
          <t>GUPS UPLA FALA BLOCK KHERWARA UDAIPUR</t>
        </is>
      </c>
    </row>
    <row r="280">
      <c r="A280" s="1" t="n">
        <v>278</v>
      </c>
      <c r="B280">
        <f>HYPERLINK("https://eproc.rajasthan.gov.in/nicgep/app?component=%24DirectLink&amp;page=FrontEndViewTender&amp;service=direct&amp;session=T&amp;sp=SgWJjIjhrneBwK5PcXBPAUQ%3D%3D", "CONSTRUCTION OF TOILET AT GOVT PRAVESHIKA SANSKRIT SCHOOL SAVINA UDAIPUR")</f>
        <v/>
      </c>
      <c r="C280" t="inlineStr">
        <is>
          <t>Rajasthan Council of School Education</t>
        </is>
      </c>
      <c r="D280" t="inlineStr">
        <is>
          <t>19-May-2025 06:00 PM</t>
        </is>
      </c>
      <c r="E280" t="inlineStr">
        <is>
          <t>9,81,000</t>
        </is>
      </c>
      <c r="F280" t="inlineStr">
        <is>
          <t>CONSTRUCTION OF TOILET AT GOVT PRAVESHIKA SANSKRIT SCHOOL SAVINA UDAIPUR</t>
        </is>
      </c>
      <c r="G280" t="inlineStr">
        <is>
          <t>GOVT PRAVESHIKA SANSKRIT SCHOOL SAVINA UDAIPUR</t>
        </is>
      </c>
    </row>
    <row r="281">
      <c r="A281" s="1" t="n">
        <v>279</v>
      </c>
      <c r="B281">
        <f>HYPERLINK("https://eproc.rajasthan.gov.in/nicgep/app?component=%24DirectLink&amp;page=FrontEndViewTender&amp;service=direct&amp;session=T&amp;sp=SNzLjaU8pxYkMUwm6qHjyPA%3D%3D", "MAJOR REPAIR WORKS AT GSSS KARAWALI BLOCK SALUMBER UDAIPUR")</f>
        <v/>
      </c>
      <c r="C281" t="inlineStr">
        <is>
          <t>Rajasthan Council of School Education</t>
        </is>
      </c>
      <c r="D281" t="inlineStr">
        <is>
          <t>19-May-2025 06:00 PM</t>
        </is>
      </c>
      <c r="E281" t="inlineStr">
        <is>
          <t>4,50,000</t>
        </is>
      </c>
      <c r="F281" t="inlineStr">
        <is>
          <t>MAJOR REPAIR WORKS AT GSSS KARAWALI BLOCK SALUMBER UDAIPUR</t>
        </is>
      </c>
      <c r="G281" t="inlineStr">
        <is>
          <t>GSSS KARAWALI BLOCK SALUMBER UDAIPUR</t>
        </is>
      </c>
    </row>
    <row r="282">
      <c r="A282" s="1" t="n">
        <v>280</v>
      </c>
      <c r="B282">
        <f>HYPERLINK("https://eproc.rajasthan.gov.in/nicgep/app?component=%24DirectLink&amp;page=FrontEndViewTender&amp;service=direct&amp;session=T&amp;sp=SBDjpu48%2BFRdd0MMhjzADOQ%3D%3D", "SCHOOL STRENGTHENING WORKS AT GSSS CHIRWA BLOCK BADGAON UDAIPUR")</f>
        <v/>
      </c>
      <c r="C282" t="inlineStr">
        <is>
          <t>Rajasthan Council of School Education</t>
        </is>
      </c>
      <c r="D282" t="inlineStr">
        <is>
          <t>19-May-2025 06:00 PM</t>
        </is>
      </c>
      <c r="E282" t="inlineStr">
        <is>
          <t>6,47,000</t>
        </is>
      </c>
      <c r="F282" t="inlineStr">
        <is>
          <t>SCHOOL STRENGTHENING WORKS AT GSSS CHIRWA BLOCK BADGAON UDAIPUR</t>
        </is>
      </c>
      <c r="G282" t="inlineStr">
        <is>
          <t>GSSS CHIRWA BLOCK BADGAON UDAIPUR</t>
        </is>
      </c>
    </row>
    <row r="283">
      <c r="A283" s="1" t="n">
        <v>281</v>
      </c>
      <c r="B283">
        <f>HYPERLINK("https://eproc.rajasthan.gov.in/nicgep/app?component=%24DirectLink&amp;page=FrontEndViewTender&amp;service=direct&amp;session=T&amp;sp=SSrWoevYnHQ01tULi181unQ%3D%3D", "CONSTRUCTION WORK OF BUILDING AS LEARNING AID(BALA) AT GPS BHILWARA LAKHAWALI BLOCK BADGAON UDAIPUR")</f>
        <v/>
      </c>
      <c r="C283" t="inlineStr">
        <is>
          <t>Rajasthan Council of School Education</t>
        </is>
      </c>
      <c r="D283" t="inlineStr">
        <is>
          <t>19-May-2025 06:00 PM</t>
        </is>
      </c>
      <c r="E283" t="inlineStr">
        <is>
          <t>1,23,000</t>
        </is>
      </c>
      <c r="F283" t="inlineStr">
        <is>
          <t>CONSTRUCTION WORK OF BUILDING AS LEARNING AID(BALA) AT GPS BHILWARA LAKHAWALI BLOCK BADGAON UDAIPUR</t>
        </is>
      </c>
      <c r="G283" t="inlineStr">
        <is>
          <t>GPS BHILWARA LAKHAWALI BLOCK BADGAON UDAIPUR</t>
        </is>
      </c>
    </row>
    <row r="284">
      <c r="A284" s="1" t="n">
        <v>282</v>
      </c>
      <c r="B284">
        <f>HYPERLINK("https://eproc.rajasthan.gov.in/nicgep/app?component=%24DirectLink&amp;page=FrontEndViewTender&amp;service=direct&amp;session=T&amp;sp=SivxZjHA28WeTG74Y8XMkNw%3D%3D", "SCHOOL STRENGTHENING WORKS AT GSSS PRAGYA CHAKSHU BLIND SCHOOL AMBAMATA BLOCK GIRWA UDAIPUR")</f>
        <v/>
      </c>
      <c r="C284" t="inlineStr">
        <is>
          <t>Rajasthan Council of School Education</t>
        </is>
      </c>
      <c r="D284" t="inlineStr">
        <is>
          <t>19-May-2025 06:00 PM</t>
        </is>
      </c>
      <c r="E284" t="inlineStr">
        <is>
          <t>2,17,000</t>
        </is>
      </c>
      <c r="F284" t="inlineStr">
        <is>
          <t>SCHOOL STRENGTHENING WORKS AT GSSS PRAGYA CHAKSHU BLIND SCHOOL AMBAMATA BLOCK GIRWA UDAIPUR</t>
        </is>
      </c>
      <c r="G284" t="inlineStr">
        <is>
          <t>GSSS PRAGYA CHAKSHU BLIND SCHOOL AMBAMATA GIRWA</t>
        </is>
      </c>
    </row>
    <row r="285">
      <c r="A285" s="1" t="n">
        <v>283</v>
      </c>
      <c r="B285">
        <f>HYPERLINK("https://eproc.rajasthan.gov.in/nicgep/app?component=%24DirectLink&amp;page=FrontEndViewTender&amp;service=direct&amp;session=T&amp;sp=SxJCfdIUYaavCTk3I5%2FUM3Q%3D%3D", "SCHOOL STRENGTHENING WORKS AT GSSS GADAWAT BLOCK RISHABHDEV UDAIPUR")</f>
        <v/>
      </c>
      <c r="C285" t="inlineStr">
        <is>
          <t>Rajasthan Council of School Education</t>
        </is>
      </c>
      <c r="D285" t="inlineStr">
        <is>
          <t>19-May-2025 06:00 PM</t>
        </is>
      </c>
      <c r="E285" t="inlineStr">
        <is>
          <t>5,97,000</t>
        </is>
      </c>
      <c r="F285" t="inlineStr">
        <is>
          <t>SCHOOL STRENGTHENING WORKS AT GSSS GADAWAT BLOCK RISHABHDEV UDAIPUR</t>
        </is>
      </c>
      <c r="G285" t="inlineStr">
        <is>
          <t>GSSS GADAWAT BLOCK RISHABHDEV UDAIPUR</t>
        </is>
      </c>
    </row>
    <row r="286">
      <c r="A286" s="1" t="n">
        <v>284</v>
      </c>
      <c r="B286">
        <f>HYPERLINK("https://eproc.rajasthan.gov.in/nicgep/app?component=%24DirectLink&amp;page=FrontEndViewTender&amp;service=direct&amp;session=T&amp;sp=ShCLEyFQ14Teio9KJdmPGHg%3D%3D", "SCHOOL STRENGTHENING WORKS AT GPS UPLA FALA SAMLAI PANVA BLOCK KHERWARA UDAIPUR")</f>
        <v/>
      </c>
      <c r="C286" t="inlineStr">
        <is>
          <t>Rajasthan Council of School Education</t>
        </is>
      </c>
      <c r="D286" t="inlineStr">
        <is>
          <t>19-May-2025 06:00 PM</t>
        </is>
      </c>
      <c r="E286" t="inlineStr">
        <is>
          <t>21,19,000</t>
        </is>
      </c>
      <c r="F286" t="inlineStr">
        <is>
          <t>SCHOOL STRENGTHENING WORKS AT GPS UPLA FALA SAMLAI PANVA BLOCK KHERWARA UDAIPUR</t>
        </is>
      </c>
      <c r="G286" t="inlineStr">
        <is>
          <t>GPS UPLA FALA SAMLAI PANVA BLOCK KHERWARA</t>
        </is>
      </c>
    </row>
    <row r="287">
      <c r="A287" s="1" t="n">
        <v>285</v>
      </c>
      <c r="B287">
        <f>HYPERLINK("https://eproc.rajasthan.gov.in/nicgep/app?component=%24DirectLink&amp;page=FrontEndViewTender&amp;service=direct&amp;session=T&amp;sp=SUeQ7YsxOlZ1J0o2z94%2FIiw%3D%3D", "SCHOOL STRENGTHENING WORKS AT GPS MANDARA FALA BLOCK KHERWARA UDAIPUR")</f>
        <v/>
      </c>
      <c r="C287" t="inlineStr">
        <is>
          <t>Rajasthan Council of School Education</t>
        </is>
      </c>
      <c r="D287" t="inlineStr">
        <is>
          <t>19-May-2025 06:00 PM</t>
        </is>
      </c>
      <c r="E287" t="inlineStr">
        <is>
          <t>20,45,000</t>
        </is>
      </c>
      <c r="F287" t="inlineStr">
        <is>
          <t>SCHOOL STRENGTHENING WORKS AT GPS MANDARA FALA BLOCK KHERWARA UDAIPUR</t>
        </is>
      </c>
      <c r="G287" t="inlineStr">
        <is>
          <t>GPS MANDARA FALA BLOCK KHERWARA UDAIPUR</t>
        </is>
      </c>
    </row>
    <row r="288">
      <c r="A288" s="1" t="n">
        <v>286</v>
      </c>
      <c r="B288">
        <f>HYPERLINK("https://eproc.rajasthan.gov.in/nicgep/app?component=%24DirectLink&amp;page=FrontEndViewTender&amp;service=direct&amp;session=T&amp;sp=SuVd%2Fxwfi7BeobqL10drKjA%3D%3D", "SCHOOL STRENGTHENING WORKS AT GPS DAMOR FALA (DABAYCHA) BLOCK KHERWARA UDAIPUR")</f>
        <v/>
      </c>
      <c r="C288" t="inlineStr">
        <is>
          <t>Rajasthan Council of School Education</t>
        </is>
      </c>
      <c r="D288" t="inlineStr">
        <is>
          <t>19-May-2025 06:00 PM</t>
        </is>
      </c>
      <c r="E288" t="inlineStr">
        <is>
          <t>14,61,000</t>
        </is>
      </c>
      <c r="F288" t="inlineStr">
        <is>
          <t>SCHOOL STRENGTHENING WORKS AT GPS DAMOR FALA (DABAYCHA) BLOCK KHERWARA UDAIPUR</t>
        </is>
      </c>
      <c r="G288" t="inlineStr">
        <is>
          <t>GPS DAMOR FALA (DABAYCHA) BLOCK KHERWARA</t>
        </is>
      </c>
    </row>
    <row r="289">
      <c r="A289" s="1" t="n">
        <v>287</v>
      </c>
      <c r="B289">
        <f>HYPERLINK("https://eproc.rajasthan.gov.in/nicgep/app?component=%24DirectLink&amp;page=FrontEndViewTender&amp;service=direct&amp;session=T&amp;sp=SuH2%2F1aS5%2BFWjDOLn%2Bjeabg%3D%3D", "SCHOOL STRENGTHENING WORKS AT GPS NAYAGAON FALA(DEMAT) BLOCK KHERWARA UDAIPUR")</f>
        <v/>
      </c>
      <c r="C289" t="inlineStr">
        <is>
          <t>Rajasthan Council of School Education</t>
        </is>
      </c>
      <c r="D289" t="inlineStr">
        <is>
          <t>19-May-2025 06:00 PM</t>
        </is>
      </c>
      <c r="E289" t="inlineStr">
        <is>
          <t>20,45,000</t>
        </is>
      </c>
      <c r="F289" t="inlineStr">
        <is>
          <t>SCHOOL STRENGTHENING WORKS AT GPS NAYAGAON FALA (DEMAT) BLOCK KHERWARA UDAIPUR</t>
        </is>
      </c>
      <c r="G289" t="inlineStr">
        <is>
          <t>GPS NAYAGAON FALA (DEMAT) BLOCK KHERWARA UDAIPUR</t>
        </is>
      </c>
    </row>
    <row r="290">
      <c r="A290" s="1" t="n">
        <v>288</v>
      </c>
      <c r="B290">
        <f>HYPERLINK("https://eproc.rajasthan.gov.in/nicgep/app?component=%24DirectLink&amp;page=FrontEndViewTender&amp;service=direct&amp;session=T&amp;sp=SjmbFMK8KKtHt%2BcBAsGuaeQ%3D%3D", "CONSTRUCTION WORK OF 1 ACR AT GSSS DHELAI BLOCK SARADA UDAIPUR")</f>
        <v/>
      </c>
      <c r="C290" t="inlineStr">
        <is>
          <t>Rajasthan Council of School Education</t>
        </is>
      </c>
      <c r="D290" t="inlineStr">
        <is>
          <t>19-May-2025 06:00 PM</t>
        </is>
      </c>
      <c r="E290" t="inlineStr">
        <is>
          <t>12,38,000</t>
        </is>
      </c>
      <c r="F290" t="inlineStr">
        <is>
          <t>CONSTRUCTION WORK OF 1 ACR AT GSSS DHELAI BLOCK SARADA UDAIPUR</t>
        </is>
      </c>
      <c r="G290" t="inlineStr">
        <is>
          <t>GSSS DHELAI BLOCK SARADA UDAIPUR</t>
        </is>
      </c>
    </row>
    <row r="291">
      <c r="A291" s="1" t="n">
        <v>289</v>
      </c>
      <c r="B291">
        <f>HYPERLINK("https://eproc.rajasthan.gov.in/nicgep/app?component=%24DirectLink&amp;page=FrontEndViewTender&amp;service=direct&amp;session=T&amp;sp=S2Okj50G0Sio%2BwzAJuVJR4w%3D%3D", "GSSS NANGAL RAJAWATAN")</f>
        <v/>
      </c>
      <c r="C291" t="inlineStr">
        <is>
          <t>Rajasthan Council of School Education</t>
        </is>
      </c>
      <c r="D291" t="inlineStr">
        <is>
          <t>19-May-2025 06:00 PM</t>
        </is>
      </c>
      <c r="E291" t="inlineStr">
        <is>
          <t>7,57,000</t>
        </is>
      </c>
      <c r="F291" t="inlineStr">
        <is>
          <t>GSSS NANGAL RAJAWATAN</t>
        </is>
      </c>
      <c r="G291" t="inlineStr">
        <is>
          <t>GSSS NANGAL RAJAWATAN</t>
        </is>
      </c>
    </row>
    <row r="292">
      <c r="A292" s="1" t="n">
        <v>290</v>
      </c>
      <c r="B292">
        <f>HYPERLINK("https://eproc.rajasthan.gov.in/nicgep/app?component=%24DirectLink&amp;page=FrontEndViewTender&amp;service=direct&amp;session=T&amp;sp=Se5jenIWuFaRA74Ip4qxcOQ%3D%3D", "MGGS MATLANA")</f>
        <v/>
      </c>
      <c r="C292" t="inlineStr">
        <is>
          <t>Rajasthan Council of School Education</t>
        </is>
      </c>
      <c r="D292" t="inlineStr">
        <is>
          <t>19-May-2025 06:00 PM</t>
        </is>
      </c>
      <c r="E292" t="inlineStr">
        <is>
          <t>6,86,000</t>
        </is>
      </c>
      <c r="F292" t="inlineStr">
        <is>
          <t>MGGS MATLANA</t>
        </is>
      </c>
      <c r="G292" t="inlineStr">
        <is>
          <t>MGGS MATLANA</t>
        </is>
      </c>
    </row>
    <row r="293">
      <c r="A293" s="1" t="n">
        <v>291</v>
      </c>
      <c r="B293">
        <f>HYPERLINK("https://eproc.rajasthan.gov.in/nicgep/app?component=%24DirectLink&amp;page=FrontEndViewTender&amp;service=direct&amp;session=T&amp;sp=SRKDaVgASFz5hmYeOrr1M1g%3D%3D", "GSSS PICHUPADA KHURD")</f>
        <v/>
      </c>
      <c r="C293" t="inlineStr">
        <is>
          <t>Rajasthan Council of School Education</t>
        </is>
      </c>
      <c r="D293" t="inlineStr">
        <is>
          <t>19-May-2025 06:00 PM</t>
        </is>
      </c>
      <c r="E293" t="inlineStr">
        <is>
          <t>1,98,000</t>
        </is>
      </c>
      <c r="F293" t="inlineStr">
        <is>
          <t>GSSS PICHUPADA KHURD</t>
        </is>
      </c>
      <c r="G293" t="inlineStr">
        <is>
          <t>GSSS PICHUPADA KHURD</t>
        </is>
      </c>
    </row>
    <row r="294">
      <c r="A294" s="1" t="n">
        <v>292</v>
      </c>
      <c r="B294">
        <f>HYPERLINK("https://eproc.rajasthan.gov.in/nicgep/app?component=%24DirectLink&amp;page=FrontEndViewTender&amp;service=direct&amp;session=T&amp;sp=Sx197AQVd%2BciID29rOzmI3w%3D%3D", "GSSS GULLANA")</f>
        <v/>
      </c>
      <c r="C294" t="inlineStr">
        <is>
          <t>Rajasthan Council of School Education</t>
        </is>
      </c>
      <c r="D294" t="inlineStr">
        <is>
          <t>19-May-2025 06:00 PM</t>
        </is>
      </c>
      <c r="E294" t="inlineStr">
        <is>
          <t>2,45,000</t>
        </is>
      </c>
      <c r="F294" t="inlineStr">
        <is>
          <t>GSSS GULLANA</t>
        </is>
      </c>
      <c r="G294" t="inlineStr">
        <is>
          <t>GSSS GULLANA</t>
        </is>
      </c>
    </row>
    <row r="295">
      <c r="A295" s="1" t="n">
        <v>293</v>
      </c>
      <c r="B295">
        <f>HYPERLINK("https://eproc.rajasthan.gov.in/nicgep/app?component=%24DirectLink&amp;page=FrontEndViewTender&amp;service=direct&amp;session=T&amp;sp=SQP4cfjQp06ODjZKO8NOawA%3D%3D", "GSSS HINGOTA")</f>
        <v/>
      </c>
      <c r="C295" t="inlineStr">
        <is>
          <t>Rajasthan Council of School Education</t>
        </is>
      </c>
      <c r="D295" t="inlineStr">
        <is>
          <t>19-May-2025 06:00 PM</t>
        </is>
      </c>
      <c r="E295" t="inlineStr">
        <is>
          <t>6,86,000</t>
        </is>
      </c>
      <c r="F295" t="inlineStr">
        <is>
          <t>GSSS HINGOTA</t>
        </is>
      </c>
      <c r="G295" t="inlineStr">
        <is>
          <t>GSSS HINGOTA</t>
        </is>
      </c>
    </row>
    <row r="296">
      <c r="A296" s="1" t="n">
        <v>294</v>
      </c>
      <c r="B296">
        <f>HYPERLINK("https://eproc.rajasthan.gov.in/nicgep/app?component=%24DirectLink&amp;page=FrontEndViewTender&amp;service=direct&amp;session=T&amp;sp=Sw%2BTMO5ZcyMEx6pm8fcKIZw%3D%3D", "CONSTRUCTION OF TOILETS NIT SR NI 11 BLOCK DELWARA")</f>
        <v/>
      </c>
      <c r="C296" t="inlineStr">
        <is>
          <t>Rajasthan Council of School Education</t>
        </is>
      </c>
      <c r="D296" t="inlineStr">
        <is>
          <t>19-May-2025 06:00 PM</t>
        </is>
      </c>
      <c r="E296" t="inlineStr">
        <is>
          <t>45,50,000</t>
        </is>
      </c>
      <c r="F296" t="inlineStr">
        <is>
          <t>CONSTRUCTION OF TOILETS NIT SR NI 11 BLOCK DELWARA</t>
        </is>
      </c>
      <c r="G296" t="inlineStr">
        <is>
          <t>RAJSAMAND</t>
        </is>
      </c>
    </row>
    <row r="297">
      <c r="A297" s="1" t="n">
        <v>295</v>
      </c>
      <c r="B297">
        <f>HYPERLINK("https://eproc.rajasthan.gov.in/nicgep/app?component=%24DirectLink&amp;page=FrontEndViewTender&amp;service=direct&amp;session=T&amp;sp=SGokPfDUSIamN6tBVA0fifQ%3D%3D", "CONSTRUCTION OF TOILETS NIT SR NO 09 BLOCK DEOGARH")</f>
        <v/>
      </c>
      <c r="C297" t="inlineStr">
        <is>
          <t>Rajasthan Council of School Education</t>
        </is>
      </c>
      <c r="D297" t="inlineStr">
        <is>
          <t>19-May-2025 06:00 PM</t>
        </is>
      </c>
      <c r="E297" t="inlineStr">
        <is>
          <t>42,00,000</t>
        </is>
      </c>
      <c r="F297" t="inlineStr">
        <is>
          <t>CONSTRUCTION OF TOILETS NIT SR NO 09 BLOCK DEOGARH</t>
        </is>
      </c>
      <c r="G297" t="inlineStr">
        <is>
          <t>RAJSAMAND</t>
        </is>
      </c>
    </row>
    <row r="298">
      <c r="A298" s="1" t="n">
        <v>296</v>
      </c>
      <c r="B298">
        <f>HYPERLINK("https://eproc.rajasthan.gov.in/nicgep/app?component=%24DirectLink&amp;page=FrontEndViewTender&amp;service=direct&amp;session=T&amp;sp=S4ho58I6MRn06456Y4IlS0w%3D%3D", "CONSTRUCTION OF TOILERS NIT SR NO 03 BLOCK KUMBHALGARH")</f>
        <v/>
      </c>
      <c r="C298" t="inlineStr">
        <is>
          <t>Rajasthan Council of School Education</t>
        </is>
      </c>
      <c r="D298" t="inlineStr">
        <is>
          <t>19-May-2025 06:00 PM</t>
        </is>
      </c>
      <c r="E298" t="inlineStr">
        <is>
          <t>28,00,000</t>
        </is>
      </c>
      <c r="F298" t="inlineStr">
        <is>
          <t>CONSTRUCTION OF TOILERS NIT SR NO 03 BLOCK KUMBHALGARH</t>
        </is>
      </c>
      <c r="G298" t="inlineStr">
        <is>
          <t>RAJSAMAND</t>
        </is>
      </c>
    </row>
    <row r="299">
      <c r="A299" s="1" t="n">
        <v>297</v>
      </c>
      <c r="B299">
        <f>HYPERLINK("https://eproc.rajasthan.gov.in/nicgep/app?component=%24DirectLink&amp;page=FrontEndViewTender&amp;service=direct&amp;session=T&amp;sp=SUKkMCXfl4JaU9Qf3kF6hZQ%3D%3D", "CONSTRUCTION OF TOILETS NIT SR NO 2 BLOCK AMET")</f>
        <v/>
      </c>
      <c r="C299" t="inlineStr">
        <is>
          <t>Rajasthan Council of School Education</t>
        </is>
      </c>
      <c r="D299" t="inlineStr">
        <is>
          <t>19-May-2025 06:00 PM</t>
        </is>
      </c>
      <c r="E299" t="inlineStr">
        <is>
          <t>24,50,000</t>
        </is>
      </c>
      <c r="F299" t="inlineStr">
        <is>
          <t>CONSTRUCTION OF TOILETS NIT SR NO 2 BLOCK AMET</t>
        </is>
      </c>
      <c r="G299" t="inlineStr">
        <is>
          <t>RAJSAMAND</t>
        </is>
      </c>
    </row>
    <row r="300">
      <c r="A300" s="1" t="n">
        <v>298</v>
      </c>
      <c r="B300">
        <f>HYPERLINK("https://eproc.rajasthan.gov.in/nicgep/app?component=%24DirectLink&amp;page=FrontEndViewTender&amp;service=direct&amp;session=T&amp;sp=S7YB1QgxgspmOGQXzA1Zt8w%3D%3D", "CONSTRUCTION OF TOILETS NIT SR NO 01 BLOCK AMET")</f>
        <v/>
      </c>
      <c r="C300" t="inlineStr">
        <is>
          <t>Rajasthan Council of School Education</t>
        </is>
      </c>
      <c r="D300" t="inlineStr">
        <is>
          <t>19-May-2025 06:00 PM</t>
        </is>
      </c>
      <c r="E300" t="inlineStr">
        <is>
          <t>28,00,000</t>
        </is>
      </c>
      <c r="F300" t="inlineStr">
        <is>
          <t>CONSTRUCTION OF TOILETS NIT SR NO 01 BLOCK AMET</t>
        </is>
      </c>
      <c r="G300" t="inlineStr">
        <is>
          <t>RAJSAMAND</t>
        </is>
      </c>
    </row>
    <row r="301">
      <c r="A301" s="1" t="n">
        <v>299</v>
      </c>
      <c r="B301">
        <f>HYPERLINK("https://eproc.rajasthan.gov.in/nicgep/app?component=%24DirectLink&amp;page=FrontEndViewTender&amp;service=direct&amp;session=T&amp;sp=SNZ%2FggX7Ug8EHNcPEwZdikA%3D%3D", "CONSTRUCTION OF TOILETS NIT SR NO 10 BLOCK KHAMNORE")</f>
        <v/>
      </c>
      <c r="C301" t="inlineStr">
        <is>
          <t>Rajasthan Council of School Education</t>
        </is>
      </c>
      <c r="D301" t="inlineStr">
        <is>
          <t>19-May-2025 06:00 PM</t>
        </is>
      </c>
      <c r="E301" t="inlineStr">
        <is>
          <t>42,00,000</t>
        </is>
      </c>
      <c r="F301" t="inlineStr">
        <is>
          <t>CONSTRUCTION OF TOILETS NIT SR NO 10 BLOCK KHAMNORE</t>
        </is>
      </c>
      <c r="G301" t="inlineStr">
        <is>
          <t>RAJSAMAND</t>
        </is>
      </c>
    </row>
    <row r="302">
      <c r="A302" s="1" t="n">
        <v>300</v>
      </c>
      <c r="B302">
        <f>HYPERLINK("https://eproc.rajasthan.gov.in/nicgep/app?component=%24DirectLink&amp;page=FrontEndViewTender&amp;service=direct&amp;session=T&amp;sp=S39fIC1r2lm4sfIT472PUew%3D%3D", "CONSTRUCTION OF TOILETS NIT SR NO 07 BLOCK RAJSAMAND")</f>
        <v/>
      </c>
      <c r="C302" t="inlineStr">
        <is>
          <t>Rajasthan Council of School Education</t>
        </is>
      </c>
      <c r="D302" t="inlineStr">
        <is>
          <t>19-May-2025 06:00 PM</t>
        </is>
      </c>
      <c r="E302" t="inlineStr">
        <is>
          <t>35,00,000</t>
        </is>
      </c>
      <c r="F302" t="inlineStr">
        <is>
          <t>CONSTRUCTION OF TOILETS NIT SR NO 07 BLOCK RAJSAMAND</t>
        </is>
      </c>
      <c r="G302" t="inlineStr">
        <is>
          <t>RAJSAMAND</t>
        </is>
      </c>
    </row>
    <row r="303">
      <c r="A303" s="1" t="n">
        <v>301</v>
      </c>
      <c r="B303">
        <f>HYPERLINK("https://eproc.rajasthan.gov.in/nicgep/app?component=%24DirectLink&amp;page=FrontEndViewTender&amp;service=direct&amp;session=T&amp;sp=SmVZ4RtfzaHOw9RnJPTTJvg%3D%3D", "CONSTRUCTION OF TOILETS NIT SR NO 12 BLOCK BHIM")</f>
        <v/>
      </c>
      <c r="C303" t="inlineStr">
        <is>
          <t>Rajasthan Council of School Education</t>
        </is>
      </c>
      <c r="D303" t="inlineStr">
        <is>
          <t>19-May-2025 06:00 PM</t>
        </is>
      </c>
      <c r="E303" t="inlineStr">
        <is>
          <t>14,00,000</t>
        </is>
      </c>
      <c r="F303" t="inlineStr">
        <is>
          <t>CONSTRUCTION OF TOILETS NIT SR NO 12 BLOCK BHIM</t>
        </is>
      </c>
      <c r="G303" t="inlineStr">
        <is>
          <t>RAJSAMAND</t>
        </is>
      </c>
    </row>
    <row r="304">
      <c r="A304" s="1" t="n">
        <v>302</v>
      </c>
      <c r="B304">
        <f>HYPERLINK("https://eproc.rajasthan.gov.in/nicgep/app?component=%24DirectLink&amp;page=FrontEndViewTender&amp;service=direct&amp;session=T&amp;sp=SasB3%2FGjPR6Jid5p4ijpSZQ%3D%3D", "CONSTRUCTION OF TOILETS NIT SR NO 08 BLOCK DEOGARH")</f>
        <v/>
      </c>
      <c r="C304" t="inlineStr">
        <is>
          <t>Rajasthan Council of School Education</t>
        </is>
      </c>
      <c r="D304" t="inlineStr">
        <is>
          <t>19-May-2025 06:00 PM</t>
        </is>
      </c>
      <c r="E304" t="inlineStr">
        <is>
          <t>42,00,000</t>
        </is>
      </c>
      <c r="F304" t="inlineStr">
        <is>
          <t>CONSTRUCTION OF TOILETS NIT SR NO 08 BLOCK DEOGARH</t>
        </is>
      </c>
      <c r="G304" t="inlineStr">
        <is>
          <t>RAJSAMAND</t>
        </is>
      </c>
    </row>
    <row r="305">
      <c r="A305" s="1" t="n">
        <v>303</v>
      </c>
      <c r="B305">
        <f>HYPERLINK("https://eproc.rajasthan.gov.in/nicgep/app?component=%24DirectLink&amp;page=FrontEndViewTender&amp;service=direct&amp;session=T&amp;sp=S7GS8yd8FBiXLWy%2Bz9NdqEw%3D%3D", "CONSTRUCTION OF TOILETS NIT SR NO. 6 BLOCK RAJSAMAND")</f>
        <v/>
      </c>
      <c r="C305" t="inlineStr">
        <is>
          <t>Rajasthan Council of School Education</t>
        </is>
      </c>
      <c r="D305" t="inlineStr">
        <is>
          <t>19-May-2025 06:00 PM</t>
        </is>
      </c>
      <c r="E305" t="inlineStr">
        <is>
          <t>28,00,000</t>
        </is>
      </c>
      <c r="F305" t="inlineStr">
        <is>
          <t>CONSTRUCTION OF TOILETS NIT SR NO. 6 BLOCK RAJSAMAND</t>
        </is>
      </c>
      <c r="G305" t="inlineStr">
        <is>
          <t>RAJSAMAND</t>
        </is>
      </c>
    </row>
    <row r="306">
      <c r="A306" s="1" t="n">
        <v>304</v>
      </c>
      <c r="B306">
        <f>HYPERLINK("https://eproc.rajasthan.gov.in/nicgep/app?component=%24DirectLink&amp;page=FrontEndViewTender&amp;service=direct&amp;session=T&amp;sp=S1hiE6Pi0zyi%2BnoMjM3ePcQ%3D%3D", "CONSTRUCTION OF TOILETS NIT SR NO 04 BLOCK KUMBHALGARH")</f>
        <v/>
      </c>
      <c r="C306" t="inlineStr">
        <is>
          <t>Rajasthan Council of School Education</t>
        </is>
      </c>
      <c r="D306" t="inlineStr">
        <is>
          <t>19-May-2025 06:00 PM</t>
        </is>
      </c>
      <c r="E306" t="inlineStr">
        <is>
          <t>28,00,000</t>
        </is>
      </c>
      <c r="F306" t="inlineStr">
        <is>
          <t>CONSTRUCTION OF TOILETS NIT SR NO 04 BLOCK KUMBHALGARH</t>
        </is>
      </c>
      <c r="G306" t="inlineStr">
        <is>
          <t>RAJSAMAND</t>
        </is>
      </c>
    </row>
    <row r="307">
      <c r="A307" s="1" t="n">
        <v>305</v>
      </c>
      <c r="B307">
        <f>HYPERLINK("https://eproc.rajasthan.gov.in/nicgep/app?component=%24DirectLink&amp;page=FrontEndViewTender&amp;service=direct&amp;session=T&amp;sp=SZ%2BZAbiwJnVM2nvMzGogPeg%3D%3D", "CONSTRUCTION OF TOILETS NIT SR NO 5 BLOCK RAILMAGRA")</f>
        <v/>
      </c>
      <c r="C307" t="inlineStr">
        <is>
          <t>Rajasthan Council of School Education</t>
        </is>
      </c>
      <c r="D307" t="inlineStr">
        <is>
          <t>19-May-2025 06:00 PM</t>
        </is>
      </c>
      <c r="E307" t="inlineStr">
        <is>
          <t>28,00,000</t>
        </is>
      </c>
      <c r="F307" t="inlineStr">
        <is>
          <t>CONSTRUCTION OF TOILETS NIT SR NO 5 BLOCK RAILMAGRA</t>
        </is>
      </c>
      <c r="G307" t="inlineStr">
        <is>
          <t>RAJSAMAND</t>
        </is>
      </c>
    </row>
    <row r="308">
      <c r="A308" s="1" t="n">
        <v>306</v>
      </c>
      <c r="B308">
        <f>HYPERLINK("https://eproc.rajasthan.gov.in/nicgep/app?component=%24DirectLink&amp;page=FrontEndViewTender&amp;service=direct&amp;session=T&amp;sp=S9uIYvtvxolRQvGr01%2Bpe0w%3D%3D", "Printing and Supply Work Rate Contract")</f>
        <v/>
      </c>
      <c r="C308" t="inlineStr">
        <is>
          <t>Rajasthan Council of School Education</t>
        </is>
      </c>
      <c r="D308" t="inlineStr">
        <is>
          <t>20-May-2025 06:00 PM</t>
        </is>
      </c>
      <c r="E308" t="inlineStr">
        <is>
          <t>1,00,00,00,000</t>
        </is>
      </c>
      <c r="F308" t="inlineStr">
        <is>
          <t>Printing and Supply Work Rate Contract</t>
        </is>
      </c>
      <c r="G308" t="inlineStr">
        <is>
          <t>As per Bid Document</t>
        </is>
      </c>
    </row>
    <row r="309">
      <c r="A309" s="1" t="n">
        <v>307</v>
      </c>
      <c r="B309">
        <f>HYPERLINK("https://eproc.rajasthan.gov.in/nicgep/app?component=%24DirectLink&amp;page=FrontEndViewTender&amp;service=direct&amp;session=T&amp;sp=SGT%2BzdLAD1ziPcGV22F8iXg%3D%3D", "Supply, Installation, Testing, Commissioning and operations of ICT Lab in 3213 Govt. Schools")</f>
        <v/>
      </c>
      <c r="C309" t="inlineStr">
        <is>
          <t>Rajasthan Council of School Education</t>
        </is>
      </c>
      <c r="D309" t="inlineStr">
        <is>
          <t>03-Jun-2025 01:00 PM</t>
        </is>
      </c>
      <c r="E309" t="inlineStr">
        <is>
          <t>3,59,87,50,000</t>
        </is>
      </c>
      <c r="F309" t="inlineStr">
        <is>
          <t>Supply, Installation, Testing, Commissioning and operations of ICT Lab in 3213 Govt. Schools</t>
        </is>
      </c>
      <c r="G309" t="inlineStr">
        <is>
          <t>As per Bid Document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2025-05-17T13:17:22Z</dcterms:created>
  <dcterms:modified xsi:type="dcterms:W3CDTF">2025-05-17T13:17:22Z</dcterms:modified>
</cp:coreProperties>
</file>