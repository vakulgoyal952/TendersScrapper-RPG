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HYPERLINK("https://eproc.rajasthan.gov.in/nicgep/app?component=%24DirectLink&amp;page=FrontEndViewTender&amp;service=direct&amp;session=T&amp;sp=SnywcfV6%2FYDWmMAL219Ofdw%3D%3D", "REPAIRING OF SUB CENTER AT NAKOR P.S. PRATAPGARH DIST. PRATAPGARH")</f>
        <v/>
      </c>
      <c r="C2" t="inlineStr">
        <is>
          <t>SWACH PROJECT||Director</t>
        </is>
      </c>
      <c r="D2" t="inlineStr">
        <is>
          <t>23-May-2025 12:00 PM</t>
        </is>
      </c>
      <c r="E2" t="inlineStr">
        <is>
          <t>5,98,000</t>
        </is>
      </c>
      <c r="F2" t="inlineStr">
        <is>
          <t>REPAIRING OF SUB CENTER AT NAKOR P.S. PRATAPGARH DIST. PRATAPGARH</t>
        </is>
      </c>
      <c r="G2" t="inlineStr">
        <is>
          <t>PRATAPGARH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HYPERLINK("https://eproc.rajasthan.gov.in/nicgep/app?component=%24DirectLink&amp;page=FrontEndViewTender&amp;service=direct&amp;session=T&amp;sp=SKsgvFryMSS4AbuYC0cR%2FYQ%3D%3D", "REPAIRING OF SUB CENTER AT ROHANIYA P.S. PIPALKHUNT DIST. PRATAPGARH")</f>
        <v/>
      </c>
      <c r="C3" t="inlineStr">
        <is>
          <t>SWACH PROJECT||Director</t>
        </is>
      </c>
      <c r="D3" t="inlineStr">
        <is>
          <t>23-May-2025 12:00 PM</t>
        </is>
      </c>
      <c r="E3" t="inlineStr">
        <is>
          <t>5,26,000</t>
        </is>
      </c>
      <c r="F3" t="inlineStr">
        <is>
          <t>REPAIRING OF SUB CENTER AT ROHANIYA P.S. PIPALKHUNT DIST. PRATAPGARH</t>
        </is>
      </c>
      <c r="G3" t="inlineStr">
        <is>
          <t>PRATAPGARH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HYPERLINK("https://eproc.rajasthan.gov.in/nicgep/app?component=%24DirectLink&amp;page=FrontEndViewTender&amp;service=direct&amp;session=T&amp;sp=SL1Xy42b%2FdlJPr6%2BLn2ia%2FQ%3D%3D", "Repair and Maintanance of hostel toilet block at TAD boys ashram hostel Simalwara P.S. Simalwara Dist Dungarpur")</f>
        <v/>
      </c>
      <c r="C4" t="inlineStr">
        <is>
          <t>SWACH PROJECT||Director</t>
        </is>
      </c>
      <c r="D4" t="inlineStr">
        <is>
          <t>23-May-2025 12:00 PM</t>
        </is>
      </c>
      <c r="E4" t="inlineStr">
        <is>
          <t>6,36,000</t>
        </is>
      </c>
      <c r="F4" t="inlineStr">
        <is>
          <t>Repair and Maintanance of hostel toilet block at TAD boys ashram hostel Simalwara P.S. Simalwara Dist Dungarpur</t>
        </is>
      </c>
      <c r="G4" t="inlineStr">
        <is>
          <t>Dungarpur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HYPERLINK("https://eproc.rajasthan.gov.in/nicgep/app?component=%24DirectLink&amp;page=FrontEndViewTender&amp;service=direct&amp;session=T&amp;sp=SX%2BsHChevDX%2FLgjDS17Hm0A%3D%3D", "REPAIRING OF SUB CENTER AT PANDAWA P.S. SUHAGPURA DIST. PRATAPGARH")</f>
        <v/>
      </c>
      <c r="C5" t="inlineStr">
        <is>
          <t>SWACH PROJECT||Director</t>
        </is>
      </c>
      <c r="D5" t="inlineStr">
        <is>
          <t>23-May-2025 12:00 PM</t>
        </is>
      </c>
      <c r="E5" t="inlineStr">
        <is>
          <t>5,32,000</t>
        </is>
      </c>
      <c r="F5" t="inlineStr">
        <is>
          <t>REPAIRING OF SUB CENTER AT PANDAWA P.S. SUHAGPURA DIST. PRATAPGARH</t>
        </is>
      </c>
      <c r="G5" t="inlineStr">
        <is>
          <t>PRATAPGARH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HYPERLINK("https://eproc.rajasthan.gov.in/nicgep/app?component=%24DirectLink&amp;page=FrontEndViewTender&amp;service=direct&amp;session=T&amp;sp=SbqNzwpmkepiuRqEsGuR3Pg%3D%3D", "REPAIRING OF SUB CENTER AT BHARKUNDI P.S. DHARIYAWAD DIST. PRATAPGARH")</f>
        <v/>
      </c>
      <c r="C6" t="inlineStr">
        <is>
          <t>SWACH PROJECT||Director</t>
        </is>
      </c>
      <c r="D6" t="inlineStr">
        <is>
          <t>23-May-2025 12:00 PM</t>
        </is>
      </c>
      <c r="E6" t="inlineStr">
        <is>
          <t>5,72,000</t>
        </is>
      </c>
      <c r="F6" t="inlineStr">
        <is>
          <t>REPAIRING OF SUB CENTER AT BHARKUNDI P.S. DHARIYAWAD DIST. PRATAPGARH</t>
        </is>
      </c>
      <c r="G6" t="inlineStr">
        <is>
          <t>PRATAPGARH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HYPERLINK("https://eproc.rajasthan.gov.in/nicgep/app?component=%24DirectLink&amp;page=FrontEndViewTender&amp;service=direct&amp;session=T&amp;sp=SFfHn%2BCZfc7fZPO3bp1VguQ%3D%3D", "Repair and Maintanance of hostel toilet block at TAD boys ashram hostel Peeth P.S. Simalwara Dist Dungarpur")</f>
        <v/>
      </c>
      <c r="C7" t="inlineStr">
        <is>
          <t>SWACH PROJECT||Director</t>
        </is>
      </c>
      <c r="D7" t="inlineStr">
        <is>
          <t>23-May-2025 12:00 PM</t>
        </is>
      </c>
      <c r="E7" t="inlineStr">
        <is>
          <t>5,95,000</t>
        </is>
      </c>
      <c r="F7" t="inlineStr">
        <is>
          <t>Repair and Maintanance of hostel toilet block at TAD boys ashram hostel Peeth P.S. Simalwara Dist Dungarpur</t>
        </is>
      </c>
      <c r="G7" t="inlineStr">
        <is>
          <t>Dungarpur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HYPERLINK("https://eproc.rajasthan.gov.in/nicgep/app?component=%24DirectLink&amp;page=FrontEndViewTender&amp;service=direct&amp;session=T&amp;sp=S1C6VN6THbToG%2FMetV4t14g%3D%3D", "Repair and Maintanance of hostel toilet block at TAD boys ashram hostel Rastapal P.S. Simalwara Dist Dungarpur")</f>
        <v/>
      </c>
      <c r="C8" t="inlineStr">
        <is>
          <t>SWACH PROJECT||Director</t>
        </is>
      </c>
      <c r="D8" t="inlineStr">
        <is>
          <t>23-May-2025 12:00 PM</t>
        </is>
      </c>
      <c r="E8" t="inlineStr">
        <is>
          <t>5,82,000</t>
        </is>
      </c>
      <c r="F8" t="inlineStr">
        <is>
          <t>Repair and Maintanance of hostel toilet block at TAD boys ashram hostel Rastapal P.S. Simalwara Dist Dungarpur</t>
        </is>
      </c>
      <c r="G8" t="inlineStr">
        <is>
          <t>Dungarpur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HYPERLINK("https://eproc.rajasthan.gov.in/nicgep/app?component=%24DirectLink&amp;page=FrontEndViewTender&amp;service=direct&amp;session=T&amp;sp=SA%2Bmdf7r45CVMpsEhsE%2Bo3Q%3D%3D", "Repair and Maintanance of hostel toilet block at TAD boys ashram hostel Padwa P.S. Sagwara Dist Dungarpur")</f>
        <v/>
      </c>
      <c r="C9" t="inlineStr">
        <is>
          <t>SWACH PROJECT||Director</t>
        </is>
      </c>
      <c r="D9" t="inlineStr">
        <is>
          <t>23-May-2025 12:00 PM</t>
        </is>
      </c>
      <c r="E9" t="inlineStr">
        <is>
          <t>5,54,000</t>
        </is>
      </c>
      <c r="F9" t="inlineStr">
        <is>
          <t>Repair and Maintanance of hostel toilet block at TAD boys ashram hostel Padwa P.S. Sagwara Dist Dungarpur</t>
        </is>
      </c>
      <c r="G9" t="inlineStr">
        <is>
          <t>Dungarpur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HYPERLINK("https://eproc.rajasthan.gov.in/nicgep/app?component=%24DirectLink&amp;page=FrontEndViewTender&amp;service=direct&amp;session=T&amp;sp=Sdc%2BwQ9GEk8siHO1PwfSspA%3D%3D", "Repair AND Maintanance of hostel toilet block at TAD girls multipourpose hostel Dungarpur P.S. Dungarpur Dist Dungarpur")</f>
        <v/>
      </c>
      <c r="C10" t="inlineStr">
        <is>
          <t>SWACH PROJECT||Director</t>
        </is>
      </c>
      <c r="D10" t="inlineStr">
        <is>
          <t>23-May-2025 12:00 PM</t>
        </is>
      </c>
      <c r="E10" t="inlineStr">
        <is>
          <t>6,30,000</t>
        </is>
      </c>
      <c r="F10" t="inlineStr">
        <is>
          <t>Repair AND Maintanance of hostel toilet block at TAD girls multipourpose hostel Dungarpur P.S. Dungarpur Dist Dungarpur</t>
        </is>
      </c>
      <c r="G10" t="inlineStr">
        <is>
          <t>Dungarpur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HYPERLINK("https://eproc.rajasthan.gov.in/nicgep/app?component=%24DirectLink&amp;page=FrontEndViewTender&amp;service=direct&amp;session=T&amp;sp=S6lWRq4WDteoeglsqs2jo9A%3D%3D", "Repair and Maintanance of hostel toilet block at TAD girls ashram hostel Padardi Badi P.S. Sagwara Dist Dungarpur")</f>
        <v/>
      </c>
      <c r="C11" t="inlineStr">
        <is>
          <t>SWACH PROJECT||Director</t>
        </is>
      </c>
      <c r="D11" t="inlineStr">
        <is>
          <t>23-May-2025 12:00 PM</t>
        </is>
      </c>
      <c r="E11" t="inlineStr">
        <is>
          <t>5,81,000</t>
        </is>
      </c>
      <c r="F11" t="inlineStr">
        <is>
          <t>Repair and Maintanance of hostel toilet block at TAD girls ashram hostel Padardi Badi P.S. Sagwara Dist Dungarpur</t>
        </is>
      </c>
      <c r="G11" t="inlineStr">
        <is>
          <t>Dungarpur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HYPERLINK("https://eproc.rajasthan.gov.in/nicgep/app?component=%24DirectLink&amp;page=FrontEndViewTender&amp;service=direct&amp;session=T&amp;sp=SvFYqcD1o6Lob0Vj4Rl6mmg%3D%3D", "Repair and Maintanance of hostel toilet block at TAD girls ashram hostel Khadagda P.S. Sagwara Dist Dungarpur")</f>
        <v/>
      </c>
      <c r="C12" t="inlineStr">
        <is>
          <t>SWACH PROJECT||Director</t>
        </is>
      </c>
      <c r="D12" t="inlineStr">
        <is>
          <t>23-May-2025 12:00 PM</t>
        </is>
      </c>
      <c r="E12" t="inlineStr">
        <is>
          <t>5,96,000</t>
        </is>
      </c>
      <c r="F12" t="inlineStr">
        <is>
          <t>Repair and Maintanance of hostel toilet block at TAD girls ashram hostel Khadagda P.S. Sagwara Dist Dungarpur</t>
        </is>
      </c>
      <c r="G12" t="inlineStr">
        <is>
          <t>Duingarpur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HYPERLINK("https://eproc.rajasthan.gov.in/nicgep/app?component=%24DirectLink&amp;page=FrontEndViewTender&amp;service=direct&amp;session=T&amp;sp=SkGOygbCzyKegvP8GwsC0Yw%3D%3D", "Repair and Maintanance of hostel toilet block at TAD girls asharm hostel Mewada P.S. Bichiwada Dist Dungarpur")</f>
        <v/>
      </c>
      <c r="C13" t="inlineStr">
        <is>
          <t>SWACH PROJECT||Director</t>
        </is>
      </c>
      <c r="D13" t="inlineStr">
        <is>
          <t>23-May-2025 12:00 PM</t>
        </is>
      </c>
      <c r="E13" t="inlineStr">
        <is>
          <t>9,46,000</t>
        </is>
      </c>
      <c r="F13" t="inlineStr">
        <is>
          <t>Repair and Maintanance of hostel toilet block at TAD girls asharm hostel Mewada P.S. Bichiwada Dist Dungarpur</t>
        </is>
      </c>
      <c r="G13" t="inlineStr">
        <is>
          <t>Dungarpur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HYPERLINK("https://eproc.rajasthan.gov.in/nicgep/app?component=%24DirectLink&amp;page=FrontEndViewTender&amp;service=direct&amp;session=T&amp;sp=SQz%2FgkguG3HepCOvwSEDbBQ%3D%3D", "Repair and Maintanance of hostel toilet block at TAD girls ashram hostel Dungarpur P.S. Dungarpur Dist Dungarpur")</f>
        <v/>
      </c>
      <c r="C14" t="inlineStr">
        <is>
          <t>SWACH PROJECT||Director</t>
        </is>
      </c>
      <c r="D14" t="inlineStr">
        <is>
          <t>23-May-2025 12:00 PM</t>
        </is>
      </c>
      <c r="E14" t="inlineStr">
        <is>
          <t>6,45,000</t>
        </is>
      </c>
      <c r="F14" t="inlineStr">
        <is>
          <t>Repair and Maintanance of hostel toilet block at TAD girls ashram hostel Dungarpur P.S. Dungarpur Dist Dungarpur</t>
        </is>
      </c>
      <c r="G14" t="inlineStr">
        <is>
          <t>Duingarpur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HYPERLINK("https://eproc.rajasthan.gov.in/nicgep/app?component=%24DirectLink&amp;page=FrontEndViewTender&amp;service=direct&amp;session=T&amp;sp=SewqYjl%2BYIPmjmpDc0is9dg%3D%3D", "Repair and Maintanance of hostel toilet block at TAD girls ashram hostel Faloz P.S. Dowda Dist Dungarpur")</f>
        <v/>
      </c>
      <c r="C15" t="inlineStr">
        <is>
          <t>SWACH PROJECT||Director</t>
        </is>
      </c>
      <c r="D15" t="inlineStr">
        <is>
          <t>23-May-2025 12:00 PM</t>
        </is>
      </c>
      <c r="E15" t="inlineStr">
        <is>
          <t>7,74,000</t>
        </is>
      </c>
      <c r="F15" t="inlineStr">
        <is>
          <t>Repair and Maintanance of hostel toilet block at TAD girls ashram hostel Faloz P.S. Dowda Dist Dungarpur</t>
        </is>
      </c>
      <c r="G15" t="inlineStr">
        <is>
          <t>Duingarpur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HYPERLINK("https://eproc.rajasthan.gov.in/nicgep/app?component=%24DirectLink&amp;page=FrontEndViewTender&amp;service=direct&amp;session=T&amp;sp=SAWa%2BvQGppVG3waO2J2DLCw%3D%3D", "Repair and Maintanance of hostel toilet block at TAD boys asharm hostel Gamdi ahada P.S. Bichiwada Dist Dungarpur")</f>
        <v/>
      </c>
      <c r="C16" t="inlineStr">
        <is>
          <t>SWACH PROJECT||Director</t>
        </is>
      </c>
      <c r="D16" t="inlineStr">
        <is>
          <t>23-May-2025 12:00 PM</t>
        </is>
      </c>
      <c r="E16" t="inlineStr">
        <is>
          <t>7,03,000</t>
        </is>
      </c>
      <c r="F16" t="inlineStr">
        <is>
          <t>Repair and Maintanance of hostel toilet block at TAD boys asharm hostel Gamdi ahada P.S. Bichiwada Dist Dungarpur</t>
        </is>
      </c>
      <c r="G16" t="inlineStr">
        <is>
          <t>Duingarpur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HYPERLINK("https://eproc.rajasthan.gov.in/nicgep/app?component=%24DirectLink&amp;page=FrontEndViewTender&amp;service=direct&amp;session=T&amp;sp=SgZW3QonIS55TkcwI5qOJLw%3D%3D", "Repair and Maintanance of hostel toilet block at TAD girls ashram hostel Chikhali P.S. Chikhali, Dist Dungarpur")</f>
        <v/>
      </c>
      <c r="C17" t="inlineStr">
        <is>
          <t>SWACH PROJECT||Director</t>
        </is>
      </c>
      <c r="D17" t="inlineStr">
        <is>
          <t>23-May-2025 12:00 PM</t>
        </is>
      </c>
      <c r="E17" t="inlineStr">
        <is>
          <t>8,10,000</t>
        </is>
      </c>
      <c r="F17" t="inlineStr">
        <is>
          <t>Repair and Maintanance of hostel toilet block at TAD girls ashram hostel Chikhali P.S. Chikhali, Dist Dungarpur</t>
        </is>
      </c>
      <c r="G17" t="inlineStr">
        <is>
          <t>Duingarpur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HYPERLINK("https://eproc.rajasthan.gov.in/nicgep/app?component=%24DirectLink&amp;page=FrontEndViewTender&amp;service=direct&amp;session=T&amp;sp=SfY1ngze9qcqhp4Tf8xkleA%3D%3D", "Repair and Maintanance of hostel toilet block at TAD girls asharm hostel Chapi P.S. Bichiwada Dist Dungarpur")</f>
        <v/>
      </c>
      <c r="C18" t="inlineStr">
        <is>
          <t>SWACH PROJECT||Director</t>
        </is>
      </c>
      <c r="D18" t="inlineStr">
        <is>
          <t>23-May-2025 12:00 PM</t>
        </is>
      </c>
      <c r="E18" t="inlineStr">
        <is>
          <t>7,19,000</t>
        </is>
      </c>
      <c r="F18" t="inlineStr">
        <is>
          <t>Repair and Maintanance of hostel toilet block at TAD girls asharm hostel Chapi P.S. Bichiwada Dist Dungarpur</t>
        </is>
      </c>
      <c r="G18" t="inlineStr">
        <is>
          <t>Duingarpur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HYPERLINK("https://eproc.rajasthan.gov.in/nicgep/app?component=%24DirectLink&amp;page=FrontEndViewTender&amp;service=direct&amp;session=T&amp;sp=SyrCp3%2BmQmV01xTh8ARtVmQ%3D%3D", "Earth Work of Trench Work at Community Lift Irrigation Scheme (CLIS) Mataveli, P.S. Lasadiya, Udaipur")</f>
        <v/>
      </c>
      <c r="C19" t="inlineStr">
        <is>
          <t>SWACH PROJECT||Director</t>
        </is>
      </c>
      <c r="D19" t="inlineStr">
        <is>
          <t>22-May-2025 12:00 PM</t>
        </is>
      </c>
      <c r="E19" t="inlineStr">
        <is>
          <t>7,75,000</t>
        </is>
      </c>
      <c r="F19" t="inlineStr">
        <is>
          <t>Earth Work of Trench Work at Community Lift Irrigation Scheme (CLIS) Mataveli, P.S. Lasadiya, Udaipur</t>
        </is>
      </c>
      <c r="G19" t="inlineStr">
        <is>
          <t>Lasadiya Udaipur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HYPERLINK("https://eproc.rajasthan.gov.in/nicgep/app?component=%24DirectLink&amp;page=FrontEndViewTender&amp;service=direct&amp;session=T&amp;sp=SnE6fPE%2FMZaVwNjVXUCoNZw%3D%3D", "Earth Work of Trench Work at Community Lift Irrigation Scheme (CLIS) Kandela, P.S. Lasadiya, Udaipur")</f>
        <v/>
      </c>
      <c r="C20" t="inlineStr">
        <is>
          <t>SWACH PROJECT||Director</t>
        </is>
      </c>
      <c r="D20" t="inlineStr">
        <is>
          <t>22-May-2025 12:00 PM</t>
        </is>
      </c>
      <c r="E20" t="inlineStr">
        <is>
          <t>5,70,000</t>
        </is>
      </c>
      <c r="F20" t="inlineStr">
        <is>
          <t>Earth Work of Trench Work at Community Lift Irrigation Scheme (CLIS) Kandela, P.S. Lasadiya, Udaipur</t>
        </is>
      </c>
      <c r="G20" t="inlineStr">
        <is>
          <t>Lasadiya Udaipur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HYPERLINK("https://eproc.rajasthan.gov.in/nicgep/app?component=%24DirectLink&amp;page=FrontEndViewTender&amp;service=direct&amp;session=T&amp;sp=Sg3tBlF%2F21Tnww56jkrRERQ%3D%3D", "Construction of New 4 No. Dormatory and Toilet Block for TAD Boy Hostel Daiya, P.S. Jhadol, Udaipur")</f>
        <v/>
      </c>
      <c r="C21" t="inlineStr">
        <is>
          <t>SWACH PROJECT||Director</t>
        </is>
      </c>
      <c r="D21" t="inlineStr">
        <is>
          <t>22-May-2025 12:00 PM</t>
        </is>
      </c>
      <c r="E21" t="inlineStr">
        <is>
          <t>27,98,000</t>
        </is>
      </c>
      <c r="F21" t="inlineStr">
        <is>
          <t>Construction of New 4 No. Dormatory and Toilet Block for TAD Boy Hostel Daiya, P.S. Jhadol, Udaipur</t>
        </is>
      </c>
      <c r="G21" t="inlineStr">
        <is>
          <t>Jhadol Udaipur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HYPERLINK("https://eproc.rajasthan.gov.in/nicgep/app?component=%24DirectLink&amp;page=FrontEndViewTender&amp;service=direct&amp;session=T&amp;sp=SPXW%2BSOcRA5%2FOyxOGwkW%2BoA%3D%3D", "Extension of Dinning Hall and Kitchen at Model Public Residential Girl School at Dhikli, P.S. Badgaon, Udaipur")</f>
        <v/>
      </c>
      <c r="C22" t="inlineStr">
        <is>
          <t>SWACH PROJECT||Director</t>
        </is>
      </c>
      <c r="D22" t="inlineStr">
        <is>
          <t>22-May-2025 12:00 PM</t>
        </is>
      </c>
      <c r="E22" t="inlineStr">
        <is>
          <t>27,21,000</t>
        </is>
      </c>
      <c r="F22" t="inlineStr">
        <is>
          <t>Extension of Dinning Hall and Kitchen at Model Public Residential Girl School at Dhikli, P.S. Badgaon, Udaipur</t>
        </is>
      </c>
      <c r="G22" t="inlineStr">
        <is>
          <t>Udaipur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HYPERLINK("https://eproc.rajasthan.gov.in/nicgep/app?component=%24DirectLink&amp;page=FrontEndViewTender&amp;service=direct&amp;session=T&amp;sp=S3Jh82Zd0OYHiJYYH6yMK2A%3D%3D", "Repair and Maintanance of hostel toilet block at TAD girls ashram hostel Aspur P.S. Aspur Dist Dungarpur")</f>
        <v/>
      </c>
      <c r="C23" t="inlineStr">
        <is>
          <t>SWACH PROJECT||Director</t>
        </is>
      </c>
      <c r="D23" t="inlineStr">
        <is>
          <t>23-May-2025 12:00 PM</t>
        </is>
      </c>
      <c r="E23" t="inlineStr">
        <is>
          <t>6,58,000</t>
        </is>
      </c>
      <c r="F23" t="inlineStr">
        <is>
          <t>Repair and Maintanance of hostel toilet block at TAD girls ashram hostel Aspur P.S. Aspur Dist Dungarpur</t>
        </is>
      </c>
      <c r="G23" t="inlineStr">
        <is>
          <t>Duingarpur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HYPERLINK("https://eproc.rajasthan.gov.in/nicgep/app?component=%24DirectLink&amp;page=FrontEndViewTender&amp;service=direct&amp;session=T&amp;sp=S5RzwYLgmWNebzCijtjQktA%3D%3D", "Repair and Maintanance of hostel toilet block at TAD girls ashram hostel Bansiya P.S. Simalwara Dist Dungarpur")</f>
        <v/>
      </c>
      <c r="C24" t="inlineStr">
        <is>
          <t>SWACH PROJECT||Director</t>
        </is>
      </c>
      <c r="D24" t="inlineStr">
        <is>
          <t>23-May-2025 12:00 PM</t>
        </is>
      </c>
      <c r="E24" t="inlineStr">
        <is>
          <t>6,94,000</t>
        </is>
      </c>
      <c r="F24" t="inlineStr">
        <is>
          <t>Repair and Maintanance of hostel toilet block at TAD girls ashram hostel Bansiya P.S. Simalwara Dist Dungarpur</t>
        </is>
      </c>
      <c r="G24" t="inlineStr">
        <is>
          <t>Dungarpur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HYPERLINK("https://eproc.rajasthan.gov.in/nicgep/app?component=%24DirectLink&amp;page=FrontEndViewTender&amp;service=direct&amp;session=T&amp;sp=SegyhNWXqrMy0ssKqqqvoWA%3D%3D", "Repair and Maintanance of hostel roof and toilet block at TAD girls ashram hostel Badgi P.S.Galiyakot Dist Dungarpur")</f>
        <v/>
      </c>
      <c r="C25" t="inlineStr">
        <is>
          <t>SWACH PROJECT||Director</t>
        </is>
      </c>
      <c r="D25" t="inlineStr">
        <is>
          <t>23-May-2025 12:00 PM</t>
        </is>
      </c>
      <c r="E25" t="inlineStr">
        <is>
          <t>6,08,000</t>
        </is>
      </c>
      <c r="F25" t="inlineStr">
        <is>
          <t>Repair and Maintanance of hostel roof and toilet block at TAD girls ashram hostel Badgi P.S.Galiyakot Dist Dungarpur</t>
        </is>
      </c>
      <c r="G25" t="inlineStr">
        <is>
          <t>Duingarpur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HYPERLINK("https://eproc.rajasthan.gov.in/nicgep/app?component=%24DirectLink&amp;page=FrontEndViewTender&amp;service=direct&amp;session=T&amp;sp=SfHLUFsXZ7mQZs2PeNE4cQg%3D%3D", "Repair and Maintanance of hostel toilet block at TAD girls ashram hostel Bhiluda P.S. Sagwara Dist Dungarpur")</f>
        <v/>
      </c>
      <c r="C26" t="inlineStr">
        <is>
          <t>SWACH PROJECT||Director</t>
        </is>
      </c>
      <c r="D26" t="inlineStr">
        <is>
          <t>23-May-2025 12:00 PM</t>
        </is>
      </c>
      <c r="E26" t="inlineStr">
        <is>
          <t>6,32,000</t>
        </is>
      </c>
      <c r="F26" t="inlineStr">
        <is>
          <t>Repair and Maintanance of hostel toilet block at TAD girls ashram hostel Bhiluda P.S. Sagwara Dist Dungarpur</t>
        </is>
      </c>
      <c r="G26" t="inlineStr">
        <is>
          <t>Duingarpur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HYPERLINK("https://eproc.rajasthan.gov.in/nicgep/app?component=%24DirectLink&amp;page=FrontEndViewTender&amp;service=direct&amp;session=T&amp;sp=ScwbKBkQ2GIXlEsFiaxnSlA%3D%3D", "CONSTRUCTION OF 1 ADDITIONAL CLASS ROOM AT MAA BADI CENTER KAMAL MAUDI")</f>
        <v/>
      </c>
      <c r="C27" t="inlineStr">
        <is>
          <t>SWACH PROJECT||Director</t>
        </is>
      </c>
      <c r="D27" t="inlineStr">
        <is>
          <t>19-May-2025 06:00 PM</t>
        </is>
      </c>
      <c r="E27" t="inlineStr">
        <is>
          <t>3,86,000</t>
        </is>
      </c>
      <c r="F27" t="inlineStr">
        <is>
          <t>CONSTRUCTION OF 1 ADDITIONAL CLASS ROOM AT MAA BADI CENTER KAMAL MAUDI</t>
        </is>
      </c>
      <c r="G27" t="inlineStr">
        <is>
          <t>PRATAPGARH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HYPERLINK("https://eproc.rajasthan.gov.in/nicgep/app?component=%24DirectLink&amp;page=FrontEndViewTender&amp;service=direct&amp;session=T&amp;sp=S7%2BjrBOGdq5tZXg0DHJ4x2A%3D%3D", "CONSTRUCTION OF 1 ADDITIONAL CLASS ROOM AT MAA BADI CENTER SAKHTALI FARA")</f>
        <v/>
      </c>
      <c r="C28" t="inlineStr">
        <is>
          <t>SWACH PROJECT||Director</t>
        </is>
      </c>
      <c r="D28" t="inlineStr">
        <is>
          <t>19-May-2025 06:00 PM</t>
        </is>
      </c>
      <c r="E28" t="inlineStr">
        <is>
          <t>3,86,000</t>
        </is>
      </c>
      <c r="F28" t="inlineStr">
        <is>
          <t>CONSTRUCTION OF 1 ADDITIONAL CLASS ROOM AT MAA BADI CENTER SAKHTALI FARA</t>
        </is>
      </c>
      <c r="G28" t="inlineStr">
        <is>
          <t>PRATAPGARH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HYPERLINK("https://eproc.rajasthan.gov.in/nicgep/app?component=%24DirectLink&amp;page=FrontEndViewTender&amp;service=direct&amp;session=T&amp;sp=SUQdgY4grU7hFElToNuuqng%3D%3D", "CONSTRUCTION OF 1 ADDITIONAL CLASS ROOM AT MAA BADI CENTER TODI")</f>
        <v/>
      </c>
      <c r="C29" t="inlineStr">
        <is>
          <t>SWACH PROJECT||Director</t>
        </is>
      </c>
      <c r="D29" t="inlineStr">
        <is>
          <t>19-May-2025 06:00 PM</t>
        </is>
      </c>
      <c r="E29" t="inlineStr">
        <is>
          <t>3,86,000</t>
        </is>
      </c>
      <c r="F29" t="inlineStr">
        <is>
          <t>CONSTRUCTION OF 1 ADDITIONAL CLASS ROOM AT MAA BADI CENTER TODI</t>
        </is>
      </c>
      <c r="G29" t="inlineStr">
        <is>
          <t>PRATAPGARH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HYPERLINK("https://eproc.rajasthan.gov.in/nicgep/app?component=%24DirectLink&amp;page=FrontEndViewTender&amp;service=direct&amp;session=T&amp;sp=SzPnU%2ByN%2BHWaomCfVhgtTkw%3D%3D", "CONSTRUCTION OF 1 ADDITIONAL CLASS ROOM AT MAA BADI CENTER KHORIYA")</f>
        <v/>
      </c>
      <c r="C30" t="inlineStr">
        <is>
          <t>SWACH PROJECT||Director</t>
        </is>
      </c>
      <c r="D30" t="inlineStr">
        <is>
          <t>19-May-2025 06:00 PM</t>
        </is>
      </c>
      <c r="E30" t="inlineStr">
        <is>
          <t>3,86,000</t>
        </is>
      </c>
      <c r="F30" t="inlineStr">
        <is>
          <t>CONSTRUCTION OF 1 ADDITIONAL CLASS ROOM AT MAA BADI CENTER KHORIYA</t>
        </is>
      </c>
      <c r="G30" t="inlineStr">
        <is>
          <t>PRATAPGARH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HYPERLINK("https://eproc.rajasthan.gov.in/nicgep/app?component=%24DirectLink&amp;page=FrontEndViewTender&amp;service=direct&amp;session=T&amp;sp=SCAIXb8W3Q6MlwSptkp0MEg%3D%3D", "CONSTRUCTION OF 1 ADDITIONAL CLASS ROOM AT MAA BADI CENTER JODMIYA FATA")</f>
        <v/>
      </c>
      <c r="C31" t="inlineStr">
        <is>
          <t>SWACH PROJECT||Director</t>
        </is>
      </c>
      <c r="D31" t="inlineStr">
        <is>
          <t>19-May-2025 06:00 PM</t>
        </is>
      </c>
      <c r="E31" t="inlineStr">
        <is>
          <t>3,86,000</t>
        </is>
      </c>
      <c r="F31" t="inlineStr">
        <is>
          <t>CONSTRUCTION OF 1 ADDITIONAL CLASS ROOM AT MAA BADI CENTER JODMIYA FATA</t>
        </is>
      </c>
      <c r="G31" t="inlineStr">
        <is>
          <t>PRATAPGARH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HYPERLINK("https://eproc.rajasthan.gov.in/nicgep/app?component=%24DirectLink&amp;page=FrontEndViewTender&amp;service=direct&amp;session=T&amp;sp=SdlWnYWpvwIjdKtkjjMkwtA%3D%3D", "CONSTRUCTION OF 1 ADDITIONAL CLASS ROOM AT MAA BADI CENTER KHORAPADA")</f>
        <v/>
      </c>
      <c r="C32" t="inlineStr">
        <is>
          <t>SWACH PROJECT||Director</t>
        </is>
      </c>
      <c r="D32" t="inlineStr">
        <is>
          <t>19-May-2025 06:00 PM</t>
        </is>
      </c>
      <c r="E32" t="inlineStr">
        <is>
          <t>3,86,000</t>
        </is>
      </c>
      <c r="F32" t="inlineStr">
        <is>
          <t>CONSTRUCTION OF 1 ADDITIONAL CLASS ROOM AT MAA BADI CENTER KHORAPADA</t>
        </is>
      </c>
      <c r="G32" t="inlineStr">
        <is>
          <t>PRATAPGARH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HYPERLINK("https://eproc.rajasthan.gov.in/nicgep/app?component=%24DirectLink&amp;page=FrontEndViewTender&amp;service=direct&amp;session=T&amp;sp=SjcrXRxsaPjbIA0vTTG8eCw%3D%3D", "CONSTRUCTION OF 1 ADDITIONAL CLASS ROOM AT MAA BADI CENTER HALDUPADA")</f>
        <v/>
      </c>
      <c r="C33" t="inlineStr">
        <is>
          <t>SWACH PROJECT||Director</t>
        </is>
      </c>
      <c r="D33" t="inlineStr">
        <is>
          <t>19-May-2025 06:00 PM</t>
        </is>
      </c>
      <c r="E33" t="inlineStr">
        <is>
          <t>3,86,000</t>
        </is>
      </c>
      <c r="F33" t="inlineStr">
        <is>
          <t>CONSTRUCTION OF 1 ADDITIONAL CLASS ROOM AT MAA BADI CENTER HALDUPADA</t>
        </is>
      </c>
      <c r="G33" t="inlineStr">
        <is>
          <t>PRATAPGARH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HYPERLINK("https://eproc.rajasthan.gov.in/nicgep/app?component=%24DirectLink&amp;page=FrontEndViewTender&amp;service=direct&amp;session=T&amp;sp=S%2F%2B%2Fdem5s8nkGVZzaAE01ZQ%3D%3D", "CONSTRUCTION OF 1 ADDITIONAL CLASS ROOM AT MAA BADI CENTER UMBAYMATA")</f>
        <v/>
      </c>
      <c r="C34" t="inlineStr">
        <is>
          <t>SWACH PROJECT||Director</t>
        </is>
      </c>
      <c r="D34" t="inlineStr">
        <is>
          <t>19-May-2025 06:00 PM</t>
        </is>
      </c>
      <c r="E34" t="inlineStr">
        <is>
          <t>3,86,000</t>
        </is>
      </c>
      <c r="F34" t="inlineStr">
        <is>
          <t>CONSTRUCTION OF 1 ADDITIONAL CLASS ROOM AT MAA BADI CENTER UMBAYMATA</t>
        </is>
      </c>
      <c r="G34" t="inlineStr">
        <is>
          <t>PRATAPGARH</t>
        </is>
      </c>
    </row>
    <row r="35">
      <c r="A35" s="1" t="n">
        <v>33</v>
      </c>
      <c r="B35">
        <f>HYPERLINK("https://eproc.rajasthan.gov.in/nicgep/app?component=%24DirectLink&amp;page=FrontEndViewTender&amp;service=direct&amp;session=T&amp;sp=SPxFPSXU14T4SlcH1OCGETg%3D%3D", "CONSTRUCTION OF 1 ADDITIONAL CLASS ROOM AT MAA BADI CENTER VADLIYAPADA (CHAYAN)")</f>
        <v/>
      </c>
      <c r="C35" t="inlineStr">
        <is>
          <t>SWACH PROJECT||Director</t>
        </is>
      </c>
      <c r="D35" t="inlineStr">
        <is>
          <t>19-May-2025 06:00 PM</t>
        </is>
      </c>
      <c r="E35" t="inlineStr">
        <is>
          <t>3,86,000</t>
        </is>
      </c>
      <c r="F35" t="inlineStr">
        <is>
          <t>CONSTRUCTION OF 1 ADDITIONAL CLASS ROOM AT MAA BADI CENTER VADLIYAPADA (CHAYAN)</t>
        </is>
      </c>
      <c r="G35" t="inlineStr">
        <is>
          <t>PRATAPGARH</t>
        </is>
      </c>
    </row>
    <row r="36">
      <c r="A36" s="1" t="n">
        <v>34</v>
      </c>
      <c r="B36">
        <f>HYPERLINK("https://eproc.rajasthan.gov.in/nicgep/app?component=%24DirectLink&amp;page=FrontEndViewTender&amp;service=direct&amp;session=T&amp;sp=SMy4UGCoZg46iailuGwt4cA%3D%3D", "CONSTRUCTION OF 1 ADDITIONAL CLASS ROOM AT MAA BADI CENTER JAMBUDI PATDA")</f>
        <v/>
      </c>
      <c r="C36" t="inlineStr">
        <is>
          <t>SWACH PROJECT||Director</t>
        </is>
      </c>
      <c r="D36" t="inlineStr">
        <is>
          <t>19-May-2025 06:00 PM</t>
        </is>
      </c>
      <c r="E36" t="inlineStr">
        <is>
          <t>3,86,000</t>
        </is>
      </c>
      <c r="F36" t="inlineStr">
        <is>
          <t>CONSTRUCTION OF 1 ADDITIONAL CLASS ROOM AT MAA BADI CENTER JAMBUDI PATDA</t>
        </is>
      </c>
      <c r="G36" t="inlineStr">
        <is>
          <t>PRATAPGARH</t>
        </is>
      </c>
    </row>
    <row r="37">
      <c r="A37" s="1" t="n">
        <v>35</v>
      </c>
      <c r="B37">
        <f>HYPERLINK("https://eproc.rajasthan.gov.in/nicgep/app?component=%24DirectLink&amp;page=FrontEndViewTender&amp;service=direct&amp;session=T&amp;sp=SDADDVAJ87ZVVzHw20mFD1A%3D%3D", "CONSTRUCTION OF 1 ADDITIONAL CLASS ROOM AT MAA BADI CENTER BAYANVIDA")</f>
        <v/>
      </c>
      <c r="C37" t="inlineStr">
        <is>
          <t>SWACH PROJECT||Director</t>
        </is>
      </c>
      <c r="D37" t="inlineStr">
        <is>
          <t>19-May-2025 06:00 PM</t>
        </is>
      </c>
      <c r="E37" t="inlineStr">
        <is>
          <t>3,86,000</t>
        </is>
      </c>
      <c r="F37" t="inlineStr">
        <is>
          <t>CONSTRUCTION OF 1 ADDITIONAL CLASS ROOM AT MAA BADI CENTER BAYANVIDA</t>
        </is>
      </c>
      <c r="G37" t="inlineStr">
        <is>
          <t>PRATAPGARH</t>
        </is>
      </c>
    </row>
    <row r="38">
      <c r="A38" s="1" t="n">
        <v>36</v>
      </c>
      <c r="B38">
        <f>HYPERLINK("https://eproc.rajasthan.gov.in/nicgep/app?component=%24DirectLink&amp;page=FrontEndViewTender&amp;service=direct&amp;session=T&amp;sp=S8EUceynjbFfe%2BNvssZ%2Fb%2BQ%3D%3D", "CONSTRUCTION OF 1 ADDITIONAL CLASS ROOM AT MAA BADI CENTER BIDA")</f>
        <v/>
      </c>
      <c r="C38" t="inlineStr">
        <is>
          <t>SWACH PROJECT||Director</t>
        </is>
      </c>
      <c r="D38" t="inlineStr">
        <is>
          <t>19-May-2025 06:00 PM</t>
        </is>
      </c>
      <c r="E38" t="inlineStr">
        <is>
          <t>3,86,000</t>
        </is>
      </c>
      <c r="F38" t="inlineStr">
        <is>
          <t>CONSTRUCTION OF 1 ADDITIONAL CLASS ROOM AT MAA BADI CENTER BIDA</t>
        </is>
      </c>
      <c r="G38" t="inlineStr">
        <is>
          <t>PRATAPGARH</t>
        </is>
      </c>
    </row>
    <row r="39">
      <c r="A39" s="1" t="n">
        <v>37</v>
      </c>
      <c r="B39">
        <f>HYPERLINK("https://eproc.rajasthan.gov.in/nicgep/app?component=%24DirectLink&amp;page=FrontEndViewTender&amp;service=direct&amp;session=T&amp;sp=SbTEmaG9KY4RxyH7UOltb3w%3D%3D", "CONSTRUCTION OF 1 ADDITIONAL CLASS ROOM AT MAA BADI CENTER RANDOLFALA")</f>
        <v/>
      </c>
      <c r="C39" t="inlineStr">
        <is>
          <t>SWACH PROJECT||Director</t>
        </is>
      </c>
      <c r="D39" t="inlineStr">
        <is>
          <t>19-May-2025 06:00 PM</t>
        </is>
      </c>
      <c r="E39" t="inlineStr">
        <is>
          <t>3,86,000</t>
        </is>
      </c>
      <c r="F39" t="inlineStr">
        <is>
          <t>CONSTRUCTION OF 1 ADDITIONAL CLASS ROOM AT MAA BADI CENTER RANDOLFALA</t>
        </is>
      </c>
      <c r="G39" t="inlineStr">
        <is>
          <t>PRATAPGARH</t>
        </is>
      </c>
    </row>
    <row r="40">
      <c r="A40" s="1" t="n">
        <v>38</v>
      </c>
      <c r="B40">
        <f>HYPERLINK("https://eproc.rajasthan.gov.in/nicgep/app?component=%24DirectLink&amp;page=FrontEndViewTender&amp;service=direct&amp;session=T&amp;sp=SWlvs4r1dBH0xgeFEUeH6qw%3D%3D", "CONSTRUCTION OF 1 ADDITIONAL CLASS ROOM AT MAA BADI CENTER TALAIFALA")</f>
        <v/>
      </c>
      <c r="C40" t="inlineStr">
        <is>
          <t>SWACH PROJECT||Director</t>
        </is>
      </c>
      <c r="D40" t="inlineStr">
        <is>
          <t>19-May-2025 06:00 PM</t>
        </is>
      </c>
      <c r="E40" t="inlineStr">
        <is>
          <t>3,86,000</t>
        </is>
      </c>
      <c r="F40" t="inlineStr">
        <is>
          <t>CONSTRUCTION OF 1 ADDITIONAL CLASS ROOM AT MAA BADI CENTER TALAIFALA</t>
        </is>
      </c>
      <c r="G40" t="inlineStr">
        <is>
          <t>PRATAPGARH</t>
        </is>
      </c>
    </row>
    <row r="41">
      <c r="A41" s="1" t="n">
        <v>39</v>
      </c>
      <c r="B41">
        <f>HYPERLINK("https://eproc.rajasthan.gov.in/nicgep/app?component=%24DirectLink&amp;page=FrontEndViewTender&amp;service=direct&amp;session=T&amp;sp=SPVl1efsp2hgEu7KDOiBNhw%3D%3D", "CONSTRUCTION OF 1 ADDITIONAL CLASS ROOM AT MAA BADI CENTER RUJDIPADA")</f>
        <v/>
      </c>
      <c r="C41" t="inlineStr">
        <is>
          <t>SWACH PROJECT||Director</t>
        </is>
      </c>
      <c r="D41" t="inlineStr">
        <is>
          <t>19-May-2025 06:00 PM</t>
        </is>
      </c>
      <c r="E41" t="inlineStr">
        <is>
          <t>3,86,000</t>
        </is>
      </c>
      <c r="F41" t="inlineStr">
        <is>
          <t>CONSTRUCTION OF 1 ADDITIONAL CLASS ROOM AT MAA BADI CENTER RUJDIPADA</t>
        </is>
      </c>
      <c r="G41" t="inlineStr">
        <is>
          <t>PRATAPGARH</t>
        </is>
      </c>
    </row>
    <row r="42">
      <c r="A42" s="1" t="n">
        <v>40</v>
      </c>
      <c r="B42">
        <f>HYPERLINK("https://eproc.rajasthan.gov.in/nicgep/app?component=%24DirectLink&amp;page=FrontEndViewTender&amp;service=direct&amp;session=T&amp;sp=SJrt0AnWXDOkbEskKFQfKjA%3D%3D", "CONSTRUCTION OF 1 ADDITIONAL CLASS ROOM AT MAA BADI CENTER SORATO KA KHEDA")</f>
        <v/>
      </c>
      <c r="C42" t="inlineStr">
        <is>
          <t>SWACH PROJECT||Director</t>
        </is>
      </c>
      <c r="D42" t="inlineStr">
        <is>
          <t>19-May-2025 06:00 PM</t>
        </is>
      </c>
      <c r="E42" t="inlineStr">
        <is>
          <t>3,86,000</t>
        </is>
      </c>
      <c r="F42" t="inlineStr">
        <is>
          <t>CONSTRUCTION OF 1 ADDITIONAL CLASS ROOM AT MAA BADI CENTER SORATO KA KHEDA</t>
        </is>
      </c>
      <c r="G42" t="inlineStr">
        <is>
          <t>PRATAPGARH</t>
        </is>
      </c>
    </row>
    <row r="43">
      <c r="A43" s="1" t="n">
        <v>41</v>
      </c>
      <c r="B43">
        <f>HYPERLINK("https://eproc.rajasthan.gov.in/nicgep/app?component=%24DirectLink&amp;page=FrontEndViewTender&amp;service=direct&amp;session=T&amp;sp=S5UlRli%2F4aLeOCaaV4H4rRw%3D%3D", "CONSTRUCTION OF 1 ADDITIONAL CLASS ROOM AT MAA BADI CENTER MAGRAFALA")</f>
        <v/>
      </c>
      <c r="C43" t="inlineStr">
        <is>
          <t>SWACH PROJECT||Director</t>
        </is>
      </c>
      <c r="D43" t="inlineStr">
        <is>
          <t>19-May-2025 06:00 PM</t>
        </is>
      </c>
      <c r="E43" t="inlineStr">
        <is>
          <t>3,86,000</t>
        </is>
      </c>
      <c r="F43" t="inlineStr">
        <is>
          <t>CONSTRUCTION OF 1 ADDITIONAL CLASS ROOM AT MAA BADI CENTER MAGRAFALA</t>
        </is>
      </c>
      <c r="G43" t="inlineStr">
        <is>
          <t>PRATAPGARH</t>
        </is>
      </c>
    </row>
    <row r="44">
      <c r="A44" s="1" t="n">
        <v>42</v>
      </c>
      <c r="B44">
        <f>HYPERLINK("https://eproc.rajasthan.gov.in/nicgep/app?component=%24DirectLink&amp;page=FrontEndViewTender&amp;service=direct&amp;session=T&amp;sp=S1PPZX6Ko04qmptMAdcqLIw%3D%3D", "CONSTRUCTION OF 1 ADDITIONAL CLASS ROOM AT MAA BADI CENTER UMARVADIYA")</f>
        <v/>
      </c>
      <c r="C44" t="inlineStr">
        <is>
          <t>SWACH PROJECT||Director</t>
        </is>
      </c>
      <c r="D44" t="inlineStr">
        <is>
          <t>19-May-2025 06:00 PM</t>
        </is>
      </c>
      <c r="E44" t="inlineStr">
        <is>
          <t>3,86,000</t>
        </is>
      </c>
      <c r="F44" t="inlineStr">
        <is>
          <t>CONSTRUCTION OF 1 ADDITIONAL CLASS ROOM AT MAA BADI CENTER UMARVADIYA</t>
        </is>
      </c>
      <c r="G44" t="inlineStr">
        <is>
          <t>PRATAPGARH</t>
        </is>
      </c>
    </row>
    <row r="45">
      <c r="A45" s="1" t="n">
        <v>43</v>
      </c>
      <c r="B45">
        <f>HYPERLINK("https://eproc.rajasthan.gov.in/nicgep/app?component=%24DirectLink&amp;page=FrontEndViewTender&amp;service=direct&amp;session=T&amp;sp=SUOAHCjzjj65cQTD9nJ%2FQow%3D%3D", "CONSTRUCTION OF 1 ADDITIONAL CLASS ROOM AT MAA BADI CENTER AMLI KHEDA")</f>
        <v/>
      </c>
      <c r="C45" t="inlineStr">
        <is>
          <t>SWACH PROJECT||Director</t>
        </is>
      </c>
      <c r="D45" t="inlineStr">
        <is>
          <t>19-May-2025 06:00 PM</t>
        </is>
      </c>
      <c r="E45" t="inlineStr">
        <is>
          <t>3,86,000</t>
        </is>
      </c>
      <c r="F45" t="inlineStr">
        <is>
          <t>CONSTRUCTION OF 1 ADDITIONAL CLASS ROOM AT MAA BADI CENTER AMLI KHEDA</t>
        </is>
      </c>
      <c r="G45" t="inlineStr">
        <is>
          <t>PRATAPGARH</t>
        </is>
      </c>
    </row>
    <row r="46">
      <c r="A46" s="1" t="n">
        <v>44</v>
      </c>
      <c r="B46">
        <f>HYPERLINK("https://eproc.rajasthan.gov.in/nicgep/app?component=%24DirectLink&amp;page=FrontEndViewTender&amp;service=direct&amp;session=T&amp;sp=SKm0AoxoSh8jGlBAkWzazlA%3D%3D", "CONSTRUCTION OF 1 ADDITIONAL CLASS ROOM AT MAA BADI CENTER ADUVA FALA")</f>
        <v/>
      </c>
      <c r="C46" t="inlineStr">
        <is>
          <t>SWACH PROJECT||Director</t>
        </is>
      </c>
      <c r="D46" t="inlineStr">
        <is>
          <t>19-May-2025 06:00 PM</t>
        </is>
      </c>
      <c r="E46" t="inlineStr">
        <is>
          <t>3,86,000</t>
        </is>
      </c>
      <c r="F46" t="inlineStr">
        <is>
          <t>CONSTRUCTION OF 1 ADDITIONAL CLASS ROOM AT MAA BADI CENTER ADUVA FALA</t>
        </is>
      </c>
      <c r="G46" t="inlineStr">
        <is>
          <t>PRATAPGARH</t>
        </is>
      </c>
    </row>
    <row r="47">
      <c r="A47" s="1" t="n">
        <v>45</v>
      </c>
      <c r="B47">
        <f>HYPERLINK("https://eproc.rajasthan.gov.in/nicgep/app?component=%24DirectLink&amp;page=FrontEndViewTender&amp;service=direct&amp;session=T&amp;sp=SmQ3EMHhxbMImO%2Fo5ZbGaFw%3D%3D", "CONSTRUCTION OF 1 ADDITIONAL CLASS ROOM AT MAA BADI CENTER KHEDAFALA")</f>
        <v/>
      </c>
      <c r="C47" t="inlineStr">
        <is>
          <t>SWACH PROJECT||Director</t>
        </is>
      </c>
      <c r="D47" t="inlineStr">
        <is>
          <t>19-May-2025 06:00 PM</t>
        </is>
      </c>
      <c r="E47" t="inlineStr">
        <is>
          <t>3,86,000</t>
        </is>
      </c>
      <c r="F47" t="inlineStr">
        <is>
          <t>CONSTRUCTION OF 1 ADDITIONAL CLASS ROOM AT MAA BADI CENTER KHEDAFALA</t>
        </is>
      </c>
      <c r="G47" t="inlineStr">
        <is>
          <t>PRATAPGARH</t>
        </is>
      </c>
    </row>
    <row r="48">
      <c r="A48" s="1" t="n">
        <v>46</v>
      </c>
      <c r="B48">
        <f>HYPERLINK("https://eproc.rajasthan.gov.in/nicgep/app?component=%24DirectLink&amp;page=FrontEndViewTender&amp;service=direct&amp;session=T&amp;sp=SM37lzWz8pcj53Cg1hyU0cg%3D%3D", "CONSTRUCTION OF 1 ADDITIONAL CLASS ROOM AT MAA BADI CENTER NAYAFALA")</f>
        <v/>
      </c>
      <c r="C48" t="inlineStr">
        <is>
          <t>SWACH PROJECT||Director</t>
        </is>
      </c>
      <c r="D48" t="inlineStr">
        <is>
          <t>19-May-2025 06:00 PM</t>
        </is>
      </c>
      <c r="E48" t="inlineStr">
        <is>
          <t>3,86,000</t>
        </is>
      </c>
      <c r="F48" t="inlineStr">
        <is>
          <t>CONSTRUCTION OF 1 ADDITIONAL CLASS ROOM AT MAA BADI CENTER NAYAFALA</t>
        </is>
      </c>
      <c r="G48" t="inlineStr">
        <is>
          <t>PRATAPGARH</t>
        </is>
      </c>
    </row>
    <row r="49">
      <c r="A49" s="1" t="n">
        <v>47</v>
      </c>
      <c r="B49">
        <f>HYPERLINK("https://eproc.rajasthan.gov.in/nicgep/app?component=%24DirectLink&amp;page=FrontEndViewTender&amp;service=direct&amp;session=T&amp;sp=SPggGcQmxbw3P4ZUtjCK4PQ%3D%3D", "CONSTRUCTION OF 1 ADDITIONAL CLASS ROOM AT MAA BADI CENTER UDABA KA FALA")</f>
        <v/>
      </c>
      <c r="C49" t="inlineStr">
        <is>
          <t>SWACH PROJECT||Director</t>
        </is>
      </c>
      <c r="D49" t="inlineStr">
        <is>
          <t>19-May-2025 06:00 PM</t>
        </is>
      </c>
      <c r="E49" t="inlineStr">
        <is>
          <t>3,86,000</t>
        </is>
      </c>
      <c r="F49" t="inlineStr">
        <is>
          <t>CONSTRUCTION OF 1 ADDITIONAL CLASS ROOM AT MAA BADI CENTER UDABA KA FALA</t>
        </is>
      </c>
      <c r="G49" t="inlineStr">
        <is>
          <t>PRATAPGARH</t>
        </is>
      </c>
    </row>
    <row r="50">
      <c r="A50" s="1" t="n">
        <v>48</v>
      </c>
      <c r="B50">
        <f>HYPERLINK("https://eproc.rajasthan.gov.in/nicgep/app?component=%24DirectLink&amp;page=FrontEndViewTender&amp;service=direct&amp;session=T&amp;sp=Sts%2B5c4fA7E6Mb7syla%2Bgfw%3D%3D", "CONSTRUCTION OF 1 ADDITIONAL CLASS ROOM AT MAA BADI CENTER HARISINGH KA KHEDA")</f>
        <v/>
      </c>
      <c r="C50" t="inlineStr">
        <is>
          <t>SWACH PROJECT||Director</t>
        </is>
      </c>
      <c r="D50" t="inlineStr">
        <is>
          <t>19-May-2025 06:00 PM</t>
        </is>
      </c>
      <c r="E50" t="inlineStr">
        <is>
          <t>3,86,000</t>
        </is>
      </c>
      <c r="F50" t="inlineStr">
        <is>
          <t>CONSTRUCTION OF 1 ADDITIONAL CLASS ROOM AT MAA BADI CENTER HARISINGH KA KHEDA</t>
        </is>
      </c>
      <c r="G50" t="inlineStr">
        <is>
          <t>PRATAPGARH</t>
        </is>
      </c>
    </row>
    <row r="51">
      <c r="A51" s="1" t="n">
        <v>49</v>
      </c>
      <c r="B51">
        <f>HYPERLINK("https://eproc.rajasthan.gov.in/nicgep/app?component=%24DirectLink&amp;page=FrontEndViewTender&amp;service=direct&amp;session=T&amp;sp=SgfurwO6oJLzpaK8p0OA8hQ%3D%3D", "CONSTRUCTION OF 1 ADDITIONAL CLASS ROOM AT MAA BADI CENTER VADLIPHALA, MANAVKHEDI")</f>
        <v/>
      </c>
      <c r="C51" t="inlineStr">
        <is>
          <t>SWACH PROJECT||Director</t>
        </is>
      </c>
      <c r="D51" t="inlineStr">
        <is>
          <t>19-May-2025 06:00 PM</t>
        </is>
      </c>
      <c r="E51" t="inlineStr">
        <is>
          <t>3,86,000</t>
        </is>
      </c>
      <c r="F51" t="inlineStr">
        <is>
          <t>CONSTRUCTION OF 1 ADDITIONAL CLASS ROOM AT MAA BADI CENTER VADLIPHALA, MANAVKHEDI</t>
        </is>
      </c>
      <c r="G51" t="inlineStr">
        <is>
          <t>PRATAPGARH</t>
        </is>
      </c>
    </row>
    <row r="52">
      <c r="A52" s="1" t="n">
        <v>50</v>
      </c>
      <c r="B52">
        <f>HYPERLINK("https://eproc.rajasthan.gov.in/nicgep/app?component=%24DirectLink&amp;page=FrontEndViewTender&amp;service=direct&amp;session=T&amp;sp=S4kr%2Be8t4Dx14ifGEui6r4w%3D%3D", "CONSTRUCTION OF 1 ADDITIONAL CLASS ROOM AT MAA BADI CENTER NIMDI KHEDA")</f>
        <v/>
      </c>
      <c r="C52" t="inlineStr">
        <is>
          <t>SWACH PROJECT||Director</t>
        </is>
      </c>
      <c r="D52" t="inlineStr">
        <is>
          <t>19-May-2025 06:00 PM</t>
        </is>
      </c>
      <c r="E52" t="inlineStr">
        <is>
          <t>3,86,000</t>
        </is>
      </c>
      <c r="F52" t="inlineStr">
        <is>
          <t>CONSTRUCTION OF 1 ADDITIONAL CLASS ROOM AT MAA BADI CENTER NIMDI KHEDA</t>
        </is>
      </c>
      <c r="G52" t="inlineStr">
        <is>
          <t>PRATAPGARH</t>
        </is>
      </c>
    </row>
    <row r="53">
      <c r="A53" s="1" t="n">
        <v>51</v>
      </c>
      <c r="B53">
        <f>HYPERLINK("https://eproc.rajasthan.gov.in/nicgep/app?component=%24DirectLink&amp;page=FrontEndViewTender&amp;service=direct&amp;session=T&amp;sp=SekMaxLMjlgc%2BK%2BN2rFJOzA%3D%3D", "CONSTRUCTION OF 1 ADDITIONAL CLASS ROOM AT MAA BADI CENTER BICHU MAGRI")</f>
        <v/>
      </c>
      <c r="C53" t="inlineStr">
        <is>
          <t>SWACH PROJECT||Director</t>
        </is>
      </c>
      <c r="D53" t="inlineStr">
        <is>
          <t>19-May-2025 06:00 PM</t>
        </is>
      </c>
      <c r="E53" t="inlineStr">
        <is>
          <t>3,86,000</t>
        </is>
      </c>
      <c r="F53" t="inlineStr">
        <is>
          <t>CONSTRUCTION OF 1 ADDITIONAL CLASS ROOM AT MAA BADI CENTER BICHU MAGRI</t>
        </is>
      </c>
      <c r="G53" t="inlineStr">
        <is>
          <t>PRATAPGARH</t>
        </is>
      </c>
    </row>
    <row r="54">
      <c r="A54" s="1" t="n">
        <v>52</v>
      </c>
      <c r="B54">
        <f>HYPERLINK("https://eproc.rajasthan.gov.in/nicgep/app?component=%24DirectLink&amp;page=FrontEndViewTender&amp;service=direct&amp;session=T&amp;sp=SSGXLa0K3jgRAJyR0fDAOpg%3D%3D", "CONSTRUCTION OF 1 ADDITIONAL CLASS ROOM AT MAA BADI CENTER PAHADI")</f>
        <v/>
      </c>
      <c r="C54" t="inlineStr">
        <is>
          <t>SWACH PROJECT||Director</t>
        </is>
      </c>
      <c r="D54" t="inlineStr">
        <is>
          <t>19-May-2025 06:00 PM</t>
        </is>
      </c>
      <c r="E54" t="inlineStr">
        <is>
          <t>3,86,000</t>
        </is>
      </c>
      <c r="F54" t="inlineStr">
        <is>
          <t>CONSTRUCTION OF 1 ADDITIONAL CLASS ROOM AT MAA BADI CENTER PAHADI</t>
        </is>
      </c>
      <c r="G54" t="inlineStr">
        <is>
          <t>PRATAPGARH</t>
        </is>
      </c>
    </row>
    <row r="55">
      <c r="A55" s="1" t="n">
        <v>53</v>
      </c>
      <c r="B55">
        <f>HYPERLINK("https://eproc.rajasthan.gov.in/nicgep/app?component=%24DirectLink&amp;page=FrontEndViewTender&amp;service=direct&amp;session=T&amp;sp=SZh2Pk%2FuLzs%2BgeGe0oq8eJw%3D%3D", "CONSTRUCTION OF 1 ADDITIONAL CLASS ROOM AT MAA BADI CENTER KHANDADAPHALA")</f>
        <v/>
      </c>
      <c r="C55" t="inlineStr">
        <is>
          <t>SWACH PROJECT||Director</t>
        </is>
      </c>
      <c r="D55" t="inlineStr">
        <is>
          <t>19-May-2025 06:00 PM</t>
        </is>
      </c>
      <c r="E55" t="inlineStr">
        <is>
          <t>3,86,000</t>
        </is>
      </c>
      <c r="F55" t="inlineStr">
        <is>
          <t>CONSTRUCTION OF 1 ADDITIONAL CLASS ROOM AT MAA BADI CENTER KHANDADAPHALA</t>
        </is>
      </c>
      <c r="G55" t="inlineStr">
        <is>
          <t>PRATAPGARH</t>
        </is>
      </c>
    </row>
    <row r="56">
      <c r="A56" s="1" t="n">
        <v>54</v>
      </c>
      <c r="B56">
        <f>HYPERLINK("https://eproc.rajasthan.gov.in/nicgep/app?component=%24DirectLink&amp;page=FrontEndViewTender&amp;service=direct&amp;session=T&amp;sp=SQgGe1C0pjdv0rioD34LBog%3D%3D", "CONSTRUCTION OF 1 ADDITIONAL CLASS ROOM AT MAA BADI CENTER HOLIYA MAUDAFALA")</f>
        <v/>
      </c>
      <c r="C56" t="inlineStr">
        <is>
          <t>SWACH PROJECT||Director</t>
        </is>
      </c>
      <c r="D56" t="inlineStr">
        <is>
          <t>19-May-2025 06:00 PM</t>
        </is>
      </c>
      <c r="E56" t="inlineStr">
        <is>
          <t>3,86,000</t>
        </is>
      </c>
      <c r="F56" t="inlineStr">
        <is>
          <t>CONSTRUCTION OF 1 ADDITIONAL CLASS ROOM AT MAA BADI CENTER HOLIYA MAUDAFALA</t>
        </is>
      </c>
      <c r="G56" t="inlineStr">
        <is>
          <t>PRATAPGARH</t>
        </is>
      </c>
    </row>
    <row r="57">
      <c r="A57" s="1" t="n">
        <v>55</v>
      </c>
      <c r="B57">
        <f>HYPERLINK("https://eproc.rajasthan.gov.in/nicgep/app?component=%24DirectLink&amp;page=FrontEndViewTender&amp;service=direct&amp;session=T&amp;sp=SzBx4IHDHZdV9DMqsJDa5Ag%3D%3D", "CONSTRUCTION OF 1 ADDITIONAL CLASS ROOM AT MAA BADI CENTER SANNOTI NAI AABADI")</f>
        <v/>
      </c>
      <c r="C57" t="inlineStr">
        <is>
          <t>SWACH PROJECT||Director</t>
        </is>
      </c>
      <c r="D57" t="inlineStr">
        <is>
          <t>19-May-2025 06:00 PM</t>
        </is>
      </c>
      <c r="E57" t="inlineStr">
        <is>
          <t>3,86,000</t>
        </is>
      </c>
      <c r="F57" t="inlineStr">
        <is>
          <t>CONSTRUCTION OF 1 ADDITIONAL CLASS ROOM AT MAA BADI CENTER SANNOTI NAI AABADI</t>
        </is>
      </c>
      <c r="G57" t="inlineStr">
        <is>
          <t>PRATAPGARH</t>
        </is>
      </c>
    </row>
    <row r="58">
      <c r="A58" s="1" t="n">
        <v>56</v>
      </c>
      <c r="B58">
        <f>HYPERLINK("https://eproc.rajasthan.gov.in/nicgep/app?component=%24DirectLink&amp;page=FrontEndViewTender&amp;service=direct&amp;session=T&amp;sp=Siy7uq1O2EZtM4HoaBF6%2FcQ%3D%3D", "CONSTRUCTION OF 1 ADDITIONAL CLASS ROOM AT MAA BADI CENTER GADVELA")</f>
        <v/>
      </c>
      <c r="C58" t="inlineStr">
        <is>
          <t>SWACH PROJECT||Director</t>
        </is>
      </c>
      <c r="D58" t="inlineStr">
        <is>
          <t>19-May-2025 06:00 PM</t>
        </is>
      </c>
      <c r="E58" t="inlineStr">
        <is>
          <t>3,86,000</t>
        </is>
      </c>
      <c r="F58" t="inlineStr">
        <is>
          <t>CONSTRUCTION OF 1 ADDITIONAL CLASS ROOM AT MAA BADI CENTER GADVELA</t>
        </is>
      </c>
      <c r="G58" t="inlineStr">
        <is>
          <t>PRATAPGARH</t>
        </is>
      </c>
    </row>
    <row r="59">
      <c r="A59" s="1" t="n">
        <v>57</v>
      </c>
      <c r="B59">
        <f>HYPERLINK("https://eproc.rajasthan.gov.in/nicgep/app?component=%24DirectLink&amp;page=FrontEndViewTender&amp;service=direct&amp;session=T&amp;sp=Swe7nfNPgWsrQeXylNjt1Mw%3D%3D", "CONSTRUCTION OF 1 ADDITIONAL CLASS ROOM AT MAA BADI CENTER BHABHADDEV")</f>
        <v/>
      </c>
      <c r="C59" t="inlineStr">
        <is>
          <t>SWACH PROJECT||Director</t>
        </is>
      </c>
      <c r="D59" t="inlineStr">
        <is>
          <t>19-May-2025 06:00 PM</t>
        </is>
      </c>
      <c r="E59" t="inlineStr">
        <is>
          <t>3,86,000</t>
        </is>
      </c>
      <c r="F59" t="inlineStr">
        <is>
          <t>CONSTRUCTION OF 1 ADDITIONAL CLASS ROOM AT MAA BADI CENTER BHABHADDEV</t>
        </is>
      </c>
      <c r="G59" t="inlineStr">
        <is>
          <t>PRATAPGARH</t>
        </is>
      </c>
    </row>
    <row r="60">
      <c r="A60" s="1" t="n">
        <v>58</v>
      </c>
      <c r="B60">
        <f>HYPERLINK("https://eproc.rajasthan.gov.in/nicgep/app?component=%24DirectLink&amp;page=FrontEndViewTender&amp;service=direct&amp;session=T&amp;sp=SQRmWhiJpcMumutkYLO97Dg%3D%3D", "CONSTRUCTION OF 1 ADDITIONAL CLASS ROOM AT MAA BADI CENTER AMLIFALA")</f>
        <v/>
      </c>
      <c r="C60" t="inlineStr">
        <is>
          <t>SWACH PROJECT||Director</t>
        </is>
      </c>
      <c r="D60" t="inlineStr">
        <is>
          <t>19-May-2025 06:00 PM</t>
        </is>
      </c>
      <c r="E60" t="inlineStr">
        <is>
          <t>3,86,000</t>
        </is>
      </c>
      <c r="F60" t="inlineStr">
        <is>
          <t>CONSTRUCTION OF 1 ADDITIONAL CLASS ROOM AT MAA BADI CENTER AMLIFALA</t>
        </is>
      </c>
      <c r="G60" t="inlineStr">
        <is>
          <t>PRATAPGARH</t>
        </is>
      </c>
    </row>
    <row r="61">
      <c r="A61" s="1" t="n">
        <v>59</v>
      </c>
      <c r="B61">
        <f>HYPERLINK("https://eproc.rajasthan.gov.in/nicgep/app?component=%24DirectLink&amp;page=FrontEndViewTender&amp;service=direct&amp;session=T&amp;sp=S5hJuiuy%2BdxxXHyFleG%2FZJw%3D%3D", "CONSTRUCTION OF 1 ADDITIONAL CLASS ROOM AT MAA BADI CENTER BAVDIKHEDA")</f>
        <v/>
      </c>
      <c r="C61" t="inlineStr">
        <is>
          <t>SWACH PROJECT||Director</t>
        </is>
      </c>
      <c r="D61" t="inlineStr">
        <is>
          <t>19-May-2025 06:00 PM</t>
        </is>
      </c>
      <c r="E61" t="inlineStr">
        <is>
          <t>3,86,000</t>
        </is>
      </c>
      <c r="F61" t="inlineStr">
        <is>
          <t>CONSTRUCTION OF 1 ADDITIONAL CLASS ROOM AT MAA BADI CENTER BAVDIKHEDA</t>
        </is>
      </c>
      <c r="G61" t="inlineStr">
        <is>
          <t>PRATAPGARH</t>
        </is>
      </c>
    </row>
    <row r="62">
      <c r="A62" s="1" t="n">
        <v>60</v>
      </c>
      <c r="B62">
        <f>HYPERLINK("https://eproc.rajasthan.gov.in/nicgep/app?component=%24DirectLink&amp;page=FrontEndViewTender&amp;service=direct&amp;session=T&amp;sp=SuO54glyucqIU2FfunMtJ7Q%3D%3D", "CONSTRUCTION OF 1 ADDITIONAL CLASS ROOM AT MAA BADI CENTER JADI AAMRI")</f>
        <v/>
      </c>
      <c r="C62" t="inlineStr">
        <is>
          <t>SWACH PROJECT||Director</t>
        </is>
      </c>
      <c r="D62" t="inlineStr">
        <is>
          <t>19-May-2025 06:00 PM</t>
        </is>
      </c>
      <c r="E62" t="inlineStr">
        <is>
          <t>3,86,000</t>
        </is>
      </c>
      <c r="F62" t="inlineStr">
        <is>
          <t>CONSTRUCTION OF 1 ADDITIONAL CLASS ROOM AT MAA BADI CENTER JADI AAMRI</t>
        </is>
      </c>
      <c r="G62" t="inlineStr">
        <is>
          <t>PRATAPGARH</t>
        </is>
      </c>
    </row>
    <row r="63">
      <c r="A63" s="1" t="n">
        <v>61</v>
      </c>
      <c r="B63">
        <f>HYPERLINK("https://eproc.rajasthan.gov.in/nicgep/app?component=%24DirectLink&amp;page=FrontEndViewTender&amp;service=direct&amp;session=T&amp;sp=SIYXuPBSQG%2FIiNvBZkcP0oQ%3D%3D", "CONSTRUCTION OF 1 ADDITIONAL CLASS ROOM AT MAA BADI CENTER PILI KHAIYA")</f>
        <v/>
      </c>
      <c r="C63" t="inlineStr">
        <is>
          <t>SWACH PROJECT||Director</t>
        </is>
      </c>
      <c r="D63" t="inlineStr">
        <is>
          <t>19-May-2025 06:00 PM</t>
        </is>
      </c>
      <c r="E63" t="inlineStr">
        <is>
          <t>3,86,000</t>
        </is>
      </c>
      <c r="F63" t="inlineStr">
        <is>
          <t>CONSTRUCTION OF 1 ADDITIONAL CLASS ROOM AT MAA BADI CENTER PILI KHAIYA</t>
        </is>
      </c>
      <c r="G63" t="inlineStr">
        <is>
          <t>PRATAPGARH</t>
        </is>
      </c>
    </row>
    <row r="64">
      <c r="A64" s="1" t="n">
        <v>62</v>
      </c>
      <c r="B64">
        <f>HYPERLINK("https://eproc.rajasthan.gov.in/nicgep/app?component=%24DirectLink&amp;page=FrontEndViewTender&amp;service=direct&amp;session=T&amp;sp=SbRceyavgxMJ3eVqt4uDKWQ%3D%3D", "CONSTRUCTION OF 1 ADDITIONAL CLASS ROOM AT MAA BADI CENTER UMRIKHEDA")</f>
        <v/>
      </c>
      <c r="C64" t="inlineStr">
        <is>
          <t>SWACH PROJECT||Director</t>
        </is>
      </c>
      <c r="D64" t="inlineStr">
        <is>
          <t>19-May-2025 06:00 PM</t>
        </is>
      </c>
      <c r="E64" t="inlineStr">
        <is>
          <t>3,86,000</t>
        </is>
      </c>
      <c r="F64" t="inlineStr">
        <is>
          <t>CONSTRUCTION OF 1 ADDITIONAL CLASS ROOM AT MAA BADI CENTER UMRIKHEDA</t>
        </is>
      </c>
      <c r="G64" t="inlineStr">
        <is>
          <t>PRATAPGARH</t>
        </is>
      </c>
    </row>
    <row r="65">
      <c r="A65" s="1" t="n">
        <v>63</v>
      </c>
      <c r="B65">
        <f>HYPERLINK("https://eproc.rajasthan.gov.in/nicgep/app?component=%24DirectLink&amp;page=FrontEndViewTender&amp;service=direct&amp;session=T&amp;sp=SbcpYEIW8Aw9zC3Nxgg%2BACQ%3D%3D", "CONSTRUCTION OF 1 ADDITIONAL CLASS ROOM AT MAA BADI CENTER MATAPADA")</f>
        <v/>
      </c>
      <c r="C65" t="inlineStr">
        <is>
          <t>SWACH PROJECT||Director</t>
        </is>
      </c>
      <c r="D65" t="inlineStr">
        <is>
          <t>19-May-2025 06:00 PM</t>
        </is>
      </c>
      <c r="E65" t="inlineStr">
        <is>
          <t>3,86,000</t>
        </is>
      </c>
      <c r="F65" t="inlineStr">
        <is>
          <t>CONSTRUCTION OF 1 ADDITIONAL CLASS ROOM AT MAA BADI CENTER MATAPADA</t>
        </is>
      </c>
      <c r="G65" t="inlineStr">
        <is>
          <t>PRATAPGARH</t>
        </is>
      </c>
    </row>
    <row r="66">
      <c r="A66" s="1" t="n">
        <v>64</v>
      </c>
      <c r="B66">
        <f>HYPERLINK("https://eproc.rajasthan.gov.in/nicgep/app?component=%24DirectLink&amp;page=FrontEndViewTender&amp;service=direct&amp;session=T&amp;sp=S7jo6TS80l%2Fheqy4py%2BoJPQ%3D%3D", "CONSTRUCTION OF 1 ADDITIONAL CLASS ROOM AT MAA BADI CENTER CHATARI GHATA")</f>
        <v/>
      </c>
      <c r="C66" t="inlineStr">
        <is>
          <t>SWACH PROJECT||Director</t>
        </is>
      </c>
      <c r="D66" t="inlineStr">
        <is>
          <t>19-May-2025 06:00 PM</t>
        </is>
      </c>
      <c r="E66" t="inlineStr">
        <is>
          <t>3,86,000</t>
        </is>
      </c>
      <c r="F66" t="inlineStr">
        <is>
          <t>CONSTRUCTION OF 1 ADDITIONAL CLASS ROOM AT MAA BADI CENTER CHATARI GHATA</t>
        </is>
      </c>
      <c r="G66" t="inlineStr">
        <is>
          <t>PRATAPGARH</t>
        </is>
      </c>
    </row>
    <row r="67">
      <c r="A67" s="1" t="n">
        <v>65</v>
      </c>
      <c r="B67">
        <f>HYPERLINK("https://eproc.rajasthan.gov.in/nicgep/app?component=%24DirectLink&amp;page=FrontEndViewTender&amp;service=direct&amp;session=T&amp;sp=SyOqD4xyjHpq%2FaA3kVPMLKA%3D%3D", "Construction of New 50 Beded Boys Hostel with Various Work at Deori (Pajantori) Shahabad District Baran (Capacity 50)")</f>
        <v/>
      </c>
      <c r="C67" t="inlineStr">
        <is>
          <t>SWACH PROJECT||Director</t>
        </is>
      </c>
      <c r="D67" t="inlineStr">
        <is>
          <t>19-May-2025 12:00 PM</t>
        </is>
      </c>
      <c r="E67" t="inlineStr">
        <is>
          <t>2,65,39,000</t>
        </is>
      </c>
      <c r="F67" t="inlineStr">
        <is>
          <t>Construction of New 50 Beded Boys Hostel with Various Work at Deori (Pajantori) Shahabad District Baran (Capacity 50)</t>
        </is>
      </c>
      <c r="G67" t="inlineStr">
        <is>
          <t>Shahbad Baran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2025-05-17T13:21:01Z</dcterms:created>
  <dcterms:modified xsi:type="dcterms:W3CDTF">2025-05-17T13:21:01Z</dcterms:modified>
</cp:coreProperties>
</file>