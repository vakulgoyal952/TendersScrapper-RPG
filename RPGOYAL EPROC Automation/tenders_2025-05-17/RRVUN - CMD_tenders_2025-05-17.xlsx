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HYPERLINK("https://eproc.rajasthan.gov.in/nicgep/app?component=%24DirectLink&amp;page=FrontEndViewTender&amp;service=direct&amp;session=T&amp;sp=SbJItDcMDLXLsWFb0Dbh2SA%3D%3D", "TN/STPS-SC/2025-26/219(Opr)")</f>
        <v/>
      </c>
      <c r="C2" t="inlineStr">
        <is>
          <t>RRVUN - CMD||RVUN-CE (STPS-SC) SURATGARH</t>
        </is>
      </c>
      <c r="D2" t="inlineStr">
        <is>
          <t>03-Jun-2025 11:00 AM</t>
        </is>
      </c>
      <c r="E2" t="inlineStr">
        <is>
          <t>36,65,406</t>
        </is>
      </c>
      <c r="F2" t="inlineStr">
        <is>
          <t>Annual work Contract for removing, cleaning and refixing oil guns of boilers and operation activities and other miscellaneous work including turbine and CA area in shift duties of Unit 7 and 8 of SSCTPS, Suratgarh.</t>
        </is>
      </c>
      <c r="G2" t="inlineStr">
        <is>
          <t>Suratgarh</t>
        </is>
      </c>
    </row>
    <row r="3">
      <c r="A3" s="1" t="n">
        <v>1</v>
      </c>
      <c r="B3">
        <f>HYPERLINK("https://eproc.rajasthan.gov.in/nicgep/app?component=%24DirectLink&amp;page=FrontEndViewTender&amp;service=direct&amp;session=T&amp;sp=SxDqnhdhkT7BxAlINsGZDxg%3D%3D", "Requirement of Various type of Rubber items FY 2025-26 for SSCTPS, Suratgarh")</f>
        <v/>
      </c>
      <c r="C3" t="inlineStr">
        <is>
          <t>RRVUN - CMD||RVUN - CE (SSTPS), Suratgarh||SE (Proc.)</t>
        </is>
      </c>
      <c r="D3" t="inlineStr">
        <is>
          <t>03-Jun-2025 11:30 AM</t>
        </is>
      </c>
      <c r="E3" t="inlineStr">
        <is>
          <t>NA</t>
        </is>
      </c>
      <c r="F3" t="inlineStr">
        <is>
          <t>Requirement of Various type of Rubber items FY 2025-26 for SSCTPS, Suratgarh</t>
        </is>
      </c>
      <c r="G3" t="inlineStr">
        <is>
          <t>O/o SE(proc-SC), SSCTPP, Suratgarh</t>
        </is>
      </c>
    </row>
    <row r="4">
      <c r="A4" s="1" t="n">
        <v>2</v>
      </c>
      <c r="B4">
        <f>HYPERLINK("https://eproc.rajasthan.gov.in/nicgep/app?component=%24DirectLink&amp;page=FrontEndViewTender&amp;service=direct&amp;session=T&amp;sp=SQteYONPQIp5VljuyjZDwUA%3D%3D", "Requirement of Forged Steel Toothed Ring Hammer for Ring Granulator, CHP, SSCTPP, Suratgarh")</f>
        <v/>
      </c>
      <c r="C4" t="inlineStr">
        <is>
          <t>RRVUN - CMD||RVUN - CE (SSTPS), Suratgarh||SE (Proc.)</t>
        </is>
      </c>
      <c r="D4" t="inlineStr">
        <is>
          <t>03-Jun-2025 11:30 AM</t>
        </is>
      </c>
      <c r="E4" t="inlineStr">
        <is>
          <t>NA</t>
        </is>
      </c>
      <c r="F4" t="inlineStr">
        <is>
          <t>Requirement of Forged Steel Toothed Ring Hammer for Ring Granulator, CHP, SSCTPP, Suratgarh</t>
        </is>
      </c>
      <c r="G4" t="inlineStr">
        <is>
          <t>SSCTPP, Suratgarh</t>
        </is>
      </c>
    </row>
    <row r="5">
      <c r="A5" s="1" t="n">
        <v>3</v>
      </c>
      <c r="B5">
        <f>HYPERLINK("https://eproc.rajasthan.gov.in/nicgep/app?component=%24DirectLink&amp;page=FrontEndViewTender&amp;service=direct&amp;session=T&amp;sp=SQH3%2FE4BoCArbQA6HENmHwA%3D%3D", "Requirement of Adhesives for FY 2025-26 as per requirement of different Circle of 2 x 660 MW Units of STPS-SC, Suratgarh")</f>
        <v/>
      </c>
      <c r="C5" t="inlineStr">
        <is>
          <t>RRVUN - CMD||RVUN - CE (SSTPS), Suratgarh||SE (Proc.)</t>
        </is>
      </c>
      <c r="D5" t="inlineStr">
        <is>
          <t>03-Jun-2025 11:30 AM</t>
        </is>
      </c>
      <c r="E5" t="inlineStr">
        <is>
          <t>NA</t>
        </is>
      </c>
      <c r="F5" t="inlineStr">
        <is>
          <t>Requirement of Adhesives for FY 2025-26 as per requirement of different Circle of 2 x 660 MW Units of STPS-SC, Suratgarh</t>
        </is>
      </c>
      <c r="G5" t="inlineStr">
        <is>
          <t>O/o SE(proc-SC), SSCTPP, Suratgarh</t>
        </is>
      </c>
    </row>
    <row r="6">
      <c r="A6" s="1" t="n">
        <v>4</v>
      </c>
      <c r="B6">
        <f>HYPERLINK("https://eproc.rajasthan.gov.in/nicgep/app?component=%24DirectLink&amp;page=FrontEndViewTender&amp;service=direct&amp;session=T&amp;sp=S0kQsrpaf50T7ViWkuFXEfg%3D%3D", "TN/STPS-SC/2025-26/221(CA)")</f>
        <v/>
      </c>
      <c r="C6" t="inlineStr">
        <is>
          <t>RRVUN - CMD||RVUN - CE (SSTPS), Suratgarh||Dy.CE (CHPl)</t>
        </is>
      </c>
      <c r="D6" t="inlineStr">
        <is>
          <t>03-Jun-2025 11:00 AM</t>
        </is>
      </c>
      <c r="E6" t="inlineStr">
        <is>
          <t>48,70,000</t>
        </is>
      </c>
      <c r="F6" t="inlineStr">
        <is>
          <t>Annual Contract of Routine, Breakdown maintenance work of Compressed Air System of Unit 7 and 8 (2x660MW), SSCTPS, Suratgarh.</t>
        </is>
      </c>
      <c r="G6" t="inlineStr">
        <is>
          <t>SSCTPS,SURATGARH</t>
        </is>
      </c>
    </row>
    <row r="7">
      <c r="A7" s="1" t="n">
        <v>5</v>
      </c>
      <c r="B7">
        <f>HYPERLINK("https://eproc.rajasthan.gov.in/nicgep/app?component=%24DirectLink&amp;page=FrontEndViewTender&amp;service=direct&amp;session=T&amp;sp=Sr6sNN4tmh%2FOyUkdk8FVqdQ%3D%3D", "TN/STPS-SC/2025-26/226(CA)")</f>
        <v/>
      </c>
      <c r="C7" t="inlineStr">
        <is>
          <t>RRVUN - CMD||RVUN - CE (SSTPS), Suratgarh||Dy.CE (CHPl)</t>
        </is>
      </c>
      <c r="D7" t="inlineStr">
        <is>
          <t>06-Jun-2025 11:00 AM</t>
        </is>
      </c>
      <c r="E7" t="inlineStr">
        <is>
          <t>2,31,44,769</t>
        </is>
      </c>
      <c r="F7" t="inlineStr">
        <is>
          <t>Annual Contract for Routine, Breakdown and maintenance work of complete CA System of Unit 7 and 8, (2x660MW), SSCTPS, RVUNL, SURATGARH</t>
        </is>
      </c>
      <c r="G7" t="inlineStr">
        <is>
          <t>SSCTPS, SURATGARH</t>
        </is>
      </c>
    </row>
    <row r="8">
      <c r="A8" s="1" t="n">
        <v>6</v>
      </c>
      <c r="B8">
        <f>HYPERLINK("https://eproc.rajasthan.gov.in/nicgep/app?component=%24DirectLink&amp;page=FrontEndViewTender&amp;service=direct&amp;session=T&amp;sp=SePbc8HW04jjiQbuCS7jMXQ%3D%3D", "TN/STPS-SC/2025-26/222(CnI)")</f>
        <v/>
      </c>
      <c r="C8" t="inlineStr">
        <is>
          <t>RRVUN - CMD||RVUN-CE (STPS-SC) SURATGARH</t>
        </is>
      </c>
      <c r="D8" t="inlineStr">
        <is>
          <t>06-Jun-2025 11:00 AM</t>
        </is>
      </c>
      <c r="E8" t="inlineStr">
        <is>
          <t>93,38,107</t>
        </is>
      </c>
      <c r="F8" t="inlineStr">
        <is>
          <t>Annual work contract for Routine, Breakdown, Capital Maintenance and assistance in routine maintenance, annual shutdown and up keeping of CnI systems, instruments and equipment at (2X660 MW), SSCTPS, Suratgarh</t>
        </is>
      </c>
      <c r="G8" t="inlineStr">
        <is>
          <t>Suratgarh</t>
        </is>
      </c>
    </row>
    <row r="9">
      <c r="A9" s="1" t="n">
        <v>7</v>
      </c>
      <c r="B9">
        <f>HYPERLINK("https://eproc.rajasthan.gov.in/nicgep/app?component=%24DirectLink&amp;page=FrontEndViewTender&amp;service=direct&amp;session=T&amp;sp=SDnBhshQ2u065PovtCkyfQA%3D%3D", "TN/STPS-SC/2025-26/Proc/312")</f>
        <v/>
      </c>
      <c r="C9" t="inlineStr">
        <is>
          <t>RRVUN - CMD||RVUN - CE (SSTPS), Suratgarh||SE (Proc.)</t>
        </is>
      </c>
      <c r="D9" t="inlineStr">
        <is>
          <t>03-Jun-2025 11:30 AM</t>
        </is>
      </c>
      <c r="E9" t="inlineStr">
        <is>
          <t>NA</t>
        </is>
      </c>
      <c r="F9" t="inlineStr">
        <is>
          <t>Requirement of Rexroth make Servo Valves for LP bypass and HP turbine overload Control valves installed in unit 7 and 8 at 2X660 MW SSCTPS SURATGARH</t>
        </is>
      </c>
      <c r="G9" t="inlineStr">
        <is>
          <t>SSCTPP, Suratgarh</t>
        </is>
      </c>
    </row>
    <row r="10">
      <c r="A10" s="1" t="n">
        <v>8</v>
      </c>
      <c r="B10">
        <f>HYPERLINK("https://eproc.rajasthan.gov.in/nicgep/app?component=%24DirectLink&amp;page=FrontEndViewTender&amp;service=direct&amp;session=T&amp;sp=S40ccPGLVjKlxM%2FoNGb8Btg%3D%3D", "TN/STPS-SC/2025-26/225(Boiler)")</f>
        <v/>
      </c>
      <c r="C10" t="inlineStr">
        <is>
          <t>RRVUN - CMD||RVUN - CE (SSTPS), Suratgarh||SE (Proc.)</t>
        </is>
      </c>
      <c r="D10" t="inlineStr">
        <is>
          <t>06-Jun-2025 11:00 AM</t>
        </is>
      </c>
      <c r="E10" t="inlineStr">
        <is>
          <t>97,35,000</t>
        </is>
      </c>
      <c r="F10" t="inlineStr">
        <is>
          <t>Retrofitting/replacement work of Vertical Waterwall, Repair and checking work of Stirrup with buckstays, Wall and Tie beam/bar in Unit#7 at 2X660MW, SSCTPS, RVUN, Suratgarh</t>
        </is>
      </c>
      <c r="G10" t="inlineStr">
        <is>
          <t>Suratgarh</t>
        </is>
      </c>
    </row>
    <row r="11">
      <c r="A11" s="1" t="n">
        <v>9</v>
      </c>
      <c r="B11">
        <f>HYPERLINK("https://eproc.rajasthan.gov.in/nicgep/app?component=%24DirectLink&amp;page=FrontEndViewTender&amp;service=direct&amp;session=T&amp;sp=SnqEf0WjRXbJ7zy%2BMf8%2FM1Q%3D%3D", "Annual Maintanance contract for repairing of Hydraulic adjustment Device (HAD) of PA, FD and ID fans at SSCTPS, suratgarh For FY2025-26")</f>
        <v/>
      </c>
      <c r="C11" t="inlineStr">
        <is>
          <t>RRVUN - CMD||RVUN-CE (STPS-SC) SURATGARH||SE(MM)</t>
        </is>
      </c>
      <c r="D11" t="inlineStr">
        <is>
          <t>03-Jun-2025 11:00 AM</t>
        </is>
      </c>
      <c r="E11" t="inlineStr">
        <is>
          <t>41,88,882</t>
        </is>
      </c>
      <c r="F11" t="inlineStr">
        <is>
          <t>Annual Maintanance contract for repairing of Hydraulic adjustment Device (HAD) of PA, FD and ID fans at SSCTPS, suratgarh For FY2025-26</t>
        </is>
      </c>
      <c r="G11" t="inlineStr">
        <is>
          <t>SE(Boiler), SSCTPS, Suratgarh</t>
        </is>
      </c>
    </row>
    <row r="12">
      <c r="A12" s="1" t="n">
        <v>10</v>
      </c>
      <c r="B12">
        <f>HYPERLINK("https://eproc.rajasthan.gov.in/nicgep/app?component=%24DirectLink&amp;page=FrontEndViewTender&amp;service=direct&amp;session=T&amp;sp=SnoP9xjRoF%2BKw6CrvHMOLUw%3D%3D", "TN/STPS-SC/2025-26/220(Civil)")</f>
        <v/>
      </c>
      <c r="C12" t="inlineStr">
        <is>
          <t>RRVUN - CMD||RVUN-CE (STPS-SC) SURATGARH</t>
        </is>
      </c>
      <c r="D12" t="inlineStr">
        <is>
          <t>03-Jun-2025 11:00 AM</t>
        </is>
      </c>
      <c r="E12" t="inlineStr">
        <is>
          <t>20,23,277</t>
        </is>
      </c>
      <c r="F12" t="inlineStr">
        <is>
          <t>Annual contract for general cleaning work of surrounding area of structures located between Raw C of TG Building to Chimney at Zero Mtr. and approach roads including all plant roads in plant site at Unit7 and 8,SSCTPS,Suratgarh.</t>
        </is>
      </c>
      <c r="G12" t="inlineStr">
        <is>
          <t>SSCTPS, Suratgarh</t>
        </is>
      </c>
    </row>
    <row r="13">
      <c r="A13" s="1" t="n">
        <v>11</v>
      </c>
      <c r="B13">
        <f>HYPERLINK("https://eproc.rajasthan.gov.in/nicgep/app?component=%24DirectLink&amp;page=FrontEndViewTender&amp;service=direct&amp;session=T&amp;sp=Scf8Dts5kpkyLUbk7xz1%2BvQ%3D%3D", "Supply, erection, testing and commissioning of Exide or equivalent make battery banks, Type Tubular HDP, 220V/500 AH For Switchyard-II ,Source-2 and 220V/200AH For CHP of CTPP with buy back and dismantling of existing battery bank of CTPP Chhabra")</f>
        <v/>
      </c>
      <c r="C13" t="inlineStr">
        <is>
          <t>RRVUN - CMD||RVUN - CE (CTPP) - Chhabra</t>
        </is>
      </c>
      <c r="D13" t="inlineStr">
        <is>
          <t>27-May-2025 12:00 PM</t>
        </is>
      </c>
      <c r="E13" t="inlineStr">
        <is>
          <t>38,91,000</t>
        </is>
      </c>
      <c r="F13" t="inlineStr">
        <is>
          <t>Supply, erection, testing and commissioning of Exide or equivalent make battery banks, Type Tubular HDP, 220V/500 AH For Switchyard-II ,Source-2 and 220V/200AH For CHP of CTPP with buy back and dismantling of existing battery bank of CTPP Chhabra</t>
        </is>
      </c>
      <c r="G13" t="inlineStr">
        <is>
          <t>CTPP, RVUNL, Chhabra</t>
        </is>
      </c>
    </row>
    <row r="14">
      <c r="A14" s="1" t="n">
        <v>12</v>
      </c>
      <c r="B14">
        <f>HYPERLINK("https://eproc.rajasthan.gov.in/nicgep/app?component=%24DirectLink&amp;page=FrontEndViewTender&amp;service=direct&amp;session=T&amp;sp=SdXVoCnV4rOqoFlHSu7mmXg%3D%3D", "Annual contract of repairing work IN-SITU position of big valves in Boiler and turbine area of unit 1 to 4 at CTPP, RVUNL, Chhabra")</f>
        <v/>
      </c>
      <c r="C14" t="inlineStr">
        <is>
          <t>RRVUN - CMD||RVUN - CE (CTPP) - Chhabra||Dy.CE (O and M)</t>
        </is>
      </c>
      <c r="D14" t="inlineStr">
        <is>
          <t>28-May-2025 12:00 PM</t>
        </is>
      </c>
      <c r="E14" t="inlineStr">
        <is>
          <t>28,36,222</t>
        </is>
      </c>
      <c r="F14" t="inlineStr">
        <is>
          <t>Annual contract of repairing work IN-SITU position of big valves in Boiler and turbine area of unit 1 to 4 at CTPP, RVUNL, Chhabra</t>
        </is>
      </c>
      <c r="G14" t="inlineStr">
        <is>
          <t>CTPP, RVUNL, Chhabra</t>
        </is>
      </c>
    </row>
    <row r="15">
      <c r="A15" s="1" t="n">
        <v>13</v>
      </c>
      <c r="B15">
        <f>HYPERLINK("https://eproc.rajasthan.gov.in/nicgep/app?component=%24DirectLink&amp;page=FrontEndViewTender&amp;service=direct&amp;session=T&amp;sp=SjhUbLct9VAYXBcOUaP1l0Q%3D%3D", "Annual Contract for R/B and annual/capital mtc. work of LT SWGR, LT bus duct, AHP control panel, battery bank and battery charger, all CA area LT panels, cable laying, glanding, jointing and termination and cable cleaning of Unit-I to IV of CTPP.")</f>
        <v/>
      </c>
      <c r="C15" t="inlineStr">
        <is>
          <t>RRVUN - CMD||RVUN - CE (CTPP) - Chhabra||SE (MM)</t>
        </is>
      </c>
      <c r="D15" t="inlineStr">
        <is>
          <t>03-Jun-2025 01:00 PM</t>
        </is>
      </c>
      <c r="E15" t="inlineStr">
        <is>
          <t>39,45,685</t>
        </is>
      </c>
      <c r="F15" t="inlineStr">
        <is>
          <t>Annual Contract for R/B and annual/capital mtc. work of LT SWGR, LT bus duct, AHP control panel, battery bank and battery charger, all CA area LT panels, cable laying, glanding, jointing and termination and cable cleaning of Unit-I to IV of CTPP.</t>
        </is>
      </c>
      <c r="G15" t="inlineStr">
        <is>
          <t>CTPP, RVUNL, Chhabra</t>
        </is>
      </c>
    </row>
    <row r="16">
      <c r="A16" s="1" t="n">
        <v>14</v>
      </c>
      <c r="B16">
        <f>HYPERLINK("https://eproc.rajasthan.gov.in/nicgep/app?component=%24DirectLink&amp;page=FrontEndViewTender&amp;service=direct&amp;session=T&amp;sp=SSWvUWwgyZCQhLlJcYiinXw%3D%3D", "Supply of MS Steel for various power plants of RVUN as per specification")</f>
        <v/>
      </c>
      <c r="C16" t="inlineStr">
        <is>
          <t>RRVUN - CMD||RVUN - CE (TD) - Jaipur</t>
        </is>
      </c>
      <c r="D16" t="inlineStr">
        <is>
          <t>03-Jun-2025 02:30 PM</t>
        </is>
      </c>
      <c r="E16" t="inlineStr">
        <is>
          <t>NA</t>
        </is>
      </c>
      <c r="F16" t="inlineStr">
        <is>
          <t>Supply of MS Steel for various power plants of RVUN as per specification</t>
        </is>
      </c>
      <c r="G16" t="inlineStr">
        <is>
          <t>Various Power Plant of RVUN</t>
        </is>
      </c>
    </row>
    <row r="17">
      <c r="A17" s="1" t="n">
        <v>15</v>
      </c>
      <c r="B17">
        <f>HYPERLINK("https://eproc.rajasthan.gov.in/nicgep/app?component=%24DirectLink&amp;page=FrontEndViewTender&amp;service=direct&amp;session=T&amp;sp=Sb2DxIm2d2vb8PILPruSO%2Bw%3D%3D", "Annual Rate Contract for empanelment of transportation agency(s)/contractor(s) for transportation of pond/mound ash from ash pond/dyke of CSCTPP, RVUN, Chhabra to various locations of user agency(s)")</f>
        <v/>
      </c>
      <c r="C17" t="inlineStr">
        <is>
          <t>RRVUN - CMD||RVUN-CE (CTPP-SC) CHHABRA</t>
        </is>
      </c>
      <c r="D17" t="inlineStr">
        <is>
          <t>16-Jun-2025 01:00 PM</t>
        </is>
      </c>
      <c r="E17" t="inlineStr">
        <is>
          <t>50,00,00,000</t>
        </is>
      </c>
      <c r="F17" t="inlineStr">
        <is>
          <t>Annual Rate Contract for empanelment of transportation agency(s)/contractor(s) for transportation of pond/mound ash from ash pond/dyke of CSCTPP, RVUN, Chhabra to various locations of user agency(s)</t>
        </is>
      </c>
      <c r="G17" t="inlineStr">
        <is>
          <t>CSCTPP CHHABRA</t>
        </is>
      </c>
    </row>
    <row r="18">
      <c r="A18" s="1" t="n">
        <v>16</v>
      </c>
      <c r="B18">
        <f>HYPERLINK("https://eproc.rajasthan.gov.in/nicgep/app?component=%24DirectLink&amp;page=FrontEndViewTender&amp;service=direct&amp;session=T&amp;sp=SBVYUL%2F1P2KOV%2BNZ5yreHoQ%3D%3D", "Annual Contract for Routine Breakdown and Capital Maintenance of Air conditioning")</f>
        <v/>
      </c>
      <c r="C18" t="inlineStr">
        <is>
          <t>RRVUN - CMD||RVUN-CE (CTPP-SC) CHHABRA</t>
        </is>
      </c>
      <c r="D18" t="inlineStr">
        <is>
          <t>26-May-2025 01:00 PM</t>
        </is>
      </c>
      <c r="E18" t="inlineStr">
        <is>
          <t>29,02,154</t>
        </is>
      </c>
      <c r="F18" t="inlineStr">
        <is>
          <t>Annual Contract for Routine Breakdown and Capital Maintenance of Air conditioning</t>
        </is>
      </c>
      <c r="G18" t="inlineStr">
        <is>
          <t>CSCTPP RRVUNL CHHABRA</t>
        </is>
      </c>
    </row>
    <row r="19">
      <c r="A19" s="1" t="n">
        <v>17</v>
      </c>
      <c r="B19">
        <f>HYPERLINK("https://eproc.rajasthan.gov.in/nicgep/app?component=%24DirectLink&amp;page=FrontEndViewTender&amp;service=direct&amp;session=T&amp;sp=Sxwnp9wSACkFRSdWQiJ8Dpg%3D%3D", "Supply, Erection, testing and commissioning of Batteries with buy back for UPS at various PLC s and for PLCC of Switchyard Phase-I at CTPP, Chhabra")</f>
        <v/>
      </c>
      <c r="C19" t="inlineStr">
        <is>
          <t>RRVUN - CMD||RVUN - CE (CTPP) - Chhabra</t>
        </is>
      </c>
      <c r="D19" t="inlineStr">
        <is>
          <t>26-May-2025 12:00 PM</t>
        </is>
      </c>
      <c r="E19" t="inlineStr">
        <is>
          <t>15,24,000</t>
        </is>
      </c>
      <c r="F19" t="inlineStr">
        <is>
          <t>Supply, Erection, testing and commissioning of Batteries with buy back for UPS at various PLC s and for PLCC of Switchyard Phase-I at CTPP, Chhabra</t>
        </is>
      </c>
      <c r="G19" t="inlineStr">
        <is>
          <t>CTPP, RVUNL, Chhabra</t>
        </is>
      </c>
    </row>
    <row r="20">
      <c r="A20" s="1" t="n">
        <v>18</v>
      </c>
      <c r="B20">
        <f>HYPERLINK("https://eproc.rajasthan.gov.in/nicgep/app?component=%24DirectLink&amp;page=FrontEndViewTender&amp;service=direct&amp;session=T&amp;sp=StYq%2FyA8JBfkHckeVlr9uqQ%3D%3D", "Refurbishment/ Reconditioning work of Rotor assemblies of Elecon and TRF make Ring Granulators at CHP-CTPP, Chhabra")</f>
        <v/>
      </c>
      <c r="C20" t="inlineStr">
        <is>
          <t>RRVUN - CMD||RVUN - CE (CTPP) - Chhabra||SE(CHP)</t>
        </is>
      </c>
      <c r="D20" t="inlineStr">
        <is>
          <t>26-May-2025 05:00 PM</t>
        </is>
      </c>
      <c r="E20" t="inlineStr">
        <is>
          <t>21,38,000</t>
        </is>
      </c>
      <c r="F20" t="inlineStr">
        <is>
          <t>Refurbishment/ Reconditioning work of Rotor assemblies of Elecon and TRF make Ring Granulators at CHP-CTPP, Chhabra</t>
        </is>
      </c>
      <c r="G20" t="inlineStr">
        <is>
          <t>CTPP, RVUNL, CHHABRA</t>
        </is>
      </c>
    </row>
    <row r="21">
      <c r="A21" s="1" t="n">
        <v>19</v>
      </c>
      <c r="B21">
        <f>HYPERLINK("https://eproc.rajasthan.gov.in/nicgep/app?component=%24DirectLink&amp;page=FrontEndViewTender&amp;service=direct&amp;session=T&amp;sp=SCVOVGt%2FH2J5PRUD%2BPNHk3A%3D%3D", "Rectification work of 3 passes of Electrostatic Precipitator (ESP) Unit 5 and 6(2x660MW), CSCTPP, Chhabra")</f>
        <v/>
      </c>
      <c r="C21" t="inlineStr">
        <is>
          <t>RRVUN - CMD||RVUN-CE (CTPP-SC) CHHABRA</t>
        </is>
      </c>
      <c r="D21" t="inlineStr">
        <is>
          <t>26-May-2025 01:00 PM</t>
        </is>
      </c>
      <c r="E21" t="inlineStr">
        <is>
          <t>64,80,000</t>
        </is>
      </c>
      <c r="F21" t="inlineStr">
        <is>
          <t>Rectification work of 3 passes of Electrostatic Precipitator (ESP) Unit 5 and 6(2x660MW), CSCTPP, Chhabra</t>
        </is>
      </c>
      <c r="G21" t="inlineStr">
        <is>
          <t>CSCTPP CHHABRA</t>
        </is>
      </c>
    </row>
    <row r="22">
      <c r="A22" s="1" t="n">
        <v>20</v>
      </c>
      <c r="B22">
        <f>HYPERLINK("https://eproc.rajasthan.gov.in/nicgep/app?component=%24DirectLink&amp;page=FrontEndViewTender&amp;service=direct&amp;session=T&amp;sp=SGPtEAgaAVVqExErpJzNpkw%3D%3D", "TN-SC-W-09/2025-26(FF/Safety)")</f>
        <v/>
      </c>
      <c r="C22" t="inlineStr">
        <is>
          <t>RRVUN - CMD||RVUN-CE (CTPP-SC) CHHABRA</t>
        </is>
      </c>
      <c r="D22" t="inlineStr">
        <is>
          <t>26-May-2025 01:00 PM</t>
        </is>
      </c>
      <c r="E22" t="inlineStr">
        <is>
          <t>3,37,200</t>
        </is>
      </c>
      <c r="F22" t="inlineStr">
        <is>
          <t>Annual contract for the work of removal of bee nest from the various locations inside the plant and colony of 2x660 MW, Unit 5 and 6 of Chhabra Super Critical Thermal Power Project, Chhabra</t>
        </is>
      </c>
      <c r="G22" t="inlineStr">
        <is>
          <t>CSCTPP, Motipura , Chhabra</t>
        </is>
      </c>
    </row>
    <row r="23">
      <c r="A23" s="1" t="n">
        <v>21</v>
      </c>
      <c r="B23">
        <f>HYPERLINK("https://eproc.rajasthan.gov.in/nicgep/app?component=%24DirectLink&amp;page=FrontEndViewTender&amp;service=direct&amp;session=T&amp;sp=S%2F2Ys8ifbOvWZC1p%2BGakITw%3D%3D", "Supply of spares for TRF make Wagon Tippler and Apron Feeder at CHP Phase II, CTPP Chhabra")</f>
        <v/>
      </c>
      <c r="C23" t="inlineStr">
        <is>
          <t>RRVUN - CMD||RVUN - CE (CTPP) - Chhabra</t>
        </is>
      </c>
      <c r="D23" t="inlineStr">
        <is>
          <t>27-May-2025 11:00 AM</t>
        </is>
      </c>
      <c r="E23" t="inlineStr">
        <is>
          <t>41,05,000</t>
        </is>
      </c>
      <c r="F23" t="inlineStr">
        <is>
          <t>Supply of spares for TRF make Wagon Tippler and Apron Feeder at CHP Phase II, CTPP Chhabra</t>
        </is>
      </c>
      <c r="G23" t="inlineStr">
        <is>
          <t>CTPP RRVUNL Chhabra</t>
        </is>
      </c>
    </row>
    <row r="24">
      <c r="A24" s="1" t="n">
        <v>22</v>
      </c>
      <c r="B24">
        <f>HYPERLINK("https://eproc.rajasthan.gov.in/nicgep/app?component=%24DirectLink&amp;page=FrontEndViewTender&amp;service=direct&amp;session=T&amp;sp=SOUVVF0nw3esypwykOlfZDA%3D%3D", "Annual maintenance contract for PLC of C and I, Unit#1to4, CTPP, Chhabra")</f>
        <v/>
      </c>
      <c r="C24" t="inlineStr">
        <is>
          <t>RRVUN - CMD||RVUN - CE (CTPP) - Chhabra||Dy.CE (O and M)</t>
        </is>
      </c>
      <c r="D24" t="inlineStr">
        <is>
          <t>30-May-2025 01:00 PM</t>
        </is>
      </c>
      <c r="E24" t="inlineStr">
        <is>
          <t>10,20,000</t>
        </is>
      </c>
      <c r="F24" t="inlineStr">
        <is>
          <t>Annual maintenance contract for PLC of C and I, Unit#1to4, CTPP, Chhabra</t>
        </is>
      </c>
      <c r="G24" t="inlineStr">
        <is>
          <t>CTPP, RVUNL, Chhabra</t>
        </is>
      </c>
    </row>
    <row r="25">
      <c r="A25" s="1" t="n">
        <v>23</v>
      </c>
      <c r="B25">
        <f>HYPERLINK("https://eproc.rajasthan.gov.in/nicgep/app?component=%24DirectLink&amp;page=FrontEndViewTender&amp;service=direct&amp;session=T&amp;sp=Sl0W5oudpnfHR3X4C5O%2F67A%3D%3D", "Supply of 420KV Wave Trap installed at 2x660MW CSCTPP, Chhabra")</f>
        <v/>
      </c>
      <c r="C25" t="inlineStr">
        <is>
          <t>RRVUN - CMD||RVUN - CE (CTPP) - Chhabra||SE (MM)</t>
        </is>
      </c>
      <c r="D25" t="inlineStr">
        <is>
          <t>26-May-2025 01:00 PM</t>
        </is>
      </c>
      <c r="E25" t="inlineStr">
        <is>
          <t>10,46,640</t>
        </is>
      </c>
      <c r="F25" t="inlineStr">
        <is>
          <t>Supply of 420KV Wave Trap installed at 2x660MW CSCTPP, Chhabra</t>
        </is>
      </c>
      <c r="G25" t="inlineStr">
        <is>
          <t>Plant Site CSCTPP, Chhabra</t>
        </is>
      </c>
    </row>
    <row r="26">
      <c r="A26" s="1" t="n">
        <v>24</v>
      </c>
      <c r="B26">
        <f>HYPERLINK("https://eproc.rajasthan.gov.in/nicgep/app?component=%24DirectLink&amp;page=FrontEndViewTender&amp;service=direct&amp;session=T&amp;sp=ScBfdpm2w3i1FSCa03pXXFw%3D%3D", "Comprehensive Annual Maintenance contract for Office Desktop Computers and Monitors with peripheral accessories, Printers, and Station LAN (Local Area Network) and all CCTV systems along with all network switches installed at CTPP, Chhabra")</f>
        <v/>
      </c>
      <c r="C26" t="inlineStr">
        <is>
          <t>RRVUN - CMD||RVUN - CE (CTPP) - Chhabra</t>
        </is>
      </c>
      <c r="D26" t="inlineStr">
        <is>
          <t>29-May-2025 01:00 PM</t>
        </is>
      </c>
      <c r="E26" t="inlineStr">
        <is>
          <t>21,51,368</t>
        </is>
      </c>
      <c r="F26" t="inlineStr">
        <is>
          <t>Comprehensive Annual Maintenance contract for Office Desktop Computers and Monitors with peripheral accessories, Printers, and Station LAN (Local Area Network) and all CCTV systems along with all network switches installed at CTPP, Chhabra</t>
        </is>
      </c>
      <c r="G26" t="inlineStr">
        <is>
          <t>CTPP, RVUNL, Chhabra</t>
        </is>
      </c>
    </row>
    <row r="27">
      <c r="A27" s="1" t="n">
        <v>25</v>
      </c>
      <c r="B27">
        <f>HYPERLINK("https://eproc.rajasthan.gov.in/nicgep/app?component=%24DirectLink&amp;page=FrontEndViewTender&amp;service=direct&amp;session=T&amp;sp=Smt4hRTwMp7xukmXtzFJnPg%3D%3D", "Two (02) year contract for Hiring of 01 Nos. AC Maruti swift Dzire for 16 Hrs, 05Nos. AC Maruti swift Dzire or equivalent Diesel/petrol sedan car for 12 Hrs and 12 nos.AC Maruti Swift or equivalent Diesel/petrol Hatchback car (Model year-2020/later")</f>
        <v/>
      </c>
      <c r="C27" t="inlineStr">
        <is>
          <t>RRVUN - CMD||RVUN - CE (CTPP) - Chhabra</t>
        </is>
      </c>
      <c r="D27" t="inlineStr">
        <is>
          <t>03-Jun-2025 01:00 PM</t>
        </is>
      </c>
      <c r="E27" t="inlineStr">
        <is>
          <t>1,03,14,288</t>
        </is>
      </c>
      <c r="F27" t="inlineStr">
        <is>
          <t>Two (02) year contract for Hiring of 01 Nos. AC Maruti swift Dzire for 16 Hrs, 05Nos. AC Maruti swift Dzire or equivalent Diesel/petrol sedan car for 12 Hrs and 12 nos.AC Maruti Swift or equivalent Diesel/petrol Hatchback car (Model year-2020/later</t>
        </is>
      </c>
      <c r="G27" t="inlineStr">
        <is>
          <t>CTPP, RVUNL, Chhabra</t>
        </is>
      </c>
    </row>
    <row r="28">
      <c r="A28" s="1" t="n">
        <v>26</v>
      </c>
      <c r="B28">
        <f>HYPERLINK("https://eproc.rajasthan.gov.in/nicgep/app?component=%24DirectLink&amp;page=FrontEndViewTender&amp;service=direct&amp;session=T&amp;sp=SGGoI4W3VypiIAi85skCTow%3D%3D", "Day to day repair of roof leakage and replacement of damaged foundation bolts at CTPP Plant")</f>
        <v/>
      </c>
      <c r="C28" t="inlineStr">
        <is>
          <t>RRVUN - CMD||RVUN - CE (CTPP) - Chhabra||SE (Civil)</t>
        </is>
      </c>
      <c r="D28" t="inlineStr">
        <is>
          <t>26-May-2025 01:00 PM</t>
        </is>
      </c>
      <c r="E28" t="inlineStr">
        <is>
          <t>23,19,000</t>
        </is>
      </c>
      <c r="F28" t="inlineStr">
        <is>
          <t>Day to day repair of roof leakage and replacement of damaged foundation bolts at CTPP Plant</t>
        </is>
      </c>
      <c r="G28" t="inlineStr">
        <is>
          <t>CTPP, RVUNL, Chhabra</t>
        </is>
      </c>
    </row>
    <row r="29">
      <c r="A29" s="1" t="n">
        <v>27</v>
      </c>
      <c r="B29">
        <f>HYPERLINK("https://eproc.rajasthan.gov.in/nicgep/app?component=%24DirectLink&amp;page=FrontEndViewTender&amp;service=direct&amp;session=T&amp;sp=SjqmI9uDzFC21zzAQfag8pA%3D%3D", "Contract for Hiring of 14 HP diesel pump for evacuation of water from the ash dyke and reuse in green field area in surrounding of ash dyke, CSCTPP, Chhabra.")</f>
        <v/>
      </c>
      <c r="C29" t="inlineStr">
        <is>
          <t>RRVUN - CMD||RVUN-CE (CTPP-SC) CHHABRA</t>
        </is>
      </c>
      <c r="D29" t="inlineStr">
        <is>
          <t>26-May-2025 01:00 PM</t>
        </is>
      </c>
      <c r="E29" t="inlineStr">
        <is>
          <t>8,42,364</t>
        </is>
      </c>
      <c r="F29" t="inlineStr">
        <is>
          <t>Contract for Hiring of 14 HP diesel pump for evacuation of water from the ash dyke and reuse in green field area in surrounding of ash dyke, CSCTPP, Chhabra.</t>
        </is>
      </c>
      <c r="G29" t="inlineStr">
        <is>
          <t>CSCTPP CHHABRA</t>
        </is>
      </c>
    </row>
    <row r="30">
      <c r="A30" s="1" t="n">
        <v>28</v>
      </c>
      <c r="B30">
        <f>HYPERLINK("https://eproc.rajasthan.gov.in/nicgep/app?component=%24DirectLink&amp;page=FrontEndViewTender&amp;service=direct&amp;session=T&amp;sp=SVlD65cvRplT3c8rztxbBfA%3D%3D", "Annual contract for Routine, Breakdown and Capital Maintenance work of Effluent Treatment Plant and all Connected Effluent Supply pits and upkeep the area of Unit 1 to 4, 4x250 MW Chhabra Thermal Power Project, Stage-I, Chhabra")</f>
        <v/>
      </c>
      <c r="C30" t="inlineStr">
        <is>
          <t>RRVUN - CMD||RVUN - CE (CTPP) - Chhabra</t>
        </is>
      </c>
      <c r="D30" t="inlineStr">
        <is>
          <t>23-May-2025 01:00 PM</t>
        </is>
      </c>
      <c r="E30" t="inlineStr">
        <is>
          <t>30,14,694</t>
        </is>
      </c>
      <c r="F30" t="inlineStr">
        <is>
          <t>Annual contract for Routine, Breakdown and Capital Maintenance work of Effluent Treatment Plant and all Connected Effluent Supply pits and upkeep the area of Unit 1 to 4, 4x250 MW Chhabra Thermal Power Project, Stage-I, Chhabra</t>
        </is>
      </c>
      <c r="G30" t="inlineStr">
        <is>
          <t>CTPP RVUNL CHHABRA</t>
        </is>
      </c>
    </row>
    <row r="31">
      <c r="A31" s="1" t="n">
        <v>29</v>
      </c>
      <c r="B31">
        <f>HYPERLINK("https://eproc.rajasthan.gov.in/nicgep/app?component=%24DirectLink&amp;page=FrontEndViewTender&amp;service=direct&amp;session=T&amp;sp=SjNh2r9JOjRvxBVZznU3mbg%3D%3D", "Supply of spares PCS, HDLS, ZSS and Sensor Probes of Jayashree make or equivalent installed at CHP and AHP, CTPP Chhabra")</f>
        <v/>
      </c>
      <c r="C31" t="inlineStr">
        <is>
          <t>RRVUN - CMD||RVUN - CE (CTPP) - Chhabra</t>
        </is>
      </c>
      <c r="D31" t="inlineStr">
        <is>
          <t>20-May-2025 11:00 AM</t>
        </is>
      </c>
      <c r="E31" t="inlineStr">
        <is>
          <t>5,81,000</t>
        </is>
      </c>
      <c r="F31" t="inlineStr">
        <is>
          <t>Supply of spares PCS, HDLS, ZSS and Sensor Probes of Jayashree make or equivalent installed at CHP and AHP, CTPP Chhabra</t>
        </is>
      </c>
      <c r="G31" t="inlineStr">
        <is>
          <t>CTPP RRVUNL Chhabra</t>
        </is>
      </c>
    </row>
    <row r="32">
      <c r="A32" s="1" t="n">
        <v>30</v>
      </c>
      <c r="B32">
        <f>HYPERLINK("https://eproc.rajasthan.gov.in/nicgep/app?component=%24DirectLink&amp;page=FrontEndViewTender&amp;service=direct&amp;session=T&amp;sp=SRr4duLfJNKeeoyYMDHHcag%3D%3D", "Supply for various types of level/Flow transmitters for C and I system in Unit 1 to 4, CTPP (O and M), Chhabra")</f>
        <v/>
      </c>
      <c r="C32" t="inlineStr">
        <is>
          <t>RRVUN - CMD||RVUN - CE (CTPP) - Chhabra</t>
        </is>
      </c>
      <c r="D32" t="inlineStr">
        <is>
          <t>26-May-2025 12:00 PM</t>
        </is>
      </c>
      <c r="E32" t="inlineStr">
        <is>
          <t>21,60,000</t>
        </is>
      </c>
      <c r="F32" t="inlineStr">
        <is>
          <t>Supply for various types of level/Flow transmitters for C and I system in Unit 1 to 4, CTPP (O and M), Chhabra</t>
        </is>
      </c>
      <c r="G32" t="inlineStr">
        <is>
          <t>CTPP, RVUNL, Chhabra</t>
        </is>
      </c>
    </row>
    <row r="33">
      <c r="A33" s="1" t="n">
        <v>31</v>
      </c>
      <c r="B33">
        <f>HYPERLINK("https://eproc.rajasthan.gov.in/nicgep/app?component=%24DirectLink&amp;page=FrontEndViewTender&amp;service=direct&amp;session=T&amp;sp=S%2BEBYb5n7FTUw4sH4Ionq0A%3D%3D", "Annual contract for Fabrication, Repairing work of ball tube mill with associated equipments and Repair / Reconditioning of Coal Nozzles Tips and Coal Nozzles and their Hard facing unit 1 to 4, CTPP, RVUNL, Chhabra")</f>
        <v/>
      </c>
      <c r="C33" t="inlineStr">
        <is>
          <t>RRVUN - CMD||RVUN - CE (CTPP) - Chhabra||Dy.CE (O and M)</t>
        </is>
      </c>
      <c r="D33" t="inlineStr">
        <is>
          <t>23-May-2025 12:00 PM</t>
        </is>
      </c>
      <c r="E33" t="inlineStr">
        <is>
          <t>1,28,04,911</t>
        </is>
      </c>
      <c r="F33" t="inlineStr">
        <is>
          <t>Annual contract for Fabrication, Repairing work of ball tube mill with associated equipments and Repair / Reconditioning of Coal Nozzles Tips and Coal Nozzles and their Hard facing unit 1 to 4, CTPP, RVUNL, Chhabra</t>
        </is>
      </c>
      <c r="G33" t="inlineStr">
        <is>
          <t>CTPP(O and M), RVUNL, Chhabra</t>
        </is>
      </c>
    </row>
    <row r="34">
      <c r="A34" s="1" t="n">
        <v>32</v>
      </c>
      <c r="B34">
        <f>HYPERLINK("https://eproc.rajasthan.gov.in/nicgep/app?component=%24DirectLink&amp;page=FrontEndViewTender&amp;service=direct&amp;session=T&amp;sp=SN82vmgyamtPcRYbpuBs12g%3D%3D", "Work of Hydrogen gas cylinders testing, painting and Providing and installation of new valves If required, as per IS 3224 for 4x250 MW Generators of Unit-1 to 4 CTPP, Chhabra as per Gas Cylinder Rules 1981 under Indian Explosive Act 1884 and 2004.")</f>
        <v/>
      </c>
      <c r="C34" t="inlineStr">
        <is>
          <t>RRVUN - CMD||RVUN - CE (CTPP) - Chhabra</t>
        </is>
      </c>
      <c r="D34" t="inlineStr">
        <is>
          <t>23-May-2025 05:00 PM</t>
        </is>
      </c>
      <c r="E34" t="inlineStr">
        <is>
          <t>3,88,500</t>
        </is>
      </c>
      <c r="F34" t="inlineStr">
        <is>
          <t>Work of Hydrogen gas cylinders testing, painting and Providing and installation of new valves If required, as per IS 3224 for 4x250 MW Generators of Unit-1 to 4 CTPP, Chhabra as per Gas Cylinder Rules 1981 under Indian Explosive Act 1884 and 2004.</t>
        </is>
      </c>
      <c r="G34" t="inlineStr">
        <is>
          <t>Chhabra Thermal Power Project, Chhabra</t>
        </is>
      </c>
    </row>
    <row r="35">
      <c r="A35" s="1" t="n">
        <v>33</v>
      </c>
      <c r="B35">
        <f>HYPERLINK("https://eproc.rajasthan.gov.in/nicgep/app?component=%24DirectLink&amp;page=FrontEndViewTender&amp;service=direct&amp;session=T&amp;sp=S5uCJxX5lWLWcG5o0CgXZ5w%3D%3D", "R and M of road work inside and outside of plant at CSCTPP, Chhabra.")</f>
        <v/>
      </c>
      <c r="C35" t="inlineStr">
        <is>
          <t>RRVUN - CMD||RVUN-CE (CTPP-SC) CHHABRA||SE (Civil)</t>
        </is>
      </c>
      <c r="D35" t="inlineStr">
        <is>
          <t>26-May-2025 01:00 PM</t>
        </is>
      </c>
      <c r="E35" t="inlineStr">
        <is>
          <t>NA</t>
        </is>
      </c>
      <c r="F35" t="inlineStr">
        <is>
          <t>R and M of road work inside and outside of plant at CSCTPP, Chhabra.</t>
        </is>
      </c>
      <c r="G35" t="inlineStr">
        <is>
          <t>CSCTPP, RVUN, Chhabra</t>
        </is>
      </c>
    </row>
    <row r="36">
      <c r="A36" s="1" t="n">
        <v>34</v>
      </c>
      <c r="B36">
        <f>HYPERLINK("https://eproc.rajasthan.gov.in/nicgep/app?component=%24DirectLink&amp;page=FrontEndViewTender&amp;service=direct&amp;session=T&amp;sp=S8zhI67vSTWch6V6lfxByGg%3D%3D", "INVITATION FOR EXPRESSION OF INTEREST (EOI) for Lifting of Pond Ash on Free of Cost basis from Ash Dyke of CTPP, RVUN , Chhabra")</f>
        <v/>
      </c>
      <c r="C36" t="inlineStr">
        <is>
          <t>RRVUN - CMD||RVUN - CE (CTPP) - Chhabra||SE(CA)</t>
        </is>
      </c>
      <c r="D36" t="inlineStr">
        <is>
          <t>22-May-2025 01:00 PM</t>
        </is>
      </c>
      <c r="E36" t="inlineStr">
        <is>
          <t>0.00</t>
        </is>
      </c>
      <c r="F36" t="inlineStr">
        <is>
          <t>INVITATION FOR EXPRESSION OF INTEREST (EOI) for Lifting of Pond Ash on Free of Cost basis from Ash Dyke of CTPP, RVUN , Chhabra</t>
        </is>
      </c>
      <c r="G36" t="inlineStr">
        <is>
          <t>CTPP, RVUNL, Chhabra</t>
        </is>
      </c>
    </row>
    <row r="37">
      <c r="A37" s="1" t="n">
        <v>35</v>
      </c>
      <c r="B37">
        <f>HYPERLINK("https://eproc.rajasthan.gov.in/nicgep/app?component=%24DirectLink&amp;page=FrontEndViewTender&amp;service=direct&amp;session=T&amp;sp=SzS6%2FhVgPY4M9lc0lnbNjSw%3D%3D", "Civil works of raising height, strengthening of existing property wall along with concertina coil fencing for multi storey township of CSCTPP, Chhabra")</f>
        <v/>
      </c>
      <c r="C37" t="inlineStr">
        <is>
          <t>RRVUN - CMD||RVUN-CE (CTPP-SC) CHHABRA||SE (Civil)</t>
        </is>
      </c>
      <c r="D37" t="inlineStr">
        <is>
          <t>26-May-2025 01:00 PM</t>
        </is>
      </c>
      <c r="E37" t="inlineStr">
        <is>
          <t>NA</t>
        </is>
      </c>
      <c r="F37" t="inlineStr">
        <is>
          <t>Civil works of raising height, strengthening of existing property wall along with concertina coil fencing for multi storey township of CSCTPP, Chhabra</t>
        </is>
      </c>
      <c r="G37" t="inlineStr">
        <is>
          <t>CSCTPP, RVUN, Chhabra</t>
        </is>
      </c>
    </row>
    <row r="38">
      <c r="A38" s="1" t="n">
        <v>36</v>
      </c>
      <c r="B38">
        <f>HYPERLINK("https://eproc.rajasthan.gov.in/nicgep/app?component=%24DirectLink&amp;page=FrontEndViewTender&amp;service=direct&amp;session=T&amp;sp=SiTTaVE0qqca3sto%2FxxDK7w%3D%3D", "Annual rate contract for providing day-to-day Office Assistance in maintaining and running of various offices at CSCTPP, Chhabra")</f>
        <v/>
      </c>
      <c r="C38" t="inlineStr">
        <is>
          <t>RRVUN - CMD||RVUN-CE (CTPP-SC) CHHABRA||SE (Civil)</t>
        </is>
      </c>
      <c r="D38" t="inlineStr">
        <is>
          <t>26-May-2025 01:00 PM</t>
        </is>
      </c>
      <c r="E38" t="inlineStr">
        <is>
          <t>NA</t>
        </is>
      </c>
      <c r="F38" t="inlineStr">
        <is>
          <t>Annual rate contract for providing day-to-day Office Assistance in maintaining and running of various offices at CSCTPP, Chhabra</t>
        </is>
      </c>
      <c r="G38" t="inlineStr">
        <is>
          <t>CSCTPP, RVUN, Chhabra</t>
        </is>
      </c>
    </row>
    <row r="39">
      <c r="A39" s="1" t="n">
        <v>37</v>
      </c>
      <c r="B39">
        <f>HYPERLINK("https://eproc.rajasthan.gov.in/nicgep/app?component=%24DirectLink&amp;page=FrontEndViewTender&amp;service=direct&amp;session=T&amp;sp=SY61SMsxMSk4wYFLwye5Mrw%3D%3D", "Providing services for sweeping and cleaning works of Main Plant Road Unit 5 and 6 at CSCTPP, Chhabra")</f>
        <v/>
      </c>
      <c r="C39" t="inlineStr">
        <is>
          <t>RRVUN - CMD||RVUN-CE (CTPP-SC) CHHABRA||SE (Civil)</t>
        </is>
      </c>
      <c r="D39" t="inlineStr">
        <is>
          <t>26-May-2025 01:00 PM</t>
        </is>
      </c>
      <c r="E39" t="inlineStr">
        <is>
          <t>NA</t>
        </is>
      </c>
      <c r="F39" t="inlineStr">
        <is>
          <t>Providing services for sweeping and cleaning works of Main Plant Road Unit 5 and 6 at CSCTPP, Chhabra</t>
        </is>
      </c>
      <c r="G39" t="inlineStr">
        <is>
          <t>CSCTPP, RVUN, Chhabra</t>
        </is>
      </c>
    </row>
    <row r="40">
      <c r="A40" s="1" t="n">
        <v>38</v>
      </c>
      <c r="B40">
        <f>HYPERLINK("https://eproc.rajasthan.gov.in/nicgep/app?component=%24DirectLink&amp;page=FrontEndViewTender&amp;service=direct&amp;session=T&amp;sp=S6UxSwax%2Fh%2BAIt%2B4Jgy0ZIg%3D%3D", "Cleaning and Sweeping of premises and door to door garbage collection at Multi Storey R3 and R4 type quarters at CTPP Township, Motipura, Chhabra")</f>
        <v/>
      </c>
      <c r="C40" t="inlineStr">
        <is>
          <t>RRVUN - CMD||RVUN-CE (CTPP-SC) CHHABRA||SE (Civil)</t>
        </is>
      </c>
      <c r="D40" t="inlineStr">
        <is>
          <t>26-May-2025 01:00 PM</t>
        </is>
      </c>
      <c r="E40" t="inlineStr">
        <is>
          <t>NA</t>
        </is>
      </c>
      <c r="F40" t="inlineStr">
        <is>
          <t>Cleaning and Sweeping of premises and door to door garbage collection at Multi Storey R-3 and R-4 type quarters at CTPP Township, Motipura, Chhabra</t>
        </is>
      </c>
      <c r="G40" t="inlineStr">
        <is>
          <t>CSCTPP, RVUN, Chhabra</t>
        </is>
      </c>
    </row>
    <row r="41">
      <c r="A41" s="1" t="n">
        <v>39</v>
      </c>
      <c r="B41">
        <f>HYPERLINK("https://eproc.rajasthan.gov.in/nicgep/app?component=%24DirectLink&amp;page=FrontEndViewTender&amp;service=direct&amp;session=T&amp;sp=SG%2Bg0C51Eq80R1o%2BFd%2F3grg%3D%3D", "Annual Rate Contract for empanelment of transportation agency(s)/contractor(s) for transportation of pond/mound ash from ash pond/dyke of CTPP, RVUN, Chhabra to various locations of user agency(s).")</f>
        <v/>
      </c>
      <c r="C41" t="inlineStr">
        <is>
          <t>RRVUN - CMD||RVUN - CE (CTPP) - Chhabra||SE(CA)</t>
        </is>
      </c>
      <c r="D41" t="inlineStr">
        <is>
          <t>03-Jun-2025 01:00 PM</t>
        </is>
      </c>
      <c r="E41" t="inlineStr">
        <is>
          <t>47,80,00,000</t>
        </is>
      </c>
      <c r="F41" t="inlineStr">
        <is>
          <t>Annual Rate Contract for empanelment of transportation agency(s)/contractor(s) for transportation of pond/mound ash from ash pond/dyke of CTPP, RVUN, Chhabra to various locations of user agency(s).</t>
        </is>
      </c>
      <c r="G41" t="inlineStr">
        <is>
          <t>Chhabra Thermal Power Plant, Chhabra</t>
        </is>
      </c>
    </row>
    <row r="42">
      <c r="A42" s="1" t="n">
        <v>40</v>
      </c>
      <c r="B42">
        <f>HYPERLINK("https://eproc.rajasthan.gov.in/nicgep/app?component=%24DirectLink&amp;page=FrontEndViewTender&amp;service=direct&amp;session=T&amp;sp=SYz6NLHKUUqdLR%2Fu6c47kxQ%3D%3D", "Supply of Spare items for Mcnally make Vibrating screening Feeder installed at CHP,CSCTPP, Chhabra")</f>
        <v/>
      </c>
      <c r="C42" t="inlineStr">
        <is>
          <t>RRVUN - CMD||RVUN-CE (CTPP-SC) CHHABRA</t>
        </is>
      </c>
      <c r="D42" t="inlineStr">
        <is>
          <t>26-May-2025 01:00 PM</t>
        </is>
      </c>
      <c r="E42" t="inlineStr">
        <is>
          <t>56,46,985</t>
        </is>
      </c>
      <c r="F42" t="inlineStr">
        <is>
          <t>Supply of Spare items for Mcnally make Vibrating screening Feeder installed at CHP,CSCTPP, Chhabra</t>
        </is>
      </c>
      <c r="G42" t="inlineStr">
        <is>
          <t>at plant Site CSCTPP, Chhabra</t>
        </is>
      </c>
    </row>
    <row r="43">
      <c r="A43" s="1" t="n">
        <v>41</v>
      </c>
      <c r="B43">
        <f>HYPERLINK("https://eproc.rajasthan.gov.in/nicgep/app?component=%24DirectLink&amp;page=FrontEndViewTender&amp;service=direct&amp;session=T&amp;sp=SHJHlV8sUcB0o9aBC4eDrTA%3D%3D", "Supply of CPVC Pipes, Fittings and Valves for dosing systems installed in CA Circle at 2X660 MW CSCTPP, Chhabra")</f>
        <v/>
      </c>
      <c r="C43" t="inlineStr">
        <is>
          <t>RRVUN - CMD||RVUN-CE (CTPP-SC) CHHABRA</t>
        </is>
      </c>
      <c r="D43" t="inlineStr">
        <is>
          <t>26-May-2025 01:00 PM</t>
        </is>
      </c>
      <c r="E43" t="inlineStr">
        <is>
          <t>69,32,670</t>
        </is>
      </c>
      <c r="F43" t="inlineStr">
        <is>
          <t>Supply of CPVC Pipes, Fittings and Valves for dosing systems installed in CA Circle at 2X660 MW CSCTPP, Chhabra</t>
        </is>
      </c>
      <c r="G43" t="inlineStr">
        <is>
          <t>PLANT SITE CSCTPP CHHABRA</t>
        </is>
      </c>
    </row>
    <row r="44">
      <c r="A44" s="1" t="n">
        <v>42</v>
      </c>
      <c r="B44">
        <f>HYPERLINK("https://eproc.rajasthan.gov.in/nicgep/app?component=%24DirectLink&amp;page=FrontEndViewTender&amp;service=direct&amp;session=T&amp;sp=SBIqlPDMZHU49Z7p0VLcNyA%3D%3D", "Supply of Sleeve Coupling Assembly and gaskets For Fly and Bottom Ash Handling system of U 5 and 6, CSCTPP, Chhabra")</f>
        <v/>
      </c>
      <c r="C44" t="inlineStr">
        <is>
          <t>RRVUN - CMD||RVUN-CE (CTPP-SC) CHHABRA</t>
        </is>
      </c>
      <c r="D44" t="inlineStr">
        <is>
          <t>26-May-2025 01:00 PM</t>
        </is>
      </c>
      <c r="E44" t="inlineStr">
        <is>
          <t>18,38,400</t>
        </is>
      </c>
      <c r="F44" t="inlineStr">
        <is>
          <t>Supply of Sleeve Coupling Assembly and gaskets For Fly and Bottom Ash Handling system of U 5 and 6, CSCTPP, Chhabra</t>
        </is>
      </c>
      <c r="G44" t="inlineStr">
        <is>
          <t>PLANT SITE CSCTPP CHHABRA</t>
        </is>
      </c>
    </row>
    <row r="45">
      <c r="A45" s="1" t="n">
        <v>43</v>
      </c>
      <c r="B45">
        <f>HYPERLINK("https://eproc.rajasthan.gov.in/nicgep/app?component=%24DirectLink&amp;page=FrontEndViewTender&amp;service=direct&amp;session=T&amp;sp=S3dwZProskLKa1HCXifXCkg%3D%3D", "Supply of Common Stationary of CTPP-O and M, RVUNL, Chhabra.")</f>
        <v/>
      </c>
      <c r="C45" t="inlineStr">
        <is>
          <t>RRVUN - CMD||RVUN - CE (CTPP) - Chhabra</t>
        </is>
      </c>
      <c r="D45" t="inlineStr">
        <is>
          <t>20-May-2025 12:00 PM</t>
        </is>
      </c>
      <c r="E45" t="inlineStr">
        <is>
          <t>7,70,000</t>
        </is>
      </c>
      <c r="F45" t="inlineStr">
        <is>
          <t>Supply of Common Stationary of CTPP- O and M, RVUNL, Chhabra.</t>
        </is>
      </c>
      <c r="G45" t="inlineStr">
        <is>
          <t>CTPP, RVUNL, Chhabra</t>
        </is>
      </c>
    </row>
    <row r="46">
      <c r="A46" s="1" t="n">
        <v>44</v>
      </c>
      <c r="B46">
        <f>HYPERLINK("https://eproc.rajasthan.gov.in/nicgep/app?component=%24DirectLink&amp;page=FrontEndViewTender&amp;service=direct&amp;session=T&amp;sp=S%2BZUMuTNtNGa9Q3COvwMuhw%3D%3D", "Supply of Various Hoses with End Fittings at CHP CTPP Chhabra")</f>
        <v/>
      </c>
      <c r="C46" t="inlineStr">
        <is>
          <t>RRVUN - CMD||RVUN - CE (CTPP) - Chhabra</t>
        </is>
      </c>
      <c r="D46" t="inlineStr">
        <is>
          <t>23-May-2025 11:00 AM</t>
        </is>
      </c>
      <c r="E46" t="inlineStr">
        <is>
          <t>11,93,000</t>
        </is>
      </c>
      <c r="F46" t="inlineStr">
        <is>
          <t>Supply of Various Hoses with End Fittings at CHP CTPP Chhabra</t>
        </is>
      </c>
      <c r="G46" t="inlineStr">
        <is>
          <t>CTPP RRVUNL Chhabra</t>
        </is>
      </c>
    </row>
    <row r="47">
      <c r="A47" s="1" t="n">
        <v>45</v>
      </c>
      <c r="B47">
        <f>HYPERLINK("https://eproc.rajasthan.gov.in/nicgep/app?component=%24DirectLink&amp;page=FrontEndViewTender&amp;service=direct&amp;session=T&amp;sp=S4aUW0v0gPstfs0nRkAfOng%3D%3D", "Supply, installation and calibration of various Lab Instruments for measurement of various parameters at water and flue gases at Chemical laboratory CTPP-OandM, Chhabra.")</f>
        <v/>
      </c>
      <c r="C47" t="inlineStr">
        <is>
          <t>RRVUN - CMD||RVUN - CE (CTPP) - Chhabra</t>
        </is>
      </c>
      <c r="D47" t="inlineStr">
        <is>
          <t>21-May-2025 12:00 PM</t>
        </is>
      </c>
      <c r="E47" t="inlineStr">
        <is>
          <t>21,54,000</t>
        </is>
      </c>
      <c r="F47" t="inlineStr">
        <is>
          <t>Supply, installation and calibration of various Lab Instruments for measurement of various parameters of water and flue gases at Chemical laboratory CTPP-O and M, Chhabra.</t>
        </is>
      </c>
      <c r="G47" t="inlineStr">
        <is>
          <t>CTPP, RVUNL, Chhabra</t>
        </is>
      </c>
    </row>
    <row r="48">
      <c r="A48" s="1" t="n">
        <v>46</v>
      </c>
      <c r="B48">
        <f>HYPERLINK("https://eproc.rajasthan.gov.in/nicgep/app?component=%24DirectLink&amp;page=FrontEndViewTender&amp;service=direct&amp;session=T&amp;sp=SAeeAUTjgqBT1JxZ%2FZF044g%3D%3D", "Annual requirement of glass wares, polythene wares and other miscellaneous items for Chemical laboratory CTPP, Chhabra.")</f>
        <v/>
      </c>
      <c r="C48" t="inlineStr">
        <is>
          <t>RRVUN - CMD||RVUN - CE (CTPP) - Chhabra</t>
        </is>
      </c>
      <c r="D48" t="inlineStr">
        <is>
          <t>20-May-2025 12:00 PM</t>
        </is>
      </c>
      <c r="E48" t="inlineStr">
        <is>
          <t>5,15,000</t>
        </is>
      </c>
      <c r="F48" t="inlineStr">
        <is>
          <t>Annual requirement of glass wares, polythene wares and other miscellaneous items for Chemical laboratory CTPP, Chhabra.</t>
        </is>
      </c>
      <c r="G48" t="inlineStr">
        <is>
          <t>CTPP, RVUNL, Chhabra</t>
        </is>
      </c>
    </row>
    <row r="49">
      <c r="A49" s="1" t="n">
        <v>47</v>
      </c>
      <c r="B49">
        <f>HYPERLINK("https://eproc.rajasthan.gov.in/nicgep/app?component=%24DirectLink&amp;page=FrontEndViewTender&amp;service=direct&amp;session=T&amp;sp=SlLr1MUu9N%2B3LmV0VAgbUdg%3D%3D", "Supply of Chemical Dosing Tanks installed ETP Phase-I, Stage-I, Chhabra Thermal Power Plant, Chhabra.")</f>
        <v/>
      </c>
      <c r="C49" t="inlineStr">
        <is>
          <t>RRVUN - CMD||RVUN - CE (CTPP) - Chhabra</t>
        </is>
      </c>
      <c r="D49" t="inlineStr">
        <is>
          <t>20-May-2025 12:00 PM</t>
        </is>
      </c>
      <c r="E49" t="inlineStr">
        <is>
          <t>5,10,000</t>
        </is>
      </c>
      <c r="F49" t="inlineStr">
        <is>
          <t>Supply of Chemical Dosing Tanks installed ETP Phase-I, Stage-I, Chhabra Thermal Power Plant, Chhabra.</t>
        </is>
      </c>
      <c r="G49" t="inlineStr">
        <is>
          <t>CTPP, RVUNL, Chhabra</t>
        </is>
      </c>
    </row>
    <row r="50">
      <c r="A50" s="1" t="n">
        <v>48</v>
      </c>
      <c r="B50">
        <f>HYPERLINK("https://eproc.rajasthan.gov.in/nicgep/app?component=%24DirectLink&amp;page=FrontEndViewTender&amp;service=direct&amp;session=T&amp;sp=SgvL%2F9RW10OvMNuIp6fp5mw%3D%3D", "Supply of Fire Tenders for RVUN Power Plants")</f>
        <v/>
      </c>
      <c r="C50" t="inlineStr">
        <is>
          <t>RRVUN - CMD||RVUN - CE (TD) - Jaipur</t>
        </is>
      </c>
      <c r="D50" t="inlineStr">
        <is>
          <t>09-Jun-2025 06:00 PM</t>
        </is>
      </c>
      <c r="E50" t="inlineStr">
        <is>
          <t>5,06,00,000</t>
        </is>
      </c>
      <c r="F50" t="inlineStr">
        <is>
          <t>Supply of Fire Tenders for RVUN Power Plants</t>
        </is>
      </c>
      <c r="G50" t="inlineStr">
        <is>
          <t>As per tender documents</t>
        </is>
      </c>
    </row>
    <row r="51">
      <c r="A51" s="1" t="n">
        <v>49</v>
      </c>
      <c r="B51">
        <f>HYPERLINK("https://eproc.rajasthan.gov.in/nicgep/app?component=%24DirectLink&amp;page=FrontEndViewTender&amp;service=direct&amp;session=T&amp;sp=S56MLenK4SoyeXEujJR7Z2g%3D%3D", "Repair and maintenance work of removal of mud flooring and laying grading of various residential building in DCCPP Township, Dholpur")</f>
        <v/>
      </c>
      <c r="C51" t="inlineStr">
        <is>
          <t>RRVUN - CMD||RVUN - CE (DCCPP) - Dhoulpur||SE - Proc.</t>
        </is>
      </c>
      <c r="D51" t="inlineStr">
        <is>
          <t>26-May-2025 06:49 PM</t>
        </is>
      </c>
      <c r="E51" t="inlineStr">
        <is>
          <t>9,23,020</t>
        </is>
      </c>
      <c r="F51" t="inlineStr">
        <is>
          <t>Repair and maintenance work of removal of mud flooring and laying grading of various residential building in DCCPP Township, Dholpur</t>
        </is>
      </c>
      <c r="G51" t="inlineStr">
        <is>
          <t>DCCPP RVUNL DHOLUR</t>
        </is>
      </c>
    </row>
    <row r="52">
      <c r="A52" s="1" t="n">
        <v>50</v>
      </c>
      <c r="B52">
        <f>HYPERLINK("https://eproc.rajasthan.gov.in/nicgep/app?component=%24DirectLink&amp;page=FrontEndViewTender&amp;service=direct&amp;session=T&amp;sp=S7BSIxV0pec1NV8Po1C3X4w%3D%3D", "TN-25136 Supply of MS and SS Fasteners at KSTPS, Kota.")</f>
        <v/>
      </c>
      <c r="C52" t="inlineStr">
        <is>
          <t>RRVUN - CMD||RVUN - CE (CTPP) - Chhabra||SE (MM)</t>
        </is>
      </c>
      <c r="D52" t="inlineStr">
        <is>
          <t>27-May-2025 12:00 PM</t>
        </is>
      </c>
      <c r="E52" t="inlineStr">
        <is>
          <t>33,19,000</t>
        </is>
      </c>
      <c r="F52" t="inlineStr">
        <is>
          <t>Supply of MS and SS Fasteners at KSTPS, Kota.</t>
        </is>
      </c>
      <c r="G52" t="inlineStr">
        <is>
          <t>Kota Super Thermal Power Station</t>
        </is>
      </c>
    </row>
    <row r="53">
      <c r="A53" s="1" t="n">
        <v>51</v>
      </c>
      <c r="B53">
        <f>HYPERLINK("https://eproc.rajasthan.gov.in/nicgep/app?component=%24DirectLink&amp;page=FrontEndViewTender&amp;service=direct&amp;session=T&amp;sp=S2S32FEe99RY4rx%2BgDP0skw%3D%3D", "TN-14167 Annual Requirement of common salt at KSTPS, Kota.")</f>
        <v/>
      </c>
      <c r="C53" t="inlineStr">
        <is>
          <t>RRVUN - CMD||RVUN - CE (CTPP) - Chhabra||SE (MM)</t>
        </is>
      </c>
      <c r="D53" t="inlineStr">
        <is>
          <t>26-May-2025 12:00 PM</t>
        </is>
      </c>
      <c r="E53" t="inlineStr">
        <is>
          <t>34,58,000</t>
        </is>
      </c>
      <c r="F53" t="inlineStr">
        <is>
          <t>Annual Requirement of common salt at KSTPS, Kota.</t>
        </is>
      </c>
      <c r="G53" t="inlineStr">
        <is>
          <t>Kota Super Thermal Power Station</t>
        </is>
      </c>
    </row>
    <row r="54">
      <c r="A54" s="1" t="n">
        <v>52</v>
      </c>
      <c r="B54">
        <f>HYPERLINK("https://eproc.rajasthan.gov.in/nicgep/app?component=%24DirectLink&amp;page=FrontEndViewTender&amp;service=direct&amp;session=T&amp;sp=SIhvCPBANbqV6od5cUrcKUA%3D%3D", "TN-18322 Supply of HPSV Lamps / HPMV Lamps and Ballast for both EM circle and CHP circle of KSTPS, Kota.")</f>
        <v/>
      </c>
      <c r="C54" t="inlineStr">
        <is>
          <t>RRVUN - CMD||RVUN - CE (CTPP) - Chhabra||SE (MM)</t>
        </is>
      </c>
      <c r="D54" t="inlineStr">
        <is>
          <t>26-May-2025 12:00 PM</t>
        </is>
      </c>
      <c r="E54" t="inlineStr">
        <is>
          <t>17,71,000</t>
        </is>
      </c>
      <c r="F54" t="inlineStr">
        <is>
          <t>Supply of HPSV Lamps / HPMV Lamps and Ballast for both EM circle and CHP circle of KSTPS, Kota.</t>
        </is>
      </c>
      <c r="G54" t="inlineStr">
        <is>
          <t>Kota Super Thermal Power Station</t>
        </is>
      </c>
    </row>
    <row r="55">
      <c r="A55" s="1" t="n">
        <v>53</v>
      </c>
      <c r="B55">
        <f>HYPERLINK("https://eproc.rajasthan.gov.in/nicgep/app?component=%24DirectLink&amp;page=FrontEndViewTender&amp;service=direct&amp;session=T&amp;sp=S%2B9q16xQTgdvLwktViKjmeg%3D%3D", "Annual contract for Hiring of Bus")</f>
        <v/>
      </c>
      <c r="C55" t="inlineStr">
        <is>
          <t>RRVUN - CMD||RVUN - CE (H and GP) - Jaipur||SE - Generation, Banswara</t>
        </is>
      </c>
      <c r="D55" t="inlineStr">
        <is>
          <t>26-May-2025 02:00 PM</t>
        </is>
      </c>
      <c r="E55" t="inlineStr">
        <is>
          <t>7,47,900</t>
        </is>
      </c>
      <c r="F55" t="inlineStr">
        <is>
          <t>Annual contract for Hiring of one No 32 Seater Non AC bus with driver for transportation of Technical staff or Staff members from Shakti Nagar, Bagidora to Mahi Power House-II, Lilwani and Back</t>
        </is>
      </c>
      <c r="G55" t="inlineStr">
        <is>
          <t>Mahi PH-II Bagidora</t>
        </is>
      </c>
    </row>
    <row r="56">
      <c r="A56" s="1" t="n">
        <v>54</v>
      </c>
      <c r="B56">
        <f>HYPERLINK("https://eproc.rajasthan.gov.in/nicgep/app?component=%24DirectLink&amp;page=FrontEndViewTender&amp;service=direct&amp;session=T&amp;sp=S1SQcannB3eMUv3MKASwpCQ%3D%3D", "TN-13309 Supply of active LEDs display of main control room of Unit 5, KSPTS, Kota.")</f>
        <v/>
      </c>
      <c r="C56" t="inlineStr">
        <is>
          <t>RRVUN - CMD||RVUN - CE - (TH), KSTPS, Kota, Jaipur||Dy.CE (MM)</t>
        </is>
      </c>
      <c r="D56" t="inlineStr">
        <is>
          <t>26-May-2025 12:00 PM</t>
        </is>
      </c>
      <c r="E56" t="inlineStr">
        <is>
          <t>9,79,000</t>
        </is>
      </c>
      <c r="F56" t="inlineStr">
        <is>
          <t>Supply of active LEDs display of main control room of Unit 5, KSPTS, Kota.</t>
        </is>
      </c>
      <c r="G56" t="inlineStr">
        <is>
          <t>Kota Super Thermal Power Station</t>
        </is>
      </c>
    </row>
    <row r="57">
      <c r="A57" s="1" t="n">
        <v>55</v>
      </c>
      <c r="B57">
        <f>HYPERLINK("https://eproc.rajasthan.gov.in/nicgep/app?component=%24DirectLink&amp;page=FrontEndViewTender&amp;service=direct&amp;session=T&amp;sp=SSPpEkyFfvcvuRGfM3Zm4HQ%3D%3D", "EXPRESSION OF INTEREST (EOI) for lifting of pond ash on free of cost basis from ash dyke of STPS, Suratgarh")</f>
        <v/>
      </c>
      <c r="C57" t="inlineStr">
        <is>
          <t>RRVUN - CMD||RVUN - CE (SSTPS), Suratgarh</t>
        </is>
      </c>
      <c r="D57" t="inlineStr">
        <is>
          <t>21-May-2025 11:00 AM</t>
        </is>
      </c>
      <c r="E57" t="inlineStr">
        <is>
          <t>1</t>
        </is>
      </c>
      <c r="F57" t="inlineStr">
        <is>
          <t>EXPRESSION OF INTEREST (EOI) for lifting of pond ash on free of cost basis from ash dyke of STPS, Suratgarh</t>
        </is>
      </c>
      <c r="G57" t="inlineStr">
        <is>
          <t>STPS (O n M) Suratgarh</t>
        </is>
      </c>
    </row>
    <row r="58">
      <c r="A58" s="1" t="n">
        <v>56</v>
      </c>
      <c r="B58">
        <f>HYPERLINK("https://eproc.rajasthan.gov.in/nicgep/app?component=%24DirectLink&amp;page=FrontEndViewTender&amp;service=direct&amp;session=T&amp;sp=SS4wRZJmnLnDWYkEffk%2BdFw%3D%3D", "TN-3118(BM)")</f>
        <v/>
      </c>
      <c r="C58" t="inlineStr">
        <is>
          <t>RRVUN - CMD||RVUN - CE (SSTPS), Suratgarh</t>
        </is>
      </c>
      <c r="D58" t="inlineStr">
        <is>
          <t>21-May-2025 11:00 AM</t>
        </is>
      </c>
      <c r="E58" t="inlineStr">
        <is>
          <t>26,00,000</t>
        </is>
      </c>
      <c r="F58" t="inlineStr">
        <is>
          <t>Work of dismantling, reversal and re-fixing of existing Girth Gear with Pinion assembly or Installation with new Girth Gear for BHEL make ball Tube Mill BBD 4772 for unit 1 to 6, of Stage I, II, III and IV at SSTPS, RRVUNL, Suratgarh.</t>
        </is>
      </c>
      <c r="G58" t="inlineStr">
        <is>
          <t>STPS, Suratgarh</t>
        </is>
      </c>
    </row>
    <row r="59">
      <c r="A59" s="1" t="n">
        <v>57</v>
      </c>
      <c r="B59">
        <f>HYPERLINK("https://eproc.rajasthan.gov.in/nicgep/app?component=%24DirectLink&amp;page=FrontEndViewTender&amp;service=direct&amp;session=T&amp;sp=SpTgKBaDTgulgiRTRcxoSoA%3D%3D", "Repairing Reconditioning of clinker grinder drum sub assembly with segment plate , component of clinker grinder , component of Pumps, and different types and sizes of valves in Ash Handling Plant of stage I to IV, STPS Suratgarh")</f>
        <v/>
      </c>
      <c r="C59" t="inlineStr">
        <is>
          <t>RRVUN - CMD||RVUN - CE (SSTPS), Suratgarh</t>
        </is>
      </c>
      <c r="D59" t="inlineStr">
        <is>
          <t>21-May-2025 11:00 AM</t>
        </is>
      </c>
      <c r="E59" t="inlineStr">
        <is>
          <t>36,19,938</t>
        </is>
      </c>
      <c r="F59" t="inlineStr">
        <is>
          <t>Repairing Reconditioning of clinker grinder drum sub assembly with segment plate, component of clinker grinder, component of Pumps, and different types and sizes of valves in Ash Handling Plant of stage I to IV, STPS, Suratgarh</t>
        </is>
      </c>
      <c r="G59" t="inlineStr">
        <is>
          <t>STPS (O n M) Suratgarh</t>
        </is>
      </c>
    </row>
    <row r="60">
      <c r="A60" s="1" t="n">
        <v>58</v>
      </c>
      <c r="B60">
        <f>HYPERLINK("https://eproc.rajasthan.gov.in/nicgep/app?component=%24DirectLink&amp;page=FrontEndViewTender&amp;service=direct&amp;session=T&amp;sp=Sp6h4424ds4CRKPjVQY3PtA%3D%3D", "TN-12230 Supply of Gear Box of fans installed at cooling Tower Unit 6 at KSTPS, Kota.")</f>
        <v/>
      </c>
      <c r="C60" t="inlineStr">
        <is>
          <t>RRVUN - CMD||RVUN - CE - (TH), KSTPS, Kota, Jaipur||Dy.CE (MM)</t>
        </is>
      </c>
      <c r="D60" t="inlineStr">
        <is>
          <t>19-May-2025 12:00 PM</t>
        </is>
      </c>
      <c r="E60" t="inlineStr">
        <is>
          <t>39,04,000</t>
        </is>
      </c>
      <c r="F60" t="inlineStr">
        <is>
          <t>Supply of Gear Box of fans installed at cooling Tower Unit 6 at KSTPS, Kota.</t>
        </is>
      </c>
      <c r="G60" t="inlineStr">
        <is>
          <t>Kota Super Thermal Power Station</t>
        </is>
      </c>
    </row>
    <row r="61">
      <c r="A61" s="1" t="n">
        <v>59</v>
      </c>
      <c r="B61">
        <f>HYPERLINK("https://eproc.rajasthan.gov.in/nicgep/app?component=%24DirectLink&amp;page=FrontEndViewTender&amp;service=direct&amp;session=T&amp;sp=S8AEvLl7rm%2Bz8gqNBO31krA%3D%3D", "TN-25139 Supply of HT Fasteners at KSTPS, Kota.")</f>
        <v/>
      </c>
      <c r="C61" t="inlineStr">
        <is>
          <t>RRVUN - CMD||RVUN - CE (CTPP) - Chhabra||SE (MM)</t>
        </is>
      </c>
      <c r="D61" t="inlineStr">
        <is>
          <t>19-May-2025 12:00 PM</t>
        </is>
      </c>
      <c r="E61" t="inlineStr">
        <is>
          <t>59,69,000</t>
        </is>
      </c>
      <c r="F61" t="inlineStr">
        <is>
          <t>Supply of HT Fasteners at KSTPS, Kota.</t>
        </is>
      </c>
      <c r="G61" t="inlineStr">
        <is>
          <t>Kota Super Thermal Power Station</t>
        </is>
      </c>
    </row>
    <row r="62">
      <c r="A62" s="1" t="n">
        <v>60</v>
      </c>
      <c r="B62">
        <f>HYPERLINK("https://eproc.rajasthan.gov.in/nicgep/app?component=%24DirectLink&amp;page=FrontEndViewTender&amp;service=direct&amp;session=T&amp;sp=S6G5eRgLQKgILVJhaABPl3Q%3D%3D", "Annual Rate Contract for empanelment of transportation agency(s)/contractor(s) for transportation of pond/mound ash from Ash Dyke of STPS, RVUN, Suratgarh to various locations of user agency(s) within 300 KMs")</f>
        <v/>
      </c>
      <c r="C62" t="inlineStr">
        <is>
          <t>RRVUN - CMD||RVUN - CE (SSTPS), Suratgarh</t>
        </is>
      </c>
      <c r="D62" t="inlineStr">
        <is>
          <t>30-May-2025 11:00 AM</t>
        </is>
      </c>
      <c r="E62" t="inlineStr">
        <is>
          <t>60,50,00,000</t>
        </is>
      </c>
      <c r="F62" t="inlineStr">
        <is>
          <t>Annual Rate Contract for empanelment of transportation agency(s)/contractor(s) for transportation of pond/mound ash from Ash Dyke of STPS, RVUN, Suratgarh to various locations of user agency(s) within 300 KMs</t>
        </is>
      </c>
      <c r="G62" t="inlineStr">
        <is>
          <t>STPS (O n M) Suratgarh</t>
        </is>
      </c>
    </row>
    <row r="63">
      <c r="A63" s="1" t="n">
        <v>61</v>
      </c>
      <c r="B63">
        <f>HYPERLINK("https://eproc.rajasthan.gov.in/nicgep/app?component=%24DirectLink&amp;page=FrontEndViewTender&amp;service=direct&amp;session=T&amp;sp=S8o26RZn4TO47%2F3V5Jd4zBw%3D%3D", "Requirement of modified cross head assembly with CV disc and CV stem for MS control valve")</f>
        <v/>
      </c>
      <c r="C63" t="inlineStr">
        <is>
          <t>RRVUN - CMD||RVUN - CE (KaTPP) - Jhalawar||SE (MM)</t>
        </is>
      </c>
      <c r="D63" t="inlineStr">
        <is>
          <t>23-May-2025 03:00 PM</t>
        </is>
      </c>
      <c r="E63" t="inlineStr">
        <is>
          <t>65,09,000</t>
        </is>
      </c>
      <c r="F63" t="inlineStr">
        <is>
          <t>Requirement of modified cross head assembly with CV disc and CV stem for MS control valve CV2 and CV3 of 2X 600 MW KaTPP, RRVUNL, Jhalawar</t>
        </is>
      </c>
      <c r="G63" t="inlineStr">
        <is>
          <t>KALISINDH THERMAL POWER PROJECT, JHALAWAR</t>
        </is>
      </c>
    </row>
    <row r="64">
      <c r="A64" s="1" t="n">
        <v>62</v>
      </c>
      <c r="B64">
        <f>HYPERLINK("https://eproc.rajasthan.gov.in/nicgep/app?component=%24DirectLink&amp;page=FrontEndViewTender&amp;service=direct&amp;session=T&amp;sp=Sbyd%2Beac6bPKMd2enIa8bTQ%3D%3D", "Supply of Spares for ESP")</f>
        <v/>
      </c>
      <c r="C64" t="inlineStr">
        <is>
          <t>RRVUN - CMD||RVUN - CE (KaTPP) - Jhalawar</t>
        </is>
      </c>
      <c r="D64" t="inlineStr">
        <is>
          <t>23-May-2025 03:00 PM</t>
        </is>
      </c>
      <c r="E64" t="inlineStr">
        <is>
          <t>3,06,00,000</t>
        </is>
      </c>
      <c r="F64" t="inlineStr">
        <is>
          <t>Supply of Spares for ESP</t>
        </is>
      </c>
      <c r="G64" t="inlineStr">
        <is>
          <t>KALISINDH THERMAL POWER PROJECT, JHALAWAR</t>
        </is>
      </c>
    </row>
    <row r="65">
      <c r="A65" s="1" t="n">
        <v>63</v>
      </c>
      <c r="B65">
        <f>HYPERLINK("https://eproc.rajasthan.gov.in/nicgep/app?component=%24DirectLink&amp;page=FrontEndViewTender&amp;service=direct&amp;session=T&amp;sp=Szp58UA8iE9n%2FQWlKfW6vsA%3D%3D", "AMC for AAQMS and CMMS installed at 2x600 MW, KaTPP, RVUNL, Jhalawar along with maintenance of connectivity to CPCB and RSPCB server including software and hardware, License Renewal")</f>
        <v/>
      </c>
      <c r="C65" t="inlineStr">
        <is>
          <t>RRVUN - CMD||RVUN - CE (KaTPP) - Jhalawar||Dy.CE (E and M)||Ex.En. (CM and C)</t>
        </is>
      </c>
      <c r="D65" t="inlineStr">
        <is>
          <t>20-May-2025 11:00 AM</t>
        </is>
      </c>
      <c r="E65" t="inlineStr">
        <is>
          <t>NA</t>
        </is>
      </c>
      <c r="F65" t="inlineStr">
        <is>
          <t>AMC for AAQMS and CMMS installed at 2x600 MW, KaTPP, RVUNL, Jhalawar along with maintenance of connectivity to CPCB and RSPCB server including software and hardware, License Renewal</t>
        </is>
      </c>
      <c r="G65" t="inlineStr">
        <is>
          <t>KaTPP, Jhalawar</t>
        </is>
      </c>
    </row>
    <row r="66">
      <c r="A66" s="1" t="n">
        <v>64</v>
      </c>
      <c r="B66">
        <f>HYPERLINK("https://eproc.rajasthan.gov.in/nicgep/app?component=%24DirectLink&amp;page=FrontEndViewTender&amp;service=direct&amp;session=T&amp;sp=So23xYYJDP8MShyFlGGC0FA%3D%3D", "Annual work contract of Supply and application of Thermal Insulation and Sheeting in Boiler Turbine and other areas of Unit 1 and 2 (2x600MW) KaTPP RVUNL Jhalawar")</f>
        <v/>
      </c>
      <c r="C66" t="inlineStr">
        <is>
          <t>RRVUN - CMD||RVUN - CE (KaTPP) - Jhalawar||Dy.CE (E and M)</t>
        </is>
      </c>
      <c r="D66" t="inlineStr">
        <is>
          <t>23-May-2025 11:00 AM</t>
        </is>
      </c>
      <c r="E66" t="inlineStr">
        <is>
          <t>40,61,755</t>
        </is>
      </c>
      <c r="F66" t="inlineStr">
        <is>
          <t>Annual work contract of Supply and application of Thermal Insulation and Sheeting in Boiler Turbine and other areas of Unit 1 and 2 (2x600MW) KaTPP RVUNL Jhalawar</t>
        </is>
      </c>
      <c r="G66" t="inlineStr">
        <is>
          <t>KaTPP RVUNL Jhalawar</t>
        </is>
      </c>
    </row>
    <row r="67">
      <c r="A67" s="1" t="n">
        <v>65</v>
      </c>
      <c r="B67">
        <f>HYPERLINK("https://eproc.rajasthan.gov.in/nicgep/app?component=%24DirectLink&amp;page=FrontEndViewTender&amp;service=direct&amp;session=T&amp;sp=SS%2BtjxOZC1vjwRcddfFDpmw%3D%3D", "Annual work contract for Routine and Breakdown Mtc. of Turbine, Heat Exchangers, TDBFP Turbine and their auxiliaries, Mtc. and Up-keeping of various Pumps in Turbine Area, Opr. and Mtc. of 2 nos. EOT Crane (105/25 MT) in TG Hall of KaTPP, Jhalawar")</f>
        <v/>
      </c>
      <c r="C67" t="inlineStr">
        <is>
          <t>RRVUN - CMD||RVUN - CE (KaTPP) - Jhalawar||Dy.CE (E and M)||Ex.En. (CM and C)</t>
        </is>
      </c>
      <c r="D67" t="inlineStr">
        <is>
          <t>20-May-2025 11:00 AM</t>
        </is>
      </c>
      <c r="E67" t="inlineStr">
        <is>
          <t>1,00,25,342</t>
        </is>
      </c>
      <c r="F67" t="inlineStr">
        <is>
          <t>Annual work contract for Routine and Breakdown Mtc. of Turbine, Heat Exchangers, TDBFP Turbine and their auxiliaries, Mtc. and Up-keeping of various Pumps in Turbine Area, Opr. and Mtc. of 2 nos. EOT Crane (105/25 MT) in TG Hall of KaTPP, Jhalawar</t>
        </is>
      </c>
      <c r="G67" t="inlineStr">
        <is>
          <t>Turbine, KaTPP, Jhalawar</t>
        </is>
      </c>
    </row>
    <row r="68">
      <c r="A68" s="1" t="n">
        <v>66</v>
      </c>
      <c r="B68">
        <f>HYPERLINK("https://eproc.rajasthan.gov.in/nicgep/app?component=%24DirectLink&amp;page=FrontEndViewTender&amp;service=direct&amp;session=T&amp;sp=SOJY47UbVysmPt9ijnx6tPA%3D%3D", "Annual Contract for Rewinding of Induction Motors Control Transformers With Class F Insulation And Miscellaneous Maintenance Works Of LT Motors etc for Unit 1 and 2 At KaTPP RVUNL Jhalawar")</f>
        <v/>
      </c>
      <c r="C68" t="inlineStr">
        <is>
          <t>RRVUN - CMD||RVUN - CE (KaTPP) - Jhalawar||Dy.CE (E and M)</t>
        </is>
      </c>
      <c r="D68" t="inlineStr">
        <is>
          <t>22-May-2025 11:00 AM</t>
        </is>
      </c>
      <c r="E68" t="inlineStr">
        <is>
          <t>16,06,756</t>
        </is>
      </c>
      <c r="F68" t="inlineStr">
        <is>
          <t>Annual Contract for Rewinding of Induction Motors Control Transformers With Class F Insulation And Miscellaneous Maintenance Works Of LT Motors etc for Unit 1 and 2 At KaTPP RVUNL Jhalawar</t>
        </is>
      </c>
      <c r="G68" t="inlineStr">
        <is>
          <t>KaTPP, Near Undal</t>
        </is>
      </c>
    </row>
    <row r="69">
      <c r="A69" s="1" t="n">
        <v>67</v>
      </c>
      <c r="B69">
        <f>HYPERLINK("https://eproc.rajasthan.gov.in/nicgep/app?component=%24DirectLink&amp;page=FrontEndViewTender&amp;service=direct&amp;session=T&amp;sp=SU6WAFWubS03hmM7kjXZ3CA%3D%3D", "TN-5394 Repairing/servicing of faulty Allen Bradley/ABB /Mesto make Cards installed in various unit of KSTPS, KOTA.")</f>
        <v/>
      </c>
      <c r="C69" t="inlineStr">
        <is>
          <t>RRVUN - CMD||RVUN - CE - (TH), KSTPS, Kota, Jaipur</t>
        </is>
      </c>
      <c r="D69" t="inlineStr">
        <is>
          <t>26-May-2025 12:00 PM</t>
        </is>
      </c>
      <c r="E69" t="inlineStr">
        <is>
          <t>8,16,000</t>
        </is>
      </c>
      <c r="F69" t="inlineStr">
        <is>
          <t>Repairing/servicing of faulty Allen Bradley/ABB /Mesto make Cards installed in various unit of KSTPS, KOTA.</t>
        </is>
      </c>
      <c r="G69" t="inlineStr">
        <is>
          <t>Kota Super Thermal Power Station</t>
        </is>
      </c>
    </row>
    <row r="70">
      <c r="A70" s="1" t="n">
        <v>68</v>
      </c>
      <c r="B70">
        <f>HYPERLINK("https://eproc.rajasthan.gov.in/nicgep/app?component=%24DirectLink&amp;page=FrontEndViewTender&amp;service=direct&amp;session=T&amp;sp=SGCtt2eT5C65hJoOfDGrxeg%3D%3D", "TN-5390 Work of On-line safety valve setting by Trevi testing method in Boilers of KSTPS, Stage I to V, Unit 1 to 7 Kstps,Kota")</f>
        <v/>
      </c>
      <c r="C70" t="inlineStr">
        <is>
          <t>RRVUN - CMD||RVUN - CE - (TH), KSTPS, Kota, Jaipur</t>
        </is>
      </c>
      <c r="D70" t="inlineStr">
        <is>
          <t>26-May-2025 12:00 PM</t>
        </is>
      </c>
      <c r="E70" t="inlineStr">
        <is>
          <t>6,59,000</t>
        </is>
      </c>
      <c r="F70" t="inlineStr">
        <is>
          <t>Work of On-line safety valve setting by Trevi testing method in Boilers of KSTPS, Stage I to V, Unit 1 to 7 Kstps,Kota</t>
        </is>
      </c>
      <c r="G70" t="inlineStr">
        <is>
          <t>Kota Super Thermal Power Station</t>
        </is>
      </c>
    </row>
    <row r="71">
      <c r="A71" s="1" t="n">
        <v>69</v>
      </c>
      <c r="B71">
        <f>HYPERLINK("https://eproc.rajasthan.gov.in/nicgep/app?component=%24DirectLink&amp;page=FrontEndViewTender&amp;service=direct&amp;session=T&amp;sp=SYxXEFigJolYSd8k8ThxKuQ%3D%3D", "TN-5393 Servicing and Overhauling of 6.6 KV SF-6/Vacuum Breakers installed at KSTPS, Kota")</f>
        <v/>
      </c>
      <c r="C71" t="inlineStr">
        <is>
          <t>RRVUN - CMD||RVUN - CE - (TH), KSTPS, Kota, Jaipur||Dy.CE (Elect and C and Il)||SE (EM)</t>
        </is>
      </c>
      <c r="D71" t="inlineStr">
        <is>
          <t>27-May-2025 12:00 PM</t>
        </is>
      </c>
      <c r="E71" t="inlineStr">
        <is>
          <t>5,12,000</t>
        </is>
      </c>
      <c r="F71" t="inlineStr">
        <is>
          <t>Servicing and Overhauling of 6.6 KV SF-6/Vacuum Breakers installed at KSTPS, Kota</t>
        </is>
      </c>
      <c r="G71" t="inlineStr">
        <is>
          <t>Kota Super Thermal Power Station</t>
        </is>
      </c>
    </row>
    <row r="72">
      <c r="A72" s="1" t="n">
        <v>70</v>
      </c>
      <c r="B72">
        <f>HYPERLINK("https://eproc.rajasthan.gov.in/nicgep/app?component=%24DirectLink&amp;page=FrontEndViewTender&amp;service=direct&amp;session=T&amp;sp=SvJqu0UeyU5n7FwbDdXjT%2FA%3D%3D", "TN-5389 Loading/ Unloading, checking and stacking of materials in O and M Stores arriving from different sources/ on door delivery basis in various O and M stores sheds/Godowns of KSTPS,Kota")</f>
        <v/>
      </c>
      <c r="C72" t="inlineStr">
        <is>
          <t>RRVUN - CMD||RVUN - CE - (TH), KSTPS, Kota, Jaipur||Dy.CE (MM)</t>
        </is>
      </c>
      <c r="D72" t="inlineStr">
        <is>
          <t>27-May-2025 12:00 PM</t>
        </is>
      </c>
      <c r="E72" t="inlineStr">
        <is>
          <t>8,33,000</t>
        </is>
      </c>
      <c r="F72" t="inlineStr">
        <is>
          <t>Loading/ Unloading, checking and stacking of materials in O and M Stores arriving from different sources/ on door delivery basis in various O and M stores sheds/Godowns of KSTPS,Kota</t>
        </is>
      </c>
      <c r="G72" t="inlineStr">
        <is>
          <t>Kota Super Thermal Power Station</t>
        </is>
      </c>
    </row>
    <row r="73">
      <c r="A73" s="1" t="n">
        <v>71</v>
      </c>
      <c r="B73">
        <f>HYPERLINK("https://eproc.rajasthan.gov.in/nicgep/app?component=%24DirectLink&amp;page=FrontEndViewTender&amp;service=direct&amp;session=T&amp;sp=SdXNAXiE8KxG8PUgDlz14Gg%3D%3D", "TN-5395 Hiring of 12 Nos. AC Swift Dezire or equivalent CNG car(above 1190 CC ,05 seater and all power windows) with driver having taxi permit for 2 Years contract")</f>
        <v/>
      </c>
      <c r="C73" t="inlineStr">
        <is>
          <t>RRVUN - CMD||RVUN - CE - (TH), KSTPS, Kota, Jaipur||Dy.CE (MM)</t>
        </is>
      </c>
      <c r="D73" t="inlineStr">
        <is>
          <t>21-May-2025 12:00 PM</t>
        </is>
      </c>
      <c r="E73" t="inlineStr">
        <is>
          <t>1,12,90,000</t>
        </is>
      </c>
      <c r="F73" t="inlineStr">
        <is>
          <t>Hiring of 12 Nos. AC Swift Dezire or equivalent CNG car(above 1190 CC ,05 seater and all power windows) with driver having taxi permit for 2 Years contract (model year 2023 or latest)</t>
        </is>
      </c>
      <c r="G73" t="inlineStr">
        <is>
          <t>Kota Super Thermal Power Station</t>
        </is>
      </c>
    </row>
    <row r="74">
      <c r="A74" s="1" t="n">
        <v>72</v>
      </c>
      <c r="B74">
        <f>HYPERLINK("https://eproc.rajasthan.gov.in/nicgep/app?component=%24DirectLink&amp;page=FrontEndViewTender&amp;service=direct&amp;session=T&amp;sp=SZBi6h5vl2Yy9wQt8XATpiA%3D%3D", "Construction of 4x250 MVA, 33/400 KV X-mers, Bays for Four Nos 400 KV TL for PPS-I alongwith 400 KV, 1x125 MVAR, Shunt Reactor (Bus Type) and 4x250 MVA, 33/400 KV X-mers, Bays For Three nos 400 KV TL for PPS-II at Village Ramsar Chhota,Pugal, Bikaner")</f>
        <v/>
      </c>
      <c r="C74" t="inlineStr">
        <is>
          <t>RRVUN - CMD||RVUN - CE (TD) - Jaipur||SE (TD)</t>
        </is>
      </c>
      <c r="D74" t="inlineStr">
        <is>
          <t>09-Jun-2025 12:00 PM</t>
        </is>
      </c>
      <c r="E74" t="inlineStr">
        <is>
          <t>NA</t>
        </is>
      </c>
      <c r="F74" t="inlineStr">
        <is>
          <t>Construction of 4x250 MVA, 33/400 KV X-mers, Bays for Four Nos 400 KV TL for PPS-I alongwith 400 KV, 1x125 MVAR, Shunt Reactor (Bus Type) and 4x250 MVA, 33/400 KV X-mers, Bays For Three nos 400 KV TL for PPS-II at Village Ramsar Chhota,Pugal, Bikaner</t>
        </is>
      </c>
      <c r="G74" t="inlineStr">
        <is>
          <t>Village Ramsar Chhota,Pugal , Bikaner</t>
        </is>
      </c>
    </row>
    <row r="75">
      <c r="A75" s="1" t="n">
        <v>73</v>
      </c>
      <c r="B75">
        <f>HYPERLINK("https://eproc.rajasthan.gov.in/nicgep/app?component=%24DirectLink&amp;page=FrontEndViewTender&amp;service=direct&amp;session=T&amp;sp=SDp6WL5aNjao8JVGYX2UQTw%3D%3D", "Supply ,Erection, testing and commissioning works for interconnection arrangement (Tie feeder) of 6.6KV Cubical switchgear panels incorporating VCB( Vacuum Circuit breaker rating- 12KV, 3150Amp.,Isc- 40KA at the rate 1sec.) for Phase -I to Phase- I")</f>
        <v/>
      </c>
      <c r="C75" t="inlineStr">
        <is>
          <t>RRVUN - CMD||RVUN - CE (CTPP) - Chhabra</t>
        </is>
      </c>
      <c r="D75" t="inlineStr">
        <is>
          <t>23-May-2025 12:00 PM</t>
        </is>
      </c>
      <c r="E75" t="inlineStr">
        <is>
          <t>2,04,50,000</t>
        </is>
      </c>
      <c r="F75" t="inlineStr">
        <is>
          <t>Supply ,Erection, testing and commissioning works for interconnection arrangement (Tie feeder) of 6.6KV Cubical switchgear panels incorporating VCB( Vacuum Circuit breaker rating- 12KV, 3150Amp.,Isc- 40KA at the rate 1sec.) for Phase -I to Phase- I</t>
        </is>
      </c>
      <c r="G75" t="inlineStr">
        <is>
          <t>CTPP, RVUNL, Chhabra</t>
        </is>
      </c>
    </row>
    <row r="76">
      <c r="A76" s="1" t="n">
        <v>74</v>
      </c>
      <c r="B76">
        <f>HYPERLINK("https://eproc.rajasthan.gov.in/nicgep/app?component=%24DirectLink&amp;page=FrontEndViewTender&amp;service=direct&amp;session=T&amp;sp=Suxu34pLUTdlezbuY9JIOaA%3D%3D", "Supply of Boiler steam and water thermocouple and RTD for Stage- I and II CTPP, Chhabra")</f>
        <v/>
      </c>
      <c r="C76" t="inlineStr">
        <is>
          <t>RRVUN - CMD||RVUN - CE (CTPP) - Chhabra</t>
        </is>
      </c>
      <c r="D76" t="inlineStr">
        <is>
          <t>27-May-2025 12:00 PM</t>
        </is>
      </c>
      <c r="E76" t="inlineStr">
        <is>
          <t>11,66,000</t>
        </is>
      </c>
      <c r="F76" t="inlineStr">
        <is>
          <t>Supply of Boiler steam and water thermocouple and RTD for Stage- I and II CTPP, Chhabra</t>
        </is>
      </c>
      <c r="G76" t="inlineStr">
        <is>
          <t>CTPP, RVUNL, Chhabra</t>
        </is>
      </c>
    </row>
    <row r="77">
      <c r="A77" s="1" t="n">
        <v>75</v>
      </c>
      <c r="B77">
        <f>HYPERLINK("https://eproc.rajasthan.gov.in/nicgep/app?component=%24DirectLink&amp;page=FrontEndViewTender&amp;service=direct&amp;session=T&amp;sp=SVYSSVqiTuD5441A7P0Qg%2BA%3D%3D", "Supply of Toothed Hammer Ring Sets for TRF and Elecon make Ring Granulators at CHP CTPP Chhabra")</f>
        <v/>
      </c>
      <c r="C77" t="inlineStr">
        <is>
          <t>RRVUN - CMD||RVUN - CE (CTPP) - Chhabra</t>
        </is>
      </c>
      <c r="D77" t="inlineStr">
        <is>
          <t>19-May-2025 11:00 AM</t>
        </is>
      </c>
      <c r="E77" t="inlineStr">
        <is>
          <t>61,40,000</t>
        </is>
      </c>
      <c r="F77" t="inlineStr">
        <is>
          <t>Supply of Toothed Hammer Ring Sets for TRF and Elecon make Ring Granulators at CHP CTPP Chhabra</t>
        </is>
      </c>
      <c r="G77" t="inlineStr">
        <is>
          <t>CTPP RRVUNL Chhabra</t>
        </is>
      </c>
    </row>
    <row r="78">
      <c r="A78" s="1" t="n">
        <v>76</v>
      </c>
      <c r="B78">
        <f>HYPERLINK("https://eproc.rajasthan.gov.in/nicgep/app?component=%24DirectLink&amp;page=FrontEndViewTender&amp;service=direct&amp;session=T&amp;sp=S8vyl0W%2Fbhdvpv3fag4%2Bv6Q%3D%3D", "TN-5383 Capital and routine maintenance of boiler pressure part area (HP/LP welding of boiler/turbine area, HP/LP Valves, soot blowers and its 11associated works) of Unit 1 to 7 KSTPS, Kota")</f>
        <v/>
      </c>
      <c r="C78" t="inlineStr">
        <is>
          <t>RRVUN - CMD||RVUN - CE - (TH), KSTPS, Kota, Jaipur</t>
        </is>
      </c>
      <c r="D78" t="inlineStr">
        <is>
          <t>21-May-2025 12:00 PM</t>
        </is>
      </c>
      <c r="E78" t="inlineStr">
        <is>
          <t>3,50,46,000</t>
        </is>
      </c>
      <c r="F78" t="inlineStr">
        <is>
          <t>Capital and routine maintenance of boiler pressure part area (HP/LP welding of boiler/turbine area, HP/LP Valves, soot blowers and its 11associated works) of Unit 1 to 7 KSTPS, Kota</t>
        </is>
      </c>
      <c r="G78" t="inlineStr">
        <is>
          <t>Kota Super Thermal Power Station</t>
        </is>
      </c>
    </row>
    <row r="79">
      <c r="A79" s="1" t="n">
        <v>77</v>
      </c>
      <c r="B79">
        <f>HYPERLINK("https://eproc.rajasthan.gov.in/nicgep/app?component=%24DirectLink&amp;page=FrontEndViewTender&amp;service=direct&amp;session=T&amp;sp=SGyH4Ikt5%2BjtwIMssM2hYLg%3D%3D", "Purchase of Air conditioners in various RVUN power stations and RVUN Jaipur offices")</f>
        <v/>
      </c>
      <c r="C79" t="inlineStr">
        <is>
          <t>RRVUN - CMD||RVUN - CE (TD) - Jaipur</t>
        </is>
      </c>
      <c r="D79" t="inlineStr">
        <is>
          <t>21-May-2025 06:00 PM</t>
        </is>
      </c>
      <c r="E79" t="inlineStr">
        <is>
          <t>NA</t>
        </is>
      </c>
      <c r="F79" t="inlineStr">
        <is>
          <t>Purchase of Air conditioners in various RVUN power stations and RVUN Jaipur offices</t>
        </is>
      </c>
      <c r="G79" t="inlineStr">
        <is>
          <t>As per tender documents</t>
        </is>
      </c>
    </row>
    <row r="80">
      <c r="A80" s="1" t="n">
        <v>78</v>
      </c>
      <c r="B80">
        <f>HYPERLINK("https://eproc.rajasthan.gov.in/nicgep/app?component=%24DirectLink&amp;page=FrontEndViewTender&amp;service=direct&amp;session=T&amp;sp=S7kRTY2p1GN3ncDSBMOJI%2BA%3D%3D", "Tender Notice for Replacement Repairing Capital Overhauling, Refurbishment, Retrofitting with Operation and Maintenance of various mini, micro hydel power stations situated on IGNP")</f>
        <v/>
      </c>
      <c r="C80" t="inlineStr">
        <is>
          <t>RRVUN - CMD||RVUN - Dy.CE (PPC and F) - Jaipur||Ex.En. (Fuel)</t>
        </is>
      </c>
      <c r="D80" t="inlineStr">
        <is>
          <t>27-May-2025 05:00 PM</t>
        </is>
      </c>
      <c r="E80" t="inlineStr">
        <is>
          <t>NA</t>
        </is>
      </c>
      <c r="F80" t="inlineStr">
        <is>
          <t>For Replacement, Repairing, Capital Overhauling, Refurbishment, Retrofitting with Operation and Maintenance of various mini, micro hydel power stations situated on IGNP</t>
        </is>
      </c>
      <c r="G80" t="inlineStr">
        <is>
          <t>Various Location</t>
        </is>
      </c>
    </row>
    <row r="81">
      <c r="A81" s="1" t="n">
        <v>79</v>
      </c>
      <c r="B81">
        <f>HYPERLINK("https://eproc.rajasthan.gov.in/nicgep/app?component=%24DirectLink&amp;page=FrontEndViewTender&amp;service=direct&amp;session=T&amp;sp=SDKKeAduAp6Oxeplw%2Bm5x3Q%3D%3D", "Annual Contract for providing manpower for assistance in store related works along with Hydra crane operator")</f>
        <v/>
      </c>
      <c r="C81" t="inlineStr">
        <is>
          <t>RRVUN - CMD||RVUN - CE (RGTPP) - Ramgarh</t>
        </is>
      </c>
      <c r="D81" t="inlineStr">
        <is>
          <t>23-May-2025 12:00 PM</t>
        </is>
      </c>
      <c r="E81" t="inlineStr">
        <is>
          <t>9,02,000</t>
        </is>
      </c>
      <c r="F81" t="inlineStr">
        <is>
          <t>Annual Contract for providing manpower for assistance in store related works along with Hydra crane operator</t>
        </is>
      </c>
      <c r="G81" t="inlineStr">
        <is>
          <t>RGTPP, RVUNL, Ramgarh</t>
        </is>
      </c>
    </row>
    <row r="82">
      <c r="A82" s="1" t="n">
        <v>80</v>
      </c>
      <c r="B82">
        <f>HYPERLINK("https://eproc.rajasthan.gov.in/nicgep/app?component=%24DirectLink&amp;page=FrontEndViewTender&amp;service=direct&amp;session=T&amp;sp=Sa9271DRDHrznODkONsy3tw%3D%3D", "The work of condenser cleaning of STG # I (37.5 MW ) by chemical cleaning followed by high pressure water jet cleaning up to 800 kg/cm2 at RGTPP, Ramgarh.")</f>
        <v/>
      </c>
      <c r="C82" t="inlineStr">
        <is>
          <t>RRVUN - CMD||RVUN - Dy.CE (PPC and F) - Jaipur||Ex.En. (Fuel)</t>
        </is>
      </c>
      <c r="D82" t="inlineStr">
        <is>
          <t>23-May-2025 12:00 PM</t>
        </is>
      </c>
      <c r="E82" t="inlineStr">
        <is>
          <t>14,01,840</t>
        </is>
      </c>
      <c r="F82" t="inlineStr">
        <is>
          <t>The work of condenser cleaning of STG I (37.5 MW ) by chemical cleaning followed by high pressure water jet cleaning up to 800 kg/cm2 at RGTPP, Ramgarh.</t>
        </is>
      </c>
      <c r="G82" t="inlineStr">
        <is>
          <t>O/O CE RGTPP,RAMGARH</t>
        </is>
      </c>
    </row>
    <row r="83">
      <c r="A83" s="1" t="n">
        <v>81</v>
      </c>
      <c r="B83">
        <f>HYPERLINK("https://eproc.rajasthan.gov.in/nicgep/app?component=%24DirectLink&amp;page=FrontEndViewTender&amp;service=direct&amp;session=T&amp;sp=ScMu0OeeUfl3A1jDoA78OhA%3D%3D", "Annual contract for cleaning of residential colony at RGTPP, Ramgarh")</f>
        <v/>
      </c>
      <c r="C83" t="inlineStr">
        <is>
          <t>RRVUN - CMD||RVUN - CE (RGTPP) - Ramgarh</t>
        </is>
      </c>
      <c r="D83" t="inlineStr">
        <is>
          <t>23-May-2025 12:00 PM</t>
        </is>
      </c>
      <c r="E83" t="inlineStr">
        <is>
          <t>12,33,811</t>
        </is>
      </c>
      <c r="F83" t="inlineStr">
        <is>
          <t>Annual contract for cleaning of residential colony at RGTPP, Ramgarh</t>
        </is>
      </c>
      <c r="G83" t="inlineStr">
        <is>
          <t>RGTPP, Ramgarh</t>
        </is>
      </c>
    </row>
    <row r="84">
      <c r="A84" s="1" t="n">
        <v>82</v>
      </c>
      <c r="B84">
        <f>HYPERLINK("https://eproc.rajasthan.gov.in/nicgep/app?component=%24DirectLink&amp;page=FrontEndViewTender&amp;service=direct&amp;session=T&amp;sp=SSN6imLeHNveqsHuDf2sP%2Bw%3D%3D", "TN 900")</f>
        <v/>
      </c>
      <c r="C84" t="inlineStr">
        <is>
          <t>RRVUN - CMD||RVUN - CE (RGTPP) - Ramgarh</t>
        </is>
      </c>
      <c r="D84" t="inlineStr">
        <is>
          <t>23-May-2025 12:00 PM</t>
        </is>
      </c>
      <c r="E84" t="inlineStr">
        <is>
          <t>17,84,442</t>
        </is>
      </c>
      <c r="F84" t="inlineStr">
        <is>
          <t>Annual contract for providing ITI holder manpower in operation of Stage I II and III at RGTPP RVUNL Ramgarh</t>
        </is>
      </c>
      <c r="G84" t="inlineStr">
        <is>
          <t>RGTPP Ramgarh</t>
        </is>
      </c>
    </row>
    <row r="85">
      <c r="A85" s="1" t="n">
        <v>83</v>
      </c>
      <c r="B85">
        <f>HYPERLINK("https://eproc.rajasthan.gov.in/nicgep/app?component=%24DirectLink&amp;page=FrontEndViewTender&amp;service=direct&amp;session=T&amp;sp=S%2Fc8A7RboF7S8dAw2QcfzoQ%3D%3D", "Supply of spare parts of Voltas make Ductable AC system and HVAC system")</f>
        <v/>
      </c>
      <c r="C85" t="inlineStr">
        <is>
          <t>RRVUN - CMD||RVUN - CE (RGTPP) - Ramgarh</t>
        </is>
      </c>
      <c r="D85" t="inlineStr">
        <is>
          <t>23-May-2025 12:00 PM</t>
        </is>
      </c>
      <c r="E85" t="inlineStr">
        <is>
          <t>11,38,000</t>
        </is>
      </c>
      <c r="F85" t="inlineStr">
        <is>
          <t>Supply of spare parts of Voltas make Ductable AC system and HVAC system</t>
        </is>
      </c>
      <c r="G85" t="inlineStr">
        <is>
          <t>RGTPP RVUNL RAMGARH</t>
        </is>
      </c>
    </row>
    <row r="86">
      <c r="A86" s="1" t="n">
        <v>84</v>
      </c>
      <c r="B86">
        <f>HYPERLINK("https://eproc.rajasthan.gov.in/nicgep/app?component=%24DirectLink&amp;page=FrontEndViewTender&amp;service=direct&amp;session=T&amp;sp=SwmaYekm0CUReAezmGL%2FtYA%3D%3D", "AMC of repairing and rewinding of LT Motors at RGTPP Ramgarh")</f>
        <v/>
      </c>
      <c r="C86" t="inlineStr">
        <is>
          <t>RRVUN - CMD||RVUN - CE (RGTPP) - Ramgarh||SE (MM)</t>
        </is>
      </c>
      <c r="D86" t="inlineStr">
        <is>
          <t>23-May-2025 12:00 PM</t>
        </is>
      </c>
      <c r="E86" t="inlineStr">
        <is>
          <t>NA</t>
        </is>
      </c>
      <c r="F86" t="inlineStr">
        <is>
          <t>AMC of repairing and rewinding of LT Motors at RGTPP Ramgarh</t>
        </is>
      </c>
      <c r="G86" t="inlineStr">
        <is>
          <t>CE RGTPP Ramgarh Jaisalmer Rajasthan</t>
        </is>
      </c>
    </row>
    <row r="87">
      <c r="A87" s="1" t="n">
        <v>85</v>
      </c>
      <c r="B87">
        <f>HYPERLINK("https://eproc.rajasthan.gov.in/nicgep/app?component=%24DirectLink&amp;page=FrontEndViewTender&amp;service=direct&amp;session=T&amp;sp=S3uP57vTaErp0QUPzWZOEag%3D%3D", "TN-MM-2059 Supply of Hot element basket for Air Pre Heaters of Unit # 1 to 5 at SSTPS, Suratgarh.")</f>
        <v/>
      </c>
      <c r="C87" t="inlineStr">
        <is>
          <t>RRVUN - CMD||RVUN - CE (SSTPS), Suratgarh</t>
        </is>
      </c>
      <c r="D87" t="inlineStr">
        <is>
          <t>21-May-2025 11:30 AM</t>
        </is>
      </c>
      <c r="E87" t="inlineStr">
        <is>
          <t>2,24,00,000</t>
        </is>
      </c>
      <c r="F87" t="inlineStr">
        <is>
          <t>TN-MM-2059 Supply of Hot element basket for Air Pre Heaters of Unit # 1 to 5 at SSTPS, Suratgarh.</t>
        </is>
      </c>
      <c r="G87" t="inlineStr">
        <is>
          <t>SE(PROC) STPS, Suratgarh</t>
        </is>
      </c>
    </row>
    <row r="88">
      <c r="A88" s="1" t="n">
        <v>86</v>
      </c>
      <c r="B88">
        <f>HYPERLINK("https://eproc.rajasthan.gov.in/nicgep/app?component=%24DirectLink&amp;page=FrontEndViewTender&amp;service=direct&amp;session=T&amp;sp=Sa9L9Ra2PjQ6iKOrx%2F4eumQ%3D%3D", "TN-MM-2051 Supply of spares for Ball Tube Mill BBD - 4772 at SSTPS, Suratgarh")</f>
        <v/>
      </c>
      <c r="C88" t="inlineStr">
        <is>
          <t>RRVUN - CMD||RVUN - CE (SSTPS), Suratgarh</t>
        </is>
      </c>
      <c r="D88" t="inlineStr">
        <is>
          <t>21-May-2025 11:30 AM</t>
        </is>
      </c>
      <c r="E88" t="inlineStr">
        <is>
          <t>1,68,09,100</t>
        </is>
      </c>
      <c r="F88" t="inlineStr">
        <is>
          <t>TN-MM-2051-Supply of spares for Ball Tube Mill BBD - 4772 at SSTPS, Suratgarh</t>
        </is>
      </c>
      <c r="G88" t="inlineStr">
        <is>
          <t>SE(PROC) STPS, Suratgarh</t>
        </is>
      </c>
    </row>
    <row r="89">
      <c r="A89" s="1" t="n">
        <v>87</v>
      </c>
      <c r="B89">
        <f>HYPERLINK("https://eproc.rajasthan.gov.in/nicgep/app?component=%24DirectLink&amp;page=FrontEndViewTender&amp;service=direct&amp;session=T&amp;sp=SwYjzZt7JGUFcHCC2CUzUWQ%3D%3D", "TN-MM-2047")</f>
        <v/>
      </c>
      <c r="C89" t="inlineStr">
        <is>
          <t>RRVUN - CMD||RVUN - CE (SSTPS), Suratgarh</t>
        </is>
      </c>
      <c r="D89" t="inlineStr">
        <is>
          <t>21-May-2025 11:30 AM</t>
        </is>
      </c>
      <c r="E89" t="inlineStr">
        <is>
          <t>56,64,000</t>
        </is>
      </c>
      <c r="F89" t="inlineStr">
        <is>
          <t>TN-MM-2047-Supply of spares for Air Pre Heater 27.5 VIMT 2000 Unit #1 to 6 250 MW at SSTPS Suratgarh</t>
        </is>
      </c>
      <c r="G89" t="inlineStr">
        <is>
          <t>SE(PROC) STPS, Suratgarh</t>
        </is>
      </c>
    </row>
    <row r="90">
      <c r="A90" s="1" t="n">
        <v>88</v>
      </c>
      <c r="B90">
        <f>HYPERLINK("https://eproc.rajasthan.gov.in/nicgep/app?component=%24DirectLink&amp;page=FrontEndViewTender&amp;service=direct&amp;session=T&amp;sp=Sj7RBaCm%2Bh%2Fs6o2p5C4Aj6Q%3D%3D", "Annual maintenance contract for site servicing checking testing programming preventive maintenance of various make LT VFD installed at main plant unit 5 and 6 CSCTPP CHHABRA")</f>
        <v/>
      </c>
      <c r="C90" t="inlineStr">
        <is>
          <t>RRVUN - CMD||RVUN-CE (CTPP-SC) CHHABRA||SE (EE)</t>
        </is>
      </c>
      <c r="D90" t="inlineStr">
        <is>
          <t>20-May-2025 11:00 AM</t>
        </is>
      </c>
      <c r="E90" t="inlineStr">
        <is>
          <t>1,63,436</t>
        </is>
      </c>
      <c r="F90" t="inlineStr">
        <is>
          <t>Annual maintenance contract for site servicing checking testing programming preventive maintenance of various make LT VFD installed at main plant unit 5 and 6 CSCTPP CHHABRA</t>
        </is>
      </c>
      <c r="G90" t="inlineStr">
        <is>
          <t>CSCTPP MOTIPURA CHOWKI CHHABRA</t>
        </is>
      </c>
    </row>
    <row r="91">
      <c r="A91" s="1" t="n">
        <v>89</v>
      </c>
      <c r="B91">
        <f>HYPERLINK("https://eproc.rajasthan.gov.in/nicgep/app?component=%24DirectLink&amp;page=FrontEndViewTender&amp;service=direct&amp;session=T&amp;sp=SFQPFPv9wgdfVvpTSImeNZw%3D%3D", "Annual work contract for Routine, Breakdown and Annual Capital Maintenance and Operation of 11kV, 6.6 kV HT Switchgears, SPBD (Segregated Phase Bus Duct) and HT Cable works (excluding CHP) at 2x 660 MW CSCTPP, Chhabra.")</f>
        <v/>
      </c>
      <c r="C91" t="inlineStr">
        <is>
          <t>RRVUN - CMD||RVUN-CE (CTPP-SC) CHHABRA</t>
        </is>
      </c>
      <c r="D91" t="inlineStr">
        <is>
          <t>21-May-2025 11:00 AM</t>
        </is>
      </c>
      <c r="E91" t="inlineStr">
        <is>
          <t>46,22,666</t>
        </is>
      </c>
      <c r="F91" t="inlineStr">
        <is>
          <t>Annual work contract for Routine, Breakdown and Annual Capital Maintenance and Operation of 11kV, 6.6 kV HT Switchgears, SPBD (Segregated Phase Bus Duct) and HT Cable works (excluding CHP) at 2x 660 MW CSCTPP, Chhabra.</t>
        </is>
      </c>
      <c r="G91" t="inlineStr">
        <is>
          <t>CE ,CSCTPP, CHHABRA</t>
        </is>
      </c>
    </row>
    <row r="92">
      <c r="A92" s="1" t="n">
        <v>90</v>
      </c>
      <c r="B92">
        <f>HYPERLINK("https://eproc.rajasthan.gov.in/nicgep/app?component=%24DirectLink&amp;page=FrontEndViewTender&amp;service=direct&amp;session=T&amp;sp=SbhE4SjY3mrS%2BdtP7ImwEvA%3D%3D", "TN-SC- W- 91 /2024-25/Boiler")</f>
        <v/>
      </c>
      <c r="C92" t="inlineStr">
        <is>
          <t>RRVUN - CMD||RVUN-CE (CTPP-SC) CHHABRA||SE(BM)</t>
        </is>
      </c>
      <c r="D92" t="inlineStr">
        <is>
          <t>20-May-2025 11:00 AM</t>
        </is>
      </c>
      <c r="E92" t="inlineStr">
        <is>
          <t>43,53,036</t>
        </is>
      </c>
      <c r="F92" t="inlineStr">
        <is>
          <t>TN-SC- W- 91 /2024-25/Boiler</t>
        </is>
      </c>
      <c r="G92" t="inlineStr">
        <is>
          <t>CSCTPP Chhabra</t>
        </is>
      </c>
    </row>
    <row r="93">
      <c r="A93" s="1" t="n">
        <v>91</v>
      </c>
      <c r="B93">
        <f>HYPERLINK("https://eproc.rajasthan.gov.in/nicgep/app?component=%24DirectLink&amp;page=FrontEndViewTender&amp;service=direct&amp;session=T&amp;sp=SDKQDeosB7f55BR3wlYO60Q%3D%3D", "Supply, Installation, Testing and Commissioning of CCTV surveillance system at Residential Hostel and new constructed multistory area of CSCTPP, CHHABRA")</f>
        <v/>
      </c>
      <c r="C93" t="inlineStr">
        <is>
          <t>RRVUN - CMD||RVUN-CE (CTPP-SC) CHHABRA</t>
        </is>
      </c>
      <c r="D93" t="inlineStr">
        <is>
          <t>26-May-2025 11:00 AM</t>
        </is>
      </c>
      <c r="E93" t="inlineStr">
        <is>
          <t>21,15,396</t>
        </is>
      </c>
      <c r="F93" t="inlineStr">
        <is>
          <t>Supply, Installation, Testing and Commissioning of CCTV surveillance system at Residential Hostel and new constructed multistory area of CSCTPP, CHHABRA</t>
        </is>
      </c>
      <c r="G93" t="inlineStr">
        <is>
          <t>RESIDENTIAL HOSTEL AND MULTISTORY BUILDING,CSCTPP</t>
        </is>
      </c>
    </row>
    <row r="94">
      <c r="A94" s="1" t="n">
        <v>92</v>
      </c>
      <c r="B94">
        <f>HYPERLINK("https://eproc.rajasthan.gov.in/nicgep/app?component=%24DirectLink&amp;page=FrontEndViewTender&amp;service=direct&amp;session=T&amp;sp=S0cJPnPtSXR3DRuVfVBJyIw%3D%3D", "Supply of 6.6 KV (UE) Composite Trailing Cable of Stacker Cum Reclaimer and Reclaimer installed at CHP, CSCTPP, Chhabra")</f>
        <v/>
      </c>
      <c r="C94" t="inlineStr">
        <is>
          <t>RRVUN - CMD||RVUN-CE (CTPP-SC) CHHABRA</t>
        </is>
      </c>
      <c r="D94" t="inlineStr">
        <is>
          <t>30-May-2025 11:00 AM</t>
        </is>
      </c>
      <c r="E94" t="inlineStr">
        <is>
          <t>19,31,750</t>
        </is>
      </c>
      <c r="F94" t="inlineStr">
        <is>
          <t>Supply of 6.6 KV (UE) Composite Trailing Cable of Stacker Cum Reclaimer and Reclaimer installed at CHP, CSCTPP, Chhabra</t>
        </is>
      </c>
      <c r="G94" t="inlineStr">
        <is>
          <t>Plant site, CSCTPP</t>
        </is>
      </c>
    </row>
    <row r="95">
      <c r="A95" s="1" t="n">
        <v>93</v>
      </c>
      <c r="B95">
        <f>HYPERLINK("https://eproc.rajasthan.gov.in/nicgep/app?component=%24DirectLink&amp;page=FrontEndViewTender&amp;service=direct&amp;session=T&amp;sp=S83E5AJpztf9HPF%2F152va%2Fw%3D%3D", "Supply of various types of CAF Jointing sheets for Unit 5 and 6, CSCTPP, Chhabra")</f>
        <v/>
      </c>
      <c r="C95" t="inlineStr">
        <is>
          <t>RRVUN - CMD||RVUN-CE (CTPP-SC) CHHABRA</t>
        </is>
      </c>
      <c r="D95" t="inlineStr">
        <is>
          <t>30-May-2025 11:00 AM</t>
        </is>
      </c>
      <c r="E95" t="inlineStr">
        <is>
          <t>37,13,760</t>
        </is>
      </c>
      <c r="F95" t="inlineStr">
        <is>
          <t>Supply of various types of CAF Jointing sheets for Unit 5 and 6, CSCTPP, Chhabra</t>
        </is>
      </c>
      <c r="G95" t="inlineStr">
        <is>
          <t>Plant site, CSCTPP,CHHABRA</t>
        </is>
      </c>
    </row>
    <row r="96">
      <c r="A96" s="1" t="n">
        <v>94</v>
      </c>
      <c r="B96">
        <f>HYPERLINK("https://eproc.rajasthan.gov.in/nicgep/app?component=%24DirectLink&amp;page=FrontEndViewTender&amp;service=direct&amp;session=T&amp;sp=SqkE8THgdctUN4xl8dcDapw%3D%3D", "TN-15284 Supply of spare for LO and FO Triple screw pumps for stage I and II KSTPS, Kota.")</f>
        <v/>
      </c>
      <c r="C96" t="inlineStr">
        <is>
          <t>RRVUN - CMD||RVUN - CE - (TH), KSTPS, Kota, Jaipur</t>
        </is>
      </c>
      <c r="D96" t="inlineStr">
        <is>
          <t>23-May-2025 12:00 PM</t>
        </is>
      </c>
      <c r="E96" t="inlineStr">
        <is>
          <t>29,51,000</t>
        </is>
      </c>
      <c r="F96" t="inlineStr">
        <is>
          <t>Supply of spare for LO and FO Triple screw pumps for stage I and II KSTPS, Kota.</t>
        </is>
      </c>
      <c r="G96" t="inlineStr">
        <is>
          <t>Kota Super Thermal Power Station</t>
        </is>
      </c>
    </row>
    <row r="97">
      <c r="A97" s="1" t="n">
        <v>95</v>
      </c>
      <c r="B97">
        <f>HYPERLINK("https://eproc.rajasthan.gov.in/nicgep/app?component=%24DirectLink&amp;page=FrontEndViewTender&amp;service=direct&amp;session=T&amp;sp=SnnQLkLNrVyYPXof%2BpKk0xQ%3D%3D", "SUPPLY INSTALLATION AND COMMISSIONING OF HIGH PERFORMANCE ENERGY CHAIN SYSTEM IN PLACE OF CRD FOR STACKER CUM RECLAIMER AT CHP KATPP JHALAWAR")</f>
        <v/>
      </c>
      <c r="C97" t="inlineStr">
        <is>
          <t>RRVUN - CMD||RVUN - CE (KaTPP) - Jhalawar||Dy.CE (E and M)||Ex.En. (CM and C)</t>
        </is>
      </c>
      <c r="D97" t="inlineStr">
        <is>
          <t>20-May-2025 03:00 PM</t>
        </is>
      </c>
      <c r="E97" t="inlineStr">
        <is>
          <t>5,90,65,000</t>
        </is>
      </c>
      <c r="F97" t="inlineStr">
        <is>
          <t>SUPPLY INSTALLATION AND COMMISSIONING OF HIGH PERFORMANCE ENERGY CHAIN SYSTEM IN PLACE OF CRD FOR STACKER CUM RECLAIMER AT CHP KATPP JHALAWAR</t>
        </is>
      </c>
      <c r="G97" t="inlineStr">
        <is>
          <t>KATPP RVUNL JHALAWAR</t>
        </is>
      </c>
    </row>
    <row r="98">
      <c r="A98" s="1" t="n">
        <v>96</v>
      </c>
      <c r="B98">
        <f>HYPERLINK("https://eproc.rajasthan.gov.in/nicgep/app?component=%24DirectLink&amp;page=FrontEndViewTender&amp;service=direct&amp;session=T&amp;sp=SCOeJl9NbHPbFGR5jlrD45g%3D%3D", "TN-13297 Supply of spares of Instrumentation Limited Palakkad make pneumatic drive actuator of KSTPS, Kota 1 to 7.")</f>
        <v/>
      </c>
      <c r="C98" t="inlineStr">
        <is>
          <t>RRVUN - CMD||RVUN - CE - (TH), KSTPS, Kota, Jaipur||Dy.CE (MM)</t>
        </is>
      </c>
      <c r="D98" t="inlineStr">
        <is>
          <t>22-May-2025 12:00 PM</t>
        </is>
      </c>
      <c r="E98" t="inlineStr">
        <is>
          <t>1,79,00,000</t>
        </is>
      </c>
      <c r="F98" t="inlineStr">
        <is>
          <t>Supply of spares of Instrumentation Limited Palakkad make pneumatic drive actuator of KSTPS, Kota 1 to 7.</t>
        </is>
      </c>
      <c r="G98" t="inlineStr">
        <is>
          <t>Kota Super Thermal Power Station</t>
        </is>
      </c>
    </row>
    <row r="99">
      <c r="A99" s="1" t="n">
        <v>97</v>
      </c>
      <c r="B99">
        <f>HYPERLINK("https://eproc.rajasthan.gov.in/nicgep/app?component=%24DirectLink&amp;page=FrontEndViewTender&amp;service=direct&amp;session=T&amp;sp=S%2F47iFbqxr8cbeQoRfofMag%3D%3D", "TN-5388 Measurement of various parameter of ESP of any one unit of stage II (Unit 3 and 4 of 210MW) during running as well as shutdown condition and prepare and submit its report.")</f>
        <v/>
      </c>
      <c r="C99" t="inlineStr">
        <is>
          <t>RRVUN - CMD||RVUN - CE (GLPL), Barmer||SE (Proc.)||Ex.En. (AHP)</t>
        </is>
      </c>
      <c r="D99" t="inlineStr">
        <is>
          <t>23-May-2025 12:00 PM</t>
        </is>
      </c>
      <c r="E99" t="inlineStr">
        <is>
          <t>6,40,000</t>
        </is>
      </c>
      <c r="F99" t="inlineStr">
        <is>
          <t>Measurement of various parameter of ESP of any one unit of stage II (Unit 3 and 4 of 210MW) during running as well as shutdown condition and prepare and submit its report.</t>
        </is>
      </c>
      <c r="G99" t="inlineStr">
        <is>
          <t>Kota Super Thermal Power Station</t>
        </is>
      </c>
    </row>
    <row r="100">
      <c r="A100" s="1" t="n">
        <v>98</v>
      </c>
      <c r="B100">
        <f>HYPERLINK("https://eproc.rajasthan.gov.in/nicgep/app?component=%24DirectLink&amp;page=FrontEndViewTender&amp;service=direct&amp;session=T&amp;sp=S0TiC0HNeHyE7cfb71ceKLQ%3D%3D", "Supply of Spares of Electrical Panel Accessories for CSCTPP, Chhabra")</f>
        <v/>
      </c>
      <c r="C100" t="inlineStr">
        <is>
          <t>RRVUN - CMD||RVUN-CE (CTPP-SC) CHHABRA</t>
        </is>
      </c>
      <c r="D100" t="inlineStr">
        <is>
          <t>30-May-2025 11:00 AM</t>
        </is>
      </c>
      <c r="E100" t="inlineStr">
        <is>
          <t>32,50,932</t>
        </is>
      </c>
      <c r="F100" t="inlineStr">
        <is>
          <t>Supply of Spares of Electrical Panel Accessories for CSCTPP, Chhabra</t>
        </is>
      </c>
      <c r="G100" t="inlineStr">
        <is>
          <t>Plant Site CSCTPP,Chhabra</t>
        </is>
      </c>
    </row>
    <row r="101">
      <c r="A101" s="1" t="n">
        <v>99</v>
      </c>
      <c r="B101">
        <f>HYPERLINK("https://eproc.rajasthan.gov.in/nicgep/app?component=%24DirectLink&amp;page=FrontEndViewTender&amp;service=direct&amp;session=T&amp;sp=ST74BoAzEc20c4wu%2BWE83bQ%3D%3D", "EPC of Fly Ash Rail Loading Facility at KaTPP and Disposal of DFA")</f>
        <v/>
      </c>
      <c r="C101" t="inlineStr">
        <is>
          <t>RRVUN - CMD||RVUN - Dy.CE (PPC and F) - Jaipur||Ex.En. (Fuel)</t>
        </is>
      </c>
      <c r="D101" t="inlineStr">
        <is>
          <t>04-Jun-2025 03:00 PM</t>
        </is>
      </c>
      <c r="E101" t="inlineStr">
        <is>
          <t>2,89,06,25,000</t>
        </is>
      </c>
      <c r="F101" t="inlineStr">
        <is>
          <t>EPC of Fly Ash Rail Loading Facility at Kalisindh Thermal Power Plant KaTPP, Unit 1 and 2 based on Build, Operate and Transfer concept along with disposal of Fly Ash Generated from KaTPP</t>
        </is>
      </c>
      <c r="G101" t="inlineStr">
        <is>
          <t>KaTPP Jhalawar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2025-05-17T13:19:48Z</dcterms:created>
  <dcterms:modified xsi:type="dcterms:W3CDTF">2025-05-17T13:19:48Z</dcterms:modified>
</cp:coreProperties>
</file>