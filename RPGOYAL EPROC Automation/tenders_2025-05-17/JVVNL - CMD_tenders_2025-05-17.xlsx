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HYPERLINK("https://eproc.rajasthan.gov.in/nicgep/app?component=%24DirectLink&amp;page=FrontEndViewTender&amp;service=direct&amp;session=T&amp;sp=SvUHW5et7NTHsuSFRtbbFow%3D%3D", "Tong Tester (20-1000 Amp.)")</f>
        <v/>
      </c>
      <c r="C2" t="inlineStr">
        <is>
          <t>JVVNL - CMD||CE - MM||SE-MM||AEN</t>
        </is>
      </c>
      <c r="D2" t="inlineStr">
        <is>
          <t>24-Jun-2025 05:00 PM</t>
        </is>
      </c>
      <c r="E2" t="inlineStr">
        <is>
          <t>21,00,000</t>
        </is>
      </c>
      <c r="F2" t="inlineStr">
        <is>
          <t>Supply of Tong Tester (20-1000 Amp.)</t>
        </is>
      </c>
      <c r="G2" t="inlineStr">
        <is>
          <t>Jaipur Discom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HYPERLINK("https://eproc.rajasthan.gov.in/nicgep/app?component=%24DirectLink&amp;page=FrontEndViewTender&amp;service=direct&amp;session=T&amp;sp=SGQmzfqZZ9Fc3Ql5%2FByNKyw%3D%3D", "Central rate contract for repair and testing of beyond G.P. Failed/ damaged 5 KVA to 25 KVA Single Phase aluminium wound Distribution Transformers")</f>
        <v/>
      </c>
      <c r="C3" t="inlineStr">
        <is>
          <t>JVVNL - CMD||CE - MM||SE-MM||JEN</t>
        </is>
      </c>
      <c r="D3" t="inlineStr">
        <is>
          <t>21-May-2025 05:00 PM</t>
        </is>
      </c>
      <c r="E3" t="inlineStr">
        <is>
          <t>5,00,00,000</t>
        </is>
      </c>
      <c r="F3" t="inlineStr">
        <is>
          <t>Central rate contract for repair and testing of beyond G.P. Failed/ damaged 5 KVA to 25 KVA Single Phase aluminium wound Distribution Transformers</t>
        </is>
      </c>
      <c r="G3" t="inlineStr">
        <is>
          <t>Juridiction of jaipur discom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HYPERLINK("https://eproc.rajasthan.gov.in/nicgep/app?component=%24DirectLink&amp;page=FrontEndViewTender&amp;service=direct&amp;session=T&amp;sp=SR8rx6BPMSERc%2FGAZ9xZgoA%3D%3D", "Central Rate contract for repair and testing of beyond G. P. failed/damaged 10 kVA to 160 kVA Aluminum wound and 315 kVA to 500kVA Copper wound Three Phase Distribution Transformers")</f>
        <v/>
      </c>
      <c r="C4" t="inlineStr">
        <is>
          <t>JVVNL - CMD||CE - MM||SE-MM||JEN</t>
        </is>
      </c>
      <c r="D4" t="inlineStr">
        <is>
          <t>20-May-2025 05:00 PM</t>
        </is>
      </c>
      <c r="E4" t="inlineStr">
        <is>
          <t>5,00,00,000</t>
        </is>
      </c>
      <c r="F4" t="inlineStr">
        <is>
          <t>Central Rate contract for repair and testing of beyond G. P. failed/damaged 10 kVA to 160 kVA Aluminum wound and 315 kVA to 500 kVA Copper wound Three Phase Distribution Transformers</t>
        </is>
      </c>
      <c r="G4" t="inlineStr">
        <is>
          <t>Jurisdiction of Jaipur Discom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HYPERLINK("https://eproc.rajasthan.gov.in/nicgep/app?component=%24DirectLink&amp;page=FrontEndViewTender&amp;service=direct&amp;session=T&amp;sp=SegmIPzZIthVyd4JlVZ14EA%3D%3D", "Distribution Infra works under RDSS for Electrification of Left Out Households (HHs) and Public Institutions in DA-JGUA scheme in Jaipur Discom against TN -593")</f>
        <v/>
      </c>
      <c r="C5" t="inlineStr">
        <is>
          <t>JVVNL - CMD||Dy. CE(RDPPC)||SE-TW||XEn</t>
        </is>
      </c>
      <c r="D5" t="inlineStr">
        <is>
          <t>10-Jun-2025 05:00 PM</t>
        </is>
      </c>
      <c r="E5" t="inlineStr">
        <is>
          <t>61,67,00,000</t>
        </is>
      </c>
      <c r="F5" t="inlineStr">
        <is>
          <t>Distribution Infra works under RDSS for Electrification of Left Out Households (HHs) and Public Institutions in DA-JGUA scheme in Jaipur Discom against TN -593</t>
        </is>
      </c>
      <c r="G5" t="inlineStr">
        <is>
          <t>JVVNL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HYPERLINK("https://eproc.rajasthan.gov.in/nicgep/app?component=%24DirectLink&amp;page=FrontEndViewTender&amp;service=direct&amp;session=T&amp;sp=SwVUgiLSP3JVxUSNrJXLVZQ%3D%3D", "SUPPLY OF 11 KV HORN GAP FUSE SETS WITH 1X24 KV POST INSULATORS UN ASSEMBLED")</f>
        <v/>
      </c>
      <c r="C6" t="inlineStr">
        <is>
          <t>JVVNL - CMD||CE - MM||SE - Proc||Junior En.</t>
        </is>
      </c>
      <c r="D6" t="inlineStr">
        <is>
          <t>02-Jun-2025 06:00 PM</t>
        </is>
      </c>
      <c r="E6" t="inlineStr">
        <is>
          <t>10,80,00,000</t>
        </is>
      </c>
      <c r="F6" t="inlineStr">
        <is>
          <t>SUPPLY OF 11 KV HORN GAP FUSE SETS WITH 1X24 KV POST INSULATORS UN ASSEMBLED</t>
        </is>
      </c>
      <c r="G6" t="inlineStr">
        <is>
          <t>JAIPUR DISCOM JURISDICTION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HYPERLINK("https://eproc.rajasthan.gov.in/nicgep/app?component=%24DirectLink&amp;page=FrontEndViewTender&amp;service=direct&amp;session=T&amp;sp=SJ2oX%2FUbcwOheYljowp%2BvbA%3D%3D", "Purchase of 63 KVA and 100 KVA, 3 Phase Aluminium wound Energy Efficient Level-1 (Star-1) Distribution Transformers")</f>
        <v/>
      </c>
      <c r="C7" t="inlineStr">
        <is>
          <t>JVVNL - CMD||CE - MM||SE-MM||AEN</t>
        </is>
      </c>
      <c r="D7" t="inlineStr">
        <is>
          <t>26-May-2025 05:00 PM</t>
        </is>
      </c>
      <c r="E7" t="inlineStr">
        <is>
          <t>32,76,00,000</t>
        </is>
      </c>
      <c r="F7" t="inlineStr">
        <is>
          <t>Purchase of 63 KVA and 100 KVA, 3 Phase Aluminium wound Energy Efficient Level-1 (Star-1) Distribution Transformers</t>
        </is>
      </c>
      <c r="G7" t="inlineStr">
        <is>
          <t>Jurisdiction of Jaipur Discom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HYPERLINK("https://eproc.rajasthan.gov.in/nicgep/app?component=%24DirectLink&amp;page=FrontEndViewTender&amp;service=direct&amp;session=T&amp;sp=SzqmZxJjGAv%2Bs42YHQxKiDw%3D%3D", "G.S.STAY SETS SIZE 16X1800 MM")</f>
        <v/>
      </c>
      <c r="C8" t="inlineStr">
        <is>
          <t>JVVNL - CMD||CE - MM||SE - Proc||A. En.</t>
        </is>
      </c>
      <c r="D8" t="inlineStr">
        <is>
          <t>02-Jun-2025 06:00 PM</t>
        </is>
      </c>
      <c r="E8" t="inlineStr">
        <is>
          <t>9,16,50,000</t>
        </is>
      </c>
      <c r="F8" t="inlineStr">
        <is>
          <t>G.S.STAY SETS SIZE 16X1800 MM</t>
        </is>
      </c>
      <c r="G8" t="inlineStr">
        <is>
          <t>JAIPUR DISCOM JURISDICTION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HYPERLINK("https://eproc.rajasthan.gov.in/nicgep/app?component=%24DirectLink&amp;page=FrontEndViewTender&amp;service=direct&amp;session=T&amp;sp=Sw5tpcZn96scGsxdwI6IMWg%3D%3D", "ELECTRIC WORK UNDER TN-111")</f>
        <v/>
      </c>
      <c r="C9" t="inlineStr">
        <is>
          <t>JVVNL - CMD||CE(O and M), Jaipur</t>
        </is>
      </c>
      <c r="D9" t="inlineStr">
        <is>
          <t>19-May-2025 05:00 PM</t>
        </is>
      </c>
      <c r="E9" t="inlineStr">
        <is>
          <t>9,35,728</t>
        </is>
      </c>
      <c r="F9" t="inlineStr">
        <is>
          <t>PLEASE REFER TENDER DOCUMENTS.</t>
        </is>
      </c>
      <c r="G9" t="inlineStr">
        <is>
          <t>JAIPUR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HYPERLINK("https://eproc.rajasthan.gov.in/nicgep/app?component=%24DirectLink&amp;page=FrontEndViewTender&amp;service=direct&amp;session=T&amp;sp=S3lqfZy2IP99TQgiCoZFd1Q%3D%3D", "SUPPLY OF 10 KVA RATING OUT DOOR TYPE COMPLETELY SELF PROTECTED SINGLE PHASE ALUMINIUM WOUND DISTRIBUTION TRANSFORMERS WITH INTERNAL CIRCUIT BREAKER EEL-1")</f>
        <v/>
      </c>
      <c r="C10" t="inlineStr">
        <is>
          <t>JVVNL - CMD||CE - MM||SE-MM||JEN</t>
        </is>
      </c>
      <c r="D10" t="inlineStr">
        <is>
          <t>02-Jun-2025 05:00 PM</t>
        </is>
      </c>
      <c r="E10" t="inlineStr">
        <is>
          <t>22,62,65,700</t>
        </is>
      </c>
      <c r="F10" t="inlineStr">
        <is>
          <t>SUPPLY OF 10 KVA RATING OUT DOOR TYPE COMPLETELY SELF PROTECTED SINGLE PHASE ALUMINIUM WOUND DISTRIBUTION TRANSFORMERS WITH INTERNAL CIRCUIT BREAKER EEL-1</t>
        </is>
      </c>
      <c r="G10" t="inlineStr">
        <is>
          <t>Juridiction of jaipur discom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HYPERLINK("https://eproc.rajasthan.gov.in/nicgep/app?component=%24DirectLink&amp;page=FrontEndViewTender&amp;service=direct&amp;session=T&amp;sp=SN%2BZmrK1Z6fpqotczGzD%2BlQ%3D%3D", "Purchase of 16 KVA, 3 Phase Aluminium wound Energy Efficient Level-1 (Star-1) completely Self Protected (CSP) Distribution Transformers with provision of LT bushing Box")</f>
        <v/>
      </c>
      <c r="C11" t="inlineStr">
        <is>
          <t>JVVNL - CMD||CE - MM||SE-MM||AEN</t>
        </is>
      </c>
      <c r="D11" t="inlineStr">
        <is>
          <t>03-Jun-2025 05:00 PM</t>
        </is>
      </c>
      <c r="E11" t="inlineStr">
        <is>
          <t>2,33,82,36,250</t>
        </is>
      </c>
      <c r="F11" t="inlineStr">
        <is>
          <t>Purchase of 16 KVA, 3 Phase Aluminium wound Energy Efficient Level-1 (Star-1) completely Self Protected (CSP) Distribution Transformers with provision of LT bushing Box</t>
        </is>
      </c>
      <c r="G11" t="inlineStr">
        <is>
          <t>Jurisdiction of Jaipur Discom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HYPERLINK("https://eproc.rajasthan.gov.in/nicgep/app?component=%24DirectLink&amp;page=FrontEndViewTender&amp;service=direct&amp;session=T&amp;sp=S84cqLaJ1Cz9dXu3SODmtTA%3D%3D", "11 KV RMU")</f>
        <v/>
      </c>
      <c r="C12" t="inlineStr">
        <is>
          <t>JVVNL - CMD||CE - MM||SE-MM||AEN</t>
        </is>
      </c>
      <c r="D12" t="inlineStr">
        <is>
          <t>26-May-2025 05:00 PM</t>
        </is>
      </c>
      <c r="E12" t="inlineStr">
        <is>
          <t>5,13,00,000</t>
        </is>
      </c>
      <c r="F12" t="inlineStr">
        <is>
          <t>Supply of 11 KV Ring Main Units</t>
        </is>
      </c>
      <c r="G12" t="inlineStr">
        <is>
          <t>Jurisdiction of Jaipur Discom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HYPERLINK("https://eproc.rajasthan.gov.in/nicgep/app?component=%24DirectLink&amp;page=FrontEndViewTender&amp;service=direct&amp;session=T&amp;sp=SuJTrmykyoURf9CcTQ%2Ba2MA%3D%3D", "TC Fuse Wire")</f>
        <v/>
      </c>
      <c r="C13" t="inlineStr">
        <is>
          <t>JVVNL - CMD||CE - MM||SE-MM||AEN</t>
        </is>
      </c>
      <c r="D13" t="inlineStr">
        <is>
          <t>17-Jun-2025 05:00 PM</t>
        </is>
      </c>
      <c r="E13" t="inlineStr">
        <is>
          <t>14,00,000</t>
        </is>
      </c>
      <c r="F13" t="inlineStr">
        <is>
          <t>Supply of TC Fuse Wire</t>
        </is>
      </c>
      <c r="G13" t="inlineStr">
        <is>
          <t>Jaipur Discom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HYPERLINK("https://eproc.rajasthan.gov.in/nicgep/app?component=%24DirectLink&amp;page=FrontEndViewTender&amp;service=direct&amp;session=T&amp;sp=Sdss2laOL1HFbpJZNOf9ITg%3D%3D", "Purchase of 25 kVA, 3 Phase Aluminium wound Energy Efficient Level-1 (Star-1) Completely Self Protected (CSP) Distribution Transformers with provision of LT bushing Box")</f>
        <v/>
      </c>
      <c r="C14" t="inlineStr">
        <is>
          <t>JVVNL - CMD||CE - MM||SE-MM||AEN</t>
        </is>
      </c>
      <c r="D14" t="inlineStr">
        <is>
          <t>10-Jun-2025 05:00 PM</t>
        </is>
      </c>
      <c r="E14" t="inlineStr">
        <is>
          <t>1,16,07,14,700</t>
        </is>
      </c>
      <c r="F14" t="inlineStr">
        <is>
          <t>Purchase of 25 kVA, 3 Phase Aluminium wound Energy Efficient Level-1 (Star-1) Completely Self Protected (CSP) Distribution Transformers with provision of LT bushing Box</t>
        </is>
      </c>
      <c r="G14" t="inlineStr">
        <is>
          <t>Jurisdiction of Jaipur Discom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HYPERLINK("https://eproc.rajasthan.gov.in/nicgep/app?component=%24DirectLink&amp;page=FrontEndViewTender&amp;service=direct&amp;session=T&amp;sp=SmecAZIzqLPzY61mwrDyWew%3D%3D", "Battery Charger")</f>
        <v/>
      </c>
      <c r="C15" t="inlineStr">
        <is>
          <t>JVVNL - CMD||CE - MM||SE-MM||AEN</t>
        </is>
      </c>
      <c r="D15" t="inlineStr">
        <is>
          <t>20-May-2025 05:00 PM</t>
        </is>
      </c>
      <c r="E15" t="inlineStr">
        <is>
          <t>40,00,000</t>
        </is>
      </c>
      <c r="F15" t="inlineStr">
        <is>
          <t>Supply of Battery Chargers suitable for 110V-120AH capacity Battery Sets.</t>
        </is>
      </c>
      <c r="G15" t="inlineStr">
        <is>
          <t>Jaipur Discom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HYPERLINK("https://eproc.rajasthan.gov.in/nicgep/app?component=%24DirectLink&amp;page=FrontEndViewTender&amp;service=direct&amp;session=T&amp;sp=SwQEgSoiU4OHX8BcNgb0U1Q%3D%3D", "Supply of galvanized M.S.Forged pins for 11 KV Pin insulators")</f>
        <v/>
      </c>
      <c r="C16" t="inlineStr">
        <is>
          <t>JVVNL - CMD||CE - MM||SE - Proc||A. En.</t>
        </is>
      </c>
      <c r="D16" t="inlineStr">
        <is>
          <t>19-May-2025 06:00 PM</t>
        </is>
      </c>
      <c r="E16" t="inlineStr">
        <is>
          <t>2,69,55,000</t>
        </is>
      </c>
      <c r="F16" t="inlineStr">
        <is>
          <t>Supply of galvanized M.S.Forged pins for 11 KV Pin insulators</t>
        </is>
      </c>
      <c r="G16" t="inlineStr">
        <is>
          <t>JAIPUR DISCOM JURISDICTION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HYPERLINK("https://eproc.rajasthan.gov.in/nicgep/app?component=%24DirectLink&amp;page=FrontEndViewTender&amp;service=direct&amp;session=T&amp;sp=S%2FA6NEWt6sIG4Cax3IU1zEw%3D%3D", "Composite Polymer Disc Insulator for 11 KV 45 KN T and C type")</f>
        <v/>
      </c>
      <c r="C17" t="inlineStr">
        <is>
          <t>JVVNL - CMD||CE - MM||SE - Proc||Junior En.</t>
        </is>
      </c>
      <c r="D17" t="inlineStr">
        <is>
          <t>19-May-2025 06:00 PM</t>
        </is>
      </c>
      <c r="E17" t="inlineStr">
        <is>
          <t>1,73,46,000</t>
        </is>
      </c>
      <c r="F17" t="inlineStr">
        <is>
          <t>Composite Polymer Disc Insulator for 11 KV 45 KN T and C type</t>
        </is>
      </c>
      <c r="G17" t="inlineStr">
        <is>
          <t>JAIPUR DISCOM JURISDICTION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HYPERLINK("https://eproc.rajasthan.gov.in/nicgep/app?component=%24DirectLink&amp;page=FrontEndViewTender&amp;service=direct&amp;session=T&amp;sp=SaUWurxRSeQslyJrCdEp%2Fpw%3D%3D", "2cx4 sq.mm LT PVC INSULATED AND PVC SHEATHED ARMOURED CABLE")</f>
        <v/>
      </c>
      <c r="C18" t="inlineStr">
        <is>
          <t>JVVNL - CMD||CE - MM||SE - Proc</t>
        </is>
      </c>
      <c r="D18" t="inlineStr">
        <is>
          <t>20-May-2025 05:00 PM</t>
        </is>
      </c>
      <c r="E18" t="inlineStr">
        <is>
          <t>31,85,82,960</t>
        </is>
      </c>
      <c r="F18" t="inlineStr">
        <is>
          <t>Details of tender</t>
        </is>
      </c>
      <c r="G18" t="inlineStr">
        <is>
          <t>Jurisdiction of Jaipur Discom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HYPERLINK("https://eproc.rajasthan.gov.in/nicgep/app?component=%24DirectLink&amp;page=FrontEndViewTender&amp;service=direct&amp;session=T&amp;sp=SZQpR2f73oKqQqShcP2ZVug%3D%3D", "SUPPLY OF FIRST AID BOXES AGAINST TN-4997")</f>
        <v/>
      </c>
      <c r="C19" t="inlineStr">
        <is>
          <t>JVVNL - CMD||CE - MM||SE - Proc</t>
        </is>
      </c>
      <c r="D19" t="inlineStr">
        <is>
          <t>20-May-2025 05:00 PM</t>
        </is>
      </c>
      <c r="E19" t="inlineStr">
        <is>
          <t>10,25,000</t>
        </is>
      </c>
      <c r="F19" t="inlineStr">
        <is>
          <t>SUPPLY OF FIRST AID BOXES AGAINST TN-4997</t>
        </is>
      </c>
      <c r="G19" t="inlineStr">
        <is>
          <t>JAIPUR DISCOM JURISDICTION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HYPERLINK("https://eproc.rajasthan.gov.in/nicgep/app?component=%24DirectLink&amp;page=FrontEndViewTender&amp;service=direct&amp;session=T&amp;sp=SsuxJmdBlClEf0b2%2B4FebQQ%3D%3D", "Polycarbonate seals")</f>
        <v/>
      </c>
      <c r="C20" t="inlineStr">
        <is>
          <t>JVVNL - CMD||CE - MM||SE-MM||AEN</t>
        </is>
      </c>
      <c r="D20" t="inlineStr">
        <is>
          <t>27-May-2025 05:00 PM</t>
        </is>
      </c>
      <c r="E20" t="inlineStr">
        <is>
          <t>88,00,000</t>
        </is>
      </c>
      <c r="F20" t="inlineStr">
        <is>
          <t>Double anchor tamper evident polycarbonate seals</t>
        </is>
      </c>
      <c r="G20" t="inlineStr">
        <is>
          <t>Jaipur Discom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HYPERLINK("https://eproc.rajasthan.gov.in/nicgep/app?component=%24DirectLink&amp;page=FrontEndViewTender&amp;service=direct&amp;session=T&amp;sp=StaHsK%2F8Bfexnh3Bn3Ffb%2Fg%3D%3D", "Non Contact Type AC Voltage Detector")</f>
        <v/>
      </c>
      <c r="C21" t="inlineStr">
        <is>
          <t>JVVNL - CMD||CE - MM||SE-MM||AEN</t>
        </is>
      </c>
      <c r="D21" t="inlineStr">
        <is>
          <t>17-Jun-2025 05:00 PM</t>
        </is>
      </c>
      <c r="E21" t="inlineStr">
        <is>
          <t>27,00,000</t>
        </is>
      </c>
      <c r="F21" t="inlineStr">
        <is>
          <t>Supply of Non Contact Type AC Voltage Detector</t>
        </is>
      </c>
      <c r="G21" t="inlineStr">
        <is>
          <t>Jaipur Discom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HYPERLINK("https://eproc.rajasthan.gov.in/nicgep/app?component=%24DirectLink&amp;page=FrontEndViewTender&amp;service=direct&amp;session=T&amp;sp=S901lxhCkrlGMs7ammIgynw%3D%3D", "EARTHING CHAIN")</f>
        <v/>
      </c>
      <c r="C22" t="inlineStr">
        <is>
          <t>JVVNL - CMD||CE - MM||SE-MM||AEN</t>
        </is>
      </c>
      <c r="D22" t="inlineStr">
        <is>
          <t>18-Jun-2025 05:00 PM</t>
        </is>
      </c>
      <c r="E22" t="inlineStr">
        <is>
          <t>44,00,000</t>
        </is>
      </c>
      <c r="F22" t="inlineStr">
        <is>
          <t>SUPPLY OF EARTHING CHAIN</t>
        </is>
      </c>
      <c r="G22" t="inlineStr">
        <is>
          <t>Jaipur Discom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HYPERLINK("https://eproc.rajasthan.gov.in/nicgep/app?component=%24DirectLink&amp;page=FrontEndViewTender&amp;service=direct&amp;session=T&amp;sp=SEDKiGhQdg0qAnSH3JagG1g%3D%3D", "RESUSCITATOR")</f>
        <v/>
      </c>
      <c r="C23" t="inlineStr">
        <is>
          <t>JVVNL - CMD||CE - MM||SE-MM||AEN</t>
        </is>
      </c>
      <c r="D23" t="inlineStr">
        <is>
          <t>11-Jun-2025 05:00 PM</t>
        </is>
      </c>
      <c r="E23" t="inlineStr">
        <is>
          <t>11,00,000</t>
        </is>
      </c>
      <c r="F23" t="inlineStr">
        <is>
          <t>SUPPLY OF RESUSCITATOR</t>
        </is>
      </c>
      <c r="G23" t="inlineStr">
        <is>
          <t>Jaipur Discom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HYPERLINK("https://eproc.rajasthan.gov.in/nicgep/app?component=%24DirectLink&amp;page=FrontEndViewTender&amp;service=direct&amp;session=T&amp;sp=SmVsGdw29cBdgYElsaltlcw%3D%3D", "LED TYPE CHARGEABLE TORCH")</f>
        <v/>
      </c>
      <c r="C24" t="inlineStr">
        <is>
          <t>JVVNL - CMD||CE - MM||SE-MM||AEN</t>
        </is>
      </c>
      <c r="D24" t="inlineStr">
        <is>
          <t>11-Jun-2025 05:00 PM</t>
        </is>
      </c>
      <c r="E24" t="inlineStr">
        <is>
          <t>56,00,000</t>
        </is>
      </c>
      <c r="F24" t="inlineStr">
        <is>
          <t>SUPPLY OF LED TYPE CHARGEABLE TORCH</t>
        </is>
      </c>
      <c r="G24" t="inlineStr">
        <is>
          <t>Jaipur Discom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HYPERLINK("https://eproc.rajasthan.gov.in/nicgep/app?component=%24DirectLink&amp;page=FrontEndViewTender&amp;service=direct&amp;session=T&amp;sp=Sq2vxlX2ClwYOzZWNxBHb%2Fg%3D%3D", "12 KV OUTDOOR VCB KIOSK")</f>
        <v/>
      </c>
      <c r="C25" t="inlineStr">
        <is>
          <t>JVVNL - CMD||CE - MM||SE-MM||AEN</t>
        </is>
      </c>
      <c r="D25" t="inlineStr">
        <is>
          <t>19-May-2025 05:00 PM</t>
        </is>
      </c>
      <c r="E25" t="inlineStr">
        <is>
          <t>50,16,00,000</t>
        </is>
      </c>
      <c r="F25" t="inlineStr">
        <is>
          <t>SUPPLY, INSTALLATION AND COMMISSIONING OF 12 KV OUTDOOR VCB KIOSKS</t>
        </is>
      </c>
      <c r="G25" t="inlineStr">
        <is>
          <t>Jurisdiction of Jaipur Discom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HYPERLINK("https://eproc.rajasthan.gov.in/nicgep/app?component=%24DirectLink&amp;page=FrontEndViewTender&amp;service=direct&amp;session=T&amp;sp=SzdJJoZsaMnphswg425HQJA%3D%3D", "M.S.BOLTS AND NUTS OF ASSORTED SIZE")</f>
        <v/>
      </c>
      <c r="C26" t="inlineStr">
        <is>
          <t>JVVNL - CMD||CE - MM||SE - Proc</t>
        </is>
      </c>
      <c r="D26" t="inlineStr">
        <is>
          <t>21-May-2025 05:00 PM</t>
        </is>
      </c>
      <c r="E26" t="inlineStr">
        <is>
          <t>2,91,17,191</t>
        </is>
      </c>
      <c r="F26" t="inlineStr">
        <is>
          <t>M.S.BOLTS AND NUTS OF ASSORTED SIZE AGAINST TN-4991</t>
        </is>
      </c>
      <c r="G26" t="inlineStr">
        <is>
          <t>JAIPUR DISCOM JURISDICTION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HYPERLINK("https://eproc.rajasthan.gov.in/nicgep/app?component=%24DirectLink&amp;page=FrontEndViewTender&amp;service=direct&amp;session=T&amp;sp=SD%2B2ahTP8TQayKPkUPO%2FhUA%3D%3D", "GALVANISED M.S. ROD TYPE EARTHING SETS WITH CLAMPS and GI WIRES AGAINST TN 4995")</f>
        <v/>
      </c>
      <c r="C27" t="inlineStr">
        <is>
          <t>JVVNL - CMD||CE - MM||SE - Proc||A. En.</t>
        </is>
      </c>
      <c r="D27" t="inlineStr">
        <is>
          <t>20-May-2025 05:00 PM</t>
        </is>
      </c>
      <c r="E27" t="inlineStr">
        <is>
          <t>9,75,00,000</t>
        </is>
      </c>
      <c r="F27" t="inlineStr">
        <is>
          <t>GALVANISED M.S. ROD TYPE EARTHING SETS WITH CLAMPS and GI WIRES AGAINST TN 4995</t>
        </is>
      </c>
      <c r="G27" t="inlineStr">
        <is>
          <t>JAIPUR DISCOM JURISDICTION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HYPERLINK("https://eproc.rajasthan.gov.in/nicgep/app?component=%24DirectLink&amp;page=FrontEndViewTender&amp;service=direct&amp;session=T&amp;sp=SyS6uIyo8dBAt%2BjOmrb4WJA%3D%3D", "3 PHASE, 4 WIRE A.C. STATIC LT TRIVECTOR ENERGY METER OF CLASS OF ACCURACY 0.5S WITH DLMS PROTOCOL")</f>
        <v/>
      </c>
      <c r="C28" t="inlineStr">
        <is>
          <t>JVVNL - CMD||CE - MM||SE-MM||AEN</t>
        </is>
      </c>
      <c r="D28" t="inlineStr">
        <is>
          <t>27-May-2025 05:00 PM</t>
        </is>
      </c>
      <c r="E28" t="inlineStr">
        <is>
          <t>31,50,000</t>
        </is>
      </c>
      <c r="F28" t="inlineStr">
        <is>
          <t>SUPPLY OF 3 PHASE, 4 WIRE A.C. STATIC LT TRIVECTOR ENERGY METER OF CLASS OF ACCURACY 0.5S WITH DLMS PROTOCOL</t>
        </is>
      </c>
      <c r="G28" t="inlineStr">
        <is>
          <t>Jaipur Discom</t>
        </is>
      </c>
    </row>
    <row r="29">
      <c r="A29" s="1" t="n">
        <v>27</v>
      </c>
      <c r="B29">
        <f>HYPERLINK("https://eproc.rajasthan.gov.in/nicgep/app?component=%24DirectLink&amp;page=FrontEndViewTender&amp;service=direct&amp;session=T&amp;sp=SAqAIQC2bGibhZm0b8Zzm5Q%3D%3D", "33 KV VCB INDOOR TYPE")</f>
        <v/>
      </c>
      <c r="C29" t="inlineStr">
        <is>
          <t>JVVNL - CMD||CE - MM||SE-MM||AEN</t>
        </is>
      </c>
      <c r="D29" t="inlineStr">
        <is>
          <t>19-May-2025 05:00 PM</t>
        </is>
      </c>
      <c r="E29" t="inlineStr">
        <is>
          <t>5,08,10,000</t>
        </is>
      </c>
      <c r="F29" t="inlineStr">
        <is>
          <t>SUPPLY AND INSTALLATION AND COMMISSIONING OF 33 KV VCB INDOOR TYPE</t>
        </is>
      </c>
      <c r="G29" t="inlineStr">
        <is>
          <t>Jaipur Discom</t>
        </is>
      </c>
    </row>
    <row r="30">
      <c r="A30" s="1" t="n">
        <v>28</v>
      </c>
      <c r="B30">
        <f>HYPERLINK("https://eproc.rajasthan.gov.in/nicgep/app?component=%24DirectLink&amp;page=FrontEndViewTender&amp;service=direct&amp;session=T&amp;sp=SL8thR5%2BsVseBImLdaDC%2FnQ%3D%3D", "3 PHASE, 4 WIRE A.C. STATIC HT- TRIVECTOR ENERGY METER OF CLASS OF ACCURACY 0.5S WITH DLMS PROTOCOL")</f>
        <v/>
      </c>
      <c r="C30" t="inlineStr">
        <is>
          <t>JVVNL - CMD||CE - MM||SE-MM||AEN</t>
        </is>
      </c>
      <c r="D30" t="inlineStr">
        <is>
          <t>27-May-2025 05:00 PM</t>
        </is>
      </c>
      <c r="E30" t="inlineStr">
        <is>
          <t>2,47,20,000</t>
        </is>
      </c>
      <c r="F30" t="inlineStr">
        <is>
          <t>SUPPLY OF 3 PHASE, 4 WIRE A.C. STATIC HT- TRIVECTOR ENERGY METER OF CLASS OF ACCURACY 0.5S WITH DLMS PROTOCOL</t>
        </is>
      </c>
      <c r="G30" t="inlineStr">
        <is>
          <t>Jaipur Discom</t>
        </is>
      </c>
    </row>
    <row r="31">
      <c r="A31" s="1" t="n">
        <v>29</v>
      </c>
      <c r="B31">
        <f>HYPERLINK("https://eproc.rajasthan.gov.in/nicgep/app?component=%24DirectLink&amp;page=FrontEndViewTender&amp;service=direct&amp;session=T&amp;sp=SehDd%2BYrH2bo0nG9Uswy0Ug%3D%3D", "Supply of Safety Helmets")</f>
        <v/>
      </c>
      <c r="C31" t="inlineStr">
        <is>
          <t>JVVNL - CMD||CE - MM||SE-MM||AEN</t>
        </is>
      </c>
      <c r="D31" t="inlineStr">
        <is>
          <t>27-May-2025 05:00 PM</t>
        </is>
      </c>
      <c r="E31" t="inlineStr">
        <is>
          <t>7,66,500</t>
        </is>
      </c>
      <c r="F31" t="inlineStr">
        <is>
          <t>Supply of Safety Helmets</t>
        </is>
      </c>
      <c r="G31" t="inlineStr">
        <is>
          <t>Jurisdiction of Jaipur Discom</t>
        </is>
      </c>
    </row>
    <row r="32">
      <c r="A32" s="1" t="n">
        <v>30</v>
      </c>
      <c r="B32">
        <f>HYPERLINK("https://eproc.rajasthan.gov.in/nicgep/app?component=%24DirectLink&amp;page=FrontEndViewTender&amp;service=direct&amp;session=T&amp;sp=SsU8m2ZAhhJnA%2FNrkmt1BhA%3D%3D", "SINGLE PHASE STATIC ENERGY METERS WITH METER BOX")</f>
        <v/>
      </c>
      <c r="C32" t="inlineStr">
        <is>
          <t>JVVNL - CMD||CE - MM||SE-MM||AEN</t>
        </is>
      </c>
      <c r="D32" t="inlineStr">
        <is>
          <t>21-May-2025 05:00 PM</t>
        </is>
      </c>
      <c r="E32" t="inlineStr">
        <is>
          <t>19,00,00,000</t>
        </is>
      </c>
      <c r="F32" t="inlineStr">
        <is>
          <t>SUPPLY OF SINGLE PHASE STATIC ENERGY METERS WITH METER BOX</t>
        </is>
      </c>
      <c r="G32" t="inlineStr">
        <is>
          <t>Jaipur Discom</t>
        </is>
      </c>
    </row>
    <row r="33">
      <c r="A33" s="1" t="n">
        <v>31</v>
      </c>
      <c r="B33">
        <f>HYPERLINK("https://eproc.rajasthan.gov.in/nicgep/app?component=%24DirectLink&amp;page=FrontEndViewTender&amp;service=direct&amp;session=T&amp;sp=Sl7ASe2D180UYWpIoLekjaA%3D%3D", "PURCHASE OF (A) MS FLAT 50X6 MM, (B) M.S. CHANNEL 100X50X6 MM (C) M.S. ANGLE 50x50x6 MM AND (D) M.S. ANGLE 65X65X6 MM AGAINST TN-4996")</f>
        <v/>
      </c>
      <c r="C33" t="inlineStr">
        <is>
          <t>JVVNL - CMD||CE - MM||SE - Proc||A. En.</t>
        </is>
      </c>
      <c r="D33" t="inlineStr">
        <is>
          <t>19-May-2025 05:00 PM</t>
        </is>
      </c>
      <c r="E33" t="inlineStr">
        <is>
          <t>98,18,400</t>
        </is>
      </c>
      <c r="F33" t="inlineStr">
        <is>
          <t>PURCHASE OF (A) MS FLAT 50X6 MM, (B) M.S. CHANNEL 100X50X6 MM (C) M.S. ANGLE 50x50x6 MM AND (D) M.S. ANGLE 65X65X6 MM AGAINST TN-4996</t>
        </is>
      </c>
      <c r="G33" t="inlineStr">
        <is>
          <t>JAIPUR DISCOM JURISDICTION</t>
        </is>
      </c>
    </row>
    <row r="34">
      <c r="A34" s="1" t="n">
        <v>32</v>
      </c>
      <c r="B34">
        <f>HYPERLINK("https://eproc.rajasthan.gov.in/nicgep/app?component=%24DirectLink&amp;page=FrontEndViewTender&amp;service=direct&amp;session=T&amp;sp=SzuQb8KadRPdUo2hw2XKKAA%3D%3D", "36 KV OUTDOOR BREAKER KIOSK TYPE")</f>
        <v/>
      </c>
      <c r="C34" t="inlineStr">
        <is>
          <t>JVVNL - CMD||CE - MM||SE-MM||AEN</t>
        </is>
      </c>
      <c r="D34" t="inlineStr">
        <is>
          <t>20-May-2025 05:00 PM</t>
        </is>
      </c>
      <c r="E34" t="inlineStr">
        <is>
          <t>45,62,00,000</t>
        </is>
      </c>
      <c r="F34" t="inlineStr">
        <is>
          <t>SUPPLY AND INSTALLATION 36 KV OUTDOOR BREAKER KIOSK TYPE</t>
        </is>
      </c>
      <c r="G34" t="inlineStr">
        <is>
          <t>Jaipur Discom</t>
        </is>
      </c>
    </row>
    <row r="35">
      <c r="A35" s="1" t="n">
        <v>33</v>
      </c>
      <c r="B35">
        <f>HYPERLINK("https://eproc.rajasthan.gov.in/nicgep/app?component=%24DirectLink&amp;page=FrontEndViewTender&amp;service=direct&amp;session=T&amp;sp=SDgZUAW8PWpq98h7z%2F%2BG5BA%3D%3D", "12 KV Indoor VCB")</f>
        <v/>
      </c>
      <c r="C35" t="inlineStr">
        <is>
          <t>JVVNL - CMD||CE - MM||SE-MM||AEN</t>
        </is>
      </c>
      <c r="D35" t="inlineStr">
        <is>
          <t>21-May-2025 05:00 PM</t>
        </is>
      </c>
      <c r="E35" t="inlineStr">
        <is>
          <t>9,17,00,000</t>
        </is>
      </c>
      <c r="F35" t="inlineStr">
        <is>
          <t>Supply, Installation and Commisioning of 12 KV Indoor VCB</t>
        </is>
      </c>
      <c r="G35" t="inlineStr">
        <is>
          <t>Jaipur Discom</t>
        </is>
      </c>
    </row>
    <row r="36">
      <c r="A36" s="1" t="n">
        <v>34</v>
      </c>
      <c r="B36">
        <f>HYPERLINK("https://eproc.rajasthan.gov.in/nicgep/app?component=%24DirectLink&amp;page=FrontEndViewTender&amp;service=direct&amp;session=T&amp;sp=SeHQAPtKkvssefXvGbSUX4Q%3D%3D", "Digital Earth Resistance Tester")</f>
        <v/>
      </c>
      <c r="C36" t="inlineStr">
        <is>
          <t>JVVNL - CMD||CE - MM||SE-MM||AEN</t>
        </is>
      </c>
      <c r="D36" t="inlineStr">
        <is>
          <t>21-May-2025 05:00 PM</t>
        </is>
      </c>
      <c r="E36" t="inlineStr">
        <is>
          <t>12,50,000</t>
        </is>
      </c>
      <c r="F36" t="inlineStr">
        <is>
          <t>Digital Earth Resistance Tester</t>
        </is>
      </c>
      <c r="G36" t="inlineStr">
        <is>
          <t>Jaipur Discom</t>
        </is>
      </c>
    </row>
    <row r="37">
      <c r="A37" s="1" t="n">
        <v>35</v>
      </c>
      <c r="B37">
        <f>HYPERLINK("https://eproc.rajasthan.gov.in/nicgep/app?component=%24DirectLink&amp;page=FrontEndViewTender&amp;service=direct&amp;session=T&amp;sp=SfjxeDVDbcQqkBgbqqXRtnw%3D%3D", "Segregation of 11KV mixed feeders with installation of decentralized solar power plants near 33/11kV S/s of such feeders on HAM basis and Network Management of 33/11kV S/s as well as associated downstream n/w up to LT lines in JPDC South TN-568")</f>
        <v/>
      </c>
      <c r="C37" t="inlineStr">
        <is>
          <t>JVVNL - CMD||Dy. CE(RDPPC)||SE-TW||XEn</t>
        </is>
      </c>
      <c r="D37" t="inlineStr">
        <is>
          <t>21-May-2025 03:00 PM</t>
        </is>
      </c>
      <c r="E37" t="inlineStr">
        <is>
          <t>5,45,23,00,000</t>
        </is>
      </c>
      <c r="F37" t="inlineStr">
        <is>
          <t>Segregation of 11KV mixed feeders with installation of decentralized solar power plants near 33/11kV S/s of such feeders on HAM basis and Network Management of 33/11kV S/s as well as associated downstream n/w up to LT lines in JPDC South TN-568</t>
        </is>
      </c>
      <c r="G37" t="inlineStr">
        <is>
          <t>JPDC South</t>
        </is>
      </c>
    </row>
    <row r="38">
      <c r="A38" s="1" t="n">
        <v>36</v>
      </c>
      <c r="B38">
        <f>HYPERLINK("https://eproc.rajasthan.gov.in/nicgep/app?component=%24DirectLink&amp;page=FrontEndViewTender&amp;service=direct&amp;session=T&amp;sp=SOnrX8N5N4M5wSVY2DbwlYw%3D%3D", "Segregation of 11KV mixed feeders with installation of decentralized solar power plants near 33/11kV S/s of such feeders on HAM basis and Network Management of 33/11kV S/s as well as associated downstream n/w up to LT lines in DEEG TN-571")</f>
        <v/>
      </c>
      <c r="C38" t="inlineStr">
        <is>
          <t>JVVNL - CMD||Dy. CE(RDPPC)||SE-TW||AEn</t>
        </is>
      </c>
      <c r="D38" t="inlineStr">
        <is>
          <t>21-May-2025 03:00 PM</t>
        </is>
      </c>
      <c r="E38" t="inlineStr">
        <is>
          <t>4,79,00,00,000</t>
        </is>
      </c>
      <c r="F38" t="inlineStr">
        <is>
          <t>Segregation of 11KV mixed feeders with installation of decentralized solar power plants near 33/11kV S/s of such feeders on HAM basis and Network Management of 33/11kV S/s as well as associated downstream n/w up to LT lines in DEEG TN-571</t>
        </is>
      </c>
      <c r="G38" t="inlineStr">
        <is>
          <t>DEEG</t>
        </is>
      </c>
    </row>
    <row r="39">
      <c r="A39" s="1" t="n">
        <v>37</v>
      </c>
      <c r="B39">
        <f>HYPERLINK("https://eproc.rajasthan.gov.in/nicgep/app?component=%24DirectLink&amp;page=FrontEndViewTender&amp;service=direct&amp;session=T&amp;sp=Sz%2FhZBAo9%2BYJzMfWxNCfsmg%3D%3D", "Segregation of 11KV mixed feeders with installation of decentralized solar power plants near 33/11kV S/s of such feeders on HAM basis and N/w Management of 33/11kV S/s as well as associated downstream n/w upto LT lines in Dholpur TN-566")</f>
        <v/>
      </c>
      <c r="C39" t="inlineStr">
        <is>
          <t>JVVNL - CMD||Dy. CE(RDPPC)||SE-TW||XEn</t>
        </is>
      </c>
      <c r="D39" t="inlineStr">
        <is>
          <t>21-May-2025 03:00 PM</t>
        </is>
      </c>
      <c r="E39" t="inlineStr">
        <is>
          <t>6,39,82,00,000</t>
        </is>
      </c>
      <c r="F39" t="inlineStr">
        <is>
          <t>Segregation of 11KV mixed feeders with installation of decentralized solar power plants near 33/11kV S/s of such feeders on HAM basis and N/w Management of 33/11kV S/s as well as associated downstream n/w upto LT lines in Dholpur TN-566</t>
        </is>
      </c>
      <c r="G39" t="inlineStr">
        <is>
          <t>Dholpur</t>
        </is>
      </c>
    </row>
    <row r="40">
      <c r="A40" s="1" t="n">
        <v>38</v>
      </c>
      <c r="B40">
        <f>HYPERLINK("https://eproc.rajasthan.gov.in/nicgep/app?component=%24DirectLink&amp;page=FrontEndViewTender&amp;service=direct&amp;session=T&amp;sp=S4Xwk0c7wTNIliob9kALT9g%3D%3D", "Segregation of 11KV mixed feeders with installation of decentralized solar power plants near 33/11kV S/s of such feeders on HAM basis and Network Management of 33/11kV S/s as well as associated downstream n/w up to LT lines in Baran TN-561")</f>
        <v/>
      </c>
      <c r="C40" t="inlineStr">
        <is>
          <t>JVVNL - CMD||Dy. CE(RDPPC)||SE-TW||XEn</t>
        </is>
      </c>
      <c r="D40" t="inlineStr">
        <is>
          <t>21-May-2025 03:00 PM</t>
        </is>
      </c>
      <c r="E40" t="inlineStr">
        <is>
          <t>10,04,48,00,000</t>
        </is>
      </c>
      <c r="F40" t="inlineStr">
        <is>
          <t>Segregation of 11KV mixed feeders with installation of decentralized solar power plants near 33/11kV S/s of such feeders on HAM basis and Network Management of 33/11kV S/s as well as associated downstream n/w up to LT lines in Baran TN-561</t>
        </is>
      </c>
      <c r="G40" t="inlineStr">
        <is>
          <t>Baran</t>
        </is>
      </c>
    </row>
    <row r="41">
      <c r="A41" s="1" t="n">
        <v>39</v>
      </c>
      <c r="B41">
        <f>HYPERLINK("https://eproc.rajasthan.gov.in/nicgep/app?component=%24DirectLink&amp;page=FrontEndViewTender&amp;service=direct&amp;session=T&amp;sp=SXNBED2Csf%2BXwboYm%2FtnfEw%3D%3D", "Segregation of 11KV mixed feeders with installation of decentralized solar power plants near 33/11kV S/s of such feeders on HAM basis and N/w Management of 33/11kV S/s as well as associated downstream n/w upto LT lines in Bhiwadi TN-562")</f>
        <v/>
      </c>
      <c r="C41" t="inlineStr">
        <is>
          <t>JVVNL - CMD||Dy. CE(RDPPC)||SE-TW||XEn</t>
        </is>
      </c>
      <c r="D41" t="inlineStr">
        <is>
          <t>21-May-2025 03:00 PM</t>
        </is>
      </c>
      <c r="E41" t="inlineStr">
        <is>
          <t>10,53,61,00,000</t>
        </is>
      </c>
      <c r="F41" t="inlineStr">
        <is>
          <t>Segregation of 11KV mixed feeders with installation of decentralized solar power plants near 33/11kV S/s of such feeders on HAM basis and N/w Management of 33/11kV S/s as well as associated downstream n/w upto LT lines in Bhiwadi TN-562</t>
        </is>
      </c>
      <c r="G41" t="inlineStr">
        <is>
          <t>Bhiwadi</t>
        </is>
      </c>
    </row>
    <row r="42">
      <c r="A42" s="1" t="n">
        <v>40</v>
      </c>
      <c r="B42">
        <f>HYPERLINK("https://eproc.rajasthan.gov.in/nicgep/app?component=%24DirectLink&amp;page=FrontEndViewTender&amp;service=direct&amp;session=T&amp;sp=SKCn1LA4aF0qHfFi9ykYwIA%3D%3D", "Segregation of 11KV mixed feeders with installation of decentralized solar power plants near 33/11kV S/s of such feeders on HAM basis and N/W Management of 33/11kV S/s as well as associated downstream n/w up to LT lines in BHARATPUR TN-564")</f>
        <v/>
      </c>
      <c r="C42" t="inlineStr">
        <is>
          <t>JVVNL - CMD||Dy. CE(RDPPC)||SE-TW||AEn</t>
        </is>
      </c>
      <c r="D42" t="inlineStr">
        <is>
          <t>21-May-2025 03:00 PM</t>
        </is>
      </c>
      <c r="E42" t="inlineStr">
        <is>
          <t>9,40,00,00,000</t>
        </is>
      </c>
      <c r="F42" t="inlineStr">
        <is>
          <t>Segregation of 11KV mixed feeders with installation of decentralized solar power plants near 33/11kV S/s of such feeders on HAM basis and N/W Management of 33/11kV S/s as well as associated downstream n/w up to LT lines in BHARATPUR TN-564</t>
        </is>
      </c>
      <c r="G42" t="inlineStr">
        <is>
          <t>BHARATPUR</t>
        </is>
      </c>
    </row>
    <row r="43">
      <c r="A43" s="1" t="n">
        <v>41</v>
      </c>
      <c r="B43">
        <f>HYPERLINK("https://eproc.rajasthan.gov.in/nicgep/app?component=%24DirectLink&amp;page=FrontEndViewTender&amp;service=direct&amp;session=T&amp;sp=S9T8NxPDTIR%2FhhfFqh9koXg%3D%3D", "Segregation of 11KV mixed feeders with installation of decentralized solar power plants near 33/11kV S/s of such feeders on HAM basis and Network Management of 33/11kV S/s as well as associated downstream n/w up to LT lines in Karauli TN-572")</f>
        <v/>
      </c>
      <c r="C43" t="inlineStr">
        <is>
          <t>JVVNL - CMD||Dy. CE(RDPPC)||SE-TW||XEn</t>
        </is>
      </c>
      <c r="D43" t="inlineStr">
        <is>
          <t>21-May-2025 03:00 PM</t>
        </is>
      </c>
      <c r="E43" t="inlineStr">
        <is>
          <t>4,44,46,00,000</t>
        </is>
      </c>
      <c r="F43" t="inlineStr">
        <is>
          <t>Segregation of 11KV mixed feeders with installation of decentralized solar power plants near 33/11kV S/s of such feeders on HAM basis and Network Management of 33/11kV S/s as well as associated downstream n/w up to LT lines in Karauli TN-572</t>
        </is>
      </c>
      <c r="G43" t="inlineStr">
        <is>
          <t>Karauli</t>
        </is>
      </c>
    </row>
    <row r="44">
      <c r="A44" s="1" t="n">
        <v>42</v>
      </c>
      <c r="B44">
        <f>HYPERLINK("https://eproc.rajasthan.gov.in/nicgep/app?component=%24DirectLink&amp;page=FrontEndViewTender&amp;service=direct&amp;session=T&amp;sp=SExwqc16dRmJcp9LrTVYZ1A%3D%3D", "Segregation of 11KV mixed feeders with installation of decentralized solar power plants near 33/11kV S/s of such feeders on HAM basis and Network Management of 33/11kV S/s as well as associated downstream n/w up to LT lines in Dausa TN-585")</f>
        <v/>
      </c>
      <c r="C44" t="inlineStr">
        <is>
          <t>JVVNL - CMD||Dy. CE(RDPPC)||SE-TW||AEn</t>
        </is>
      </c>
      <c r="D44" t="inlineStr">
        <is>
          <t>21-May-2025 03:00 PM</t>
        </is>
      </c>
      <c r="E44" t="inlineStr">
        <is>
          <t>12,40,97,00,000</t>
        </is>
      </c>
      <c r="F44" t="inlineStr">
        <is>
          <t>Segregation of 11KV mixed feeders with installation of decentralized solar power plants near 33/11kV S/s of such feeders on HAM basis and Network Management of 33/11kV S/s as well as associated downstream n/w up to LT lines in Dausa TN-585</t>
        </is>
      </c>
      <c r="G44" t="inlineStr">
        <is>
          <t>Dausa</t>
        </is>
      </c>
    </row>
    <row r="45">
      <c r="A45" s="1" t="n">
        <v>43</v>
      </c>
      <c r="B45">
        <f>HYPERLINK("https://eproc.rajasthan.gov.in/nicgep/app?component=%24DirectLink&amp;page=FrontEndViewTender&amp;service=direct&amp;session=T&amp;sp=SzMjjgB2nEpNVutgJxxhXXA%3D%3D", "Segregation of 11KV mixed feeders with installation of decentralized solar power plants near 33/11kV S/s of such feeders on HAM basis and Network Management of 33/11kV S/s as well as associated downstream n/w up to LT lines in Jhalawar TN-565")</f>
        <v/>
      </c>
      <c r="C45" t="inlineStr">
        <is>
          <t>JVVNL - CMD||Dy. CE(RDPPC)||SE-TW||XEn</t>
        </is>
      </c>
      <c r="D45" t="inlineStr">
        <is>
          <t>21-May-2025 03:00 PM</t>
        </is>
      </c>
      <c r="E45" t="inlineStr">
        <is>
          <t>7,15,90,00,000</t>
        </is>
      </c>
      <c r="F45" t="inlineStr">
        <is>
          <t>Segregation of 11KV mixed feeders with installation of decentralized solar power plants near 33/11kV S/s of such feeders on HAM basis and Network Management of 33/11kV S/s as well as associated downstream n/w up to LT lines in Jhalawar TN-565</t>
        </is>
      </c>
      <c r="G45" t="inlineStr">
        <is>
          <t>Jhalawar</t>
        </is>
      </c>
    </row>
    <row r="46">
      <c r="A46" s="1" t="n">
        <v>44</v>
      </c>
      <c r="B46">
        <f>HYPERLINK("https://eproc.rajasthan.gov.in/nicgep/app?component=%24DirectLink&amp;page=FrontEndViewTender&amp;service=direct&amp;session=T&amp;sp=Ss1GYcEKt%2FwNhkDNhjzKL3A%3D%3D", "Segregation of 11KV mixed feeders with installation of decentralized solar power plants near 33/11kV S/s of such feeders on HAM basis and Network Management of 33/11kV S/s as well as associated downstream n/w up to LT lines in Kota TN-567")</f>
        <v/>
      </c>
      <c r="C46" t="inlineStr">
        <is>
          <t>JVVNL - CMD||Dy. CE(RDPPC)||SE-TW||XEn</t>
        </is>
      </c>
      <c r="D46" t="inlineStr">
        <is>
          <t>21-May-2025 03:00 PM</t>
        </is>
      </c>
      <c r="E46" t="inlineStr">
        <is>
          <t>5,56,12,00,000</t>
        </is>
      </c>
      <c r="F46" t="inlineStr">
        <is>
          <t>Segregation of 11KV mixed feeders with installation of decentralized solar power plants near 33/11kV S/s of such feeders on HAM basis and Network Management of 33/11kV S/s as well as associated downstream n/w up to LT lines in Kota TN-567</t>
        </is>
      </c>
      <c r="G46" t="inlineStr">
        <is>
          <t>Kota</t>
        </is>
      </c>
    </row>
    <row r="47">
      <c r="A47" s="1" t="n">
        <v>45</v>
      </c>
      <c r="B47">
        <f>HYPERLINK("https://eproc.rajasthan.gov.in/nicgep/app?component=%24DirectLink&amp;page=FrontEndViewTender&amp;service=direct&amp;session=T&amp;sp=SBLH1pNKvFSmzvwrr9yZ3Vw%3D%3D", "Segregation of 11KV mixed feeders with installation of decentralized solar power plants near 33/11kV S/s of such feeders on HAM basis and Network Management of 33/11kV S/s as well as associated downstream n/w up to LT lines in Tonk TN-586")</f>
        <v/>
      </c>
      <c r="C47" t="inlineStr">
        <is>
          <t>JVVNL - CMD||Dy. CE(RDPPC)||SE-TW||AEn</t>
        </is>
      </c>
      <c r="D47" t="inlineStr">
        <is>
          <t>21-May-2025 03:00 PM</t>
        </is>
      </c>
      <c r="E47" t="inlineStr">
        <is>
          <t>4,10,22,00,000</t>
        </is>
      </c>
      <c r="F47" t="inlineStr">
        <is>
          <t>Segregation of 11KV mixed feeders with installation of decentralized solar power plants near 33/11kV S/s of such feeders on HAM basis and Network Management of 33/11kV S/s as well as associated downstream n/w up to LT lines in Tonk TN-586</t>
        </is>
      </c>
      <c r="G47" t="inlineStr">
        <is>
          <t>Tonk</t>
        </is>
      </c>
    </row>
    <row r="48">
      <c r="A48" s="1" t="n">
        <v>46</v>
      </c>
      <c r="B48">
        <f>HYPERLINK("https://eproc.rajasthan.gov.in/nicgep/app?component=%24DirectLink&amp;page=FrontEndViewTender&amp;service=direct&amp;session=T&amp;sp=S%2FV862kt6T4CYA9e7kWt8WA%3D%3D", "Segregation of 11KV mixed feeders with installation of decentralized solar power plants near 33/11kV S/s of such feeders on HAM basis and Network Management of 33/11kV S/s as well as associated downstream n/w up to LT lines in Gangapur City TN-570")</f>
        <v/>
      </c>
      <c r="C48" t="inlineStr">
        <is>
          <t>JVVNL - CMD||Dy. CE(RDPPC)||SE-TW||XEn</t>
        </is>
      </c>
      <c r="D48" t="inlineStr">
        <is>
          <t>21-May-2025 03:00 PM</t>
        </is>
      </c>
      <c r="E48" t="inlineStr">
        <is>
          <t>4,96,56,00,000</t>
        </is>
      </c>
      <c r="F48" t="inlineStr">
        <is>
          <t>Segregation of 11KV mixed feeders with installation of decentralized solar power plants near 33/11kV S/s of such feeders on HAM basis and Network Management of 33/11kV S/s as well as associated downstream n/w up to LT lines in Gangapur City TN-570</t>
        </is>
      </c>
      <c r="G48" t="inlineStr">
        <is>
          <t>Gangapur city</t>
        </is>
      </c>
    </row>
    <row r="49">
      <c r="A49" s="1" t="n">
        <v>47</v>
      </c>
      <c r="B49">
        <f>HYPERLINK("https://eproc.rajasthan.gov.in/nicgep/app?component=%24DirectLink&amp;page=FrontEndViewTender&amp;service=direct&amp;session=T&amp;sp=S1TQ6gi61jfUm44dZeuFf1w%3D%3D", "Segregation of 11KV mixed feeders with installation of decentralized solar power plants near 33/11kV S/s of such feeders on HAM basis and Network Management of 33/11kV S/s as well as associated downstream n/w up to LT lines in Kotputli TN-573")</f>
        <v/>
      </c>
      <c r="C49" t="inlineStr">
        <is>
          <t>JVVNL - CMD||Dy. CE(RDPPC)||SE-TW||XEn</t>
        </is>
      </c>
      <c r="D49" t="inlineStr">
        <is>
          <t>21-May-2025 03:00 PM</t>
        </is>
      </c>
      <c r="E49" t="inlineStr">
        <is>
          <t>2,37,67,00,000</t>
        </is>
      </c>
      <c r="F49" t="inlineStr">
        <is>
          <t>Segregation of 11KV mixed feeders with installation of decentralized solar power plants near 33/11kV S/s of such feeders on HAM basis and Network Management of 33/11kV S/s as well as associated downstream n/w up to LT lines in Kotputli TN-573</t>
        </is>
      </c>
      <c r="G49" t="inlineStr">
        <is>
          <t>Kotputli</t>
        </is>
      </c>
    </row>
    <row r="50">
      <c r="A50" s="1" t="n">
        <v>48</v>
      </c>
      <c r="B50">
        <f>HYPERLINK("https://eproc.rajasthan.gov.in/nicgep/app?component=%24DirectLink&amp;page=FrontEndViewTender&amp;service=direct&amp;session=T&amp;sp=SLas0TuG5stFydSXFn7DFzA%3D%3D", "Segregation of 11KV mixed feeders with installation of decentralized solar power plants near 33/11kV S/s of such feeders on HAM basis and Network Management of 33/11kV S/s as well as associated downstream n/w up to LT lines in Bundi TN-569")</f>
        <v/>
      </c>
      <c r="C50" t="inlineStr">
        <is>
          <t>JVVNL - CMD||Dy. CE(RDPPC)||SE-TW||XEn</t>
        </is>
      </c>
      <c r="D50" t="inlineStr">
        <is>
          <t>21-May-2025 03:00 PM</t>
        </is>
      </c>
      <c r="E50" t="inlineStr">
        <is>
          <t>5,35,14,00,000</t>
        </is>
      </c>
      <c r="F50" t="inlineStr">
        <is>
          <t>Segregation of 11KV mixed feeders with installation of decentralized solar power plants near 33/11kV S/s of such feeders on HAM basis and Network Management of 33/11kV S/s as well as associated downstream n/w up to LT lines in Bundi TN-569</t>
        </is>
      </c>
      <c r="G50" t="inlineStr">
        <is>
          <t>Bundi</t>
        </is>
      </c>
    </row>
    <row r="51">
      <c r="A51" s="1" t="n">
        <v>49</v>
      </c>
      <c r="B51">
        <f>HYPERLINK("https://eproc.rajasthan.gov.in/nicgep/app?component=%24DirectLink&amp;page=FrontEndViewTender&amp;service=direct&amp;session=T&amp;sp=S0gWB8Kpn%2BJC%2F1Grk3il7nQ%3D%3D", "Segregation of 11KV mixed feeders with installation of decentralized solar power plants near 33/11kV S/s of such feeders on HAM basis and Network Management of 33/11kV S/s as well as associated downstream n/w up to LT lines in JPDC North TN-563")</f>
        <v/>
      </c>
      <c r="C51" t="inlineStr">
        <is>
          <t>JVVNL - CMD||Dy. CE(RDPPC)||SE-TW||XEn</t>
        </is>
      </c>
      <c r="D51" t="inlineStr">
        <is>
          <t>21-May-2025 03:00 PM</t>
        </is>
      </c>
      <c r="E51" t="inlineStr">
        <is>
          <t>9,10,54,00,000</t>
        </is>
      </c>
      <c r="F51" t="inlineStr">
        <is>
          <t>Segregation of 11KV mixed feeders with installation of decentralized solar power plants near 33/11kV S/s of such feeders on HAM basis and Network Management of 33/11kV S/s as well as associated downstream n/w up to LT lines in JPDC North TN-563</t>
        </is>
      </c>
      <c r="G51" t="inlineStr">
        <is>
          <t>JPDC North</t>
        </is>
      </c>
    </row>
    <row r="52">
      <c r="A52" s="1" t="n">
        <v>50</v>
      </c>
      <c r="B52">
        <f>HYPERLINK("https://eproc.rajasthan.gov.in/nicgep/app?component=%24DirectLink&amp;page=FrontEndViewTender&amp;service=direct&amp;session=T&amp;sp=SfYxQj3a1WefsO%2BEdoZncWw%3D%3D", "Segregation of 11KV mixed feeders with installation of decentralized solar power plants near 33/11kV S/s of such feeders on HAM basis and Network Management of 33/11kV S/s as well as associated downstream n/w up to LT lines in Dudu TN-574")</f>
        <v/>
      </c>
      <c r="C52" t="inlineStr">
        <is>
          <t>JVVNL - CMD||Dy. CE(RDPPC)||SE-TW||XEn</t>
        </is>
      </c>
      <c r="D52" t="inlineStr">
        <is>
          <t>21-May-2025 03:00 PM</t>
        </is>
      </c>
      <c r="E52" t="inlineStr">
        <is>
          <t>70,00,00,000</t>
        </is>
      </c>
      <c r="F52" t="inlineStr">
        <is>
          <t>Segregation of 11KV mixed feeders with installation of decentralized solar power plants near 33/11kV S/s of such feeders on HAM basis and Network Management of 33/11kV S/s as well as associated downstream n/w up to LT lines in Dudu TN-574</t>
        </is>
      </c>
      <c r="G52" t="inlineStr">
        <is>
          <t>Dudu</t>
        </is>
      </c>
    </row>
    <row r="53">
      <c r="A53" s="1" t="n">
        <v>51</v>
      </c>
      <c r="B53">
        <f>HYPERLINK("https://eproc.rajasthan.gov.in/nicgep/app?component=%24DirectLink&amp;page=FrontEndViewTender&amp;service=direct&amp;session=T&amp;sp=SjOgyIu04TmWGaFtg3dPPBQ%3D%3D", "Empanelment of vendors for supply of Meters")</f>
        <v/>
      </c>
      <c r="C53" t="inlineStr">
        <is>
          <t>JVVNL - CMD||CE - MM||SE-MM||AEN</t>
        </is>
      </c>
      <c r="D53" t="inlineStr">
        <is>
          <t>27-May-2025 05:00 PM</t>
        </is>
      </c>
      <c r="E53" t="inlineStr">
        <is>
          <t>10,00,000</t>
        </is>
      </c>
      <c r="F53" t="inlineStr">
        <is>
          <t>EMPANELMENT OF VENDORS FOR SUPPLY OF SINGLE PHASE METERS WITH BOX, THREE PHASE METERS WITH BOX, LTTVM, HTTVM AND NET METERS</t>
        </is>
      </c>
      <c r="G53" t="inlineStr">
        <is>
          <t>Jaipur Discom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2025-05-17T13:01:43Z</dcterms:created>
  <dcterms:modified xsi:type="dcterms:W3CDTF">2025-05-17T13:01:43Z</dcterms:modified>
</cp:coreProperties>
</file>