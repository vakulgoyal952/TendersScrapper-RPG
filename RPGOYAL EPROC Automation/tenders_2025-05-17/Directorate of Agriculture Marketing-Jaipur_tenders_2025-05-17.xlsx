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HYPERLINK("https://eproc.rajasthan.gov.in/nicgep/app?component=%24DirectLink&amp;page=FrontEndViewTender&amp;service=direct&amp;session=T&amp;sp=Sx%2FmXbDHEwaHMHOe%2BZOsOCA%3D%3D", "Computer Operator man with machine and E-Naam Related works under Jaitsar")</f>
        <v/>
      </c>
      <c r="C2" t="inlineStr">
        <is>
          <t>Directorate of Agriculture Marketing-Jaipur</t>
        </is>
      </c>
      <c r="D2" t="inlineStr">
        <is>
          <t>28-May-2025 06:00 PM</t>
        </is>
      </c>
      <c r="E2" t="inlineStr">
        <is>
          <t>10,02,000</t>
        </is>
      </c>
      <c r="F2" t="inlineStr">
        <is>
          <t>Computer Operator man with machine and E-Naam Related works under Jaitsar</t>
        </is>
      </c>
      <c r="G2" t="inlineStr">
        <is>
          <t>Jaitsar</t>
        </is>
      </c>
    </row>
    <row r="3">
      <c r="A3" s="1" t="n">
        <v>1</v>
      </c>
      <c r="B3">
        <f>HYPERLINK("https://eproc.rajasthan.gov.in/nicgep/app?component=%24DirectLink&amp;page=FrontEndViewTender&amp;service=direct&amp;session=T&amp;sp=SVFlpD%2BcaCvv3ytUGOl%2B2mg%3D%3D", "Jaitsar Mandi Yard mai Chokidari ka Karya")</f>
        <v/>
      </c>
      <c r="C3" t="inlineStr">
        <is>
          <t>Directorate of Agriculture Marketing-Jaipur</t>
        </is>
      </c>
      <c r="D3" t="inlineStr">
        <is>
          <t>28-May-2025 06:00 PM</t>
        </is>
      </c>
      <c r="E3" t="inlineStr">
        <is>
          <t>12,00,000</t>
        </is>
      </c>
      <c r="F3" t="inlineStr">
        <is>
          <t>Jaitsar Mandi Yard mai Chokidari ka Karya</t>
        </is>
      </c>
      <c r="G3" t="inlineStr">
        <is>
          <t>Jaitsar</t>
        </is>
      </c>
    </row>
    <row r="4">
      <c r="A4" s="1" t="n">
        <v>2</v>
      </c>
      <c r="B4">
        <f>HYPERLINK("https://eproc.rajasthan.gov.in/nicgep/app?component=%24DirectLink&amp;page=FrontEndViewTender&amp;service=direct&amp;session=T&amp;sp=S777ao%2BVbUuWK9ZJoGtFc%2FQ%3D%3D", "Kisan Kalewa Yojna under Jaitsar")</f>
        <v/>
      </c>
      <c r="C4" t="inlineStr">
        <is>
          <t>Directorate of Agriculture Marketing-Jaipur</t>
        </is>
      </c>
      <c r="D4" t="inlineStr">
        <is>
          <t>28-May-2025 06:00 PM</t>
        </is>
      </c>
      <c r="E4" t="inlineStr">
        <is>
          <t>12,00,000</t>
        </is>
      </c>
      <c r="F4" t="inlineStr">
        <is>
          <t>Kisan Kalewa Yojna under Jaitsar</t>
        </is>
      </c>
      <c r="G4" t="inlineStr">
        <is>
          <t>Jaitsar</t>
        </is>
      </c>
    </row>
    <row r="5">
      <c r="A5" s="1" t="n">
        <v>3</v>
      </c>
      <c r="B5">
        <f>HYPERLINK("https://eproc.rajasthan.gov.in/nicgep/app?component=%24DirectLink&amp;page=FrontEndViewTender&amp;service=direct&amp;session=T&amp;sp=S602%2B8%2B%2Bk9lqciqVL90EptQ%3D%3D", "Supply of Security Guards for KUMS Manoharthana")</f>
        <v/>
      </c>
      <c r="C5" t="inlineStr">
        <is>
          <t>Directorate of Agriculture Marketing-Jaipur||Addtional Director</t>
        </is>
      </c>
      <c r="D5" t="inlineStr">
        <is>
          <t>27-May-2025 06:00 PM</t>
        </is>
      </c>
      <c r="E5" t="inlineStr">
        <is>
          <t>8,00,000</t>
        </is>
      </c>
      <c r="F5" t="inlineStr">
        <is>
          <t>Supply of Security Guards for KUMS Manoharthana</t>
        </is>
      </c>
      <c r="G5" t="inlineStr">
        <is>
          <t>Manoharthana</t>
        </is>
      </c>
    </row>
    <row r="6">
      <c r="A6" s="1" t="n">
        <v>4</v>
      </c>
      <c r="B6">
        <f>HYPERLINK("https://eproc.rajasthan.gov.in/nicgep/app?component=%24DirectLink&amp;page=FrontEndViewTender&amp;service=direct&amp;session=T&amp;sp=SNo%2FsdZYMlmxnL%2FZvGcFCSA%3D%3D", "Supply of Labour for Drinking Water at KUMS Manoharthana")</f>
        <v/>
      </c>
      <c r="C6" t="inlineStr">
        <is>
          <t>Directorate of Agriculture Marketing-Jaipur||Addtional Director</t>
        </is>
      </c>
      <c r="D6" t="inlineStr">
        <is>
          <t>27-May-2025 06:00 PM</t>
        </is>
      </c>
      <c r="E6" t="inlineStr">
        <is>
          <t>3,00,000</t>
        </is>
      </c>
      <c r="F6" t="inlineStr">
        <is>
          <t>Supply of Labour for Drinking Water at KUMS Manoharthana</t>
        </is>
      </c>
      <c r="G6" t="inlineStr">
        <is>
          <t>Manoharthana</t>
        </is>
      </c>
    </row>
    <row r="7">
      <c r="A7" s="1" t="n">
        <v>5</v>
      </c>
      <c r="B7">
        <f>HYPERLINK("https://eproc.rajasthan.gov.in/nicgep/app?component=%24DirectLink&amp;page=FrontEndViewTender&amp;service=direct&amp;session=T&amp;sp=S%2FA5K2CVig0SDtynIcjPP5g%3D%3D", "Supply of Labour for Cleaning of KUMS Manoharthana")</f>
        <v/>
      </c>
      <c r="C7" t="inlineStr">
        <is>
          <t>Directorate of Agriculture Marketing-Jaipur||Addtional Director</t>
        </is>
      </c>
      <c r="D7" t="inlineStr">
        <is>
          <t>27-May-2025 06:00 PM</t>
        </is>
      </c>
      <c r="E7" t="inlineStr">
        <is>
          <t>5,00,000</t>
        </is>
      </c>
      <c r="F7" t="inlineStr">
        <is>
          <t>Supply of Labour for Cleaning of KUMS Manoharthana</t>
        </is>
      </c>
      <c r="G7" t="inlineStr">
        <is>
          <t>Manoharthana</t>
        </is>
      </c>
    </row>
    <row r="8">
      <c r="A8" s="1" t="n">
        <v>6</v>
      </c>
      <c r="B8">
        <f>HYPERLINK("https://eproc.rajasthan.gov.in/nicgep/app?component=%24DirectLink&amp;page=FrontEndViewTender&amp;service=direct&amp;session=T&amp;sp=SE0ee9bmdLkCm%2F9HCdzgl1A%3D%3D", "Supply of Computer Operator (with Machine) for Office work and E-Name Yojana work")</f>
        <v/>
      </c>
      <c r="C8" t="inlineStr">
        <is>
          <t>Directorate of Agriculture Marketing-Jaipur||Addtional Director</t>
        </is>
      </c>
      <c r="D8" t="inlineStr">
        <is>
          <t>27-May-2025 06:00 PM</t>
        </is>
      </c>
      <c r="E8" t="inlineStr">
        <is>
          <t>8,00,000</t>
        </is>
      </c>
      <c r="F8" t="inlineStr">
        <is>
          <t>Supply of Computer Operator (with Machine) for Office work and E-Name Yojana work</t>
        </is>
      </c>
      <c r="G8" t="inlineStr">
        <is>
          <t>Manoharthana</t>
        </is>
      </c>
    </row>
    <row r="9">
      <c r="A9" s="1" t="n">
        <v>7</v>
      </c>
      <c r="B9">
        <f>HYPERLINK("https://eproc.rajasthan.gov.in/nicgep/app?component=%24DirectLink&amp;page=FrontEndViewTender&amp;service=direct&amp;session=T&amp;sp=SN4WimPGUshzQ36e%2BADPaUg%3D%3D", "Tender of kishan kaleva Yojana (Thali) KUMS, Bharatpur")</f>
        <v/>
      </c>
      <c r="C9" t="inlineStr">
        <is>
          <t>Directorate of Agriculture Marketing-Jaipur</t>
        </is>
      </c>
      <c r="D9" t="inlineStr">
        <is>
          <t>22-May-2025 05:00 PM</t>
        </is>
      </c>
      <c r="E9" t="inlineStr">
        <is>
          <t>50,00,000</t>
        </is>
      </c>
      <c r="F9" t="inlineStr">
        <is>
          <t>Tender of kishan kaleva Yojana (Thali) KUMS, BHARATPUR</t>
        </is>
      </c>
      <c r="G9" t="inlineStr">
        <is>
          <t>Bharatpur</t>
        </is>
      </c>
    </row>
    <row r="10">
      <c r="A10" s="1" t="n">
        <v>8</v>
      </c>
      <c r="B10">
        <f>HYPERLINK("https://eproc.rajasthan.gov.in/nicgep/app?component=%24DirectLink&amp;page=FrontEndViewTender&amp;service=direct&amp;session=T&amp;sp=SUlHVp9Q69OgsK6HFQ8ZX8Q%3D%3D", "Tender of Manpower KUMS, Bharatpur")</f>
        <v/>
      </c>
      <c r="C10" t="inlineStr">
        <is>
          <t>Directorate of Agriculture Marketing-Jaipur</t>
        </is>
      </c>
      <c r="D10" t="inlineStr">
        <is>
          <t>22-May-2025 05:00 PM</t>
        </is>
      </c>
      <c r="E10" t="inlineStr">
        <is>
          <t>33,00,000</t>
        </is>
      </c>
      <c r="F10" t="inlineStr">
        <is>
          <t>Tender of Manpower KUMS, Bharatpur</t>
        </is>
      </c>
      <c r="G10" t="inlineStr">
        <is>
          <t>Bharatpur</t>
        </is>
      </c>
    </row>
    <row r="11">
      <c r="A11" s="1" t="n">
        <v>9</v>
      </c>
      <c r="B11">
        <f>HYPERLINK("https://eproc.rajasthan.gov.in/nicgep/app?component=%24DirectLink&amp;page=FrontEndViewTender&amp;service=direct&amp;session=T&amp;sp=StDR%2BOvP0v6nSaVuQzF030g%3D%3D", "Supply of Computer Operator with Machine")</f>
        <v/>
      </c>
      <c r="C11" t="inlineStr">
        <is>
          <t>Directorate of Agriculture Marketing-Jaipur</t>
        </is>
      </c>
      <c r="D11" t="inlineStr">
        <is>
          <t>21-May-2025 01:00 PM</t>
        </is>
      </c>
      <c r="E11" t="inlineStr">
        <is>
          <t>20,00,000</t>
        </is>
      </c>
      <c r="F11" t="inlineStr">
        <is>
          <t>Supply of Computer Operator with Machine</t>
        </is>
      </c>
      <c r="G11" t="inlineStr">
        <is>
          <t>Jhalrapatan</t>
        </is>
      </c>
    </row>
    <row r="12">
      <c r="A12" s="1" t="n">
        <v>10</v>
      </c>
      <c r="B12">
        <f>HYPERLINK("https://eproc.rajasthan.gov.in/nicgep/app?component=%24DirectLink&amp;page=FrontEndViewTender&amp;service=direct&amp;session=T&amp;sp=SLwDnAS3DUgSr3B1l7Sz55g%3D%3D", "KISAN KALEWA YOJNA MANAGMENT AND ARRENGMENT FOR KUMS NOKHA")</f>
        <v/>
      </c>
      <c r="C12" t="inlineStr">
        <is>
          <t>Directorate of Agriculture Marketing-Jaipur</t>
        </is>
      </c>
      <c r="D12" t="inlineStr">
        <is>
          <t>19-May-2025 05:00 PM</t>
        </is>
      </c>
      <c r="E12" t="inlineStr">
        <is>
          <t>15,00,000</t>
        </is>
      </c>
      <c r="F12" t="inlineStr">
        <is>
          <t>KISAN KALEWA YOJNA MANAGMENT AND ARRENGMENT FOR KUMS NOKHA</t>
        </is>
      </c>
      <c r="G12" t="inlineStr">
        <is>
          <t>NOKHA</t>
        </is>
      </c>
    </row>
    <row r="13">
      <c r="A13" s="1" t="n">
        <v>11</v>
      </c>
      <c r="B13">
        <f>HYPERLINK("https://eproc.rajasthan.gov.in/nicgep/app?component=%24DirectLink&amp;page=FrontEndViewTender&amp;service=direct&amp;session=T&amp;sp=SIoqsE3mlXIzy7pFI%2FZ4%2B2g%3D%3D", "CLEANLINESS MANPOWER SERVICE FOR KUMS NOKHA")</f>
        <v/>
      </c>
      <c r="C13" t="inlineStr">
        <is>
          <t>Directorate of Agriculture Marketing-Jaipur</t>
        </is>
      </c>
      <c r="D13" t="inlineStr">
        <is>
          <t>19-May-2025 05:00 PM</t>
        </is>
      </c>
      <c r="E13" t="inlineStr">
        <is>
          <t>18,00,000</t>
        </is>
      </c>
      <c r="F13" t="inlineStr">
        <is>
          <t>CLEANLINESS MANPOWER SERVICE FOR KUMS NOKHA</t>
        </is>
      </c>
      <c r="G13" t="inlineStr">
        <is>
          <t>NOKHA</t>
        </is>
      </c>
    </row>
    <row r="14">
      <c r="A14" s="1" t="n">
        <v>12</v>
      </c>
      <c r="B14">
        <f>HYPERLINK("https://eproc.rajasthan.gov.in/nicgep/app?component=%24DirectLink&amp;page=FrontEndViewTender&amp;service=direct&amp;session=T&amp;sp=SDnIjzQ%2FJcBiRZiKhzTNm5g%3D%3D", "COMPUTER OPERATOR MAN WITH MACHINE FOR RIMS, E-NAAM AND LAB OPERATOR FOR QUALITY AND EVALUATION WORK AT KUMS NOKHA")</f>
        <v/>
      </c>
      <c r="C14" t="inlineStr">
        <is>
          <t>Directorate of Agriculture Marketing-Jaipur</t>
        </is>
      </c>
      <c r="D14" t="inlineStr">
        <is>
          <t>19-May-2025 05:00 PM</t>
        </is>
      </c>
      <c r="E14" t="inlineStr">
        <is>
          <t>23,00,000</t>
        </is>
      </c>
      <c r="F14" t="inlineStr">
        <is>
          <t>COMPUTER OPERATOR MAN WITH MACHINE FOR RIMS, E-NAAM AND LAB OPERATOR FOR QUALITY AND EVALUATION WORK AT KUMS NOKHA</t>
        </is>
      </c>
      <c r="G14" t="inlineStr">
        <is>
          <t>NOKHA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2025-05-17T12:57:40Z</dcterms:created>
  <dcterms:modified xsi:type="dcterms:W3CDTF">2025-05-17T12:57:40Z</dcterms:modified>
</cp:coreProperties>
</file>