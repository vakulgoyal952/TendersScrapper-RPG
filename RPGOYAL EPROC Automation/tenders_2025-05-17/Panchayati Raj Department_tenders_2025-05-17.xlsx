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54"/>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HYPERLINK("https://eproc.rajasthan.gov.in/nicgep/app?component=%24DirectLink&amp;page=FrontEndViewTender&amp;service=direct&amp;session=T&amp;sp=S%2BqWFw%2FrEYQm2g%2FQulFjifA%3D%3D", "MGNREGA MATERIALS SUPPLY FY 2025-26 GP TAKHATPURA")</f>
        <v/>
      </c>
      <c r="C2" t="inlineStr">
        <is>
          <t>Panchayati Raj Department||Secretary and Commissioner||CEO-BIKANER||BDO-POOGAL</t>
        </is>
      </c>
      <c r="D2" t="inlineStr">
        <is>
          <t>03-Jun-2025 06:00 PM</t>
        </is>
      </c>
      <c r="E2" t="inlineStr">
        <is>
          <t>90,00,000</t>
        </is>
      </c>
      <c r="F2" t="inlineStr">
        <is>
          <t>MGNREGA AND ALL OTHER YOJANA CONSTRUCTION MATERIALS SUPPLY GRAM PANCHAYAT TAKHATPURA</t>
        </is>
      </c>
      <c r="G2" t="inlineStr">
        <is>
          <t>GP TAKHATPURA</t>
        </is>
      </c>
    </row>
    <row r="3">
      <c r="A3" s="1" t="n">
        <v>1</v>
      </c>
      <c r="B3">
        <f>HYPERLINK("https://eproc.rajasthan.gov.in/nicgep/app?component=%24DirectLink&amp;page=FrontEndViewTender&amp;service=direct&amp;session=T&amp;sp=SrT8cZMZRWYvR%2F1F2zBmzBA%3D%3D", "2 class rooms construction in govt upper primary school Dolpura, Gram panchayat Chiboda, Panchayat samiti Salumbar Dist-Salumbar (Raj)")</f>
        <v/>
      </c>
      <c r="C3" t="inlineStr">
        <is>
          <t>Panchayati Raj Department||Secretary and Commissioner||CEO-UDAIPUR||BDO-GIRVA</t>
        </is>
      </c>
      <c r="D3" t="inlineStr">
        <is>
          <t>25-May-2025 06:00 PM</t>
        </is>
      </c>
      <c r="E3" t="inlineStr">
        <is>
          <t>18,38,000</t>
        </is>
      </c>
      <c r="F3" t="inlineStr">
        <is>
          <t>2 class rooms construction in govt upper primary school Dolpura, Gram panchayat Chiboda, Panchayat samiti Salumbar Dist-Salumbar (Raj)</t>
        </is>
      </c>
      <c r="G3" t="inlineStr">
        <is>
          <t>Gram panchayat Chiboda</t>
        </is>
      </c>
    </row>
    <row r="4">
      <c r="A4" s="1" t="n">
        <v>2</v>
      </c>
      <c r="B4">
        <f>HYPERLINK("https://eproc.rajasthan.gov.in/nicgep/app?component=%24DirectLink&amp;page=FrontEndViewTender&amp;service=direct&amp;session=T&amp;sp=S94Ndj3MmXGhEQxm2sI8LpA%3D%3D", "Door to Door Waste collection and segretation, road and nala safai work of all revenue villages of Gram panchayat Malwas")</f>
        <v/>
      </c>
      <c r="C4" t="inlineStr">
        <is>
          <t>Panchayati Raj Department||Secretary and Commissioner||CEO-DAUSA||BDO-NANGAL RAJAWATAN</t>
        </is>
      </c>
      <c r="D4" t="inlineStr">
        <is>
          <t>26-May-2025 10:00 AM</t>
        </is>
      </c>
      <c r="E4" t="inlineStr">
        <is>
          <t>4,18,000</t>
        </is>
      </c>
      <c r="F4" t="inlineStr">
        <is>
          <t>Door to Door Waste collection and segretation, road and nala safai work of all revenue villages of Gram panchayat Malwas</t>
        </is>
      </c>
      <c r="G4" t="inlineStr">
        <is>
          <t>MALWAS</t>
        </is>
      </c>
    </row>
    <row r="5">
      <c r="A5" s="1" t="n">
        <v>3</v>
      </c>
      <c r="B5">
        <f>HYPERLINK("https://eproc.rajasthan.gov.in/nicgep/app?component=%24DirectLink&amp;page=FrontEndViewTender&amp;service=direct&amp;session=T&amp;sp=SJ263AlAVPxcgH%2BnJw9YSwg%3D%3D", "Work to start library in Harijan community hall Thanmathui Thanmathui")</f>
        <v/>
      </c>
      <c r="C5" t="inlineStr">
        <is>
          <t>Panchayati Raj Department||Secretary and Commissioner||CEO-CHURU||BDO-RAJGARH</t>
        </is>
      </c>
      <c r="D5" t="inlineStr">
        <is>
          <t>19-May-2025 11:00 AM</t>
        </is>
      </c>
      <c r="E5" t="inlineStr">
        <is>
          <t>6,33,000</t>
        </is>
      </c>
      <c r="F5" t="inlineStr">
        <is>
          <t>Work to start library in Harijan community hall Thanmathui Thanmathui</t>
        </is>
      </c>
      <c r="G5" t="inlineStr">
        <is>
          <t>Ragha Chhoti</t>
        </is>
      </c>
    </row>
    <row r="6">
      <c r="A6" s="1" t="n">
        <v>4</v>
      </c>
      <c r="B6">
        <f>HYPERLINK("https://eproc.rajasthan.gov.in/nicgep/app?component=%24DirectLink&amp;page=FrontEndViewTender&amp;service=direct&amp;session=T&amp;sp=SZ3oCJTNrGaY67408AXGhvw%3D%3D", "2 class rooms construction in govt sr sec school Chiboda, Gram panchayat Chiboda, Panchayat samiti Salumbar Dist-Salumbar (Raj)")</f>
        <v/>
      </c>
      <c r="C6" t="inlineStr">
        <is>
          <t>Panchayati Raj Department||Secretary and Commissioner||CEO-UDAIPUR||BDO-GIRVA</t>
        </is>
      </c>
      <c r="D6" t="inlineStr">
        <is>
          <t>25-May-2025 06:00 PM</t>
        </is>
      </c>
      <c r="E6" t="inlineStr">
        <is>
          <t>22,96,000</t>
        </is>
      </c>
      <c r="F6" t="inlineStr">
        <is>
          <t>2 class rooms construction in govt sr sec school Chiboda, Gram panchayat Chiboda, Panchayat samiti Salumbar Dist-Salumbar (Raj)</t>
        </is>
      </c>
      <c r="G6" t="inlineStr">
        <is>
          <t>Gram panchayat Chiboda</t>
        </is>
      </c>
    </row>
    <row r="7">
      <c r="A7" s="1" t="n">
        <v>5</v>
      </c>
      <c r="B7">
        <f>HYPERLINK("https://eproc.rajasthan.gov.in/nicgep/app?component=%24DirectLink&amp;page=FrontEndViewTender&amp;service=direct&amp;session=T&amp;sp=SrlmJCiuR4UTgYfGF8M9AWQ%3D%3D", "MGNREGA MATERIALS SUPPLY FY 2025-26 GP SADOLAI")</f>
        <v/>
      </c>
      <c r="C7" t="inlineStr">
        <is>
          <t>Panchayati Raj Department||Secretary and Commissioner||CEO-BIKANER||BDO-POOGAL</t>
        </is>
      </c>
      <c r="D7" t="inlineStr">
        <is>
          <t>03-Jun-2025 06:00 PM</t>
        </is>
      </c>
      <c r="E7" t="inlineStr">
        <is>
          <t>90,00,000</t>
        </is>
      </c>
      <c r="F7" t="inlineStr">
        <is>
          <t>MGNREGA AND ALL OTHER YOJANA CONSTRUCTION MATERIALS SUPPLY GRAM PANCHAYAT SADOLAI</t>
        </is>
      </c>
      <c r="G7" t="inlineStr">
        <is>
          <t>GP SADOLAI</t>
        </is>
      </c>
    </row>
    <row r="8">
      <c r="A8" s="1" t="n">
        <v>6</v>
      </c>
      <c r="B8">
        <f>HYPERLINK("https://eproc.rajasthan.gov.in/nicgep/app?component=%24DirectLink&amp;page=FrontEndViewTender&amp;service=direct&amp;session=T&amp;sp=SsSUA9TvjLuaHN5EDwdALDQ%3D%3D", "Supply of Construction Material and Equipment in Gram panchayat Chhapali of FY 2025-26")</f>
        <v/>
      </c>
      <c r="C8" t="inlineStr">
        <is>
          <t>Panchayati Raj Department||Secretary and Commissioner||CEO-RAJSAMAND||BDO-BHEEM</t>
        </is>
      </c>
      <c r="D8" t="inlineStr">
        <is>
          <t>29-May-2025 06:00 PM</t>
        </is>
      </c>
      <c r="E8" t="inlineStr">
        <is>
          <t>50,00,000</t>
        </is>
      </c>
      <c r="F8" t="inlineStr">
        <is>
          <t>Supply of Construction Material and Equipment in Gram panchayat Chhapali</t>
        </is>
      </c>
      <c r="G8" t="inlineStr">
        <is>
          <t>chhapali</t>
        </is>
      </c>
    </row>
    <row r="9">
      <c r="A9" s="1" t="n">
        <v>7</v>
      </c>
      <c r="B9">
        <f>HYPERLINK("https://eproc.rajasthan.gov.in/nicgep/app?component=%24DirectLink&amp;page=FrontEndViewTender&amp;service=direct&amp;session=T&amp;sp=SuLnOJaHx6BrcY7b%2FHkPOQQ%3D%3D", "Supply of Construction Material and Equipment in Gram panchayat KHIMAKHEDA of FY 2025-26")</f>
        <v/>
      </c>
      <c r="C9" t="inlineStr">
        <is>
          <t>Panchayati Raj Department||Secretary and Commissioner||CEO-RAJSAMAND||BDO-BHEEM</t>
        </is>
      </c>
      <c r="D9" t="inlineStr">
        <is>
          <t>29-May-2025 06:00 PM</t>
        </is>
      </c>
      <c r="E9" t="inlineStr">
        <is>
          <t>50,00,000</t>
        </is>
      </c>
      <c r="F9" t="inlineStr">
        <is>
          <t>Supply of Construction Material and Equipment in Gram panchayat KHIMAKHEDA</t>
        </is>
      </c>
      <c r="G9" t="inlineStr">
        <is>
          <t>kheemakhera</t>
        </is>
      </c>
    </row>
    <row r="10">
      <c r="A10" s="1" t="n">
        <v>8</v>
      </c>
      <c r="B10">
        <f>HYPERLINK("https://eproc.rajasthan.gov.in/nicgep/app?component=%24DirectLink&amp;page=FrontEndViewTender&amp;service=direct&amp;session=T&amp;sp=SLreXNVYWBax5h%2FCvJ9UtHg%3D%3D", "SABHI YOJANANTRAGAT (EXCEPT MNREGA) NIRMAN SAMAGRI PRADAY KARNA")</f>
        <v/>
      </c>
      <c r="C10" t="inlineStr">
        <is>
          <t>Panchayati Raj Department||Secretary and Commissioner||CEO-ALWAR||BDO-BEHROR</t>
        </is>
      </c>
      <c r="D10" t="inlineStr">
        <is>
          <t>27-May-2025 06:00 PM</t>
        </is>
      </c>
      <c r="E10" t="inlineStr">
        <is>
          <t>25,00,000</t>
        </is>
      </c>
      <c r="F10" t="inlineStr">
        <is>
          <t>SABHI YOJANANTRAGAT (EXCEPT MNREGA) NIRMAN SAMAGRI PRADAY KARNA</t>
        </is>
      </c>
      <c r="G10" t="inlineStr">
        <is>
          <t>ANANTPURA</t>
        </is>
      </c>
    </row>
    <row r="11">
      <c r="A11" s="1" t="n">
        <v>9</v>
      </c>
      <c r="B11">
        <f>HYPERLINK("https://eproc.rajasthan.gov.in/nicgep/app?component=%24DirectLink&amp;page=FrontEndViewTender&amp;service=direct&amp;session=T&amp;sp=SakEeprmP4VKz8f15%2FGE0Kg%3D%3D", "2 class rooms construction in govt sr sec school Karawali, Gram panchayat Karawali, Panchayat samiti Salumbar Dist-Salumbar (Raj)")</f>
        <v/>
      </c>
      <c r="C11" t="inlineStr">
        <is>
          <t>Panchayati Raj Department||Secretary and Commissioner||CEO-UDAIPUR||BDO-GIRVA</t>
        </is>
      </c>
      <c r="D11" t="inlineStr">
        <is>
          <t>25-May-2025 06:00 PM</t>
        </is>
      </c>
      <c r="E11" t="inlineStr">
        <is>
          <t>22,53,000</t>
        </is>
      </c>
      <c r="F11" t="inlineStr">
        <is>
          <t>2 class rooms construction in govt sr sec school Karawali, Gram panchayat Karawali, Panchayat samiti Salumbar Dist-Salumbar (Raj)</t>
        </is>
      </c>
      <c r="G11" t="inlineStr">
        <is>
          <t>Gram panchayat Karawali,</t>
        </is>
      </c>
    </row>
    <row r="12">
      <c r="A12" s="1" t="n">
        <v>10</v>
      </c>
      <c r="B12">
        <f>HYPERLINK("https://eproc.rajasthan.gov.in/nicgep/app?component=%24DirectLink&amp;page=FrontEndViewTender&amp;service=direct&amp;session=T&amp;sp=SsFP9NhA5gaKDWHO2UCJ0Rg%3D%3D", "Door to Door Waste collection and segretation, road and nala safai work of all revenue villages of Gram panchayat Ladli ka Bas")</f>
        <v/>
      </c>
      <c r="C12" t="inlineStr">
        <is>
          <t>Panchayati Raj Department||Secretary and Commissioner||CEO-DAUSA||BDO-NANGAL RAJAWATAN</t>
        </is>
      </c>
      <c r="D12" t="inlineStr">
        <is>
          <t>26-May-2025 10:00 AM</t>
        </is>
      </c>
      <c r="E12" t="inlineStr">
        <is>
          <t>5,20,000</t>
        </is>
      </c>
      <c r="F12" t="inlineStr">
        <is>
          <t>Door to Door Waste collection and segretation, road and nala safai work of all revenue villages of Gram panchayat Ladli ka Bas</t>
        </is>
      </c>
      <c r="G12" t="inlineStr">
        <is>
          <t>LADLI KA BAS</t>
        </is>
      </c>
    </row>
    <row r="13">
      <c r="A13" s="1" t="n">
        <v>11</v>
      </c>
      <c r="B13">
        <f>HYPERLINK("https://eproc.rajasthan.gov.in/nicgep/app?component=%24DirectLink&amp;page=FrontEndViewTender&amp;service=direct&amp;session=T&amp;sp=Sd7tGgMORioyzWNogK680Og%3D%3D", "KHEL MAIDAN KARYA RAJKIYA UCCH PRATHMIK VIDHYALAYA BADGULLA GP KALINJAR")</f>
        <v/>
      </c>
      <c r="C13" t="inlineStr">
        <is>
          <t>Panchayati Raj Department||Secretary and Commissioner||CEO-RAJSAMAND||BDO-KUMBHALGARH</t>
        </is>
      </c>
      <c r="D13" t="inlineStr">
        <is>
          <t>19-May-2025 11:00 AM</t>
        </is>
      </c>
      <c r="E13" t="inlineStr">
        <is>
          <t>6,00,000</t>
        </is>
      </c>
      <c r="F13" t="inlineStr">
        <is>
          <t>KHEL MAIDAN KARYA RAJKIYA UCCH PRATHMIK VIDHYALAYA BADGULLA GP KALINJAR</t>
        </is>
      </c>
      <c r="G13" t="inlineStr">
        <is>
          <t>GP KALINJAR</t>
        </is>
      </c>
    </row>
    <row r="14">
      <c r="A14" s="1" t="n">
        <v>12</v>
      </c>
      <c r="B14">
        <f>HYPERLINK("https://eproc.rajasthan.gov.in/nicgep/app?component=%24DirectLink&amp;page=FrontEndViewTender&amp;service=direct&amp;session=T&amp;sp=SQcPVuBdeQj4I8YOiDESY0Q%3D%3D", "HANUMAN MANDIR KE PASS RAJKIYA BHUMI PAR PAKKI BOUNDRIWALL KARNA GP MORCHA")</f>
        <v/>
      </c>
      <c r="C14" t="inlineStr">
        <is>
          <t>Panchayati Raj Department||Secretary and Commissioner||CEO-RAJSAMAND||BDO-KUMBHALGARH</t>
        </is>
      </c>
      <c r="D14" t="inlineStr">
        <is>
          <t>19-May-2025 11:00 AM</t>
        </is>
      </c>
      <c r="E14" t="inlineStr">
        <is>
          <t>5,00,000</t>
        </is>
      </c>
      <c r="F14" t="inlineStr">
        <is>
          <t>HANUMAN MANDIR KE PASS RAJKIYA BHUMI PAR PAKKI BOUNDRIWALL KARNA GP MORCHA</t>
        </is>
      </c>
      <c r="G14" t="inlineStr">
        <is>
          <t>GP MORCHA</t>
        </is>
      </c>
    </row>
    <row r="15">
      <c r="A15" s="1" t="n">
        <v>13</v>
      </c>
      <c r="B15">
        <f>HYPERLINK("https://eproc.rajasthan.gov.in/nicgep/app?component=%24DirectLink&amp;page=FrontEndViewTender&amp;service=direct&amp;session=T&amp;sp=SGYYakhWb6y2c%2Fel4XnoUGA%3D%3D", "SAMUDAYIK BHAWAN NIRMAN KARYA GITORIYA GP KHARNOTA")</f>
        <v/>
      </c>
      <c r="C15" t="inlineStr">
        <is>
          <t>Panchayati Raj Department||Secretary and Commissioner||CEO-RAJSAMAND||BDO-KUMBHALGARH</t>
        </is>
      </c>
      <c r="D15" t="inlineStr">
        <is>
          <t>19-May-2025 11:00 AM</t>
        </is>
      </c>
      <c r="E15" t="inlineStr">
        <is>
          <t>5,00,000</t>
        </is>
      </c>
      <c r="F15" t="inlineStr">
        <is>
          <t>SAMUDAYIK BHAWAN NIRMAN KARYA GITORIYA GP KHARNOTA</t>
        </is>
      </c>
      <c r="G15" t="inlineStr">
        <is>
          <t>GP KHARNOTA</t>
        </is>
      </c>
    </row>
    <row r="16">
      <c r="A16" s="1" t="n">
        <v>14</v>
      </c>
      <c r="B16">
        <f>HYPERLINK("https://eproc.rajasthan.gov.in/nicgep/app?component=%24DirectLink&amp;page=FrontEndViewTender&amp;service=direct&amp;session=T&amp;sp=SZwc9eF4aVLm%2FUmUMuD0eag%3D%3D", "BABBAR SINGH KI DUKAN DHORAN SE GORJYA MATAJI MANDIR KI TARAF DUNDHA KA MATHARA CC ROAD MAYA NALI NIRMAN DHORAN GP MORCHA")</f>
        <v/>
      </c>
      <c r="C16" t="inlineStr">
        <is>
          <t>Panchayati Raj Department||Secretary and Commissioner||CEO-RAJSAMAND||BDO-KUMBHALGARH</t>
        </is>
      </c>
      <c r="D16" t="inlineStr">
        <is>
          <t>19-May-2025 11:00 AM</t>
        </is>
      </c>
      <c r="E16" t="inlineStr">
        <is>
          <t>5,00,000</t>
        </is>
      </c>
      <c r="F16" t="inlineStr">
        <is>
          <t>BABBAR SINGH KI DUKAN DHORAN SE GORJYA MATAJI MANDIR KI TARAF DUNDHA KA MATHARA CC ROAD MAYA NALI NIRMAN DHORAN GP MORCHA</t>
        </is>
      </c>
      <c r="G16" t="inlineStr">
        <is>
          <t>GP MORCHA</t>
        </is>
      </c>
    </row>
    <row r="17">
      <c r="A17" s="1" t="n">
        <v>15</v>
      </c>
      <c r="B17">
        <f>HYPERLINK("https://eproc.rajasthan.gov.in/nicgep/app?component=%24DirectLink&amp;page=FrontEndViewTender&amp;service=direct&amp;session=T&amp;sp=SKXwSFbPoxCUsHT16eIO%2BuQ%3D%3D", "ghar ghar kchara sangran etc IN GP GEDAP")</f>
        <v/>
      </c>
      <c r="C17" t="inlineStr">
        <is>
          <t>Panchayati Raj Department||Secretary and Commissioner||CEO-CHURU||BDO-SUJANGARH</t>
        </is>
      </c>
      <c r="D17" t="inlineStr">
        <is>
          <t>24-May-2025 06:00 PM</t>
        </is>
      </c>
      <c r="E17" t="inlineStr">
        <is>
          <t>5,00,000</t>
        </is>
      </c>
      <c r="F17" t="inlineStr">
        <is>
          <t>ghar ghar kchara sangran etc IN GP GEDAP</t>
        </is>
      </c>
      <c r="G17" t="inlineStr">
        <is>
          <t>GP GEDAP</t>
        </is>
      </c>
    </row>
    <row r="18">
      <c r="A18" s="1" t="n">
        <v>16</v>
      </c>
      <c r="B18">
        <f>HYPERLINK("https://eproc.rajasthan.gov.in/nicgep/app?component=%24DirectLink&amp;page=FrontEndViewTender&amp;service=direct&amp;session=T&amp;sp=SClcBWwmRA3akrrJ7wszxsg%3D%3D", "CC ROAD NIRMAN SAMPURN CHADANA KI BHAGAL DHORAN GP MORCHA")</f>
        <v/>
      </c>
      <c r="C18" t="inlineStr">
        <is>
          <t>Panchayati Raj Department||Secretary and Commissioner||CEO-RAJSAMAND||BDO-KUMBHALGARH</t>
        </is>
      </c>
      <c r="D18" t="inlineStr">
        <is>
          <t>19-May-2025 11:00 AM</t>
        </is>
      </c>
      <c r="E18" t="inlineStr">
        <is>
          <t>7,00,000</t>
        </is>
      </c>
      <c r="F18" t="inlineStr">
        <is>
          <t>CC ROAD NIRMAN SAMPURN CHADANA KI BHAGAL DHORAN GP MORCHA</t>
        </is>
      </c>
      <c r="G18" t="inlineStr">
        <is>
          <t>GP MORCHA</t>
        </is>
      </c>
    </row>
    <row r="19">
      <c r="A19" s="1" t="n">
        <v>17</v>
      </c>
      <c r="B19">
        <f>HYPERLINK("https://eproc.rajasthan.gov.in/nicgep/app?component=%24DirectLink&amp;page=FrontEndViewTender&amp;service=direct&amp;session=T&amp;sp=Si5pjEb5f97zGyoVezKPyng%3D%3D", "32/13.05.2025 CC BLOCK NIRMAN KARY BHOMIYAJI K STHAN SE DAMAR SADAK TK")</f>
        <v/>
      </c>
      <c r="C19" t="inlineStr">
        <is>
          <t>Panchayati Raj Department||Secretary and Commissioner||CEO-BADMER||BDO-KALYANPUR</t>
        </is>
      </c>
      <c r="D19" t="inlineStr">
        <is>
          <t>26-May-2025 06:00 PM</t>
        </is>
      </c>
      <c r="E19" t="inlineStr">
        <is>
          <t>10,00,000</t>
        </is>
      </c>
      <c r="F19" t="inlineStr">
        <is>
          <t>32/13.05.2025 CC BLOCK NIRMAN KARY BHOMIYAJI K STHAN SE DAMAR SADAK TK</t>
        </is>
      </c>
      <c r="G19" t="inlineStr">
        <is>
          <t>gp godawas</t>
        </is>
      </c>
    </row>
    <row r="20">
      <c r="A20" s="1" t="n">
        <v>18</v>
      </c>
      <c r="B20">
        <f>HYPERLINK("https://eproc.rajasthan.gov.in/nicgep/app?component=%24DirectLink&amp;page=FrontEndViewTender&amp;service=direct&amp;session=T&amp;sp=S3D8R3VElJNcSa7LJBKSlcg%3D%3D", "SAMUDAYIK BHAWAN NIRMAN BHERUJI BAVJI MANDIR KE PASS KOTDA GP VARDARA")</f>
        <v/>
      </c>
      <c r="C20" t="inlineStr">
        <is>
          <t>Panchayati Raj Department||Secretary and Commissioner||CEO-RAJSAMAND||BDO-KUMBHALGARH</t>
        </is>
      </c>
      <c r="D20" t="inlineStr">
        <is>
          <t>19-May-2025 11:00 AM</t>
        </is>
      </c>
      <c r="E20" t="inlineStr">
        <is>
          <t>15,00,000</t>
        </is>
      </c>
      <c r="F20" t="inlineStr">
        <is>
          <t>SAMUDAYIK BHAWAN NIRMAN BHERUJI BAVJI MANDIR KE PASS KOTDA GP VARDARA</t>
        </is>
      </c>
      <c r="G20" t="inlineStr">
        <is>
          <t>GP VARDARA</t>
        </is>
      </c>
    </row>
    <row r="21">
      <c r="A21" s="1" t="n">
        <v>19</v>
      </c>
      <c r="B21">
        <f>HYPERLINK("https://eproc.rajasthan.gov.in/nicgep/app?component=%24DirectLink&amp;page=FrontEndViewTender&amp;service=direct&amp;session=T&amp;sp=SbF6xBgkfeRK%2BWRVAfb%2FekA%3D%3D", "32/13.05.2025 sarvjnik vachanalay nirman BHOMIYAJI K THAN K PAS")</f>
        <v/>
      </c>
      <c r="C21" t="inlineStr">
        <is>
          <t>Panchayati Raj Department||Secretary and Commissioner||CEO-BADMER||BDO-KALYANPUR</t>
        </is>
      </c>
      <c r="D21" t="inlineStr">
        <is>
          <t>26-May-2025 06:00 PM</t>
        </is>
      </c>
      <c r="E21" t="inlineStr">
        <is>
          <t>11,00,000</t>
        </is>
      </c>
      <c r="F21" t="inlineStr">
        <is>
          <t>32/13.05.2025 sarvjnik vachanalay nirman</t>
        </is>
      </c>
      <c r="G21" t="inlineStr">
        <is>
          <t>GP GODAWAS</t>
        </is>
      </c>
    </row>
    <row r="22">
      <c r="A22" s="1" t="n">
        <v>20</v>
      </c>
      <c r="B22">
        <f>HYPERLINK("https://eproc.rajasthan.gov.in/nicgep/app?component=%24DirectLink&amp;page=FrontEndViewTender&amp;service=direct&amp;session=T&amp;sp=SfiE%2F5gt%2F3IBzEw5hj6ZnFQ%3D%3D", "class rooms construction in govt sr sec school Isarwas Dangiyan, Gram panchayat Isarwas Dangiyan, Panchayat samiti Salumbar Dist-Salumbar (Raj)")</f>
        <v/>
      </c>
      <c r="C22" t="inlineStr">
        <is>
          <t>Panchayati Raj Department||Secretary and Commissioner||CEO-UDAIPUR||BDO-GIRVA</t>
        </is>
      </c>
      <c r="D22" t="inlineStr">
        <is>
          <t>25-May-2025 03:00 PM</t>
        </is>
      </c>
      <c r="E22" t="inlineStr">
        <is>
          <t>10,00,000</t>
        </is>
      </c>
      <c r="F22" t="inlineStr">
        <is>
          <t>class rooms construction Under TAD head in govt sr sec school Isarwas Dangiyan, Gram panchayat Isarwas Dangiyan, Panchayat samiti Salumbar Dist-Salumbar (Raj)</t>
        </is>
      </c>
      <c r="G22" t="inlineStr">
        <is>
          <t>Gram panchayat Isarwas Dangiyan</t>
        </is>
      </c>
    </row>
    <row r="23">
      <c r="A23" s="1" t="n">
        <v>21</v>
      </c>
      <c r="B23">
        <f>HYPERLINK("https://eproc.rajasthan.gov.in/nicgep/app?component=%24DirectLink&amp;page=FrontEndViewTender&amp;service=direct&amp;session=T&amp;sp=SOIaRVYPR58WIm%2FxMurdtMw%3D%3D", "Gram panchyat me samast gavno me ghar ghar kachra sangrahan gav ki naliyo or Samudayik Parisar ki safai karya GP Thukrana")</f>
        <v/>
      </c>
      <c r="C23" t="inlineStr">
        <is>
          <t>Panchayati Raj Department||Secretary and Commissioner||CEO- GANGANAGAR||BDO-SURATGARH</t>
        </is>
      </c>
      <c r="D23" t="inlineStr">
        <is>
          <t>24-May-2025 02:00 PM</t>
        </is>
      </c>
      <c r="E23" t="inlineStr">
        <is>
          <t>11,47,263</t>
        </is>
      </c>
      <c r="F23" t="inlineStr">
        <is>
          <t>Gram panchyat me samast gavno me ghar ghar kachra sangrahan gav ki naliyo or Samudayik Parisar ki safai karya GP Thukrana</t>
        </is>
      </c>
      <c r="G23" t="inlineStr">
        <is>
          <t>Gram Panchyat Thukrana</t>
        </is>
      </c>
    </row>
    <row r="24">
      <c r="A24" s="1" t="n">
        <v>22</v>
      </c>
      <c r="B24">
        <f>HYPERLINK("https://eproc.rajasthan.gov.in/nicgep/app?component=%24DirectLink&amp;page=FrontEndViewTender&amp;service=direct&amp;session=T&amp;sp=S9MHxTTracApp2e8MEubMVw%3D%3D", "Gram panchyat me samast gavno me ghar ghar kachra sangrahan gav ki naliyo or Samudayik Parisar ki safai karya GP Udyapur Godaran")</f>
        <v/>
      </c>
      <c r="C24" t="inlineStr">
        <is>
          <t>Panchayati Raj Department||Secretary and Commissioner||CEO- GANGANAGAR||BDO-SURATGARH</t>
        </is>
      </c>
      <c r="D24" t="inlineStr">
        <is>
          <t>24-May-2025 02:00 PM</t>
        </is>
      </c>
      <c r="E24" t="inlineStr">
        <is>
          <t>9,20,872</t>
        </is>
      </c>
      <c r="F24" t="inlineStr">
        <is>
          <t>Gram panchyat me samast gavno me ghar ghar kachra sangrahan gav ki naliyo or Samudayik Parisar ki safai karya GP Udyapur Godaran</t>
        </is>
      </c>
      <c r="G24" t="inlineStr">
        <is>
          <t>Gram Panchyat Udyapur Godaran</t>
        </is>
      </c>
    </row>
    <row r="25">
      <c r="A25" s="1" t="n">
        <v>23</v>
      </c>
      <c r="B25">
        <f>HYPERLINK("https://eproc.rajasthan.gov.in/nicgep/app?component=%24DirectLink&amp;page=FrontEndViewTender&amp;service=direct&amp;session=T&amp;sp=Syh1QpjBhVRLw4yt8xobYaQ%3D%3D", "MGNREGA MATERIALS SUPPLY FY 2025-26 GP MAHADEVWALI")</f>
        <v/>
      </c>
      <c r="C25" t="inlineStr">
        <is>
          <t>Panchayati Raj Department||Secretary and Commissioner||CEO-BIKANER||BDO-POOGAL</t>
        </is>
      </c>
      <c r="D25" t="inlineStr">
        <is>
          <t>03-Jun-2025 06:00 PM</t>
        </is>
      </c>
      <c r="E25" t="inlineStr">
        <is>
          <t>90,00,000</t>
        </is>
      </c>
      <c r="F25" t="inlineStr">
        <is>
          <t>MGNREGA AND ALL OTHER YOJANA CONSTRUCTION MATERIALS SUPPLY FY 2025-26 GRAM PANCHAYAT MAHADEVWALI</t>
        </is>
      </c>
      <c r="G25" t="inlineStr">
        <is>
          <t>GP MAHADEVWALI</t>
        </is>
      </c>
    </row>
    <row r="26">
      <c r="A26" s="1" t="n">
        <v>24</v>
      </c>
      <c r="B26">
        <f>HYPERLINK("https://eproc.rajasthan.gov.in/nicgep/app?component=%24DirectLink&amp;page=FrontEndViewTender&amp;service=direct&amp;session=T&amp;sp=S%2Bh6AyW%2Bg6gkUeF2YXObf9Q%3D%3D", "Annual Rate Contract of Material Supply and Equipment Arrangement of Construction Work in Gram Panchayat Saipur Under NREGA and Rural Development and Panchayati Raj Department Schemes for Year 2025-26")</f>
        <v/>
      </c>
      <c r="C26" t="inlineStr">
        <is>
          <t>Panchayati Raj Department||Secretary and Commissioner||CEO-KARAULI||BDO-KARAULI</t>
        </is>
      </c>
      <c r="D26" t="inlineStr">
        <is>
          <t>26-May-2025 06:00 PM</t>
        </is>
      </c>
      <c r="E26" t="inlineStr">
        <is>
          <t>1,00,00,000</t>
        </is>
      </c>
      <c r="F26" t="inlineStr">
        <is>
          <t>Annual Rate Contract of Material Supply and Equipment Arrangement of Construction Work in Gram Panchayat Saipur Under NREGA and Rural Development and Panchayati Raj Department Schemes for Year 2025-26</t>
        </is>
      </c>
      <c r="G26" t="inlineStr">
        <is>
          <t>SAIPUR</t>
        </is>
      </c>
    </row>
    <row r="27">
      <c r="A27" s="1" t="n">
        <v>25</v>
      </c>
      <c r="B27">
        <f>HYPERLINK("https://eproc.rajasthan.gov.in/nicgep/app?component=%24DirectLink&amp;page=FrontEndViewTender&amp;service=direct&amp;session=T&amp;sp=S375B1103OB7DmuwCOqYwzg%3D%3D", "2 class rooms construction in govt sr sec school Kaduni, Gram panchayat Kaduni, Panchayat samiti Salumbar Dist-Salumbar (Raj)")</f>
        <v/>
      </c>
      <c r="C27" t="inlineStr">
        <is>
          <t>Panchayati Raj Department||Secretary and Commissioner||CEO-UDAIPUR||BDO-GIRVA</t>
        </is>
      </c>
      <c r="D27" t="inlineStr">
        <is>
          <t>25-May-2025 06:00 PM</t>
        </is>
      </c>
      <c r="E27" t="inlineStr">
        <is>
          <t>22,53,000</t>
        </is>
      </c>
      <c r="F27" t="inlineStr">
        <is>
          <t>2 class rooms construction in govt sr sec school Kaduni, Gram panchayat Kaduni, Panchayat samiti Salumbar Dist-Salumbar (Raj)</t>
        </is>
      </c>
      <c r="G27" t="inlineStr">
        <is>
          <t>Gram panchayat Kaduni</t>
        </is>
      </c>
    </row>
    <row r="28">
      <c r="A28" s="1" t="n">
        <v>26</v>
      </c>
      <c r="B28">
        <f>HYPERLINK("https://eproc.rajasthan.gov.in/nicgep/app?component=%24DirectLink&amp;page=FrontEndViewTender&amp;service=direct&amp;session=T&amp;sp=SLeW0NuykN2TCeos8PQXfNw%3D%3D", "2 class rooms construction in govt sr sec school Isarwas Dangiyan, Gram panchayat Isarwas Dangiyan, Panchayat samiti Salumbar Dist-Salumbar (Raj)")</f>
        <v/>
      </c>
      <c r="C28" t="inlineStr">
        <is>
          <t>Panchayati Raj Department||Secretary and Commissioner||CEO-UDAIPUR||BDO-GIRVA</t>
        </is>
      </c>
      <c r="D28" t="inlineStr">
        <is>
          <t>23-May-2025 11:00 AM</t>
        </is>
      </c>
      <c r="E28" t="inlineStr">
        <is>
          <t>22,53,000</t>
        </is>
      </c>
      <c r="F28" t="inlineStr">
        <is>
          <t>2 class rooms construction in govt sr sec school Isarwas Dangiyan, Gram panchayat Isarwas Dangiyan, Panchayat samiti Salumbar Dist-Salumbar (Raj)</t>
        </is>
      </c>
      <c r="G28" t="inlineStr">
        <is>
          <t>Gram panchayat Isarwas Dangiyan</t>
        </is>
      </c>
    </row>
    <row r="29">
      <c r="A29" s="1" t="n">
        <v>27</v>
      </c>
      <c r="B29">
        <f>HYPERLINK("https://eproc.rajasthan.gov.in/nicgep/app?component=%24DirectLink&amp;page=FrontEndViewTender&amp;service=direct&amp;session=T&amp;sp=SCyMnEtHr3wS%2BHxuyORIG%2Bw%3D%3D", "MAIN CHOURA CHADANA KI BHAGAL DHORAN SE SHMSHAN GHAT KE RASTE CC MAYA NALI NIRMAN KARNA DHORAN GP MORCHA")</f>
        <v/>
      </c>
      <c r="C29" t="inlineStr">
        <is>
          <t>Panchayati Raj Department||Secretary and Commissioner||CEO-RAJSAMAND||BDO-KUMBHALGARH</t>
        </is>
      </c>
      <c r="D29" t="inlineStr">
        <is>
          <t>19-May-2025 11:00 AM</t>
        </is>
      </c>
      <c r="E29" t="inlineStr">
        <is>
          <t>10,00,000</t>
        </is>
      </c>
      <c r="F29" t="inlineStr">
        <is>
          <t>MAIN CHOURA CHADANA KI BHAGAL DHORAN SE SHMSHAN GHAT KE RASTE CC MAYA NALI NIRMAN KARNA DHORAN GP MORCHA</t>
        </is>
      </c>
      <c r="G29" t="inlineStr">
        <is>
          <t>GP MORCHA</t>
        </is>
      </c>
    </row>
    <row r="30">
      <c r="A30" s="1" t="n">
        <v>28</v>
      </c>
      <c r="B30">
        <f>HYPERLINK("https://eproc.rajasthan.gov.in/nicgep/app?component=%24DirectLink&amp;page=FrontEndViewTender&amp;service=direct&amp;session=T&amp;sp=Sub32KTs9S2kJjGv0yTo0%2Bg%3D%3D", "MGNREGA MATERIALS SUPPLY FY 2025-26 GP CHHATARGARH")</f>
        <v/>
      </c>
      <c r="C30" t="inlineStr">
        <is>
          <t>Panchayati Raj Department||Secretary and Commissioner||CEO-BIKANER||BDO-POOGAL</t>
        </is>
      </c>
      <c r="D30" t="inlineStr">
        <is>
          <t>02-Jun-2025 06:00 PM</t>
        </is>
      </c>
      <c r="E30" t="inlineStr">
        <is>
          <t>90,00,000</t>
        </is>
      </c>
      <c r="F30" t="inlineStr">
        <is>
          <t>MGNREGA AND ALL OTHER YOJANA CONSTRUCTION MATERIALS SUPPLY FY 2025-26 GRAM PANCHAYAT CHHATARGARH</t>
        </is>
      </c>
      <c r="G30" t="inlineStr">
        <is>
          <t>GP CHHATARGARH</t>
        </is>
      </c>
    </row>
    <row r="31">
      <c r="A31" s="1" t="n">
        <v>29</v>
      </c>
      <c r="B31">
        <f>HYPERLINK("https://eproc.rajasthan.gov.in/nicgep/app?component=%24DirectLink&amp;page=FrontEndViewTender&amp;service=direct&amp;session=T&amp;sp=SkN3S0EPF7K8B9GGfAkSscQ%3D%3D", "KHEL MAIDAN KARYA RAJKIYA UCCH PRATHMIK VIDHYALAYA KALINJAR GP KALINJAR")</f>
        <v/>
      </c>
      <c r="C31" t="inlineStr">
        <is>
          <t>Panchayati Raj Department||Secretary and Commissioner||CEO-RAJSAMAND||BDO-KUMBHALGARH</t>
        </is>
      </c>
      <c r="D31" t="inlineStr">
        <is>
          <t>19-May-2025 11:00 AM</t>
        </is>
      </c>
      <c r="E31" t="inlineStr">
        <is>
          <t>6,00,000</t>
        </is>
      </c>
      <c r="F31" t="inlineStr">
        <is>
          <t>KHEL MAIDAN KARYA RAJKIYA UCCH PRATHMIK VIDHYALAYA KALINJAR GP KALINJAR</t>
        </is>
      </c>
      <c r="G31" t="inlineStr">
        <is>
          <t>GP KALINJAR</t>
        </is>
      </c>
    </row>
    <row r="32">
      <c r="A32" s="1" t="n">
        <v>30</v>
      </c>
      <c r="B32">
        <f>HYPERLINK("https://eproc.rajasthan.gov.in/nicgep/app?component=%24DirectLink&amp;page=FrontEndViewTender&amp;service=direct&amp;session=T&amp;sp=SFPptDT77ofYUkx4ZJDpmEg%3D%3D", "materials and equipment supply for mgnrega and other scheme at gp tanwra")</f>
        <v/>
      </c>
      <c r="C32" t="inlineStr">
        <is>
          <t>Panchayati Raj Department||Secretary and Commissioner||CEO-NAGORE||BDO-JAYAL</t>
        </is>
      </c>
      <c r="D32" t="inlineStr">
        <is>
          <t>26-May-2025 06:55 PM</t>
        </is>
      </c>
      <c r="E32" t="inlineStr">
        <is>
          <t>50,00,000</t>
        </is>
      </c>
      <c r="F32" t="inlineStr">
        <is>
          <t>materials and equipment supply for mgnrega and other scheme at gp tanwra</t>
        </is>
      </c>
      <c r="G32" t="inlineStr">
        <is>
          <t>gp tanwara</t>
        </is>
      </c>
    </row>
    <row r="33">
      <c r="A33" s="1" t="n">
        <v>31</v>
      </c>
      <c r="B33">
        <f>HYPERLINK("https://eproc.rajasthan.gov.in/nicgep/app?component=%24DirectLink&amp;page=FrontEndViewTender&amp;service=direct&amp;session=T&amp;sp=SAwYCmbbLFpi%2F5qjbkCTnfQ%3D%3D", "MGNREGA MATERIALS SUPPLY FY 2025-26 GP SIYASAR PANCHKOSA")</f>
        <v/>
      </c>
      <c r="C33" t="inlineStr">
        <is>
          <t>Panchayati Raj Department||Secretary and Commissioner||CEO-BIKANER||BDO-POOGAL</t>
        </is>
      </c>
      <c r="D33" t="inlineStr">
        <is>
          <t>03-Jun-2025 06:00 PM</t>
        </is>
      </c>
      <c r="E33" t="inlineStr">
        <is>
          <t>90,00,000</t>
        </is>
      </c>
      <c r="F33" t="inlineStr">
        <is>
          <t>MGNREGA AND ALL OTHER YOJANA CONSTRUCTION MATERIALS SUPPLY GRAM PANCHAYAT SIYASAR PANCHKOSA</t>
        </is>
      </c>
      <c r="G33" t="inlineStr">
        <is>
          <t>GP SIYASAR PANCHKOSA</t>
        </is>
      </c>
    </row>
    <row r="34">
      <c r="A34" s="1" t="n">
        <v>32</v>
      </c>
      <c r="B34">
        <f>HYPERLINK("https://eproc.rajasthan.gov.in/nicgep/app?component=%24DirectLink&amp;page=FrontEndViewTender&amp;service=direct&amp;session=T&amp;sp=SgwZl4l1i0gwxHIUxtr94eQ%3D%3D", "Annual Rate Contract of Material Supply and Equipment Arrangement of Construction Work in Gram Panchayat Parita Under NREGA and Rural Development and Panchayati Raj Department Schemes for Year 2025-26")</f>
        <v/>
      </c>
      <c r="C34" t="inlineStr">
        <is>
          <t>Panchayati Raj Department||Secretary and Commissioner||CEO-KARAULI||BDO-KARAULI</t>
        </is>
      </c>
      <c r="D34" t="inlineStr">
        <is>
          <t>26-May-2025 06:00 PM</t>
        </is>
      </c>
      <c r="E34" t="inlineStr">
        <is>
          <t>1,00,00,000</t>
        </is>
      </c>
      <c r="F34" t="inlineStr">
        <is>
          <t>Annual Rate Contract of Material Supply and Equipment Arrangement of Construction Work in Gram Panchayat Parita Under NREGA and Rural Development and Panchayati Raj Department Schemes for Year 2025-26</t>
        </is>
      </c>
      <c r="G34" t="inlineStr">
        <is>
          <t>PARITA</t>
        </is>
      </c>
    </row>
    <row r="35">
      <c r="A35" s="1" t="n">
        <v>33</v>
      </c>
      <c r="B35">
        <f>HYPERLINK("https://eproc.rajasthan.gov.in/nicgep/app?component=%24DirectLink&amp;page=FrontEndViewTender&amp;service=direct&amp;session=T&amp;sp=S4qlnNAHy3FrEg%2B%2BgOVs6DQ%3D%3D", "work including garbage collection and separation from every house (residential and commercial), road and drain cleaning, and cleaning of community sanitation premises in all the villages of Gram Panchayat Gegal Panchayat Samiti Ajmer Rural")</f>
        <v/>
      </c>
      <c r="C35" t="inlineStr">
        <is>
          <t>Panchayati Raj Department||Secretary and Commissioner||CEO-AJMER||BDO-AJMER RURAL</t>
        </is>
      </c>
      <c r="D35" t="inlineStr">
        <is>
          <t>20-May-2025 05:00 PM</t>
        </is>
      </c>
      <c r="E35" t="inlineStr">
        <is>
          <t>12,40,420</t>
        </is>
      </c>
      <c r="F35" t="inlineStr">
        <is>
          <t>work including garbage collection and separation from every house (residential and commercial), road and drain cleaning, and cleaning of community sanitation premises in all the villages of Gram Panchayat Gegal Panchayat Samiti Ajmer Rural</t>
        </is>
      </c>
      <c r="G35" t="inlineStr">
        <is>
          <t>Gram Panchayat Gegal</t>
        </is>
      </c>
    </row>
    <row r="36">
      <c r="A36" s="1" t="n">
        <v>34</v>
      </c>
      <c r="B36">
        <f>HYPERLINK("https://eproc.rajasthan.gov.in/nicgep/app?component=%24DirectLink&amp;page=FrontEndViewTender&amp;service=direct&amp;session=T&amp;sp=S7xHhHlh73nxNKnpP1LJYmA%3D%3D", "Annual Rate Contract of Material Supply and Equipment Arrangement of Construction Work in Gram Panchayat Bijalpur Under NREGA and Rural Development and Panchayati Raj Department Schemes for Year 2025-26")</f>
        <v/>
      </c>
      <c r="C36" t="inlineStr">
        <is>
          <t>Panchayati Raj Department||Secretary and Commissioner||CEO-KARAULI||BDO-KARAULI</t>
        </is>
      </c>
      <c r="D36" t="inlineStr">
        <is>
          <t>26-May-2025 06:00 PM</t>
        </is>
      </c>
      <c r="E36" t="inlineStr">
        <is>
          <t>1,00,00,000</t>
        </is>
      </c>
      <c r="F36" t="inlineStr">
        <is>
          <t>Annual Rate Contract of Material Supply and Equipment Arrangement of Construction Work in Gram Panchayat Bijalpur Under NREGA and Rural Development and Panchayati Raj Department Schemes for Year 2025-26</t>
        </is>
      </c>
      <c r="G36" t="inlineStr">
        <is>
          <t>BIJALPUR</t>
        </is>
      </c>
    </row>
    <row r="37">
      <c r="A37" s="1" t="n">
        <v>35</v>
      </c>
      <c r="B37">
        <f>HYPERLINK("https://eproc.rajasthan.gov.in/nicgep/app?component=%24DirectLink&amp;page=FrontEndViewTender&amp;service=direct&amp;session=T&amp;sp=SnD2DmKG11Aox5j2mSr97bQ%3D%3D", "2 class rooms construction in govt sr sec school Orwariya, Gram panchayat Orwariya, Panchayat samiti Salumbar Dist-Salumbar (Raj)")</f>
        <v/>
      </c>
      <c r="C37" t="inlineStr">
        <is>
          <t>Panchayati Raj Department||Secretary and Commissioner||CEO-UDAIPUR||BDO-GIRVA</t>
        </is>
      </c>
      <c r="D37" t="inlineStr">
        <is>
          <t>25-May-2025 06:00 PM</t>
        </is>
      </c>
      <c r="E37" t="inlineStr">
        <is>
          <t>22,53,000</t>
        </is>
      </c>
      <c r="F37" t="inlineStr">
        <is>
          <t>2 class rooms construction in govt sr sec school Orwariya, Gram panchayat Orwariya, Panchayat samiti Salumbar Dist-Salumbar (Raj)</t>
        </is>
      </c>
      <c r="G37" t="inlineStr">
        <is>
          <t>Gram panchayat Orwariya,</t>
        </is>
      </c>
    </row>
    <row r="38">
      <c r="A38" s="1" t="n">
        <v>36</v>
      </c>
      <c r="B38">
        <f>HYPERLINK("https://eproc.rajasthan.gov.in/nicgep/app?component=%24DirectLink&amp;page=FrontEndViewTender&amp;service=direct&amp;session=T&amp;sp=S4jD%2BStNBArgfkTdsDKZHlQ%3D%3D", "Construction of drain with interlock drain for sludge disposal from Jagdish Daneva house to Mahipal Daneva house at Thimau Choti")</f>
        <v/>
      </c>
      <c r="C38" t="inlineStr">
        <is>
          <t>Panchayati Raj Department||Secretary and Commissioner||CEO-CHURU||BDO-RAJGARH</t>
        </is>
      </c>
      <c r="D38" t="inlineStr">
        <is>
          <t>19-May-2025 11:00 AM</t>
        </is>
      </c>
      <c r="E38" t="inlineStr">
        <is>
          <t>6,00,000</t>
        </is>
      </c>
      <c r="F38" t="inlineStr">
        <is>
          <t>Construction of drain with interlock drain for sludge disposal from Jagdish Daneva house to Mahipal Daneva house at Thimau Choti</t>
        </is>
      </c>
      <c r="G38" t="inlineStr">
        <is>
          <t>THIMAU CHHOTI</t>
        </is>
      </c>
    </row>
    <row r="39">
      <c r="A39" s="1" t="n">
        <v>37</v>
      </c>
      <c r="B39">
        <f>HYPERLINK("https://eproc.rajasthan.gov.in/nicgep/app?component=%24DirectLink&amp;page=FrontEndViewTender&amp;service=direct&amp;session=T&amp;sp=SXWFxMlrO7stvYNrdWsiTsA%3D%3D", "PULICE CHOUKI KHARNOTA HETU DO KAMRE EVM SHOCHALAYA NIRMA KARYA GP KHARNOTA")</f>
        <v/>
      </c>
      <c r="C39" t="inlineStr">
        <is>
          <t>Panchayati Raj Department||Secretary and Commissioner||CEO-RAJSAMAND||BDO-KUMBHALGARH</t>
        </is>
      </c>
      <c r="D39" t="inlineStr">
        <is>
          <t>19-May-2025 11:00 AM</t>
        </is>
      </c>
      <c r="E39" t="inlineStr">
        <is>
          <t>10,00,000</t>
        </is>
      </c>
      <c r="F39" t="inlineStr">
        <is>
          <t>PULICE CHOUKI KHARNOTA HETU DO KAMRE EVM SHOCHALAYA NIRMA KARYA GP KHARNOTA</t>
        </is>
      </c>
      <c r="G39" t="inlineStr">
        <is>
          <t>GP KHARNOTA</t>
        </is>
      </c>
    </row>
    <row r="40">
      <c r="A40" s="1" t="n">
        <v>38</v>
      </c>
      <c r="B40">
        <f>HYPERLINK("https://eproc.rajasthan.gov.in/nicgep/app?component=%24DirectLink&amp;page=FrontEndViewTender&amp;service=direct&amp;session=T&amp;sp=Slkmfa4DiRKRIk5bLBl13SQ%3D%3D", "MGNREGA MATERIALS SUPPLY FY 2025-26 GP KHARBARA")</f>
        <v/>
      </c>
      <c r="C40" t="inlineStr">
        <is>
          <t>Panchayati Raj Department||Secretary and Commissioner||CEO-BIKANER||BDO-POOGAL</t>
        </is>
      </c>
      <c r="D40" t="inlineStr">
        <is>
          <t>02-Jun-2025 06:00 PM</t>
        </is>
      </c>
      <c r="E40" t="inlineStr">
        <is>
          <t>90,00,000</t>
        </is>
      </c>
      <c r="F40" t="inlineStr">
        <is>
          <t>MGNREGA AND ALL OTHER YOJANA CONSTRUCTION MATERIALS SUPPLY FY 2025-26 GRAM PANCHAYAT KHARBARA</t>
        </is>
      </c>
      <c r="G40" t="inlineStr">
        <is>
          <t>GP KHARBARA</t>
        </is>
      </c>
    </row>
    <row r="41">
      <c r="A41" s="1" t="n">
        <v>39</v>
      </c>
      <c r="B41">
        <f>HYPERLINK("https://eproc.rajasthan.gov.in/nicgep/app?component=%24DirectLink&amp;page=FrontEndViewTender&amp;service=direct&amp;session=T&amp;sp=SFXNEaczjyGC7wX7Vv3pXOg%3D%3D", "RA U PRA VIDHYALAYA CHARDIWARI NIRMAN GP JAWARIYA GP KHARNOTA")</f>
        <v/>
      </c>
      <c r="C41" t="inlineStr">
        <is>
          <t>Panchayati Raj Department||Secretary and Commissioner||CEO-RAJSAMAND||BDO-KUMBHALGARH</t>
        </is>
      </c>
      <c r="D41" t="inlineStr">
        <is>
          <t>19-May-2025 11:00 AM</t>
        </is>
      </c>
      <c r="E41" t="inlineStr">
        <is>
          <t>7,00,000</t>
        </is>
      </c>
      <c r="F41" t="inlineStr">
        <is>
          <t>RA U PRA VIDHYALAYA CHARDIWARI NIRMAN GP JAWARIYA GP KHARNOTA</t>
        </is>
      </c>
      <c r="G41" t="inlineStr">
        <is>
          <t>GP KHARNOTA</t>
        </is>
      </c>
    </row>
    <row r="42">
      <c r="A42" s="1" t="n">
        <v>40</v>
      </c>
      <c r="B42">
        <f>HYPERLINK("https://eproc.rajasthan.gov.in/nicgep/app?component=%24DirectLink&amp;page=FrontEndViewTender&amp;service=direct&amp;session=T&amp;sp=S5D789bzC1PiM1VurtpUIhA%3D%3D", "Rate Contract for Construction Material and Equipments for MGNREGS and Other works for the Year 2025-26 Gram Panchayats Loonada panchayat samiti Baytu")</f>
        <v/>
      </c>
      <c r="C42" t="inlineStr">
        <is>
          <t>Panchayati Raj Department||Secretary and Commissioner||CEO-BADMER||BDO-BAYATU</t>
        </is>
      </c>
      <c r="D42" t="inlineStr">
        <is>
          <t>26-May-2025 06:00 PM</t>
        </is>
      </c>
      <c r="E42" t="inlineStr">
        <is>
          <t>60,00,000</t>
        </is>
      </c>
      <c r="F42" t="inlineStr">
        <is>
          <t>Rate Contract for Construction Material and Equipments for MGNREGS and Other works for the Year 2025-26 Gram Panchayats Loonada panchayat samiti Baytu</t>
        </is>
      </c>
      <c r="G42" t="inlineStr">
        <is>
          <t>Loonada</t>
        </is>
      </c>
    </row>
    <row r="43">
      <c r="A43" s="1" t="n">
        <v>41</v>
      </c>
      <c r="B43">
        <f>HYPERLINK("https://eproc.rajasthan.gov.in/nicgep/app?component=%24DirectLink&amp;page=FrontEndViewTender&amp;service=direct&amp;session=T&amp;sp=SYLTbavJWap04nS7gngzAkQ%3D%3D", "2 class rooms construction in govt girls sr sec school Gingla, Gram panchayat Gingla, Panchayat samiti Salumbar Dist-Salumbar (Raj)")</f>
        <v/>
      </c>
      <c r="C43" t="inlineStr">
        <is>
          <t>Panchayati Raj Department||Secretary and Commissioner||CEO-UDAIPUR||BDO-GIRVA</t>
        </is>
      </c>
      <c r="D43" t="inlineStr">
        <is>
          <t>23-May-2025 11:00 AM</t>
        </is>
      </c>
      <c r="E43" t="inlineStr">
        <is>
          <t>22,53,000</t>
        </is>
      </c>
      <c r="F43" t="inlineStr">
        <is>
          <t>2 class rooms construction in govt girls sr sec school Gingla, Gram panchayat Gingla, Panchayat samiti Salumbar Dist-Salumbar (Raj)</t>
        </is>
      </c>
      <c r="G43" t="inlineStr">
        <is>
          <t>Gram panchayat Gingla, Panchayat samiti Salumbar</t>
        </is>
      </c>
    </row>
    <row r="44">
      <c r="A44" s="1" t="n">
        <v>42</v>
      </c>
      <c r="B44">
        <f>HYPERLINK("https://eproc.rajasthan.gov.in/nicgep/app?component=%24DirectLink&amp;page=FrontEndViewTender&amp;service=direct&amp;session=T&amp;sp=S2Xtl%2FveRB2SEVSSuAkhiaA%3D%3D", "MGNREGA MATERIALS SUPPLY FY 2025-26 GP 1 DLSM")</f>
        <v/>
      </c>
      <c r="C44" t="inlineStr">
        <is>
          <t>Panchayati Raj Department||Secretary and Commissioner||CEO-BIKANER||BDO-POOGAL</t>
        </is>
      </c>
      <c r="D44" t="inlineStr">
        <is>
          <t>02-Jun-2025 06:00 PM</t>
        </is>
      </c>
      <c r="E44" t="inlineStr">
        <is>
          <t>90,00,000</t>
        </is>
      </c>
      <c r="F44" t="inlineStr">
        <is>
          <t>MGNREGA AND ALL OTHER YOJANA CONSTRUCTION MATERIALS SUPPLY FY 2025-26 GRAM PANCHAYAT 1 DLSM</t>
        </is>
      </c>
      <c r="G44" t="inlineStr">
        <is>
          <t>GP 1 DLSM</t>
        </is>
      </c>
    </row>
    <row r="45">
      <c r="A45" s="1" t="n">
        <v>43</v>
      </c>
      <c r="B45">
        <f>HYPERLINK("https://eproc.rajasthan.gov.in/nicgep/app?component=%24DirectLink&amp;page=FrontEndViewTender&amp;service=direct&amp;session=T&amp;sp=S3CWATxWymFYpev2E8hNDFw%3D%3D", "work including garbage collection and separation from every house (residential and commercial), road and drain cleaning, and cleaning of community sanitation premises in all the villages of Gram Panchayat Chachiyawas Panchayat Samiti Ajmer Rural")</f>
        <v/>
      </c>
      <c r="C45" t="inlineStr">
        <is>
          <t>Panchayati Raj Department||Secretary and Commissioner||CEO-AJMER||BDO-AJMER RURAL</t>
        </is>
      </c>
      <c r="D45" t="inlineStr">
        <is>
          <t>21-May-2025 05:00 PM</t>
        </is>
      </c>
      <c r="E45" t="inlineStr">
        <is>
          <t>12,16,470</t>
        </is>
      </c>
      <c r="F45" t="inlineStr">
        <is>
          <t>work including garbage collection and separation from every house (residential and commercial), road and drain cleaning, and cleaning of community sanitation premises in all the villages of Gram Panchayat Chachiyawas Panchayat Samiti Ajmer Rural</t>
        </is>
      </c>
      <c r="G45" t="inlineStr">
        <is>
          <t>Gram Panchayat Chachiyawas</t>
        </is>
      </c>
    </row>
    <row r="46">
      <c r="A46" s="1" t="n">
        <v>44</v>
      </c>
      <c r="B46">
        <f>HYPERLINK("https://eproc.rajasthan.gov.in/nicgep/app?component=%24DirectLink&amp;page=FrontEndViewTender&amp;service=direct&amp;session=T&amp;sp=SqCC%2FaPVoMrKIbncBvCW0Qg%3D%3D", "2 class rooms construction in govt primary school Mahadev kheda, Gram panchayat Bassi samchot, Panchayat samiti Salumbar Dist-Salumbar (Raj)")</f>
        <v/>
      </c>
      <c r="C46" t="inlineStr">
        <is>
          <t>Panchayati Raj Department||Secretary and Commissioner||CEO-UDAIPUR||BDO-GIRVA</t>
        </is>
      </c>
      <c r="D46" t="inlineStr">
        <is>
          <t>23-May-2025 11:00 AM</t>
        </is>
      </c>
      <c r="E46" t="inlineStr">
        <is>
          <t>13,72,000</t>
        </is>
      </c>
      <c r="F46" t="inlineStr">
        <is>
          <t>2 class rooms construction in govt primary school Mahadev kheda, Gram panchayat Bassi samchot, Panchayat samiti Salumbar Dist-Salumbar (Raj)</t>
        </is>
      </c>
      <c r="G46" t="inlineStr">
        <is>
          <t>Gram panchayat Bassi samchot,</t>
        </is>
      </c>
    </row>
    <row r="47">
      <c r="A47" s="1" t="n">
        <v>45</v>
      </c>
      <c r="B47">
        <f>HYPERLINK("https://eproc.rajasthan.gov.in/nicgep/app?component=%24DirectLink&amp;page=FrontEndViewTender&amp;service=direct&amp;session=T&amp;sp=SVZqq1pM8rRibtaRwXpubJA%3D%3D", "Tin shed construction in govt sec school bassi singawat, Gram panchayat Bassi samchot, Panchayat samiti Salumbar Dist-Salumbar (Raj)")</f>
        <v/>
      </c>
      <c r="C47" t="inlineStr">
        <is>
          <t>Panchayati Raj Department||Secretary and Commissioner||CEO-UDAIPUR||BDO-GIRVA</t>
        </is>
      </c>
      <c r="D47" t="inlineStr">
        <is>
          <t>23-May-2025 11:00 AM</t>
        </is>
      </c>
      <c r="E47" t="inlineStr">
        <is>
          <t>9,80,000</t>
        </is>
      </c>
      <c r="F47" t="inlineStr">
        <is>
          <t>Tin shed construction in govt sec school bassi singawat, Gram panchayat Bassi samchot, Panchayat samiti Salumbar Dist-Salumbar (Raj)</t>
        </is>
      </c>
      <c r="G47" t="inlineStr">
        <is>
          <t>Gram panchayat Bassi samchot,</t>
        </is>
      </c>
    </row>
    <row r="48">
      <c r="A48" s="1" t="n">
        <v>46</v>
      </c>
      <c r="B48">
        <f>HYPERLINK("https://eproc.rajasthan.gov.in/nicgep/app?component=%24DirectLink&amp;page=FrontEndViewTender&amp;service=direct&amp;session=T&amp;sp=SxJh91PMoeewEDGjBzZ80uQ%3D%3D", "MGNREGA MATERIALS SUPPLY FY 2025-26 GP 1 KM")</f>
        <v/>
      </c>
      <c r="C48" t="inlineStr">
        <is>
          <t>Panchayati Raj Department||Secretary and Commissioner||CEO-BIKANER||BDO-POOGAL</t>
        </is>
      </c>
      <c r="D48" t="inlineStr">
        <is>
          <t>02-Jun-2025 06:00 PM</t>
        </is>
      </c>
      <c r="E48" t="inlineStr">
        <is>
          <t>90,00,000</t>
        </is>
      </c>
      <c r="F48" t="inlineStr">
        <is>
          <t>MGNREGA AND ALL OTHER YOJANA CONSTRUCTION MATERIALS SUPPLY FY 2025-26 GRAM PANCHAYAT 1 KM</t>
        </is>
      </c>
      <c r="G48" t="inlineStr">
        <is>
          <t>GP 1KM</t>
        </is>
      </c>
    </row>
    <row r="49">
      <c r="A49" s="1" t="n">
        <v>47</v>
      </c>
      <c r="B49">
        <f>HYPERLINK("https://eproc.rajasthan.gov.in/nicgep/app?component=%24DirectLink&amp;page=FrontEndViewTender&amp;service=direct&amp;session=T&amp;sp=SV7LfwHlTKIy3iuGuEdh6zg%3D%3D", "DRILLING AND COMMISSIONING WORK OF TW")</f>
        <v/>
      </c>
      <c r="C49" t="inlineStr">
        <is>
          <t>Panchayati Raj Department||Secretary and Commissioner||CEO- JALORE||BDO- SAYALA</t>
        </is>
      </c>
      <c r="D49" t="inlineStr">
        <is>
          <t>26-May-2025 06:00 PM</t>
        </is>
      </c>
      <c r="E49" t="inlineStr">
        <is>
          <t>12,50,000</t>
        </is>
      </c>
      <c r="F49" t="inlineStr">
        <is>
          <t>DRILLING AND COMMISSIONING WORK OF TW AT GP TEJA KI BERI</t>
        </is>
      </c>
      <c r="G49" t="inlineStr">
        <is>
          <t>TEJA KI BERI</t>
        </is>
      </c>
    </row>
    <row r="50">
      <c r="A50" s="1" t="n">
        <v>48</v>
      </c>
      <c r="B50">
        <f>HYPERLINK("https://eproc.rajasthan.gov.in/nicgep/app?component=%24DirectLink&amp;page=FrontEndViewTender&amp;service=direct&amp;session=T&amp;sp=SLiFMjFZiAKBP%2BzdNy554Fg%3D%3D", "MGNREGA MATERIALS SUPPLY FY 2025-26 GP RAMNAGAR")</f>
        <v/>
      </c>
      <c r="C50" t="inlineStr">
        <is>
          <t>Panchayati Raj Department||Secretary and Commissioner||CEO-BIKANER||BDO-POOGAL</t>
        </is>
      </c>
      <c r="D50" t="inlineStr">
        <is>
          <t>02-Jun-2025 06:00 PM</t>
        </is>
      </c>
      <c r="E50" t="inlineStr">
        <is>
          <t>90,00,000</t>
        </is>
      </c>
      <c r="F50" t="inlineStr">
        <is>
          <t>MGNREGA AND ALL OTHER YOJANA CONSTRUCTION MATERIALS SUPPLY FY 2025-26 GRAM PANCHAYAT RAMNAGAR</t>
        </is>
      </c>
      <c r="G50" t="inlineStr">
        <is>
          <t>GP RAMNAGAR</t>
        </is>
      </c>
    </row>
    <row r="51">
      <c r="A51" s="1" t="n">
        <v>49</v>
      </c>
      <c r="B51">
        <f>HYPERLINK("https://eproc.rajasthan.gov.in/nicgep/app?component=%24DirectLink&amp;page=FrontEndViewTender&amp;service=direct&amp;session=T&amp;sp=SILvqbIMrUFfWwq8udRANgA%3D%3D", "MGNREGA MATERIALS SUPPLY FY 2025-26 GP BHANSAR")</f>
        <v/>
      </c>
      <c r="C51" t="inlineStr">
        <is>
          <t>Panchayati Raj Department||Secretary and Commissioner||CEO-BIKANER||BDO-POOGAL</t>
        </is>
      </c>
      <c r="D51" t="inlineStr">
        <is>
          <t>02-Jun-2025 06:00 PM</t>
        </is>
      </c>
      <c r="E51" t="inlineStr">
        <is>
          <t>90,00,000</t>
        </is>
      </c>
      <c r="F51" t="inlineStr">
        <is>
          <t>MGNREGA AND ALL OTHER YOJANA CONSTRUCTION MATERIALS SUPPLY FY 2025-26 GRAM PANCHAYAT BHANSAR</t>
        </is>
      </c>
      <c r="G51" t="inlineStr">
        <is>
          <t>GP BHANSAR</t>
        </is>
      </c>
    </row>
    <row r="52">
      <c r="A52" s="1" t="n">
        <v>50</v>
      </c>
      <c r="B52">
        <f>HYPERLINK("https://eproc.rajasthan.gov.in/nicgep/app?component=%24DirectLink&amp;page=FrontEndViewTender&amp;service=direct&amp;session=T&amp;sp=S70bjyvOSGqE5eFetd5mSaw%3D%3D", "2 class rooms construction in govt sr sec school Methudi, Gram panchayat Methudi, Panchayat samiti Salumbar Dist-Salumbar (Raj)")</f>
        <v/>
      </c>
      <c r="C52" t="inlineStr">
        <is>
          <t>Panchayati Raj Department||Secretary and Commissioner||CEO-UDAIPUR||BDO-GIRVA</t>
        </is>
      </c>
      <c r="D52" t="inlineStr">
        <is>
          <t>25-May-2025 06:00 PM</t>
        </is>
      </c>
      <c r="E52" t="inlineStr">
        <is>
          <t>21,87,000</t>
        </is>
      </c>
      <c r="F52" t="inlineStr">
        <is>
          <t>2 class rooms construction in govt sr sec school Methudi, Gram panchayat Methudi, Panchayat samiti Salumbar Dist-Salumbar (Raj)</t>
        </is>
      </c>
      <c r="G52" t="inlineStr">
        <is>
          <t>Gram panchayat Methudi,</t>
        </is>
      </c>
    </row>
    <row r="53">
      <c r="A53" s="1" t="n">
        <v>51</v>
      </c>
      <c r="B53">
        <f>HYPERLINK("https://eproc.rajasthan.gov.in/nicgep/app?component=%24DirectLink&amp;page=FrontEndViewTender&amp;service=direct&amp;session=T&amp;sp=SASWoehSPAZlk9gjqacFwtw%3D%3D", "Door to Door Waste collection and segretation, road and nala safai work of all revenue villages of Gram panchayat Thikariya")</f>
        <v/>
      </c>
      <c r="C53" t="inlineStr">
        <is>
          <t>Panchayati Raj Department||Secretary and Commissioner||CEO-DAUSA||BDO-NANGAL RAJAWATAN</t>
        </is>
      </c>
      <c r="D53" t="inlineStr">
        <is>
          <t>26-May-2025 10:00 AM</t>
        </is>
      </c>
      <c r="E53" t="inlineStr">
        <is>
          <t>2,55,000</t>
        </is>
      </c>
      <c r="F53" t="inlineStr">
        <is>
          <t>Door to Door Waste collection and segretation, road and nala safai work of all revenue villages of Gram panchayat Thikariya</t>
        </is>
      </c>
      <c r="G53" t="inlineStr">
        <is>
          <t>THIKARIYA</t>
        </is>
      </c>
    </row>
    <row r="54">
      <c r="A54" s="1" t="n">
        <v>52</v>
      </c>
      <c r="B54">
        <f>HYPERLINK("https://eproc.rajasthan.gov.in/nicgep/app?component=%24DirectLink&amp;page=FrontEndViewTender&amp;service=direct&amp;session=T&amp;sp=S%2FTQ1tfsff2bKX5sTkSvzBQ%3D%3D", "Door to Door Waste collection and segretation, road and nala safai work of all revenue villages of Gram panchayat Alooda")</f>
        <v/>
      </c>
      <c r="C54" t="inlineStr">
        <is>
          <t>Panchayati Raj Department||Secretary and Commissioner||CEO-DAUSA||BDO-NANGAL RAJAWATAN</t>
        </is>
      </c>
      <c r="D54" t="inlineStr">
        <is>
          <t>26-May-2025 10:00 AM</t>
        </is>
      </c>
      <c r="E54" t="inlineStr">
        <is>
          <t>9,50,000</t>
        </is>
      </c>
      <c r="F54" t="inlineStr">
        <is>
          <t>Door to Door Waste collection and segretation, road and nala safai work of all revenue villages of Gram panchayat Alooda</t>
        </is>
      </c>
      <c r="G54" t="inlineStr">
        <is>
          <t>ALOODA</t>
        </is>
      </c>
    </row>
    <row r="55">
      <c r="A55" s="1" t="n">
        <v>53</v>
      </c>
      <c r="B55">
        <f>HYPERLINK("https://eproc.rajasthan.gov.in/nicgep/app?component=%24DirectLink&amp;page=FrontEndViewTender&amp;service=direct&amp;session=T&amp;sp=S57C6Oyj8id78qYsmNCxpgA%3D%3D", "2 class rooms construction in govt upper primary school Choki badli, Gram panchayat Ghati, Panchayat samiti Salumbar Dist-Salumbar (Raj)")</f>
        <v/>
      </c>
      <c r="C55" t="inlineStr">
        <is>
          <t>Panchayati Raj Department||Secretary and Commissioner||CEO-UDAIPUR||BDO-GIRVA</t>
        </is>
      </c>
      <c r="D55" t="inlineStr">
        <is>
          <t>25-May-2025 06:00 PM</t>
        </is>
      </c>
      <c r="E55" t="inlineStr">
        <is>
          <t>20,00,000</t>
        </is>
      </c>
      <c r="F55" t="inlineStr">
        <is>
          <t>2 class rooms construction in govt upper primary school Choki badli, Gram panchayat Ghati, Panchayat samiti Salumbar Dist-Salumbar (Raj)</t>
        </is>
      </c>
      <c r="G55" t="inlineStr">
        <is>
          <t>Gram panchayat Ghati</t>
        </is>
      </c>
    </row>
    <row r="56">
      <c r="A56" s="1" t="n">
        <v>54</v>
      </c>
      <c r="B56">
        <f>HYPERLINK("https://eproc.rajasthan.gov.in/nicgep/app?component=%24DirectLink&amp;page=FrontEndViewTender&amp;service=direct&amp;session=T&amp;sp=S9rIob4pGNwuG2XrrT%2BMvdg%3D%3D", "2 class rooms construction in govt sr sec school Chatpur, Gram panchayat Kherad, Panchayat samiti Salumbar Dist-Salumbar (Raj)")</f>
        <v/>
      </c>
      <c r="C56" t="inlineStr">
        <is>
          <t>Panchayati Raj Department||Secretary and Commissioner||CEO-UDAIPUR||BDO-GIRVA</t>
        </is>
      </c>
      <c r="D56" t="inlineStr">
        <is>
          <t>25-May-2025 06:00 PM</t>
        </is>
      </c>
      <c r="E56" t="inlineStr">
        <is>
          <t>22,53,000</t>
        </is>
      </c>
      <c r="F56" t="inlineStr">
        <is>
          <t>2 class rooms construction in govt sr sec school Chatpur, Gram panchayat Kherad, Panchayat samiti Salumbar Dist-Salumbar (Raj)</t>
        </is>
      </c>
      <c r="G56" t="inlineStr">
        <is>
          <t>Gram panchayat Kherad</t>
        </is>
      </c>
    </row>
    <row r="57">
      <c r="A57" s="1" t="n">
        <v>55</v>
      </c>
      <c r="B57">
        <f>HYPERLINK("https://eproc.rajasthan.gov.in/nicgep/app?component=%24DirectLink&amp;page=FrontEndViewTender&amp;service=direct&amp;session=T&amp;sp=SX0X7UzNoxzrpsd3Sd%2F7Ckg%3D%3D", "2 class rooms construction in govt upper primary school upla fala, Gram panchayat Ganvdapal, Panchayat samiti Salumbar Dist-Salumbar (Raj)")</f>
        <v/>
      </c>
      <c r="C57" t="inlineStr">
        <is>
          <t>Panchayati Raj Department||Secretary and Commissioner||CEO-UDAIPUR||BDO-GIRVA</t>
        </is>
      </c>
      <c r="D57" t="inlineStr">
        <is>
          <t>25-May-2025 06:00 PM</t>
        </is>
      </c>
      <c r="E57" t="inlineStr">
        <is>
          <t>18,38,000</t>
        </is>
      </c>
      <c r="F57" t="inlineStr">
        <is>
          <t>2 class rooms construction in govt upper primary school upla fala, Gram panchayat Ganvdapal, Panchayat samiti Salumbar Dist-Salumbar (Raj)</t>
        </is>
      </c>
      <c r="G57" t="inlineStr">
        <is>
          <t>Gram panchayat Ganvdapal, Panchayat samiti Salumba</t>
        </is>
      </c>
    </row>
    <row r="58">
      <c r="A58" s="1" t="n">
        <v>56</v>
      </c>
      <c r="B58">
        <f>HYPERLINK("https://eproc.rajasthan.gov.in/nicgep/app?component=%24DirectLink&amp;page=FrontEndViewTender&amp;service=direct&amp;session=T&amp;sp=SQN9jK7ioNU6uu5h0B%2FDIew%3D%3D", "MGNREGA MATERIALS SUPPLY FY 2025-26 GP MEKERI")</f>
        <v/>
      </c>
      <c r="C58" t="inlineStr">
        <is>
          <t>Panchayati Raj Department||Secretary and Commissioner||CEO-BIKANER||BDO-POOGAL</t>
        </is>
      </c>
      <c r="D58" t="inlineStr">
        <is>
          <t>03-Jun-2025 06:00 PM</t>
        </is>
      </c>
      <c r="E58" t="inlineStr">
        <is>
          <t>90,00,000</t>
        </is>
      </c>
      <c r="F58" t="inlineStr">
        <is>
          <t>MGNREGA AND ALL OTHER YOJANA CONSTRUCTION MATERIALS SUPPLY GRAM PANCHAYAT MEKERI</t>
        </is>
      </c>
      <c r="G58" t="inlineStr">
        <is>
          <t>GP MEKERI</t>
        </is>
      </c>
    </row>
    <row r="59">
      <c r="A59" s="1" t="n">
        <v>57</v>
      </c>
      <c r="B59">
        <f>HYPERLINK("https://eproc.rajasthan.gov.in/nicgep/app?component=%24DirectLink&amp;page=FrontEndViewTender&amp;service=direct&amp;session=T&amp;sp=Srh3Qxi9ajDogFdY%2BGvJHaA%3D%3D", "MGNREGA MATERIALS SUPPLY FY 2025-26 GP KRISHANNAGAR")</f>
        <v/>
      </c>
      <c r="C59" t="inlineStr">
        <is>
          <t>Panchayati Raj Department||Secretary and Commissioner||CEO-BIKANER||BDO-POOGAL</t>
        </is>
      </c>
      <c r="D59" t="inlineStr">
        <is>
          <t>03-Jun-2025 06:00 PM</t>
        </is>
      </c>
      <c r="E59" t="inlineStr">
        <is>
          <t>90,00,000</t>
        </is>
      </c>
      <c r="F59" t="inlineStr">
        <is>
          <t>MGNREGA AND ALL OTHER YOJANA CONSTRUCTION MATERIALS SUPPLY FY 2025-26 GRAM PANCHAYAT KRISHANNAGAR</t>
        </is>
      </c>
      <c r="G59" t="inlineStr">
        <is>
          <t>GP KRISHANNAGAR</t>
        </is>
      </c>
    </row>
    <row r="60">
      <c r="A60" s="1" t="n">
        <v>58</v>
      </c>
      <c r="B60">
        <f>HYPERLINK("https://eproc.rajasthan.gov.in/nicgep/app?component=%24DirectLink&amp;page=FrontEndViewTender&amp;service=direct&amp;session=T&amp;sp=SNI%2BNbWNae3E9l5I6RWDlhQ%3D%3D", "2 class rooms construction in govt sr sec school Tulsiyo ka namla, Gram panchayat Kherad, Panchayat samiti Salumbar Dist-Salumbar (Raj)")</f>
        <v/>
      </c>
      <c r="C60" t="inlineStr">
        <is>
          <t>Panchayati Raj Department||Secretary and Commissioner||CEO-UDAIPUR||BDO-GIRVA</t>
        </is>
      </c>
      <c r="D60" t="inlineStr">
        <is>
          <t>25-May-2025 06:00 PM</t>
        </is>
      </c>
      <c r="E60" t="inlineStr">
        <is>
          <t>22,53,000</t>
        </is>
      </c>
      <c r="F60" t="inlineStr">
        <is>
          <t>2 class rooms construction in govt sr sec school Tulsiyo ka namla, Gram panchayat Kherad, Panchayat samiti Salumbar Dist-Salumbar (Raj)</t>
        </is>
      </c>
      <c r="G60" t="inlineStr">
        <is>
          <t>Gram panchayat Kherad</t>
        </is>
      </c>
    </row>
    <row r="61">
      <c r="A61" s="1" t="n">
        <v>59</v>
      </c>
      <c r="B61">
        <f>HYPERLINK("https://eproc.rajasthan.gov.in/nicgep/app?component=%24DirectLink&amp;page=FrontEndViewTender&amp;service=direct&amp;session=T&amp;sp=SrJTk69xFRWIkmUq3YQTIlw%3D%3D", "BOUNDRIWALL NIRMAN SHASHAN GHAT PATUNI KI BHAGAL GP KALINJAR")</f>
        <v/>
      </c>
      <c r="C61" t="inlineStr">
        <is>
          <t>Panchayati Raj Department||Secretary and Commissioner||CEO-RAJSAMAND||BDO-KUMBHALGARH</t>
        </is>
      </c>
      <c r="D61" t="inlineStr">
        <is>
          <t>19-May-2025 11:00 AM</t>
        </is>
      </c>
      <c r="E61" t="inlineStr">
        <is>
          <t>7,00,000</t>
        </is>
      </c>
      <c r="F61" t="inlineStr">
        <is>
          <t>BOUNDRIWALL NIRMAN SHASHAN GHAT PATUNI KI BHAGAL GP KALINJAR</t>
        </is>
      </c>
      <c r="G61" t="inlineStr">
        <is>
          <t>GP KALINJAR</t>
        </is>
      </c>
    </row>
    <row r="62">
      <c r="A62" s="1" t="n">
        <v>60</v>
      </c>
      <c r="B62">
        <f>HYPERLINK("https://eproc.rajasthan.gov.in/nicgep/app?component=%24DirectLink&amp;page=FrontEndViewTender&amp;service=direct&amp;session=T&amp;sp=SQsT8mdWyN02LGv%2BrmexuNA%3D%3D", "Work Including Garbage Collection and Separation from Households and Commercial Establishments, Road and Drain Cleaning, Cleaning of CSCs in all villages of Gram Panchayat Baytu Bhopji")</f>
        <v/>
      </c>
      <c r="C62" t="inlineStr">
        <is>
          <t>Panchayati Raj Department||Secretary and Commissioner||CEO-BADMER||BDO-BAYATU</t>
        </is>
      </c>
      <c r="D62" t="inlineStr">
        <is>
          <t>24-May-2025 06:00 PM</t>
        </is>
      </c>
      <c r="E62" t="inlineStr">
        <is>
          <t>9,11,160</t>
        </is>
      </c>
      <c r="F62" t="inlineStr">
        <is>
          <t>Work Including Garbage Collection and Separation from Households and Commercial Establishments, Road and Drain Cleaning, Cleaning of CSCs in all villages of Gram Panchayat Baytu Bhopji</t>
        </is>
      </c>
      <c r="G62" t="inlineStr">
        <is>
          <t>Baytu Bhopji</t>
        </is>
      </c>
    </row>
    <row r="63">
      <c r="A63" s="1" t="n">
        <v>61</v>
      </c>
      <c r="B63">
        <f>HYPERLINK("https://eproc.rajasthan.gov.in/nicgep/app?component=%24DirectLink&amp;page=FrontEndViewTender&amp;service=direct&amp;session=T&amp;sp=S2vVUYaaxjnfhU439vCXTQA%3D%3D", "Work Including Garbage Collection and Separation from Households and Commercial Establishments, Road and Drain Cleaning, Cleaning of CSCs in all villages of Gram Panchayat Batadoo")</f>
        <v/>
      </c>
      <c r="C63" t="inlineStr">
        <is>
          <t>Panchayati Raj Department||Secretary and Commissioner||CEO-BADMER||BDO-BAYATU</t>
        </is>
      </c>
      <c r="D63" t="inlineStr">
        <is>
          <t>24-May-2025 06:00 PM</t>
        </is>
      </c>
      <c r="E63" t="inlineStr">
        <is>
          <t>6,41,880</t>
        </is>
      </c>
      <c r="F63" t="inlineStr">
        <is>
          <t>Work Including Garbage Collection and Separation from Households and Commercial Establishments, Road and Drain Cleaning, Cleaning of CSCs in all villages of Gram Panchayat Batadoo</t>
        </is>
      </c>
      <c r="G63" t="inlineStr">
        <is>
          <t>Batadoo</t>
        </is>
      </c>
    </row>
    <row r="64">
      <c r="A64" s="1" t="n">
        <v>62</v>
      </c>
      <c r="B64">
        <f>HYPERLINK("https://eproc.rajasthan.gov.in/nicgep/app?component=%24DirectLink&amp;page=FrontEndViewTender&amp;service=direct&amp;session=T&amp;sp=SzneMn52GHm40Nb%2FCRvsOFw%3D%3D", "Rate Contract for Construction Material and Equipments for MGNREGS and Other works for the Year 2025-26 Gram Panchayats Skt panchayat samiti Baytu")</f>
        <v/>
      </c>
      <c r="C64" t="inlineStr">
        <is>
          <t>Panchayati Raj Department||Secretary and Commissioner||CEO-BADMER||BDO-BAYATU</t>
        </is>
      </c>
      <c r="D64" t="inlineStr">
        <is>
          <t>26-May-2025 06:00 PM</t>
        </is>
      </c>
      <c r="E64" t="inlineStr">
        <is>
          <t>60,00,000</t>
        </is>
      </c>
      <c r="F64" t="inlineStr">
        <is>
          <t>Rate Contract for Construction Material and Equipments for MGNREGS and Other works for the Year 2025-26 Gram Panchayats Skt panchayat samiti Baytu</t>
        </is>
      </c>
      <c r="G64" t="inlineStr">
        <is>
          <t>Siyon ka tala</t>
        </is>
      </c>
    </row>
    <row r="65">
      <c r="A65" s="1" t="n">
        <v>63</v>
      </c>
      <c r="B65">
        <f>HYPERLINK("https://eproc.rajasthan.gov.in/nicgep/app?component=%24DirectLink&amp;page=FrontEndViewTender&amp;service=direct&amp;session=T&amp;sp=S1PkpH51Cvz%2FP2vTmX2sRBg%3D%3D", "Door to Door Waste collection and segretation, road and nala safai work of all revenue villages of Gram panchayat Hapawas")</f>
        <v/>
      </c>
      <c r="C65" t="inlineStr">
        <is>
          <t>Panchayati Raj Department||Secretary and Commissioner||CEO-DAUSA||BDO-NANGAL RAJAWATAN</t>
        </is>
      </c>
      <c r="D65" t="inlineStr">
        <is>
          <t>26-May-2025 10:00 AM</t>
        </is>
      </c>
      <c r="E65" t="inlineStr">
        <is>
          <t>5,50,000</t>
        </is>
      </c>
      <c r="F65" t="inlineStr">
        <is>
          <t>Door to Door Waste collection and segretation, road and nala safai work of all revenue villages of Gram panchayat Hapawas</t>
        </is>
      </c>
      <c r="G65" t="inlineStr">
        <is>
          <t>HAPAWAS</t>
        </is>
      </c>
    </row>
    <row r="66">
      <c r="A66" s="1" t="n">
        <v>64</v>
      </c>
      <c r="B66">
        <f>HYPERLINK("https://eproc.rajasthan.gov.in/nicgep/app?component=%24DirectLink&amp;page=FrontEndViewTender&amp;service=direct&amp;session=T&amp;sp=S04P6JXrzVavfWUbFu3ycTA%3D%3D", "Door to Door Waste collection and segretation, road and nala safai work of all revenue villages of Gram panchayat Sarai")</f>
        <v/>
      </c>
      <c r="C66" t="inlineStr">
        <is>
          <t>Panchayati Raj Department||Secretary and Commissioner||CEO-DAUSA||BDO-NANGAL RAJAWATAN</t>
        </is>
      </c>
      <c r="D66" t="inlineStr">
        <is>
          <t>26-May-2025 10:00 AM</t>
        </is>
      </c>
      <c r="E66" t="inlineStr">
        <is>
          <t>5,50,000</t>
        </is>
      </c>
      <c r="F66" t="inlineStr">
        <is>
          <t>Door to Door Waste collection and segretation, road and nala safai work of all revenue villages of Gram panchayat Sarai</t>
        </is>
      </c>
      <c r="G66" t="inlineStr">
        <is>
          <t>SARAI</t>
        </is>
      </c>
    </row>
    <row r="67">
      <c r="A67" s="1" t="n">
        <v>65</v>
      </c>
      <c r="B67">
        <f>HYPERLINK("https://eproc.rajasthan.gov.in/nicgep/app?component=%24DirectLink&amp;page=FrontEndViewTender&amp;service=direct&amp;session=T&amp;sp=SS7VrQFSaPmETK0AISukOJg%3D%3D", "Rate contract for Work Including Garbage Collection and Separation from Households and Commercial Establishments, Road and Drain cleaning, Cleaning of CSCs in all villages of Gram Panchayat Kyarda Kalan Panchayat Samiti Khandar")</f>
        <v/>
      </c>
      <c r="C67" t="inlineStr">
        <is>
          <t>Panchayati Raj Department||Secretary and Commissioner||CEO-S.MADHOPUR||BDO-KHANDAR</t>
        </is>
      </c>
      <c r="D67" t="inlineStr">
        <is>
          <t>27-May-2025 02:00 PM</t>
        </is>
      </c>
      <c r="E67" t="inlineStr">
        <is>
          <t>17,81,000</t>
        </is>
      </c>
      <c r="F67" t="inlineStr">
        <is>
          <t>Rate contract for Work Including Garbage Collection and Separation from Households and Commercial Establishments, Road and Drain cleaning, Cleaning of CSCs in all villages of Gram Panchayat Kyarda Kalan Panchayat Samiti Khandar</t>
        </is>
      </c>
      <c r="G67" t="inlineStr">
        <is>
          <t>GRAM PANCHYAT KYARDA KALAN</t>
        </is>
      </c>
    </row>
    <row r="68">
      <c r="A68" s="1" t="n">
        <v>66</v>
      </c>
      <c r="B68">
        <f>HYPERLINK("https://eproc.rajasthan.gov.in/nicgep/app?component=%24DirectLink&amp;page=FrontEndViewTender&amp;service=direct&amp;session=T&amp;sp=ShhuBjB%2BX2jm%2FS%2FzdnDBB3Q%3D%3D", "Tin Shed construction work Government Higher Secondary School Akadra")</f>
        <v/>
      </c>
      <c r="C68" t="inlineStr">
        <is>
          <t>Panchayati Raj Department||Secretary and Commissioner||CEO-BADMER||BDO-BAYATU</t>
        </is>
      </c>
      <c r="D68" t="inlineStr">
        <is>
          <t>26-May-2025 11:00 AM</t>
        </is>
      </c>
      <c r="E68" t="inlineStr">
        <is>
          <t>10,00,000</t>
        </is>
      </c>
      <c r="F68" t="inlineStr">
        <is>
          <t>Tin Shed construction work Government Higher Secondary School Akadra</t>
        </is>
      </c>
      <c r="G68" t="inlineStr">
        <is>
          <t>Akadra</t>
        </is>
      </c>
    </row>
    <row r="69">
      <c r="A69" s="1" t="n">
        <v>67</v>
      </c>
      <c r="B69">
        <f>HYPERLINK("https://eproc.rajasthan.gov.in/nicgep/app?component=%24DirectLink&amp;page=FrontEndViewTender&amp;service=direct&amp;session=T&amp;sp=S3yg4iLzUwn%2BtsIsoeHpR4Q%3D%3D", "Door to Door Waste collection and segretation, road and nala safai work of all revenue villages of Gram panchayat Shyalawas")</f>
        <v/>
      </c>
      <c r="C69" t="inlineStr">
        <is>
          <t>Panchayati Raj Department||Secretary and Commissioner||CEO-DAUSA||BDO-NANGAL RAJAWATAN</t>
        </is>
      </c>
      <c r="D69" t="inlineStr">
        <is>
          <t>26-May-2025 10:00 AM</t>
        </is>
      </c>
      <c r="E69" t="inlineStr">
        <is>
          <t>9,00,000</t>
        </is>
      </c>
      <c r="F69" t="inlineStr">
        <is>
          <t>Door to Door Waste collection and segretation, road and nala safai work of all revenue villages of Gram panchayat Shyalawas</t>
        </is>
      </c>
      <c r="G69" t="inlineStr">
        <is>
          <t>SHYALAWAS</t>
        </is>
      </c>
    </row>
    <row r="70">
      <c r="A70" s="1" t="n">
        <v>68</v>
      </c>
      <c r="B70">
        <f>HYPERLINK("https://eproc.rajasthan.gov.in/nicgep/app?component=%24DirectLink&amp;page=FrontEndViewTender&amp;service=direct&amp;session=T&amp;sp=SfPYbWsb9byNPt%2FmI8%2FC8OQ%3D%3D", "Work Including Garbage Collection and Separation from Households and Commercial Establishments, Road and Drain Cleaning, Cleaning of CSCs in all villages of Gram Panchayat Singodiya")</f>
        <v/>
      </c>
      <c r="C70" t="inlineStr">
        <is>
          <t>Panchayati Raj Department||Secretary and Commissioner||CEO-BADMER||BDO-BAYATU</t>
        </is>
      </c>
      <c r="D70" t="inlineStr">
        <is>
          <t>24-May-2025 06:00 PM</t>
        </is>
      </c>
      <c r="E70" t="inlineStr">
        <is>
          <t>3,60,000</t>
        </is>
      </c>
      <c r="F70" t="inlineStr">
        <is>
          <t>Work Including Garbage Collection and Separation from Households and Commercial Establishments, Road and Drain Cleaning, Cleaning of CSCs in all villages of Gram Panchayat Singodiya</t>
        </is>
      </c>
      <c r="G70" t="inlineStr">
        <is>
          <t>Singodiya</t>
        </is>
      </c>
    </row>
    <row r="71">
      <c r="A71" s="1" t="n">
        <v>69</v>
      </c>
      <c r="B71">
        <f>HYPERLINK("https://eproc.rajasthan.gov.in/nicgep/app?component=%24DirectLink&amp;page=FrontEndViewTender&amp;service=direct&amp;session=T&amp;sp=SN9t42S835mFrD7Xdet%2BUAQ%3D%3D", "Khanraja construction work Government Primary School Modoni Goga Temple Lapla")</f>
        <v/>
      </c>
      <c r="C71" t="inlineStr">
        <is>
          <t>Panchayati Raj Department||Secretary and Commissioner||CEO-BADMER||BDO-BAYATU</t>
        </is>
      </c>
      <c r="D71" t="inlineStr">
        <is>
          <t>24-May-2025 06:00 PM</t>
        </is>
      </c>
      <c r="E71" t="inlineStr">
        <is>
          <t>7,50,000</t>
        </is>
      </c>
      <c r="F71" t="inlineStr">
        <is>
          <t>Khanraja construction work Government Primary School Modoni Goga Temple Lapla</t>
        </is>
      </c>
      <c r="G71" t="inlineStr">
        <is>
          <t>Lapla</t>
        </is>
      </c>
    </row>
    <row r="72">
      <c r="A72" s="1" t="n">
        <v>70</v>
      </c>
      <c r="B72">
        <f>HYPERLINK("https://eproc.rajasthan.gov.in/nicgep/app?component=%24DirectLink&amp;page=FrontEndViewTender&amp;service=direct&amp;session=T&amp;sp=SvcyaAsnAHr7Y1%2Bw8OLkypw%3D%3D", "Door to Door Waste collection and segretation, road and nala safai work of all revenue villages of Gram panchayat Gothda")</f>
        <v/>
      </c>
      <c r="C72" t="inlineStr">
        <is>
          <t>Panchayati Raj Department||Secretary and Commissioner||CEO-DAUSA||BDO-NANGAL RAJAWATAN</t>
        </is>
      </c>
      <c r="D72" t="inlineStr">
        <is>
          <t>26-May-2025 10:00 AM</t>
        </is>
      </c>
      <c r="E72" t="inlineStr">
        <is>
          <t>8,75,000</t>
        </is>
      </c>
      <c r="F72" t="inlineStr">
        <is>
          <t>Door to Door Waste collection and segretation, road and nala safai work of all revenue villages of Gram panchayat Gothda</t>
        </is>
      </c>
      <c r="G72" t="inlineStr">
        <is>
          <t>Gothda</t>
        </is>
      </c>
    </row>
    <row r="73">
      <c r="A73" s="1" t="n">
        <v>71</v>
      </c>
      <c r="B73">
        <f>HYPERLINK("https://eproc.rajasthan.gov.in/nicgep/app?component=%24DirectLink&amp;page=FrontEndViewTender&amp;service=direct&amp;session=T&amp;sp=S1FJBYmcxB81g7Hc7f79tXA%3D%3D", "Narega/BKJ/SP-07/2025-26")</f>
        <v/>
      </c>
      <c r="C73" t="inlineStr">
        <is>
          <t>Panchayati Raj Department||Secretary and Commissioner||CEO-AJMER||BDO-SAWAR</t>
        </is>
      </c>
      <c r="D73" t="inlineStr">
        <is>
          <t>29-May-2025 06:00 PM</t>
        </is>
      </c>
      <c r="E73" t="inlineStr">
        <is>
          <t>NA</t>
        </is>
      </c>
      <c r="F73" t="inlineStr">
        <is>
          <t>Narega/BKJ/SP-07/2025-26</t>
        </is>
      </c>
      <c r="G73" t="inlineStr">
        <is>
          <t>Bhar Ka Jhopda</t>
        </is>
      </c>
    </row>
    <row r="74">
      <c r="A74" s="1" t="n">
        <v>72</v>
      </c>
      <c r="B74">
        <f>HYPERLINK("https://eproc.rajasthan.gov.in/nicgep/app?component=%24DirectLink&amp;page=FrontEndViewTender&amp;service=direct&amp;session=T&amp;sp=SZqgP2QbUlSaJpxSVW81iBw%3D%3D", "Narega/NGaonMeena/08/2025-26")</f>
        <v/>
      </c>
      <c r="C74" t="inlineStr">
        <is>
          <t>Panchayati Raj Department||Secretary and Commissioner||CEO-AJMER||BDO-SAWAR</t>
        </is>
      </c>
      <c r="D74" t="inlineStr">
        <is>
          <t>29-May-2025 06:00 PM</t>
        </is>
      </c>
      <c r="E74" t="inlineStr">
        <is>
          <t>NA</t>
        </is>
      </c>
      <c r="F74" t="inlineStr">
        <is>
          <t>Narega/NGaonMeena/08/2025-26</t>
        </is>
      </c>
      <c r="G74" t="inlineStr">
        <is>
          <t>Naya Gaon Meena</t>
        </is>
      </c>
    </row>
    <row r="75">
      <c r="A75" s="1" t="n">
        <v>73</v>
      </c>
      <c r="B75">
        <f>HYPERLINK("https://eproc.rajasthan.gov.in/nicgep/app?component=%24DirectLink&amp;page=FrontEndViewTender&amp;service=direct&amp;session=T&amp;sp=S0TORRA2XuA5YQ3sM4YnQ1w%3D%3D", "DRILLING AND COMMISSIONING WORK OF TW")</f>
        <v/>
      </c>
      <c r="C75" t="inlineStr">
        <is>
          <t>Panchayati Raj Department||Secretary and Commissioner||CEO- JALORE||BDO- SAYALA</t>
        </is>
      </c>
      <c r="D75" t="inlineStr">
        <is>
          <t>26-May-2025 06:00 PM</t>
        </is>
      </c>
      <c r="E75" t="inlineStr">
        <is>
          <t>12,50,000</t>
        </is>
      </c>
      <c r="F75" t="inlineStr">
        <is>
          <t>DRILLING AND COMMISSIONING WORK OF TW AT SURANA AS PER BID DOCUMENTS</t>
        </is>
      </c>
      <c r="G75" t="inlineStr">
        <is>
          <t>SURANA</t>
        </is>
      </c>
    </row>
    <row r="76">
      <c r="A76" s="1" t="n">
        <v>74</v>
      </c>
      <c r="B76">
        <f>HYPERLINK("https://eproc.rajasthan.gov.in/nicgep/app?component=%24DirectLink&amp;page=FrontEndViewTender&amp;service=direct&amp;session=T&amp;sp=SF02JmD4amnVQETcIgGQc5A%3D%3D", "Narega/Tankawas/09/2025-26")</f>
        <v/>
      </c>
      <c r="C76" t="inlineStr">
        <is>
          <t>Panchayati Raj Department||Secretary and Commissioner||CEO-AJMER||BDO-SAWAR</t>
        </is>
      </c>
      <c r="D76" t="inlineStr">
        <is>
          <t>29-May-2025 06:00 PM</t>
        </is>
      </c>
      <c r="E76" t="inlineStr">
        <is>
          <t>NA</t>
        </is>
      </c>
      <c r="F76" t="inlineStr">
        <is>
          <t>Narega/Tankawas/09/2025-26</t>
        </is>
      </c>
      <c r="G76" t="inlineStr">
        <is>
          <t>Tankawas</t>
        </is>
      </c>
    </row>
    <row r="77">
      <c r="A77" s="1" t="n">
        <v>75</v>
      </c>
      <c r="B77">
        <f>HYPERLINK("https://eproc.rajasthan.gov.in/nicgep/app?component=%24DirectLink&amp;page=FrontEndViewTender&amp;service=direct&amp;session=T&amp;sp=SGsugpr%2FqJvDAZsaPbmBocw%3D%3D", "gram panchayat me nirman karyo par samgri ki aapurti vittiy varsh 2025-26")</f>
        <v/>
      </c>
      <c r="C77" t="inlineStr">
        <is>
          <t>Panchayati Raj Department||Secretary and Commissioner||CEO-ALWAR||BDO-RAMGARH</t>
        </is>
      </c>
      <c r="D77" t="inlineStr">
        <is>
          <t>26-May-2025 06:00 PM</t>
        </is>
      </c>
      <c r="E77" t="inlineStr">
        <is>
          <t>30,00,000</t>
        </is>
      </c>
      <c r="F77" t="inlineStr">
        <is>
          <t>gram panchayat me nirman karyo par samgri ki aapurti vittiy varsh 2025-26</t>
        </is>
      </c>
      <c r="G77" t="inlineStr">
        <is>
          <t>gp neekach</t>
        </is>
      </c>
    </row>
    <row r="78">
      <c r="A78" s="1" t="n">
        <v>76</v>
      </c>
      <c r="B78">
        <f>HYPERLINK("https://eproc.rajasthan.gov.in/nicgep/app?component=%24DirectLink&amp;page=FrontEndViewTender&amp;service=direct&amp;session=T&amp;sp=SWuPIxb0d3YGimYkHRy94bw%3D%3D", "DRILLING AND COMMISSIONING WORK OF TW")</f>
        <v/>
      </c>
      <c r="C78" t="inlineStr">
        <is>
          <t>Panchayati Raj Department||Secretary and Commissioner||CEO- JALORE||BDO-BAGODA</t>
        </is>
      </c>
      <c r="D78" t="inlineStr">
        <is>
          <t>26-May-2025 06:00 PM</t>
        </is>
      </c>
      <c r="E78" t="inlineStr">
        <is>
          <t>11,70,000</t>
        </is>
      </c>
      <c r="F78" t="inlineStr">
        <is>
          <t>DRILLING AND COMMISSIONING WORK OF TW AT GP UMMEDABAD</t>
        </is>
      </c>
      <c r="G78" t="inlineStr">
        <is>
          <t>UMMEDABAD</t>
        </is>
      </c>
    </row>
    <row r="79">
      <c r="A79" s="1" t="n">
        <v>77</v>
      </c>
      <c r="B79">
        <f>HYPERLINK("https://eproc.rajasthan.gov.in/nicgep/app?component=%24DirectLink&amp;page=FrontEndViewTender&amp;service=direct&amp;session=T&amp;sp=SpHuIZM7RWKzMut1gLkQXzw%3D%3D", "Work including door-to-door residential and commercial garbage collection and separation road and drain cleaning and community sanitation premises cleaning in all villages of Gram Panchayat Khochpuri Panchayat Samiti Mahwa Dist. Dausa For FY 2025-26")</f>
        <v/>
      </c>
      <c r="C79" t="inlineStr">
        <is>
          <t>Panchayati Raj Department||Secretary and Commissioner||CEO-DAUSA||BDO-MAHUVA</t>
        </is>
      </c>
      <c r="D79" t="inlineStr">
        <is>
          <t>26-May-2025 05:00 PM</t>
        </is>
      </c>
      <c r="E79" t="inlineStr">
        <is>
          <t>6,47,332</t>
        </is>
      </c>
      <c r="F79" t="inlineStr">
        <is>
          <t>Work including door-to-door residential and commercial garbage collection and separation road and drain cleaning and community sanitation premises cleaning in all villages of Gram Panchayat Khochpuri Panchayat Samiti Mahwa Dist. Dausa For FY 2025-26</t>
        </is>
      </c>
      <c r="G79" t="inlineStr">
        <is>
          <t>Gram Panchayat Khochpuri</t>
        </is>
      </c>
    </row>
    <row r="80">
      <c r="A80" s="1" t="n">
        <v>78</v>
      </c>
      <c r="B80">
        <f>HYPERLINK("https://eproc.rajasthan.gov.in/nicgep/app?component=%24DirectLink&amp;page=FrontEndViewTender&amp;service=direct&amp;session=T&amp;sp=SaWsR7RDnyi%2F1H8Dw0o9ONA%3D%3D", "Supply of Construction Material RDPR Scheme MNREGA, SFC , FFC and Other Scheme for Financial Year 2025-26 in Gram Panchyat Khijuri")</f>
        <v/>
      </c>
      <c r="C80" t="inlineStr">
        <is>
          <t>Panchayati Raj Department||Secretary and Commissioner||CEO-S.MADHOPUR||BDO-CHOTH KA BARWADA</t>
        </is>
      </c>
      <c r="D80" t="inlineStr">
        <is>
          <t>29-May-2025 06:00 PM</t>
        </is>
      </c>
      <c r="E80" t="inlineStr">
        <is>
          <t>50,00,000</t>
        </is>
      </c>
      <c r="F80" t="inlineStr">
        <is>
          <t>Supply of Construction Material RDPR Scheme MNREGA, SFC , FFC and Other Scheme for Financial Year 2025-26 in Gram Panchyat Khijuri</t>
        </is>
      </c>
      <c r="G80" t="inlineStr">
        <is>
          <t>Chouth Ka Barwara</t>
        </is>
      </c>
    </row>
    <row r="81">
      <c r="A81" s="1" t="n">
        <v>79</v>
      </c>
      <c r="B81">
        <f>HYPERLINK("https://eproc.rajasthan.gov.in/nicgep/app?component=%24DirectLink&amp;page=FrontEndViewTender&amp;service=direct&amp;session=T&amp;sp=S8FVk1HCyhkUg0aBGMpK4yA%3D%3D", "Work including door-to-door residential and commercial garbage collection and separation road and drain cleaning and community sanitation premises cleaning in all villages of Gram Panchayat DHAND Panchayat Samiti Mahwa Dist. Dausa For FY 2025-26")</f>
        <v/>
      </c>
      <c r="C81" t="inlineStr">
        <is>
          <t>Panchayati Raj Department||Secretary and Commissioner||CEO-DAUSA||BDO-MAHUVA</t>
        </is>
      </c>
      <c r="D81" t="inlineStr">
        <is>
          <t>26-May-2025 05:00 PM</t>
        </is>
      </c>
      <c r="E81" t="inlineStr">
        <is>
          <t>4,24,755</t>
        </is>
      </c>
      <c r="F81" t="inlineStr">
        <is>
          <t>Work including door-to-door residential and commercial garbage collection and separation road and drain cleaning and community sanitation premises cleaning in all villages of Gram Panchayat DHAND Panchayat Samiti Mahwa Dist. Dausa For FY 2025-26</t>
        </is>
      </c>
      <c r="G81" t="inlineStr">
        <is>
          <t>Gram Panchayat DHAND</t>
        </is>
      </c>
    </row>
    <row r="82">
      <c r="A82" s="1" t="n">
        <v>80</v>
      </c>
      <c r="B82">
        <f>HYPERLINK("https://eproc.rajasthan.gov.in/nicgep/app?component=%24DirectLink&amp;page=FrontEndViewTender&amp;service=direct&amp;session=T&amp;sp=SkmE0Gi733LlJHxSogPMWFQ%3D%3D", "Supply of Construction Material RDPR Scheme MNREGA, SFC , FFC and Other Scheme for Financial Year 2025-26 in Gram Panchyat ISARDA")</f>
        <v/>
      </c>
      <c r="C82" t="inlineStr">
        <is>
          <t>Panchayati Raj Department||Secretary and Commissioner||CEO-S.MADHOPUR||BDO-CHOTH KA BARWADA</t>
        </is>
      </c>
      <c r="D82" t="inlineStr">
        <is>
          <t>29-May-2025 06:00 PM</t>
        </is>
      </c>
      <c r="E82" t="inlineStr">
        <is>
          <t>80,00,000</t>
        </is>
      </c>
      <c r="F82" t="inlineStr">
        <is>
          <t>Supply of Construction Material RDPR Scheme MNREGA, SFC , FFC and Other Scheme for Financial Year 2025-26 in Gram Panchyat ISARDA</t>
        </is>
      </c>
      <c r="G82" t="inlineStr">
        <is>
          <t>Chouth Ka Barwara</t>
        </is>
      </c>
    </row>
    <row r="83">
      <c r="A83" s="1" t="n">
        <v>81</v>
      </c>
      <c r="B83">
        <f>HYPERLINK("https://eproc.rajasthan.gov.in/nicgep/app?component=%24DirectLink&amp;page=FrontEndViewTender&amp;service=direct&amp;session=T&amp;sp=Sh5%2BsJnPtXF1s%2BU%2FkLkgRiA%3D%3D", "Gram panchyat me samast gavno me ghar ghar kachra sangrahan gav ki naliyo or Samudayik Parisar ki safai karya GP Singrasar")</f>
        <v/>
      </c>
      <c r="C83" t="inlineStr">
        <is>
          <t>Panchayati Raj Department||Secretary and Commissioner||CEO- GANGANAGAR||BDO-SURATGARH</t>
        </is>
      </c>
      <c r="D83" t="inlineStr">
        <is>
          <t>24-May-2025 05:00 PM</t>
        </is>
      </c>
      <c r="E83" t="inlineStr">
        <is>
          <t>6,72,551</t>
        </is>
      </c>
      <c r="F83" t="inlineStr">
        <is>
          <t>Gram panchyat me samast gavno me ghar ghar kachra sangrahan gav ki naliyo or Samudayik Parisar ki safai karya GP Singrasar</t>
        </is>
      </c>
      <c r="G83" t="inlineStr">
        <is>
          <t>Gram Panchyat Singrasar</t>
        </is>
      </c>
    </row>
    <row r="84">
      <c r="A84" s="1" t="n">
        <v>82</v>
      </c>
      <c r="B84">
        <f>HYPERLINK("https://eproc.rajasthan.gov.in/nicgep/app?component=%24DirectLink&amp;page=FrontEndViewTender&amp;service=direct&amp;session=T&amp;sp=SNNrT80SREfCKP8LwRlnSdg%3D%3D", "Gram panchyat k samast gavo me ghar ghar kachra sangrahan and nail safai karya or other saf safai work")</f>
        <v/>
      </c>
      <c r="C84" t="inlineStr">
        <is>
          <t>Panchayati Raj Department||Secretary and Commissioner||CEO-DAUSA||BDO-BANDIKUI</t>
        </is>
      </c>
      <c r="D84" t="inlineStr">
        <is>
          <t>26-May-2025 05:00 PM</t>
        </is>
      </c>
      <c r="E84" t="inlineStr">
        <is>
          <t>9,00,000</t>
        </is>
      </c>
      <c r="F84" t="inlineStr">
        <is>
          <t>Gram panchyat k samast gavo me ghar ghar kachra sangrahan and nail safai karya or other saf safai work</t>
        </is>
      </c>
      <c r="G84" t="inlineStr">
        <is>
          <t>GRAM PANCHYAT MOONDGHSHIYA</t>
        </is>
      </c>
    </row>
    <row r="85">
      <c r="A85" s="1" t="n">
        <v>83</v>
      </c>
      <c r="B85">
        <f>HYPERLINK("https://eproc.rajasthan.gov.in/nicgep/app?component=%24DirectLink&amp;page=FrontEndViewTender&amp;service=direct&amp;session=T&amp;sp=Smbtxp4BZoHuOEgcplg0QPg%3D%3D", "3-Cleaning and Sanitary Gram panchayat basara")</f>
        <v/>
      </c>
      <c r="C85" t="inlineStr">
        <is>
          <t>Panchayati Raj Department||Secretary and Commissioner||CEO-BADMER||BDO-RAMSAR</t>
        </is>
      </c>
      <c r="D85" t="inlineStr">
        <is>
          <t>27-May-2025 05:00 PM</t>
        </is>
      </c>
      <c r="E85" t="inlineStr">
        <is>
          <t>5,91,000</t>
        </is>
      </c>
      <c r="F85" t="inlineStr">
        <is>
          <t>3-Cleaning and Sanitary Gram panchayat basara</t>
        </is>
      </c>
      <c r="G85" t="inlineStr">
        <is>
          <t>Gram panchayat basara</t>
        </is>
      </c>
    </row>
    <row r="86">
      <c r="A86" s="1" t="n">
        <v>84</v>
      </c>
      <c r="B86">
        <f>HYPERLINK("https://eproc.rajasthan.gov.in/nicgep/app?component=%24DirectLink&amp;page=FrontEndViewTender&amp;service=direct&amp;session=T&amp;sp=S2uyR02r0T05E3H5QhQi9kw%3D%3D", "7-Cleaning and Sanitary Gram panchayat chadar madrup")</f>
        <v/>
      </c>
      <c r="C86" t="inlineStr">
        <is>
          <t>Panchayati Raj Department||Secretary and Commissioner||CEO-BADMER||BDO-RAMSAR</t>
        </is>
      </c>
      <c r="D86" t="inlineStr">
        <is>
          <t>27-May-2025 05:00 PM</t>
        </is>
      </c>
      <c r="E86" t="inlineStr">
        <is>
          <t>2,18,000</t>
        </is>
      </c>
      <c r="F86" t="inlineStr">
        <is>
          <t>7-Cleaning and Sanitary Gram panchayat chadar madrup</t>
        </is>
      </c>
      <c r="G86" t="inlineStr">
        <is>
          <t>Gram panchayat chadar madrup</t>
        </is>
      </c>
    </row>
    <row r="87">
      <c r="A87" s="1" t="n">
        <v>85</v>
      </c>
      <c r="B87">
        <f>HYPERLINK("https://eproc.rajasthan.gov.in/nicgep/app?component=%24DirectLink&amp;page=FrontEndViewTender&amp;service=direct&amp;session=T&amp;sp=Sjpz6q%2F89veDFJtoJiavoHA%3D%3D", "5-Cleaning and Sanitary Gram panchayat bhinde ka par")</f>
        <v/>
      </c>
      <c r="C87" t="inlineStr">
        <is>
          <t>Panchayati Raj Department||Secretary and Commissioner||CEO-BADMER||BDO-RAMSAR</t>
        </is>
      </c>
      <c r="D87" t="inlineStr">
        <is>
          <t>27-May-2025 05:00 PM</t>
        </is>
      </c>
      <c r="E87" t="inlineStr">
        <is>
          <t>3,89,000</t>
        </is>
      </c>
      <c r="F87" t="inlineStr">
        <is>
          <t>5-Cleaning and Sanitary Gram panchayat bhinde ka par</t>
        </is>
      </c>
      <c r="G87" t="inlineStr">
        <is>
          <t>Gram panchayat bhinde ka par</t>
        </is>
      </c>
    </row>
    <row r="88">
      <c r="A88" s="1" t="n">
        <v>86</v>
      </c>
      <c r="B88">
        <f>HYPERLINK("https://eproc.rajasthan.gov.in/nicgep/app?component=%24DirectLink&amp;page=FrontEndViewTender&amp;service=direct&amp;session=T&amp;sp=SiMe%2BfE%2B1voKxhw7HppxTXg%3D%3D", "Gram panchyat me samast gavno me ghar ghar kachra sangrahan gav ki naliyo or Samudayik Parisar ki safai karya GP Somasar")</f>
        <v/>
      </c>
      <c r="C88" t="inlineStr">
        <is>
          <t>Panchayati Raj Department||Secretary and Commissioner||CEO- GANGANAGAR||BDO-SURATGARH</t>
        </is>
      </c>
      <c r="D88" t="inlineStr">
        <is>
          <t>24-May-2025 02:00 PM</t>
        </is>
      </c>
      <c r="E88" t="inlineStr">
        <is>
          <t>8,69,156</t>
        </is>
      </c>
      <c r="F88" t="inlineStr">
        <is>
          <t>Gram panchyat me samast gavno me ghar ghar kachra sangrahan gav ki naliyo or Samudayik Parisar ki safai karya GP Somasar</t>
        </is>
      </c>
      <c r="G88" t="inlineStr">
        <is>
          <t>Gram Panchyat Somasr</t>
        </is>
      </c>
    </row>
    <row r="89">
      <c r="A89" s="1" t="n">
        <v>87</v>
      </c>
      <c r="B89">
        <f>HYPERLINK("https://eproc.rajasthan.gov.in/nicgep/app?component=%24DirectLink&amp;page=FrontEndViewTender&amp;service=direct&amp;session=T&amp;sp=SoF14iciYnNnkosPVGbmFiQ%3D%3D", "1.Cleaning and Sanitary Gram panchayat abhe ka par")</f>
        <v/>
      </c>
      <c r="C89" t="inlineStr">
        <is>
          <t>Panchayati Raj Department||Secretary and Commissioner||CEO-BADMER||BDO-RAMSAR</t>
        </is>
      </c>
      <c r="D89" t="inlineStr">
        <is>
          <t>27-May-2025 05:00 PM</t>
        </is>
      </c>
      <c r="E89" t="inlineStr">
        <is>
          <t>7,92,000</t>
        </is>
      </c>
      <c r="F89" t="inlineStr">
        <is>
          <t>1.Cleaning and Sanitary Gram panchayat abhe ka par</t>
        </is>
      </c>
      <c r="G89" t="inlineStr">
        <is>
          <t>Gram panchayat abhe ka par</t>
        </is>
      </c>
    </row>
    <row r="90">
      <c r="A90" s="1" t="n">
        <v>88</v>
      </c>
      <c r="B90">
        <f>HYPERLINK("https://eproc.rajasthan.gov.in/nicgep/app?component=%24DirectLink&amp;page=FrontEndViewTender&amp;service=direct&amp;session=T&amp;sp=SYRlgwZXAb7Y5cT6CfYGkIQ%3D%3D", "2-Cleaning and Sanitary Gram panchayat buguleriya")</f>
        <v/>
      </c>
      <c r="C90" t="inlineStr">
        <is>
          <t>Panchayati Raj Department||Secretary and Commissioner||CEO-BADMER||BDO-RAMSAR</t>
        </is>
      </c>
      <c r="D90" t="inlineStr">
        <is>
          <t>27-May-2025 05:00 PM</t>
        </is>
      </c>
      <c r="E90" t="inlineStr">
        <is>
          <t>1,85,000</t>
        </is>
      </c>
      <c r="F90" t="inlineStr">
        <is>
          <t>2-Cleaning and Sanitary Gram panchayat buguleriya</t>
        </is>
      </c>
      <c r="G90" t="inlineStr">
        <is>
          <t>Gram panchayat buguleriya</t>
        </is>
      </c>
    </row>
    <row r="91">
      <c r="A91" s="1" t="n">
        <v>89</v>
      </c>
      <c r="B91">
        <f>HYPERLINK("https://eproc.rajasthan.gov.in/nicgep/app?component=%24DirectLink&amp;page=FrontEndViewTender&amp;service=direct&amp;session=T&amp;sp=SX%2BR64zCvgUHA4E8o3RXbtg%3D%3D", "GROUP A Material supply and equipment supply for Construction work in G.P. DOL KUNJELA")</f>
        <v/>
      </c>
      <c r="C91" t="inlineStr">
        <is>
          <t>Panchayati Raj Department||Secretary and Commissioner||CEO- DUNGARPUR||BDO-JHOTHARI</t>
        </is>
      </c>
      <c r="D91" t="inlineStr">
        <is>
          <t>26-May-2025 06:00 PM</t>
        </is>
      </c>
      <c r="E91" t="inlineStr">
        <is>
          <t>25,00,000</t>
        </is>
      </c>
      <c r="F91" t="inlineStr">
        <is>
          <t>GROUP A Material supply and equipment supply for Construction work in G.P. DOL KUNJELA</t>
        </is>
      </c>
      <c r="G91" t="inlineStr">
        <is>
          <t>DOL KUNJELA</t>
        </is>
      </c>
    </row>
    <row r="92">
      <c r="A92" s="1" t="n">
        <v>90</v>
      </c>
      <c r="B92">
        <f>HYPERLINK("https://eproc.rajasthan.gov.in/nicgep/app?component=%24DirectLink&amp;page=FrontEndViewTender&amp;service=direct&amp;session=T&amp;sp=Sk%2Bd4Bej2vO6EFIEISfOiBg%3D%3D", "GROUP A Material supply and equipment supply for Construction work in G.P. GORADA")</f>
        <v/>
      </c>
      <c r="C92" t="inlineStr">
        <is>
          <t>Panchayati Raj Department||Secretary and Commissioner||CEO- DUNGARPUR||BDO-JHOTHARI</t>
        </is>
      </c>
      <c r="D92" t="inlineStr">
        <is>
          <t>26-May-2025 06:00 PM</t>
        </is>
      </c>
      <c r="E92" t="inlineStr">
        <is>
          <t>25,00,000</t>
        </is>
      </c>
      <c r="F92" t="inlineStr">
        <is>
          <t>GROUP A Material supply and equipment supply for Construction work in G.P. GORADA</t>
        </is>
      </c>
      <c r="G92" t="inlineStr">
        <is>
          <t>GP GORADA</t>
        </is>
      </c>
    </row>
    <row r="93">
      <c r="A93" s="1" t="n">
        <v>91</v>
      </c>
      <c r="B93">
        <f>HYPERLINK("https://eproc.rajasthan.gov.in/nicgep/app?component=%24DirectLink&amp;page=FrontEndViewTender&amp;service=direct&amp;session=T&amp;sp=SRsbFgV7CVqSrw6Fs%2BA29lw%3D%3D", "GROUP B Material supply and equipment supply for Construction work in G.P. DOL KUNJELA")</f>
        <v/>
      </c>
      <c r="C93" t="inlineStr">
        <is>
          <t>Panchayati Raj Department||Secretary and Commissioner||CEO- DUNGARPUR||BDO-JHOTHARI</t>
        </is>
      </c>
      <c r="D93" t="inlineStr">
        <is>
          <t>26-May-2025 06:00 PM</t>
        </is>
      </c>
      <c r="E93" t="inlineStr">
        <is>
          <t>25,00,000</t>
        </is>
      </c>
      <c r="F93" t="inlineStr">
        <is>
          <t>GROUP B Material supply and equipment supply for Construction work in G.P. DOL KUNJELA</t>
        </is>
      </c>
      <c r="G93" t="inlineStr">
        <is>
          <t>DOL KUNJELA</t>
        </is>
      </c>
    </row>
    <row r="94">
      <c r="A94" s="1" t="n">
        <v>92</v>
      </c>
      <c r="B94">
        <f>HYPERLINK("https://eproc.rajasthan.gov.in/nicgep/app?component=%24DirectLink&amp;page=FrontEndViewTender&amp;service=direct&amp;session=T&amp;sp=SCNXceb%2Bck%2FW%2FQ7uLrQYHSA%3D%3D", "Supply of Construction Material RDPR Scheme MNREGA, SFC , FFC and Other Scheme for Financial Year 2025-26 in Gram Panchyat KUSTALA")</f>
        <v/>
      </c>
      <c r="C94" t="inlineStr">
        <is>
          <t>Panchayati Raj Department||Secretary and Commissioner||CEO-S.MADHOPUR||BDO-CHOTH KA BARWADA</t>
        </is>
      </c>
      <c r="D94" t="inlineStr">
        <is>
          <t>29-May-2025 06:00 PM</t>
        </is>
      </c>
      <c r="E94" t="inlineStr">
        <is>
          <t>80,00,000</t>
        </is>
      </c>
      <c r="F94" t="inlineStr">
        <is>
          <t>Supply of Construction Material RDPR Scheme MNREGA, SFC , FFC and Other Scheme for Financial Year 2025-26 in Gram Panchyat KUSTALA</t>
        </is>
      </c>
      <c r="G94" t="inlineStr">
        <is>
          <t>Chouth Ka Barwara</t>
        </is>
      </c>
    </row>
    <row r="95">
      <c r="A95" s="1" t="n">
        <v>93</v>
      </c>
      <c r="B95">
        <f>HYPERLINK("https://eproc.rajasthan.gov.in/nicgep/app?component=%24DirectLink&amp;page=FrontEndViewTender&amp;service=direct&amp;session=T&amp;sp=S%2BEDoJwh0G1ap2OkJIbk%2FZQ%3D%3D", "gram panchayat me nirman karyo par samgr ki aapurti vittiy varsh 2025-26")</f>
        <v/>
      </c>
      <c r="C95" t="inlineStr">
        <is>
          <t>Panchayati Raj Department||Secretary and Commissioner||CEO-ALWAR||BDO-RAMGARH</t>
        </is>
      </c>
      <c r="D95" t="inlineStr">
        <is>
          <t>26-May-2025 06:00 PM</t>
        </is>
      </c>
      <c r="E95" t="inlineStr">
        <is>
          <t>30,00,000</t>
        </is>
      </c>
      <c r="F95" t="inlineStr">
        <is>
          <t>gram panchayat me nirman karyo par samgr ki aapurti vittiy varsh 2025-26</t>
        </is>
      </c>
      <c r="G95" t="inlineStr">
        <is>
          <t>gp sainthali</t>
        </is>
      </c>
    </row>
    <row r="96">
      <c r="A96" s="1" t="n">
        <v>94</v>
      </c>
      <c r="B96">
        <f>HYPERLINK("https://eproc.rajasthan.gov.in/nicgep/app?component=%24DirectLink&amp;page=FrontEndViewTender&amp;service=direct&amp;session=T&amp;sp=SoFhn0VRe2cTYS90cxBL1Zg%3D%3D", "Gram panchyat me samast gavno me ghar ghar kachra sangrahan gav ki naliyo or Samudayik Parisar ki safai karya GP Thethar")</f>
        <v/>
      </c>
      <c r="C96" t="inlineStr">
        <is>
          <t>Panchayati Raj Department||Secretary and Commissioner||CEO- GANGANAGAR||BDO-SURATGARH</t>
        </is>
      </c>
      <c r="D96" t="inlineStr">
        <is>
          <t>24-May-2025 02:00 PM</t>
        </is>
      </c>
      <c r="E96" t="inlineStr">
        <is>
          <t>6,46,547</t>
        </is>
      </c>
      <c r="F96" t="inlineStr">
        <is>
          <t>Gram panchyat me samast gavno me ghar ghar kachra sangrahan gav ki naliyo or Samudayik Parisar ki safai karya GP Thethar</t>
        </is>
      </c>
      <c r="G96" t="inlineStr">
        <is>
          <t>Gram Panchyat Thethar</t>
        </is>
      </c>
    </row>
    <row r="97">
      <c r="A97" s="1" t="n">
        <v>95</v>
      </c>
      <c r="B97">
        <f>HYPERLINK("https://eproc.rajasthan.gov.in/nicgep/app?component=%24DirectLink&amp;page=FrontEndViewTender&amp;service=direct&amp;session=T&amp;sp=SPpX9tMZAUze3ToR14cJrdQ%3D%3D", "GROUP D WALL PAINTING WORK IN G.P. GORADA")</f>
        <v/>
      </c>
      <c r="C97" t="inlineStr">
        <is>
          <t>Panchayati Raj Department||Secretary and Commissioner||CEO- DUNGARPUR||BDO-JHOTHARI</t>
        </is>
      </c>
      <c r="D97" t="inlineStr">
        <is>
          <t>26-May-2025 06:00 PM</t>
        </is>
      </c>
      <c r="E97" t="inlineStr">
        <is>
          <t>2,00,000</t>
        </is>
      </c>
      <c r="F97" t="inlineStr">
        <is>
          <t>GROUP D WALL PAINTING WORK IN G.P. GORADA</t>
        </is>
      </c>
      <c r="G97" t="inlineStr">
        <is>
          <t>GP GORADA</t>
        </is>
      </c>
    </row>
    <row r="98">
      <c r="A98" s="1" t="n">
        <v>96</v>
      </c>
      <c r="B98">
        <f>HYPERLINK("https://eproc.rajasthan.gov.in/nicgep/app?component=%24DirectLink&amp;page=FrontEndViewTender&amp;service=direct&amp;session=T&amp;sp=S%2Fn4ZBrkT1aYFmWW3Nt0BqA%3D%3D", "GROUP B Material supply and equipment supply for Construction work in G.P. GORADA")</f>
        <v/>
      </c>
      <c r="C98" t="inlineStr">
        <is>
          <t>Panchayati Raj Department||Secretary and Commissioner||CEO- DUNGARPUR||BDO-JHOTHARI</t>
        </is>
      </c>
      <c r="D98" t="inlineStr">
        <is>
          <t>26-May-2025 06:00 PM</t>
        </is>
      </c>
      <c r="E98" t="inlineStr">
        <is>
          <t>25,00,000</t>
        </is>
      </c>
      <c r="F98" t="inlineStr">
        <is>
          <t>GROUP B Material supply and equipment supply for Construction work in G.P. GORADA</t>
        </is>
      </c>
      <c r="G98" t="inlineStr">
        <is>
          <t>GP GORADA</t>
        </is>
      </c>
    </row>
    <row r="99">
      <c r="A99" s="1" t="n">
        <v>97</v>
      </c>
      <c r="B99">
        <f>HYPERLINK("https://eproc.rajasthan.gov.in/nicgep/app?component=%24DirectLink&amp;page=FrontEndViewTender&amp;service=direct&amp;session=T&amp;sp=SBL2wLyHYOUPZC8tq95YsmA%3D%3D", "Narega/Kkawarji/27/2025-26")</f>
        <v/>
      </c>
      <c r="C99" t="inlineStr">
        <is>
          <t>Panchayati Raj Department||Secretary and Commissioner||CEO-AJMER||BDO-SAWAR</t>
        </is>
      </c>
      <c r="D99" t="inlineStr">
        <is>
          <t>29-May-2025 06:00 PM</t>
        </is>
      </c>
      <c r="E99" t="inlineStr">
        <is>
          <t>NA</t>
        </is>
      </c>
      <c r="F99" t="inlineStr">
        <is>
          <t>Narega/Kkawarji/27/2025-26</t>
        </is>
      </c>
      <c r="G99" t="inlineStr">
        <is>
          <t>Kalera Kawarji</t>
        </is>
      </c>
    </row>
    <row r="100">
      <c r="A100" s="1" t="n">
        <v>98</v>
      </c>
      <c r="B100">
        <f>HYPERLINK("https://eproc.rajasthan.gov.in/nicgep/app?component=%24DirectLink&amp;page=FrontEndViewTender&amp;service=direct&amp;session=T&amp;sp=SnHWajQSC7EU17z9USdMpDQ%3D%3D", "GROUP C Material supply and equipment supply for Construction work in G.P. GORADA")</f>
        <v/>
      </c>
      <c r="C100" t="inlineStr">
        <is>
          <t>Panchayati Raj Department||Secretary and Commissioner||CEO- DUNGARPUR||BDO-JHOTHARI</t>
        </is>
      </c>
      <c r="D100" t="inlineStr">
        <is>
          <t>26-May-2025 06:00 PM</t>
        </is>
      </c>
      <c r="E100" t="inlineStr">
        <is>
          <t>8,00,000</t>
        </is>
      </c>
      <c r="F100" t="inlineStr">
        <is>
          <t>GROUP C Material supply and equipment supply for Construction work in G.P. GORADA</t>
        </is>
      </c>
      <c r="G100" t="inlineStr">
        <is>
          <t>GP GORADA</t>
        </is>
      </c>
    </row>
    <row r="101">
      <c r="A101" s="1" t="n">
        <v>99</v>
      </c>
      <c r="B101">
        <f>HYPERLINK("https://eproc.rajasthan.gov.in/nicgep/app?component=%24DirectLink&amp;page=FrontEndViewTender&amp;service=direct&amp;session=T&amp;sp=SVDP5JTysheJJZPnqJPq58Q%3D%3D", "gram panchayat me nirman karyo par samgr ki aapurti vittiy varsh 2025-26")</f>
        <v/>
      </c>
      <c r="C101" t="inlineStr">
        <is>
          <t>Panchayati Raj Department||Secretary and Commissioner||CEO-ALWAR||BDO-RAMGARH</t>
        </is>
      </c>
      <c r="D101" t="inlineStr">
        <is>
          <t>25-May-2025 06:00 PM</t>
        </is>
      </c>
      <c r="E101" t="inlineStr">
        <is>
          <t>30,00,000</t>
        </is>
      </c>
      <c r="F101" t="inlineStr">
        <is>
          <t>gram panchayat me nirman karyo par samgr ki aapurti vittiy varsh 2025-26</t>
        </is>
      </c>
      <c r="G101" t="inlineStr">
        <is>
          <t>gram panchayat pata</t>
        </is>
      </c>
    </row>
    <row r="102">
      <c r="A102" s="1" t="n">
        <v>100</v>
      </c>
      <c r="B102">
        <f>HYPERLINK("https://eproc.rajasthan.gov.in/nicgep/app?component=%24DirectLink&amp;page=FrontEndViewTender&amp;service=direct&amp;session=T&amp;sp=SzysFq9%2FUODFyo50uCtO15w%3D%3D", "gram panchayat me nirman karyo par samgri ki aapurti vittiy varsh 2025-26")</f>
        <v/>
      </c>
      <c r="C102" t="inlineStr">
        <is>
          <t>Panchayati Raj Department||Secretary and Commissioner||CEO-ALWAR||BDO-RAMGARH</t>
        </is>
      </c>
      <c r="D102" t="inlineStr">
        <is>
          <t>25-May-2025 06:00 PM</t>
        </is>
      </c>
      <c r="E102" t="inlineStr">
        <is>
          <t>30,00,000</t>
        </is>
      </c>
      <c r="F102" t="inlineStr">
        <is>
          <t>gram panchayat me nirman karyo par samgri ki aapurti vittiy varsh 2025-26</t>
        </is>
      </c>
      <c r="G102" t="inlineStr">
        <is>
          <t>gram panchayat chidwa</t>
        </is>
      </c>
    </row>
    <row r="103">
      <c r="A103" s="1" t="n">
        <v>101</v>
      </c>
      <c r="B103">
        <f>HYPERLINK("https://eproc.rajasthan.gov.in/nicgep/app?component=%24DirectLink&amp;page=FrontEndViewTender&amp;service=direct&amp;session=T&amp;sp=S1RV0uNxIVOm2JSdq%2BlMQ1Q%3D%3D", "Rate Contract for construction goods supply work")</f>
        <v/>
      </c>
      <c r="C103" t="inlineStr">
        <is>
          <t>Panchayati Raj Department||Secretary and Commissioner||CEO- JALORE||BDO- SAYALA</t>
        </is>
      </c>
      <c r="D103" t="inlineStr">
        <is>
          <t>26-May-2025 06:00 PM</t>
        </is>
      </c>
      <c r="E103" t="inlineStr">
        <is>
          <t>80,00,000</t>
        </is>
      </c>
      <c r="F103" t="inlineStr">
        <is>
          <t>Rate Contract for construction goods supply work FY 2025-26 under GP Elana</t>
        </is>
      </c>
      <c r="G103" t="inlineStr">
        <is>
          <t>Elana</t>
        </is>
      </c>
    </row>
    <row r="104">
      <c r="A104" s="1" t="n">
        <v>102</v>
      </c>
      <c r="B104">
        <f>HYPERLINK("https://eproc.rajasthan.gov.in/nicgep/app?component=%24DirectLink&amp;page=FrontEndViewTender&amp;service=direct&amp;session=T&amp;sp=SciyaecFDwZKKuxKAFu0cfw%3D%3D", "Construction of Tin Shed work at Govt.S.Sec.School Gram panchayat Dol Kunjela")</f>
        <v/>
      </c>
      <c r="C104" t="inlineStr">
        <is>
          <t>Panchayati Raj Department||Secretary and Commissioner||CEO- DUNGARPUR||BDO-JHOTHARI</t>
        </is>
      </c>
      <c r="D104" t="inlineStr">
        <is>
          <t>26-May-2025 06:00 PM</t>
        </is>
      </c>
      <c r="E104" t="inlineStr">
        <is>
          <t>11,99,000</t>
        </is>
      </c>
      <c r="F104" t="inlineStr">
        <is>
          <t>Construction of Tin Shed work at Govt.S.Sec.School Gram panchayat Dol Kunjela</t>
        </is>
      </c>
      <c r="G104" t="inlineStr">
        <is>
          <t>gp dolkunjela</t>
        </is>
      </c>
    </row>
    <row r="105">
      <c r="A105" s="1" t="n">
        <v>103</v>
      </c>
      <c r="B105">
        <f>HYPERLINK("https://eproc.rajasthan.gov.in/nicgep/app?component=%24DirectLink&amp;page=FrontEndViewTender&amp;service=direct&amp;session=T&amp;sp=SCEHa67%2BtFpuwbewD8ESq%2FQ%3D%3D", "6-Cleaning and Sanitary Gram panchayat buthiya")</f>
        <v/>
      </c>
      <c r="C105" t="inlineStr">
        <is>
          <t>Panchayati Raj Department||Secretary and Commissioner||CEO-BADMER||BDO-RAMSAR</t>
        </is>
      </c>
      <c r="D105" t="inlineStr">
        <is>
          <t>27-May-2025 05:00 PM</t>
        </is>
      </c>
      <c r="E105" t="inlineStr">
        <is>
          <t>2,40,000</t>
        </is>
      </c>
      <c r="F105" t="inlineStr">
        <is>
          <t>6-Cleaning and Sanitary Gram panchayat buthiya</t>
        </is>
      </c>
      <c r="G105" t="inlineStr">
        <is>
          <t>Gram panchayat buthiya</t>
        </is>
      </c>
    </row>
    <row r="106">
      <c r="A106" s="1" t="n">
        <v>104</v>
      </c>
      <c r="B106">
        <f>HYPERLINK("https://eproc.rajasthan.gov.in/nicgep/app?component=%24DirectLink&amp;page=FrontEndViewTender&amp;service=direct&amp;session=T&amp;sp=SU5uGGHEg%2Bhc%2F04M%2FN1fUoA%3D%3D", "nala nirman karya dinayat school ke pas ulhadiya bas ki or sherpur chidwa")</f>
        <v/>
      </c>
      <c r="C106" t="inlineStr">
        <is>
          <t>Panchayati Raj Department||Secretary and Commissioner||CEO-ALWAR||BDO-RAMGARH</t>
        </is>
      </c>
      <c r="D106" t="inlineStr">
        <is>
          <t>22-May-2025 06:00 PM</t>
        </is>
      </c>
      <c r="E106" t="inlineStr">
        <is>
          <t>10,00,000</t>
        </is>
      </c>
      <c r="F106" t="inlineStr">
        <is>
          <t>nala nirman karya dinayat school ke pas ulhadiya bas ki or sherpur chidwa</t>
        </is>
      </c>
      <c r="G106" t="inlineStr">
        <is>
          <t>gram panchayat chidwa</t>
        </is>
      </c>
    </row>
    <row r="107">
      <c r="A107" s="1" t="n">
        <v>105</v>
      </c>
      <c r="B107">
        <f>HYPERLINK("https://eproc.rajasthan.gov.in/nicgep/app?component=%24DirectLink&amp;page=FrontEndViewTender&amp;service=direct&amp;session=T&amp;sp=SgEWLVm3hrqmgWjZAKFBUzg%3D%3D", "Narega/Ghatiyali/21/2025-26")</f>
        <v/>
      </c>
      <c r="C107" t="inlineStr">
        <is>
          <t>Panchayati Raj Department||Secretary and Commissioner||CEO-AJMER||BDO-SAWAR</t>
        </is>
      </c>
      <c r="D107" t="inlineStr">
        <is>
          <t>29-May-2025 06:00 PM</t>
        </is>
      </c>
      <c r="E107" t="inlineStr">
        <is>
          <t>NA</t>
        </is>
      </c>
      <c r="F107" t="inlineStr">
        <is>
          <t>Narega/Ghatiyali/21/2025-26</t>
        </is>
      </c>
      <c r="G107" t="inlineStr">
        <is>
          <t>Ghatiyali</t>
        </is>
      </c>
    </row>
    <row r="108">
      <c r="A108" s="1" t="n">
        <v>106</v>
      </c>
      <c r="B108">
        <f>HYPERLINK("https://eproc.rajasthan.gov.in/nicgep/app?component=%24DirectLink&amp;page=FrontEndViewTender&amp;service=direct&amp;session=T&amp;sp=SI6IU1rBrqPVuDx0dhk0J2Q%3D%3D", "gram panchayat me nirman karyo par samgri ki aapurti vittiy varsh 2025-26")</f>
        <v/>
      </c>
      <c r="C108" t="inlineStr">
        <is>
          <t>Panchayati Raj Department||Secretary and Commissioner||CEO-ALWAR||BDO-RAMGARH</t>
        </is>
      </c>
      <c r="D108" t="inlineStr">
        <is>
          <t>25-May-2025 06:00 PM</t>
        </is>
      </c>
      <c r="E108" t="inlineStr">
        <is>
          <t>30,00,000</t>
        </is>
      </c>
      <c r="F108" t="inlineStr">
        <is>
          <t>gram panchayat me nirman karyo par samgri ki aapurti vittiy varsh 2025-26</t>
        </is>
      </c>
      <c r="G108" t="inlineStr">
        <is>
          <t>gp nangla banjeerka</t>
        </is>
      </c>
    </row>
    <row r="109">
      <c r="A109" s="1" t="n">
        <v>107</v>
      </c>
      <c r="B109">
        <f>HYPERLINK("https://eproc.rajasthan.gov.in/nicgep/app?component=%24DirectLink&amp;page=FrontEndViewTender&amp;service=direct&amp;session=T&amp;sp=SVrLKPCtP9eYa2riZz%2BPPYw%3D%3D", "GROUP C Material supply and equipment supply for Construction work in G.P. DOL KUNJELA")</f>
        <v/>
      </c>
      <c r="C109" t="inlineStr">
        <is>
          <t>Panchayati Raj Department||Secretary and Commissioner||CEO- DUNGARPUR||BDO-JHOTHARI</t>
        </is>
      </c>
      <c r="D109" t="inlineStr">
        <is>
          <t>26-May-2025 06:00 PM</t>
        </is>
      </c>
      <c r="E109" t="inlineStr">
        <is>
          <t>8,00,000</t>
        </is>
      </c>
      <c r="F109" t="inlineStr">
        <is>
          <t>GROUP C Material supply and equipment supply for Construction work in G.P. DOL KUNJELA</t>
        </is>
      </c>
      <c r="G109" t="inlineStr">
        <is>
          <t>DOL KUNJELA</t>
        </is>
      </c>
    </row>
    <row r="110">
      <c r="A110" s="1" t="n">
        <v>108</v>
      </c>
      <c r="B110">
        <f>HYPERLINK("https://eproc.rajasthan.gov.in/nicgep/app?component=%24DirectLink&amp;page=FrontEndViewTender&amp;service=direct&amp;session=T&amp;sp=S7vbAYo1zbD%2FxgAEJ%2Bi3SUA%3D%3D", "Work including door-to-door residential and commercial garbage collection and separation road and drain cleaning and community sanitation premises cleaning in all villages of Gram Panchayat KOT Panchayat Samiti Mandawar Dist. Dausa For FY 2025-26")</f>
        <v/>
      </c>
      <c r="C110" t="inlineStr">
        <is>
          <t>Panchayati Raj Department||Secretary and Commissioner||CEO-DAUSA||BDO-MAHUVA</t>
        </is>
      </c>
      <c r="D110" t="inlineStr">
        <is>
          <t>26-May-2025 05:00 PM</t>
        </is>
      </c>
      <c r="E110" t="inlineStr">
        <is>
          <t>5,88,979</t>
        </is>
      </c>
      <c r="F110" t="inlineStr">
        <is>
          <t>Work including door-to-door residential and commercial garbage collection and separation road and drain cleaning and community sanitation premises cleaning in all villages of Gram Panchayat KOT Panchayat Samiti Mandawar Dist. Dausa For FY 2025-26</t>
        </is>
      </c>
      <c r="G110" t="inlineStr">
        <is>
          <t>Gram Panchayat KOT</t>
        </is>
      </c>
    </row>
    <row r="111">
      <c r="A111" s="1" t="n">
        <v>109</v>
      </c>
      <c r="B111">
        <f>HYPERLINK("https://eproc.rajasthan.gov.in/nicgep/app?component=%24DirectLink&amp;page=FrontEndViewTender&amp;service=direct&amp;session=T&amp;sp=S4WZY82O6pjx7Zz9hNi%2FNKQ%3D%3D", "11-Cleaning and Sanitary Gram panchayat gagariya")</f>
        <v/>
      </c>
      <c r="C111" t="inlineStr">
        <is>
          <t>Panchayati Raj Department||Secretary and Commissioner||CEO-BADMER||BDO-RAMSAR</t>
        </is>
      </c>
      <c r="D111" t="inlineStr">
        <is>
          <t>27-May-2025 05:00 PM</t>
        </is>
      </c>
      <c r="E111" t="inlineStr">
        <is>
          <t>4,68,000</t>
        </is>
      </c>
      <c r="F111" t="inlineStr">
        <is>
          <t>11-Cleaning and Sanitary Gram panchayat gagariya</t>
        </is>
      </c>
      <c r="G111" t="inlineStr">
        <is>
          <t>Gram panchayat gagariya</t>
        </is>
      </c>
    </row>
    <row r="112">
      <c r="A112" s="1" t="n">
        <v>110</v>
      </c>
      <c r="B112">
        <f>HYPERLINK("https://eproc.rajasthan.gov.in/nicgep/app?component=%24DirectLink&amp;page=FrontEndViewTender&amp;service=direct&amp;session=T&amp;sp=SCmkD7TC0lxKtm7pU7wMHYA%3D%3D", "10-Cleaning and Sanitary Gram panchayat derasar")</f>
        <v/>
      </c>
      <c r="C112" t="inlineStr">
        <is>
          <t>Panchayati Raj Department||Secretary and Commissioner||CEO-BADMER||BDO-RAMSAR</t>
        </is>
      </c>
      <c r="D112" t="inlineStr">
        <is>
          <t>27-May-2025 05:00 PM</t>
        </is>
      </c>
      <c r="E112" t="inlineStr">
        <is>
          <t>2,45,000</t>
        </is>
      </c>
      <c r="F112" t="inlineStr">
        <is>
          <t>10-Cleaning and Sanitary Gram panchayat derasar</t>
        </is>
      </c>
      <c r="G112" t="inlineStr">
        <is>
          <t>Gram panchayat derasar</t>
        </is>
      </c>
    </row>
    <row r="113">
      <c r="A113" s="1" t="n">
        <v>111</v>
      </c>
      <c r="B113">
        <f>HYPERLINK("https://eproc.rajasthan.gov.in/nicgep/app?component=%24DirectLink&amp;page=FrontEndViewTender&amp;service=direct&amp;session=T&amp;sp=SnUAUca6oDDNH2CgzAWXj7Q%3D%3D", "SUPPLY OF CONSTRUCTION MATERIAL AND PROVIDING EQUIPMENT IN GP KUHADABUJURG PS TODARAISINGH")</f>
        <v/>
      </c>
      <c r="C113" t="inlineStr">
        <is>
          <t>Panchayati Raj Department||Secretary and Commissioner||CEO-TONK||BDO-TODARAISINGH</t>
        </is>
      </c>
      <c r="D113" t="inlineStr">
        <is>
          <t>26-May-2025 06:00 PM</t>
        </is>
      </c>
      <c r="E113" t="inlineStr">
        <is>
          <t>80,00,000</t>
        </is>
      </c>
      <c r="F113" t="inlineStr">
        <is>
          <t>SUPPLY OF CONSTRUCTION MATERIAL AND PROVIDING EQUIPMENT IN GP KUHADABUJURG PS TODARAISINGH</t>
        </is>
      </c>
      <c r="G113" t="inlineStr">
        <is>
          <t>GP KUHADABUJURG</t>
        </is>
      </c>
    </row>
    <row r="114">
      <c r="A114" s="1" t="n">
        <v>112</v>
      </c>
      <c r="B114">
        <f>HYPERLINK("https://eproc.rajasthan.gov.in/nicgep/app?component=%24DirectLink&amp;page=FrontEndViewTender&amp;service=direct&amp;session=T&amp;sp=Sv4K%2FDBPT7Ox3%2B8oUGTNfag%3D%3D", "9-Cleaning and Sanitary Gram panchayat Charwa Takhata Bad")</f>
        <v/>
      </c>
      <c r="C114" t="inlineStr">
        <is>
          <t>Panchayati Raj Department||Secretary and Commissioner||CEO-BADMER||BDO-RAMSAR</t>
        </is>
      </c>
      <c r="D114" t="inlineStr">
        <is>
          <t>27-May-2025 05:00 PM</t>
        </is>
      </c>
      <c r="E114" t="inlineStr">
        <is>
          <t>2,88,000</t>
        </is>
      </c>
      <c r="F114" t="inlineStr">
        <is>
          <t>9-Cleaning and Sanitary Gram panchayat Charwa Takhata Bad</t>
        </is>
      </c>
      <c r="G114" t="inlineStr">
        <is>
          <t>Gram panchayat Charwa Takhata Bad</t>
        </is>
      </c>
    </row>
    <row r="115">
      <c r="A115" s="1" t="n">
        <v>113</v>
      </c>
      <c r="B115">
        <f>HYPERLINK("https://eproc.rajasthan.gov.in/nicgep/app?component=%24DirectLink&amp;page=FrontEndViewTender&amp;service=direct&amp;session=T&amp;sp=SwoQuulkgnutOPt66cUtsKg%3D%3D", "8-Cleaning and Sanitary Gram panchayat chadi")</f>
        <v/>
      </c>
      <c r="C115" t="inlineStr">
        <is>
          <t>Panchayati Raj Department||Secretary and Commissioner||CEO-BADMER||BDO-RAMSAR</t>
        </is>
      </c>
      <c r="D115" t="inlineStr">
        <is>
          <t>27-May-2025 05:00 PM</t>
        </is>
      </c>
      <c r="E115" t="inlineStr">
        <is>
          <t>2,04,000</t>
        </is>
      </c>
      <c r="F115" t="inlineStr">
        <is>
          <t>8-Cleaning and Sanitary Gram panchayat chadi</t>
        </is>
      </c>
      <c r="G115" t="inlineStr">
        <is>
          <t>Gram panchayat chadi</t>
        </is>
      </c>
    </row>
    <row r="116">
      <c r="A116" s="1" t="n">
        <v>114</v>
      </c>
      <c r="B116">
        <f>HYPERLINK("https://eproc.rajasthan.gov.in/nicgep/app?component=%24DirectLink&amp;page=FrontEndViewTender&amp;service=direct&amp;session=T&amp;sp=Sb8h20yPBcrEQ0xgdkaBY8w%3D%3D", "SUPPLY OF CONSTRUCTION MATERIAL AND PROVIDING EQUIPMENT IN GP THADOLI PS TODARAISINGH")</f>
        <v/>
      </c>
      <c r="C116" t="inlineStr">
        <is>
          <t>Panchayati Raj Department||Secretary and Commissioner||CEO-TONK||BDO-TODARAISINGH</t>
        </is>
      </c>
      <c r="D116" t="inlineStr">
        <is>
          <t>22-May-2025 06:00 PM</t>
        </is>
      </c>
      <c r="E116" t="inlineStr">
        <is>
          <t>80,00,000</t>
        </is>
      </c>
      <c r="F116" t="inlineStr">
        <is>
          <t>SUPPLY OF CONSTRUCTION MATERIAL AND PROVIDING EQUIPMENT IN GP THADOLI PS TODARAISINGH</t>
        </is>
      </c>
      <c r="G116" t="inlineStr">
        <is>
          <t>GP THADOLI</t>
        </is>
      </c>
    </row>
    <row r="117">
      <c r="A117" s="1" t="n">
        <v>115</v>
      </c>
      <c r="B117">
        <f>HYPERLINK("https://eproc.rajasthan.gov.in/nicgep/app?component=%24DirectLink&amp;page=FrontEndViewTender&amp;service=direct&amp;session=T&amp;sp=S3AJpvfAF8Ezt1bk8Do5ZxA%3D%3D", "GROUP D WALL PAINTING WORK IN G.P. DOL KUNJELA")</f>
        <v/>
      </c>
      <c r="C117" t="inlineStr">
        <is>
          <t>Panchayati Raj Department||Secretary and Commissioner||CEO- DUNGARPUR||BDO-JHOTHARI</t>
        </is>
      </c>
      <c r="D117" t="inlineStr">
        <is>
          <t>26-May-2025 06:00 PM</t>
        </is>
      </c>
      <c r="E117" t="inlineStr">
        <is>
          <t>2,00,000</t>
        </is>
      </c>
      <c r="F117" t="inlineStr">
        <is>
          <t>GROUP D WALL PAINTING WORK IN G.P. DOL KUNJELA</t>
        </is>
      </c>
      <c r="G117" t="inlineStr">
        <is>
          <t>DOL KUNJELA</t>
        </is>
      </c>
    </row>
    <row r="118">
      <c r="A118" s="1" t="n">
        <v>116</v>
      </c>
      <c r="B118">
        <f>HYPERLINK("https://eproc.rajasthan.gov.in/nicgep/app?component=%24DirectLink&amp;page=FrontEndViewTender&amp;service=direct&amp;session=T&amp;sp=SMefUg%2Fvsv2Wh3JFOSGBbKA%3D%3D", "4-Cleaning and Sanitary Gram panchayat bhachabhar")</f>
        <v/>
      </c>
      <c r="C118" t="inlineStr">
        <is>
          <t>Panchayati Raj Department||Secretary and Commissioner||CEO-BADMER||BDO-RAMSAR</t>
        </is>
      </c>
      <c r="D118" t="inlineStr">
        <is>
          <t>27-May-2025 05:00 PM</t>
        </is>
      </c>
      <c r="E118" t="inlineStr">
        <is>
          <t>6,06,000</t>
        </is>
      </c>
      <c r="F118" t="inlineStr">
        <is>
          <t>4-Cleaning and Sanitary Gram panchayat bhachabhar</t>
        </is>
      </c>
      <c r="G118" t="inlineStr">
        <is>
          <t>Gram panchayat bhachabhar</t>
        </is>
      </c>
    </row>
    <row r="119">
      <c r="A119" s="1" t="n">
        <v>117</v>
      </c>
      <c r="B119">
        <f>HYPERLINK("https://eproc.rajasthan.gov.in/nicgep/app?component=%24DirectLink&amp;page=FrontEndViewTender&amp;service=direct&amp;session=T&amp;sp=SA7Vo9o8kkCtd3orUi%2ByMeA%3D%3D", "28-Cleaning and Sanitary Gram panchayat siyai28-Cleaning and Sanitary Gram panchayat siyai")</f>
        <v/>
      </c>
      <c r="C119" t="inlineStr">
        <is>
          <t>Panchayati Raj Department||Secretary and Commissioner||CEO-BADMER||BDO-RAMSAR</t>
        </is>
      </c>
      <c r="D119" t="inlineStr">
        <is>
          <t>27-May-2025 05:00 PM</t>
        </is>
      </c>
      <c r="E119" t="inlineStr">
        <is>
          <t>3,27,000</t>
        </is>
      </c>
      <c r="F119" t="inlineStr">
        <is>
          <t>28-Cleaning and Sanitary Gram panchayat siyai</t>
        </is>
      </c>
      <c r="G119" t="inlineStr">
        <is>
          <t>Gram panchayat siyai</t>
        </is>
      </c>
    </row>
    <row r="120">
      <c r="A120" s="1" t="n">
        <v>118</v>
      </c>
      <c r="B120">
        <f>HYPERLINK("https://eproc.rajasthan.gov.in/nicgep/app?component=%24DirectLink&amp;page=FrontEndViewTender&amp;service=direct&amp;session=T&amp;sp=SMQudJiUuc0R18XmaEohD%2FQ%3D%3D", "27-Cleaning and Sanitary Gram panchayat sihani")</f>
        <v/>
      </c>
      <c r="C120" t="inlineStr">
        <is>
          <t>Panchayati Raj Department||Secretary and Commissioner||CEO-BADMER||BDO-RAMSAR</t>
        </is>
      </c>
      <c r="D120" t="inlineStr">
        <is>
          <t>27-May-2025 05:00 PM</t>
        </is>
      </c>
      <c r="E120" t="inlineStr">
        <is>
          <t>3,34,000</t>
        </is>
      </c>
      <c r="F120" t="inlineStr">
        <is>
          <t>27-Cleaning and Sanitary Gram panchayat sihani</t>
        </is>
      </c>
      <c r="G120" t="inlineStr">
        <is>
          <t>Gram panchayat sihani</t>
        </is>
      </c>
    </row>
    <row r="121">
      <c r="A121" s="1" t="n">
        <v>119</v>
      </c>
      <c r="B121">
        <f>HYPERLINK("https://eproc.rajasthan.gov.in/nicgep/app?component=%24DirectLink&amp;page=FrontEndViewTender&amp;service=direct&amp;session=T&amp;sp=SB32C6%2FY3qitEsvlA4AOxLA%3D%3D", "29-Cleaning and Sanitary Gram panchayat surali")</f>
        <v/>
      </c>
      <c r="C121" t="inlineStr">
        <is>
          <t>Panchayati Raj Department||Secretary and Commissioner||CEO-BADMER||BDO-RAMSAR</t>
        </is>
      </c>
      <c r="D121" t="inlineStr">
        <is>
          <t>27-May-2025 05:00 PM</t>
        </is>
      </c>
      <c r="E121" t="inlineStr">
        <is>
          <t>3,28,000</t>
        </is>
      </c>
      <c r="F121" t="inlineStr">
        <is>
          <t>29-Cleaning and Sanitary Gram panchayat surali</t>
        </is>
      </c>
      <c r="G121" t="inlineStr">
        <is>
          <t>Gram panchayat surali</t>
        </is>
      </c>
    </row>
    <row r="122">
      <c r="A122" s="1" t="n">
        <v>120</v>
      </c>
      <c r="B122">
        <f>HYPERLINK("https://eproc.rajasthan.gov.in/nicgep/app?component=%24DirectLink&amp;page=FrontEndViewTender&amp;service=direct&amp;session=T&amp;sp=Sgf9Rg%2BOqbymHwANlXEOhng%3D%3D", "19-Cleaning and Sanitary Gram panchayat khara rathodan")</f>
        <v/>
      </c>
      <c r="C122" t="inlineStr">
        <is>
          <t>Panchayati Raj Department||Secretary and Commissioner||CEO-BADMER||BDO-RAMSAR</t>
        </is>
      </c>
      <c r="D122" t="inlineStr">
        <is>
          <t>27-May-2025 05:00 PM</t>
        </is>
      </c>
      <c r="E122" t="inlineStr">
        <is>
          <t>1,91,000</t>
        </is>
      </c>
      <c r="F122" t="inlineStr">
        <is>
          <t>19-Cleaning and Sanitary Gram panchayat khara rathodan</t>
        </is>
      </c>
      <c r="G122" t="inlineStr">
        <is>
          <t>Gram panchayat khara rathodan</t>
        </is>
      </c>
    </row>
    <row r="123">
      <c r="A123" s="1" t="n">
        <v>121</v>
      </c>
      <c r="B123">
        <f>HYPERLINK("https://eproc.rajasthan.gov.in/nicgep/app?component=%24DirectLink&amp;page=FrontEndViewTender&amp;service=direct&amp;session=T&amp;sp=Sq518l57mvJdCojVk4oMjbg%3D%3D", "21-Cleaning and Sanitary Gram panchayat mekarnwala")</f>
        <v/>
      </c>
      <c r="C123" t="inlineStr">
        <is>
          <t>Panchayati Raj Department||Secretary and Commissioner||CEO-BADMER||BDO-RAMSAR</t>
        </is>
      </c>
      <c r="D123" t="inlineStr">
        <is>
          <t>27-May-2025 05:00 PM</t>
        </is>
      </c>
      <c r="E123" t="inlineStr">
        <is>
          <t>4,32,000</t>
        </is>
      </c>
      <c r="F123" t="inlineStr">
        <is>
          <t>21-Cleaning and Sanitary Gram panchayat mekarnwala</t>
        </is>
      </c>
      <c r="G123" t="inlineStr">
        <is>
          <t>Gram panchayat mekarnwala</t>
        </is>
      </c>
    </row>
    <row r="124">
      <c r="A124" s="1" t="n">
        <v>122</v>
      </c>
      <c r="B124">
        <f>HYPERLINK("https://eproc.rajasthan.gov.in/nicgep/app?component=%24DirectLink&amp;page=FrontEndViewTender&amp;service=direct&amp;session=T&amp;sp=SNo2Pq6%2Bkr7P2huLqAtZEtQ%3D%3D", "12-Cleaning and Sanitary Gram panchayat gangala")</f>
        <v/>
      </c>
      <c r="C124" t="inlineStr">
        <is>
          <t>Panchayati Raj Department||Secretary and Commissioner||CEO-BADMER||BDO-RAMSAR</t>
        </is>
      </c>
      <c r="D124" t="inlineStr">
        <is>
          <t>27-May-2025 05:00 PM</t>
        </is>
      </c>
      <c r="E124" t="inlineStr">
        <is>
          <t>2,38,000</t>
        </is>
      </c>
      <c r="F124" t="inlineStr">
        <is>
          <t>12-Cleaning and Sanitary Gram panchayat gangala</t>
        </is>
      </c>
      <c r="G124" t="inlineStr">
        <is>
          <t>Gram panchayat gangala</t>
        </is>
      </c>
    </row>
    <row r="125">
      <c r="A125" s="1" t="n">
        <v>123</v>
      </c>
      <c r="B125">
        <f>HYPERLINK("https://eproc.rajasthan.gov.in/nicgep/app?component=%24DirectLink&amp;page=FrontEndViewTender&amp;service=direct&amp;session=T&amp;sp=SpMzi6uoy5iPR73ONYhw5cQ%3D%3D", "18-Cleaning and Sanitary Gram panchayat khadeen")</f>
        <v/>
      </c>
      <c r="C125" t="inlineStr">
        <is>
          <t>Panchayati Raj Department||Secretary and Commissioner||CEO-BADMER||BDO-RAMSAR</t>
        </is>
      </c>
      <c r="D125" t="inlineStr">
        <is>
          <t>27-May-2025 05:00 PM</t>
        </is>
      </c>
      <c r="E125" t="inlineStr">
        <is>
          <t>2,71,000</t>
        </is>
      </c>
      <c r="F125" t="inlineStr">
        <is>
          <t>18-Cleaning and Sanitary Gram panchayat khadeen</t>
        </is>
      </c>
      <c r="G125" t="inlineStr">
        <is>
          <t>Gram panchayat khadeen</t>
        </is>
      </c>
    </row>
    <row r="126">
      <c r="A126" s="1" t="n">
        <v>124</v>
      </c>
      <c r="B126">
        <f>HYPERLINK("https://eproc.rajasthan.gov.in/nicgep/app?component=%24DirectLink&amp;page=FrontEndViewTender&amp;service=direct&amp;session=T&amp;sp=SIMThf1tkZUPtNNHQDx11bg%3D%3D", "13-Cleaning and Sanitary Gram panchayat gardiya")</f>
        <v/>
      </c>
      <c r="C126" t="inlineStr">
        <is>
          <t>Panchayati Raj Department||Secretary and Commissioner||CEO-BADMER||BDO-RAMSAR</t>
        </is>
      </c>
      <c r="D126" t="inlineStr">
        <is>
          <t>27-May-2025 05:00 PM</t>
        </is>
      </c>
      <c r="E126" t="inlineStr">
        <is>
          <t>6,77,000</t>
        </is>
      </c>
      <c r="F126" t="inlineStr">
        <is>
          <t>13-Cleaning and Sanitary Gram panchayat gardiya</t>
        </is>
      </c>
      <c r="G126" t="inlineStr">
        <is>
          <t>Gram panchayat gardiya</t>
        </is>
      </c>
    </row>
    <row r="127">
      <c r="A127" s="1" t="n">
        <v>125</v>
      </c>
      <c r="B127">
        <f>HYPERLINK("https://eproc.rajasthan.gov.in/nicgep/app?component=%24DirectLink&amp;page=FrontEndViewTender&amp;service=direct&amp;session=T&amp;sp=SQSAecbxBZd2tqn4%2F1g0oQw%3D%3D", "14-Cleaning and Sanitary Gram panchayat hathama")</f>
        <v/>
      </c>
      <c r="C127" t="inlineStr">
        <is>
          <t>Panchayati Raj Department||Secretary and Commissioner||CEO-BADMER||BDO-RAMSAR</t>
        </is>
      </c>
      <c r="D127" t="inlineStr">
        <is>
          <t>27-May-2025 05:00 PM</t>
        </is>
      </c>
      <c r="E127" t="inlineStr">
        <is>
          <t>6,33,000</t>
        </is>
      </c>
      <c r="F127" t="inlineStr">
        <is>
          <t>14-Cleaning and Sanitary Gram panchayat hathama</t>
        </is>
      </c>
      <c r="G127" t="inlineStr">
        <is>
          <t>Gram panchayat hathama</t>
        </is>
      </c>
    </row>
    <row r="128">
      <c r="A128" s="1" t="n">
        <v>126</v>
      </c>
      <c r="B128">
        <f>HYPERLINK("https://eproc.rajasthan.gov.in/nicgep/app?component=%24DirectLink&amp;page=FrontEndViewTender&amp;service=direct&amp;session=T&amp;sp=Slcm6vHSDXSgOnxT3ms9Pvw%3D%3D", "20-Cleaning and Sanitary Gram panchayat khariya rathodan")</f>
        <v/>
      </c>
      <c r="C128" t="inlineStr">
        <is>
          <t>Panchayati Raj Department||Secretary and Commissioner||CEO-BADMER||BDO-RAMSAR</t>
        </is>
      </c>
      <c r="D128" t="inlineStr">
        <is>
          <t>27-May-2025 05:00 PM</t>
        </is>
      </c>
      <c r="E128" t="inlineStr">
        <is>
          <t>3,12,000</t>
        </is>
      </c>
      <c r="F128" t="inlineStr">
        <is>
          <t>20-Cleaning and Sanitary Gram panchayat khariya rathodan</t>
        </is>
      </c>
      <c r="G128" t="inlineStr">
        <is>
          <t>Gram panchayat khariya rathodan</t>
        </is>
      </c>
    </row>
    <row r="129">
      <c r="A129" s="1" t="n">
        <v>127</v>
      </c>
      <c r="B129">
        <f>HYPERLINK("https://eproc.rajasthan.gov.in/nicgep/app?component=%24DirectLink&amp;page=FrontEndViewTender&amp;service=direct&amp;session=T&amp;sp=SAF0dZnzCQTGtCKBc6ukZDg%3D%3D", "17-Cleaning and Sanitary Gram panchayat kantal ka par")</f>
        <v/>
      </c>
      <c r="C129" t="inlineStr">
        <is>
          <t>Panchayati Raj Department||Secretary and Commissioner||CEO-BADMER||BDO-RAMSAR</t>
        </is>
      </c>
      <c r="D129" t="inlineStr">
        <is>
          <t>27-May-2025 05:00 PM</t>
        </is>
      </c>
      <c r="E129" t="inlineStr">
        <is>
          <t>5,38,000</t>
        </is>
      </c>
      <c r="F129" t="inlineStr">
        <is>
          <t>17-Cleaning and Sanitary Gram panchayat kantal ka par</t>
        </is>
      </c>
      <c r="G129" t="inlineStr">
        <is>
          <t>Gram panchayat kantal ka par</t>
        </is>
      </c>
    </row>
    <row r="130">
      <c r="A130" s="1" t="n">
        <v>128</v>
      </c>
      <c r="B130">
        <f>HYPERLINK("https://eproc.rajasthan.gov.in/nicgep/app?component=%24DirectLink&amp;page=FrontEndViewTender&amp;service=direct&amp;session=T&amp;sp=S6mtE1rlS%2F2D9JPRK%2FuxTVw%3D%3D", "23-Cleaning and Sanitary Gram panchayat pandhi ka par")</f>
        <v/>
      </c>
      <c r="C130" t="inlineStr">
        <is>
          <t>Panchayati Raj Department||Secretary and Commissioner||CEO-BADMER||BDO-RAMSAR</t>
        </is>
      </c>
      <c r="D130" t="inlineStr">
        <is>
          <t>27-May-2025 05:00 PM</t>
        </is>
      </c>
      <c r="E130" t="inlineStr">
        <is>
          <t>6,21,000</t>
        </is>
      </c>
      <c r="F130" t="inlineStr">
        <is>
          <t>23-Cleaning and Sanitary Gram panchayat pandhi ka par</t>
        </is>
      </c>
      <c r="G130" t="inlineStr">
        <is>
          <t>Gram panchayat pandhi ka par</t>
        </is>
      </c>
    </row>
    <row r="131">
      <c r="A131" s="1" t="n">
        <v>129</v>
      </c>
      <c r="B131">
        <f>HYPERLINK("https://eproc.rajasthan.gov.in/nicgep/app?component=%24DirectLink&amp;page=FrontEndViewTender&amp;service=direct&amp;session=T&amp;sp=SGA0w%2BhqppQpz5bMh7ikxLA%3D%3D", "15-Cleaning and Sanitary Gram panchayat indroi")</f>
        <v/>
      </c>
      <c r="C131" t="inlineStr">
        <is>
          <t>Panchayati Raj Department||Secretary and Commissioner||CEO-BADMER||BDO-RAMSAR</t>
        </is>
      </c>
      <c r="D131" t="inlineStr">
        <is>
          <t>27-May-2025 05:00 PM</t>
        </is>
      </c>
      <c r="E131" t="inlineStr">
        <is>
          <t>3,91,000</t>
        </is>
      </c>
      <c r="F131" t="inlineStr">
        <is>
          <t>15-Cleaning and Sanitary Gram panchayat indroi</t>
        </is>
      </c>
      <c r="G131" t="inlineStr">
        <is>
          <t>Gram panchayat indroi</t>
        </is>
      </c>
    </row>
    <row r="132">
      <c r="A132" s="1" t="n">
        <v>130</v>
      </c>
      <c r="B132">
        <f>HYPERLINK("https://eproc.rajasthan.gov.in/nicgep/app?component=%24DirectLink&amp;page=FrontEndViewTender&amp;service=direct&amp;session=T&amp;sp=S3Fx7CEJcKAunMbCd1Adq0w%3D%3D", "16-Cleaning and Sanitary Gram panchayat jakhardo ka tala")</f>
        <v/>
      </c>
      <c r="C132" t="inlineStr">
        <is>
          <t>Panchayati Raj Department||Secretary and Commissioner||CEO-BADMER||BDO-RAMSAR</t>
        </is>
      </c>
      <c r="D132" t="inlineStr">
        <is>
          <t>27-May-2025 05:00 PM</t>
        </is>
      </c>
      <c r="E132" t="inlineStr">
        <is>
          <t>1,01,000</t>
        </is>
      </c>
      <c r="F132" t="inlineStr">
        <is>
          <t>16-Cleaning and Sanitary Gram panchayat jakhardo ka tala</t>
        </is>
      </c>
      <c r="G132" t="inlineStr">
        <is>
          <t>Gram panchayat jakhardo ka tala</t>
        </is>
      </c>
    </row>
    <row r="133">
      <c r="A133" s="1" t="n">
        <v>131</v>
      </c>
      <c r="B133">
        <f>HYPERLINK("https://eproc.rajasthan.gov.in/nicgep/app?component=%24DirectLink&amp;page=FrontEndViewTender&amp;service=direct&amp;session=T&amp;sp=SAd02bWkF5F5obExEOPBlQQ%3D%3D", "25-Cleaning and Sanitary Gram panchayat sajjan ka par")</f>
        <v/>
      </c>
      <c r="C133" t="inlineStr">
        <is>
          <t>Panchayati Raj Department||Secretary and Commissioner||CEO-BADMER||BDO-RAMSAR</t>
        </is>
      </c>
      <c r="D133" t="inlineStr">
        <is>
          <t>27-May-2025 05:00 PM</t>
        </is>
      </c>
      <c r="E133" t="inlineStr">
        <is>
          <t>7,80,000</t>
        </is>
      </c>
      <c r="F133" t="inlineStr">
        <is>
          <t>25-Cleaning and Sanitary Gram panchayat sajjan ka par</t>
        </is>
      </c>
      <c r="G133" t="inlineStr">
        <is>
          <t>Gram panchayat sajjan ka par</t>
        </is>
      </c>
    </row>
    <row r="134">
      <c r="A134" s="1" t="n">
        <v>132</v>
      </c>
      <c r="B134">
        <f>HYPERLINK("https://eproc.rajasthan.gov.in/nicgep/app?component=%24DirectLink&amp;page=FrontEndViewTender&amp;service=direct&amp;session=T&amp;sp=STWq9FBq2Nb%2Bs3p0%2Bg0SpVQ%3D%3D", "26-Cleaning and Sanitary Gram panchayat setrau")</f>
        <v/>
      </c>
      <c r="C134" t="inlineStr">
        <is>
          <t>Panchayati Raj Department||Secretary and Commissioner||CEO-BADMER||BDO-RAMSAR</t>
        </is>
      </c>
      <c r="D134" t="inlineStr">
        <is>
          <t>27-May-2025 05:00 PM</t>
        </is>
      </c>
      <c r="E134" t="inlineStr">
        <is>
          <t>5,13,000</t>
        </is>
      </c>
      <c r="F134" t="inlineStr">
        <is>
          <t>26-Cleaning and Sanitary Gram panchayat setrau</t>
        </is>
      </c>
      <c r="G134" t="inlineStr">
        <is>
          <t>Gram panchayat setrau</t>
        </is>
      </c>
    </row>
    <row r="135">
      <c r="A135" s="1" t="n">
        <v>133</v>
      </c>
      <c r="B135">
        <f>HYPERLINK("https://eproc.rajasthan.gov.in/nicgep/app?component=%24DirectLink&amp;page=FrontEndViewTender&amp;service=direct&amp;session=T&amp;sp=SqPetWNFrukSUqyYRzLCSZg%3D%3D", "22-Cleaning and Sanitary Gram panchayat padriya")</f>
        <v/>
      </c>
      <c r="C135" t="inlineStr">
        <is>
          <t>Panchayati Raj Department||Secretary and Commissioner||CEO-BADMER||BDO-RAMSAR</t>
        </is>
      </c>
      <c r="D135" t="inlineStr">
        <is>
          <t>27-May-2025 05:00 PM</t>
        </is>
      </c>
      <c r="E135" t="inlineStr">
        <is>
          <t>4,98,000</t>
        </is>
      </c>
      <c r="F135" t="inlineStr">
        <is>
          <t>22-Cleaning and Sanitary Gram panchayat padriya</t>
        </is>
      </c>
      <c r="G135" t="inlineStr">
        <is>
          <t>Gram panchayat padriya</t>
        </is>
      </c>
    </row>
    <row r="136">
      <c r="A136" s="1" t="n">
        <v>134</v>
      </c>
      <c r="B136">
        <f>HYPERLINK("https://eproc.rajasthan.gov.in/nicgep/app?component=%24DirectLink&amp;page=FrontEndViewTender&amp;service=direct&amp;session=T&amp;sp=SUtq1VCCM17SJj6zh0udBbg%3D%3D", "24-Cleaning and Sanitary Gram panchayat ramsar")</f>
        <v/>
      </c>
      <c r="C136" t="inlineStr">
        <is>
          <t>Panchayati Raj Department||Secretary and Commissioner||CEO-BADMER||BDO-RAMSAR</t>
        </is>
      </c>
      <c r="D136" t="inlineStr">
        <is>
          <t>27-May-2025 05:00 PM</t>
        </is>
      </c>
      <c r="E136" t="inlineStr">
        <is>
          <t>9,49,000</t>
        </is>
      </c>
      <c r="F136" t="inlineStr">
        <is>
          <t>24-Cleaning and Sanitary Gram panchayat ramsar</t>
        </is>
      </c>
      <c r="G136" t="inlineStr">
        <is>
          <t>Gram panchayat ramsar</t>
        </is>
      </c>
    </row>
    <row r="137">
      <c r="A137" s="1" t="n">
        <v>135</v>
      </c>
      <c r="B137">
        <f>HYPERLINK("https://eproc.rajasthan.gov.in/nicgep/app?component=%24DirectLink&amp;page=FrontEndViewTender&amp;service=direct&amp;session=T&amp;sp=SxAjTbfzWoDAYSg9pRDEc7g%3D%3D", "30-Cleaning and Sanitary Gram panchayat suwada")</f>
        <v/>
      </c>
      <c r="C137" t="inlineStr">
        <is>
          <t>Panchayati Raj Department||Secretary and Commissioner||CEO-BADMER||BDO-RAMSAR</t>
        </is>
      </c>
      <c r="D137" t="inlineStr">
        <is>
          <t>27-May-2025 05:00 PM</t>
        </is>
      </c>
      <c r="E137" t="inlineStr">
        <is>
          <t>2,60,000</t>
        </is>
      </c>
      <c r="F137" t="inlineStr">
        <is>
          <t>30-Cleaning and Sanitary Gram panchayat suwada</t>
        </is>
      </c>
      <c r="G137" t="inlineStr">
        <is>
          <t>Gram panchayat suwada</t>
        </is>
      </c>
    </row>
    <row r="138">
      <c r="A138" s="1" t="n">
        <v>136</v>
      </c>
      <c r="B138">
        <f>HYPERLINK("https://eproc.rajasthan.gov.in/nicgep/app?component=%24DirectLink&amp;page=FrontEndViewTender&amp;service=direct&amp;session=T&amp;sp=SYYvv%2BWQ4XdQRde3JvRadRw%3D%3D", "31-Cleaning and Sanitary Gram panchayat tamliyar")</f>
        <v/>
      </c>
      <c r="C138" t="inlineStr">
        <is>
          <t>Panchayati Raj Department||Secretary and Commissioner||CEO-BADMER||BDO-RAMSAR</t>
        </is>
      </c>
      <c r="D138" t="inlineStr">
        <is>
          <t>27-May-2025 05:00 PM</t>
        </is>
      </c>
      <c r="E138" t="inlineStr">
        <is>
          <t>3,91,000</t>
        </is>
      </c>
      <c r="F138" t="inlineStr">
        <is>
          <t>31-Cleaning and Sanitary Gram panchayat tamliyar</t>
        </is>
      </c>
      <c r="G138" t="inlineStr">
        <is>
          <t>Gram panchayat tamliyar</t>
        </is>
      </c>
    </row>
    <row r="139">
      <c r="A139" s="1" t="n">
        <v>137</v>
      </c>
      <c r="B139">
        <f>HYPERLINK("https://eproc.rajasthan.gov.in/nicgep/app?component=%24DirectLink&amp;page=FrontEndViewTender&amp;service=direct&amp;session=T&amp;sp=SRs61nBkT2FqYA87OVX9SHA%3D%3D", "MATERIAL SUPPLY TENDER GP KERAP")</f>
        <v/>
      </c>
      <c r="C139" t="inlineStr">
        <is>
          <t>Panchayati Raj Department||Secretary and Commissioner||CEO-NAGORE||BDO-DIDWANA</t>
        </is>
      </c>
      <c r="D139" t="inlineStr">
        <is>
          <t>27-May-2025 06:00 PM</t>
        </is>
      </c>
      <c r="E139" t="inlineStr">
        <is>
          <t>50,00,000</t>
        </is>
      </c>
      <c r="F139" t="inlineStr">
        <is>
          <t>Material and Equipment supply under MGNREGA RD and PRD Schemes in GP KERAP</t>
        </is>
      </c>
      <c r="G139" t="inlineStr">
        <is>
          <t>GP KERAP</t>
        </is>
      </c>
    </row>
    <row r="140">
      <c r="A140" s="1" t="n">
        <v>138</v>
      </c>
      <c r="B140">
        <f>HYPERLINK("https://eproc.rajasthan.gov.in/nicgep/app?component=%24DirectLink&amp;page=FrontEndViewTender&amp;service=direct&amp;session=T&amp;sp=Skof38jFocMWeSUdi5wBt7A%3D%3D", "interlocking tile mundar ki dhani bibipur")</f>
        <v/>
      </c>
      <c r="C140" t="inlineStr">
        <is>
          <t>Panchayati Raj Department||Secretary and Commissioner||CEO-ALWAR||BDO-TIJARA</t>
        </is>
      </c>
      <c r="D140" t="inlineStr">
        <is>
          <t>20-May-2025 05:00 PM</t>
        </is>
      </c>
      <c r="E140" t="inlineStr">
        <is>
          <t>8,00,000</t>
        </is>
      </c>
      <c r="F140" t="inlineStr">
        <is>
          <t>interlocking tile mundar ki dhani bibipur</t>
        </is>
      </c>
      <c r="G140" t="inlineStr">
        <is>
          <t>interlocking tile mundar ki dhani bibipur</t>
        </is>
      </c>
    </row>
    <row r="141">
      <c r="A141" s="1" t="n">
        <v>139</v>
      </c>
      <c r="B141">
        <f>HYPERLINK("https://eproc.rajasthan.gov.in/nicgep/app?component=%24DirectLink&amp;page=FrontEndViewTender&amp;service=direct&amp;session=T&amp;sp=S%2FIQmUgnLxHelh9y9C5mwSg%3D%3D", "band pipe naala rajjak ke ghar se main raste hote hue johad ki or karenda")</f>
        <v/>
      </c>
      <c r="C141" t="inlineStr">
        <is>
          <t>Panchayati Raj Department||Secretary and Commissioner||CEO-ALWAR||BDO-TIJARA</t>
        </is>
      </c>
      <c r="D141" t="inlineStr">
        <is>
          <t>20-May-2025 06:00 PM</t>
        </is>
      </c>
      <c r="E141" t="inlineStr">
        <is>
          <t>8,00,000</t>
        </is>
      </c>
      <c r="F141" t="inlineStr">
        <is>
          <t>band pipe naala rajjak ke ghar se main raste hote hue johad ki or karenda</t>
        </is>
      </c>
      <c r="G141" t="inlineStr">
        <is>
          <t>band pipe naala rajjak ke ghar se main raste hote</t>
        </is>
      </c>
    </row>
    <row r="142">
      <c r="A142" s="1" t="n">
        <v>140</v>
      </c>
      <c r="B142">
        <f>HYPERLINK("https://eproc.rajasthan.gov.in/nicgep/app?component=%24DirectLink&amp;page=FrontEndViewTender&amp;service=direct&amp;session=T&amp;sp=SzmL9kOTpyC%2B4XOhaeAzePQ%3D%3D", "Works including garbage collection and segregation from household and commercial establishments, road and drain cleaning and cleaning of community sanitary complex at Revenue Village CLEANING AT GP SAHUWALA ps bhadra")</f>
        <v/>
      </c>
      <c r="C142" t="inlineStr">
        <is>
          <t>Panchayati Raj Department||Secretary and Commissioner||CEO- HANUMANGARH||BDO-BHADRA</t>
        </is>
      </c>
      <c r="D142" t="inlineStr">
        <is>
          <t>26-May-2025 06:00 PM</t>
        </is>
      </c>
      <c r="E142" t="inlineStr">
        <is>
          <t>10,00,000</t>
        </is>
      </c>
      <c r="F142" t="inlineStr">
        <is>
          <t>Works including garbage collection and segregation from household and commercial establishments, road and drain cleaning and cleaning of community sanitary complex at Revenue Village CLEANING AT GP SAHUWALA ps bhadra</t>
        </is>
      </c>
      <c r="G142" t="inlineStr">
        <is>
          <t>GRAM PANCHAYAT SAHUWALA</t>
        </is>
      </c>
    </row>
    <row r="143">
      <c r="A143" s="1" t="n">
        <v>141</v>
      </c>
      <c r="B143">
        <f>HYPERLINK("https://eproc.rajasthan.gov.in/nicgep/app?component=%24DirectLink&amp;page=FrontEndViewTender&amp;service=direct&amp;session=T&amp;sp=ShmOgTpYz%2FkyMlh7pb6I4Jg%3D%3D", "Gram panchyat me samast gavno me ghar ghar kachra sangrahan gav ki naliyo or Samudayik Parisar ki safai karya GP Sardarpura Khartha")</f>
        <v/>
      </c>
      <c r="C143" t="inlineStr">
        <is>
          <t>Panchayati Raj Department||Secretary and Commissioner||CEO- GANGANAGAR||BDO-SURATGARH</t>
        </is>
      </c>
      <c r="D143" t="inlineStr">
        <is>
          <t>24-May-2025 02:00 PM</t>
        </is>
      </c>
      <c r="E143" t="inlineStr">
        <is>
          <t>13,18,601</t>
        </is>
      </c>
      <c r="F143" t="inlineStr">
        <is>
          <t>Gram panchyat me samast gavno me ghar ghar kachra sangrahan gav ki naliyo or Samudayik Parisar ki safai karya GP Sardarpura Khartha</t>
        </is>
      </c>
      <c r="G143" t="inlineStr">
        <is>
          <t>Gram Panchyat Sardarpura Khartha</t>
        </is>
      </c>
    </row>
    <row r="144">
      <c r="A144" s="1" t="n">
        <v>142</v>
      </c>
      <c r="B144">
        <f>HYPERLINK("https://eproc.rajasthan.gov.in/nicgep/app?component=%24DirectLink&amp;page=FrontEndViewTender&amp;service=direct&amp;session=T&amp;sp=STeopZb7roD8F13TIUa6jfQ%3D%3D", "Work including door-to-door residential and commercial garbage collection and separation road and drain cleaning and community sanitation premises cleaning in all villages of Gram Panchayat Raseedpur Panchayat Samiti Mahwa Dist. Dausa For FY 2025-26")</f>
        <v/>
      </c>
      <c r="C144" t="inlineStr">
        <is>
          <t>Panchayati Raj Department||Secretary and Commissioner||CEO-DAUSA||BDO-MAHUVA</t>
        </is>
      </c>
      <c r="D144" t="inlineStr">
        <is>
          <t>26-May-2025 05:00 PM</t>
        </is>
      </c>
      <c r="E144" t="inlineStr">
        <is>
          <t>5,82,806</t>
        </is>
      </c>
      <c r="F144" t="inlineStr">
        <is>
          <t>Work including door-to-door residential and commercial garbage collection and separation road and drain cleaning and community sanitation premises cleaning in all villages of Gram Panchayat Raseedpur Panchayat Samiti Mahwa Dist. Dausa For FY 2025-26</t>
        </is>
      </c>
      <c r="G144" t="inlineStr">
        <is>
          <t>Gram Panchayat Raseedpur</t>
        </is>
      </c>
    </row>
    <row r="145">
      <c r="A145" s="1" t="n">
        <v>143</v>
      </c>
      <c r="B145">
        <f>HYPERLINK("https://eproc.rajasthan.gov.in/nicgep/app?component=%24DirectLink&amp;page=FrontEndViewTender&amp;service=direct&amp;session=T&amp;sp=S9PFKamzB%2BmzsH1zSfl75Xg%3D%3D", "Works including garbage collection and segregation from household and commercial establishments, road and drain cleaning and cleaning of community sanitary complex at Revenue Village CLEANING AT GP SURATPURA ps bhadra")</f>
        <v/>
      </c>
      <c r="C145" t="inlineStr">
        <is>
          <t>Panchayati Raj Department||Secretary and Commissioner||CEO- HANUMANGARH||BDO-BHADRA</t>
        </is>
      </c>
      <c r="D145" t="inlineStr">
        <is>
          <t>26-May-2025 06:00 PM</t>
        </is>
      </c>
      <c r="E145" t="inlineStr">
        <is>
          <t>9,91,000</t>
        </is>
      </c>
      <c r="F145" t="inlineStr">
        <is>
          <t>Works including garbage collection and segregation from household and commercial establishments, road and drain cleaning and cleaning of community sanitary complex at Revenue Village CLEANING AT GP SURATPURA ps bhadra</t>
        </is>
      </c>
      <c r="G145" t="inlineStr">
        <is>
          <t>GRAM PANCHAYAT SURATPURA</t>
        </is>
      </c>
    </row>
    <row r="146">
      <c r="A146" s="1" t="n">
        <v>144</v>
      </c>
      <c r="B146">
        <f>HYPERLINK("https://eproc.rajasthan.gov.in/nicgep/app?component=%24DirectLink&amp;page=FrontEndViewTender&amp;service=direct&amp;session=T&amp;sp=SR%2BTowzu9vfwvL0ll8J%2BROw%3D%3D", "Rate contract For Supply of Construction Material and Providing Equipments for NREGA, RD and PR Schemes at Gram Panchayat Paparda Panchayat Samiti Nangal Rajawatan Dist Dausa For FY 2025-26 up to 31 March 2026")</f>
        <v/>
      </c>
      <c r="C146" t="inlineStr">
        <is>
          <t>Panchayati Raj Department||Secretary and Commissioner||CEO-DAUSA||BDO-NANGAL RAJAWATAN</t>
        </is>
      </c>
      <c r="D146" t="inlineStr">
        <is>
          <t>27-May-2025 06:00 PM</t>
        </is>
      </c>
      <c r="E146" t="inlineStr">
        <is>
          <t>30,00,000</t>
        </is>
      </c>
      <c r="F146" t="inlineStr">
        <is>
          <t>Rate contract For Supply of Construction Material and Providing Equipments for NREGA, RD and PR Schemes at Gram Panchayat Paparda Panchayat Samiti Nangal Rajawatan Dist Dausa For FY 2025-26 up to 31 March 2026</t>
        </is>
      </c>
      <c r="G146" t="inlineStr">
        <is>
          <t>Paparda</t>
        </is>
      </c>
    </row>
    <row r="147">
      <c r="A147" s="1" t="n">
        <v>145</v>
      </c>
      <c r="B147">
        <f>HYPERLINK("https://eproc.rajasthan.gov.in/nicgep/app?component=%24DirectLink&amp;page=FrontEndViewTender&amp;service=direct&amp;session=T&amp;sp=SFRQepRA9%2FhqVrfolsNZSkw%3D%3D", "Works including garbage collection and segregation from household and commercial establishments, road and drain cleaning and cleaning of community sanitary complex at Revenue Village CLEANING AT GP SHERDA ps bhadra")</f>
        <v/>
      </c>
      <c r="C147" t="inlineStr">
        <is>
          <t>Panchayati Raj Department||Secretary and Commissioner||CEO- HANUMANGARH||BDO-BHADRA</t>
        </is>
      </c>
      <c r="D147" t="inlineStr">
        <is>
          <t>26-May-2025 06:00 PM</t>
        </is>
      </c>
      <c r="E147" t="inlineStr">
        <is>
          <t>10,00,000</t>
        </is>
      </c>
      <c r="F147" t="inlineStr">
        <is>
          <t>Works including garbage collection and segregation from household and commercial establishments, road and drain cleaning and cleaning of community sanitary complex at Revenue Village CLEANING AT GP SHERDA ps bhadra</t>
        </is>
      </c>
      <c r="G147" t="inlineStr">
        <is>
          <t>GRAM PANCHAYAT SHERDA</t>
        </is>
      </c>
    </row>
    <row r="148">
      <c r="A148" s="1" t="n">
        <v>146</v>
      </c>
      <c r="B148">
        <f>HYPERLINK("https://eproc.rajasthan.gov.in/nicgep/app?component=%24DirectLink&amp;page=FrontEndViewTender&amp;service=direct&amp;session=T&amp;sp=SzjM8XYq8m2lb4j9JeTVKag%3D%3D", "Gram panchyat me samast gavno me ghar ghar kachra sangrahan gav ki naliyo or Samudayik Parisar ki safai karya GP Sardarpura Bika")</f>
        <v/>
      </c>
      <c r="C148" t="inlineStr">
        <is>
          <t>Panchayati Raj Department||Secretary and Commissioner||CEO- GANGANAGAR||BDO-SURATGARH</t>
        </is>
      </c>
      <c r="D148" t="inlineStr">
        <is>
          <t>24-May-2025 02:00 PM</t>
        </is>
      </c>
      <c r="E148" t="inlineStr">
        <is>
          <t>10,31,714</t>
        </is>
      </c>
      <c r="F148" t="inlineStr">
        <is>
          <t>Gram panchyat me samast gavno me ghar ghar kachra sangrahan gav ki naliyo or Samudayik Parisar ki safai karya GP Sardarpura Bika</t>
        </is>
      </c>
      <c r="G148" t="inlineStr">
        <is>
          <t>Gram Panchyat Sardarpura Bika</t>
        </is>
      </c>
    </row>
    <row r="149">
      <c r="A149" s="1" t="n">
        <v>147</v>
      </c>
      <c r="B149">
        <f>HYPERLINK("https://eproc.rajasthan.gov.in/nicgep/app?component=%24DirectLink&amp;page=FrontEndViewTender&amp;service=direct&amp;session=T&amp;sp=S4vbZHW09pesVT3KNT9zOrQ%3D%3D", "Work including door-to-door residential and commercial garbage collection and separation road and drain cleaning and community sanitation premises cleaning in all villages of Gram Panchayat Gazipur Panchayat Samiti Mahwa Dist. Dausa For FY 2025-26")</f>
        <v/>
      </c>
      <c r="C149" t="inlineStr">
        <is>
          <t>Panchayati Raj Department||Secretary and Commissioner||CEO-DAUSA||BDO-MAHUVA</t>
        </is>
      </c>
      <c r="D149" t="inlineStr">
        <is>
          <t>26-May-2025 05:00 PM</t>
        </is>
      </c>
      <c r="E149" t="inlineStr">
        <is>
          <t>6,80,896</t>
        </is>
      </c>
      <c r="F149" t="inlineStr">
        <is>
          <t>Work including door-to-door residential and commercial garbage collection and separation road and drain cleaning and community sanitation premises cleaning in all villages of Gram Panchayat Gazipur Panchayat Samiti Mahwa Dist. Dausa For FY 2025-26</t>
        </is>
      </c>
      <c r="G149" t="inlineStr">
        <is>
          <t>Gram Panchayat Gazipur</t>
        </is>
      </c>
    </row>
    <row r="150">
      <c r="A150" s="1" t="n">
        <v>148</v>
      </c>
      <c r="B150">
        <f>HYPERLINK("https://eproc.rajasthan.gov.in/nicgep/app?component=%24DirectLink&amp;page=FrontEndViewTender&amp;service=direct&amp;session=T&amp;sp=SgI5k4Fg8fw1nWSmM5tJiow%3D%3D", "Ghar Ghar Kachra Sanrgrahan avam safai karye gram panchayat paparda")</f>
        <v/>
      </c>
      <c r="C150" t="inlineStr">
        <is>
          <t>Panchayati Raj Department||Secretary and Commissioner||CEO-DAUSA||BDO-NANGAL RAJAWATAN</t>
        </is>
      </c>
      <c r="D150" t="inlineStr">
        <is>
          <t>28-May-2025 02:00 PM</t>
        </is>
      </c>
      <c r="E150" t="inlineStr">
        <is>
          <t>9,35,000</t>
        </is>
      </c>
      <c r="F150" t="inlineStr">
        <is>
          <t>Ghar Ghar Kachra Sanrgrahan avam safai karye gram panchayat paparda</t>
        </is>
      </c>
      <c r="G150" t="inlineStr">
        <is>
          <t>Paparda</t>
        </is>
      </c>
    </row>
    <row r="151">
      <c r="A151" s="1" t="n">
        <v>149</v>
      </c>
      <c r="B151">
        <f>HYPERLINK("https://eproc.rajasthan.gov.in/nicgep/app?component=%24DirectLink&amp;page=FrontEndViewTender&amp;service=direct&amp;session=T&amp;sp=SvsHsnu%2Fpi5%2FP5yl%2BSOeBQw%3D%3D", "Work including door-to-door residential and commercial garbage collection and separation road and drain cleaning and community sanitation premises cleaning in all villages of Gram Panchayat SAMLETI Panchayat Samiti Mahwa Dist. Dausa For FY 2025-26")</f>
        <v/>
      </c>
      <c r="C151" t="inlineStr">
        <is>
          <t>Panchayati Raj Department||Secretary and Commissioner||CEO-DAUSA||BDO-MAHUVA</t>
        </is>
      </c>
      <c r="D151" t="inlineStr">
        <is>
          <t>26-May-2025 05:00 PM</t>
        </is>
      </c>
      <c r="E151" t="inlineStr">
        <is>
          <t>5,16,033</t>
        </is>
      </c>
      <c r="F151" t="inlineStr">
        <is>
          <t>Work including door-to-door residential and commercial garbage collection and separation road and drain cleaning and community sanitation premises cleaning in all villages of Gram Panchayat SAMLETI Panchayat Samiti Mahwa Dist. Dausa For FY 2025-26</t>
        </is>
      </c>
      <c r="G151" t="inlineStr">
        <is>
          <t>Gram Panchayat SAMLETI</t>
        </is>
      </c>
    </row>
    <row r="152">
      <c r="A152" s="1" t="n">
        <v>150</v>
      </c>
      <c r="B152">
        <f>HYPERLINK("https://eproc.rajasthan.gov.in/nicgep/app?component=%24DirectLink&amp;page=FrontEndViewTender&amp;service=direct&amp;session=T&amp;sp=SRDfiyzGYng171DsiyYFKsQ%3D%3D", "gram panchayat me nirman karyo parsamgri ki aapurti vittiy varsh 2025-26")</f>
        <v/>
      </c>
      <c r="C152" t="inlineStr">
        <is>
          <t>Panchayati Raj Department||Secretary and Commissioner||CEO-ALWAR||BDO-RAMGARH</t>
        </is>
      </c>
      <c r="D152" t="inlineStr">
        <is>
          <t>25-May-2025 06:00 PM</t>
        </is>
      </c>
      <c r="E152" t="inlineStr">
        <is>
          <t>30,00,000</t>
        </is>
      </c>
      <c r="F152" t="inlineStr">
        <is>
          <t>gram panchayat me nirman karyo parsamgri ki aapurti vittiy varsh 2025-26</t>
        </is>
      </c>
      <c r="G152" t="inlineStr">
        <is>
          <t>ps ramgarh</t>
        </is>
      </c>
    </row>
    <row r="153">
      <c r="A153" s="1" t="n">
        <v>151</v>
      </c>
      <c r="B153">
        <f>HYPERLINK("https://eproc.rajasthan.gov.in/nicgep/app?component=%24DirectLink&amp;page=FrontEndViewTender&amp;service=direct&amp;session=T&amp;sp=STuNWIz%2FoYePJmNidMdw0%2Fw%3D%3D", "Works including garbage collection and segregation from household and commercial establishments, road and drain cleaning and cleaning of community sanitary complex at Revenue Village CLEANING AT GP GADRA ps bhadra")</f>
        <v/>
      </c>
      <c r="C153" t="inlineStr">
        <is>
          <t>Panchayati Raj Department||Secretary and Commissioner||CEO- HANUMANGARH||BDO-BHADRA</t>
        </is>
      </c>
      <c r="D153" t="inlineStr">
        <is>
          <t>26-May-2025 06:00 PM</t>
        </is>
      </c>
      <c r="E153" t="inlineStr">
        <is>
          <t>10,00,000</t>
        </is>
      </c>
      <c r="F153" t="inlineStr">
        <is>
          <t>Works including garbage collection and segregation from household and commercial establishments, road and drain cleaning and cleaning of community sanitary complex at Revenue Village CLEANING AT GP GADRA ps bhadra</t>
        </is>
      </c>
      <c r="G153" t="inlineStr">
        <is>
          <t>GRAM PANCHAYAT GADRA</t>
        </is>
      </c>
    </row>
    <row r="154">
      <c r="A154" s="1" t="n">
        <v>152</v>
      </c>
      <c r="B154">
        <f>HYPERLINK("https://eproc.rajasthan.gov.in/nicgep/app?component=%24DirectLink&amp;page=FrontEndViewTender&amp;service=direct&amp;session=T&amp;sp=Sb3c3HzysSANEjJXIyWAW%2BA%3D%3D", "Works including garbage collection and segregation from household and commercial establishments, road and drain cleaning and cleaning of community sanitary complex at Revenue Village CLEANING AT GP JANANA ps bhadra")</f>
        <v/>
      </c>
      <c r="C154" t="inlineStr">
        <is>
          <t>Panchayati Raj Department||Secretary and Commissioner||CEO- HANUMANGARH||BDO-BHADRA</t>
        </is>
      </c>
      <c r="D154" t="inlineStr">
        <is>
          <t>26-May-2025 06:00 PM</t>
        </is>
      </c>
      <c r="E154" t="inlineStr">
        <is>
          <t>10,00,000</t>
        </is>
      </c>
      <c r="F154" t="inlineStr">
        <is>
          <t>Works including garbage collection and segregation from household and commercial establishments, road and drain cleaning and cleaning of community sanitary complex at Revenue Village CLEANING AT GP JANANA ps bhadra</t>
        </is>
      </c>
      <c r="G154" t="inlineStr">
        <is>
          <t>GRAM PANCHAYAT JANANA</t>
        </is>
      </c>
    </row>
    <row r="155">
      <c r="A155" s="1" t="n">
        <v>153</v>
      </c>
      <c r="B155">
        <f>HYPERLINK("https://eproc.rajasthan.gov.in/nicgep/app?component=%24DirectLink&amp;page=FrontEndViewTender&amp;service=direct&amp;session=T&amp;sp=ScHdVmsOHfsYF8ONWJiv6ag%3D%3D", "Works including garbage collection and segregation from household and commercial establishments, road and drain cleaning and cleaning of community sanitary complex at Revenue Village CLEANING AT GP BIRAN ps bhadra")</f>
        <v/>
      </c>
      <c r="C155" t="inlineStr">
        <is>
          <t>Panchayati Raj Department||Secretary and Commissioner||CEO- HANUMANGARH||BDO-BHADRA</t>
        </is>
      </c>
      <c r="D155" t="inlineStr">
        <is>
          <t>26-May-2025 06:00 PM</t>
        </is>
      </c>
      <c r="E155" t="inlineStr">
        <is>
          <t>8,94,000</t>
        </is>
      </c>
      <c r="F155" t="inlineStr">
        <is>
          <t>Works including garbage collection and segregation from household and commercial establishments, road and drain cleaning and cleaning of community sanitary complex at Revenue Village CLEANING AT GP BIRAN ps bhadra</t>
        </is>
      </c>
      <c r="G155" t="inlineStr">
        <is>
          <t>GRAM PANCHAYAT BIRAN</t>
        </is>
      </c>
    </row>
    <row r="156">
      <c r="A156" s="1" t="n">
        <v>154</v>
      </c>
      <c r="B156">
        <f>HYPERLINK("https://eproc.rajasthan.gov.in/nicgep/app?component=%24DirectLink&amp;page=FrontEndViewTender&amp;service=direct&amp;session=T&amp;sp=SZ5Ow8gOQz29DtYMAXp4jkQ%3D%3D", "Works including garbage collection and segregation from household and commercial establishments, road and drain cleaning and cleaning of community sanitary complex at Revenue Village CLEANING AT GP NINAN ps bhadra")</f>
        <v/>
      </c>
      <c r="C156" t="inlineStr">
        <is>
          <t>Panchayati Raj Department||Secretary and Commissioner||CEO- HANUMANGARH||BDO-BHADRA</t>
        </is>
      </c>
      <c r="D156" t="inlineStr">
        <is>
          <t>26-May-2025 06:00 PM</t>
        </is>
      </c>
      <c r="E156" t="inlineStr">
        <is>
          <t>9,99,000</t>
        </is>
      </c>
      <c r="F156" t="inlineStr">
        <is>
          <t>Works including garbage collection and segregation from household and commercial establishments, road and drain cleaning and cleaning of community sanitary complex at Revenue Village CLEANING AT GP NINAN ps bhadra</t>
        </is>
      </c>
      <c r="G156" t="inlineStr">
        <is>
          <t>GRAM PANCHAYAT NINAN</t>
        </is>
      </c>
    </row>
    <row r="157">
      <c r="A157" s="1" t="n">
        <v>155</v>
      </c>
      <c r="B157">
        <f>HYPERLINK("https://eproc.rajasthan.gov.in/nicgep/app?component=%24DirectLink&amp;page=FrontEndViewTender&amp;service=direct&amp;session=T&amp;sp=SruLfy0zAt7z26m7jspBw8w%3D%3D", "Works including garbage collection and segregation from household and commercial establishments, road and drain cleaning and cleaning of community sanitary complex at Revenue Village CLEANING AT GP RAMGADIYA ps bhadra")</f>
        <v/>
      </c>
      <c r="C157" t="inlineStr">
        <is>
          <t>Panchayati Raj Department||Secretary and Commissioner||CEO- HANUMANGARH||BDO-BHADRA</t>
        </is>
      </c>
      <c r="D157" t="inlineStr">
        <is>
          <t>26-May-2025 06:00 PM</t>
        </is>
      </c>
      <c r="E157" t="inlineStr">
        <is>
          <t>9,21,000</t>
        </is>
      </c>
      <c r="F157" t="inlineStr">
        <is>
          <t>Works including garbage collection and segregation from household and commercial establishments, road and drain cleaning and cleaning of community sanitary complex at Revenue Village CLEANING AT GP RAMGADIYA ps bhadra</t>
        </is>
      </c>
      <c r="G157" t="inlineStr">
        <is>
          <t>GRAM PANCHAYAT RAMGADIA</t>
        </is>
      </c>
    </row>
    <row r="158">
      <c r="A158" s="1" t="n">
        <v>156</v>
      </c>
      <c r="B158">
        <f>HYPERLINK("https://eproc.rajasthan.gov.in/nicgep/app?component=%24DirectLink&amp;page=FrontEndViewTender&amp;service=direct&amp;session=T&amp;sp=SqSIIL7AzxYqsuR%2BsmxQyag%3D%3D", "Gram panchyat me samast gavno me ghar ghar kachra sangrahan gav ki naliyo or Samudayik Parisar ki safai karya GP Sardargarh")</f>
        <v/>
      </c>
      <c r="C158" t="inlineStr">
        <is>
          <t>Panchayati Raj Department||Secretary and Commissioner||CEO- GANGANAGAR||BDO-SURATGARH</t>
        </is>
      </c>
      <c r="D158" t="inlineStr">
        <is>
          <t>24-May-2025 02:00 PM</t>
        </is>
      </c>
      <c r="E158" t="inlineStr">
        <is>
          <t>8,28,646</t>
        </is>
      </c>
      <c r="F158" t="inlineStr">
        <is>
          <t>Gram panchyat me samast gavno me ghar ghar kachra sangrahan gav ki naliyo or Samudayik Parisar ki safai karya GP Sardargarh</t>
        </is>
      </c>
      <c r="G158" t="inlineStr">
        <is>
          <t>Gram Panchyat Sardargarh</t>
        </is>
      </c>
    </row>
    <row r="159">
      <c r="A159" s="1" t="n">
        <v>157</v>
      </c>
      <c r="B159">
        <f>HYPERLINK("https://eproc.rajasthan.gov.in/nicgep/app?component=%24DirectLink&amp;page=FrontEndViewTender&amp;service=direct&amp;session=T&amp;sp=SmZJGs%2FEYwNCL30tVVqbaow%3D%3D", "Rate contract For supply of Construcation Material and Providing Equipments for MGNREGA in Gram panchayat Samleti Panchayat samiti Mahwa For FY 2025-26 UP to 31 March 2026 (ITEM WISE RATE AS PEAR ATTACHED G SCHEDULE")</f>
        <v/>
      </c>
      <c r="C159" t="inlineStr">
        <is>
          <t>Panchayati Raj Department||Secretary and Commissioner||CEO-DAUSA||BDO-MAHUVA</t>
        </is>
      </c>
      <c r="D159" t="inlineStr">
        <is>
          <t>30-May-2025 05:00 PM</t>
        </is>
      </c>
      <c r="E159" t="inlineStr">
        <is>
          <t>35,00,000</t>
        </is>
      </c>
      <c r="F159" t="inlineStr">
        <is>
          <t>Rate contract For supply of Construcation Material and Providing Equipments for MGNREGA in Gram panchayat Samleti Panchayat samiti Mahwa For FY 2025-26 UP to 31 March 2026 (ITEM WISE RATE AS PEAR ATTACHED G SCHEDULE</t>
        </is>
      </c>
      <c r="G159" t="inlineStr">
        <is>
          <t>Gram panchayat Samleti</t>
        </is>
      </c>
    </row>
    <row r="160">
      <c r="A160" s="1" t="n">
        <v>158</v>
      </c>
      <c r="B160">
        <f>HYPERLINK("https://eproc.rajasthan.gov.in/nicgep/app?component=%24DirectLink&amp;page=FrontEndViewTender&amp;service=direct&amp;session=T&amp;sp=ShMDeQ%2FNmDzYJmIlXI%2FmjlA%3D%3D", "Works including garbage collection and segregation from household and commercial establishments, road and drain cleaning and cleaning of community sanitary complex at Revenue Village CLEANING AT GP MEHRANA ps bhadra")</f>
        <v/>
      </c>
      <c r="C160" t="inlineStr">
        <is>
          <t>Panchayati Raj Department||Secretary and Commissioner||CEO- HANUMANGARH||BDO-BHADRA</t>
        </is>
      </c>
      <c r="D160" t="inlineStr">
        <is>
          <t>26-May-2025 06:00 PM</t>
        </is>
      </c>
      <c r="E160" t="inlineStr">
        <is>
          <t>10,00,000</t>
        </is>
      </c>
      <c r="F160" t="inlineStr">
        <is>
          <t>Works including garbage collection and segregation from household and commercial establishments, road and drain cleaning and cleaning of community sanitary complex at Revenue Village CLEANING AT GP MEHRANA ps bhadra</t>
        </is>
      </c>
      <c r="G160" t="inlineStr">
        <is>
          <t>GRAM PANCHAYAT MEHRANA</t>
        </is>
      </c>
    </row>
    <row r="161">
      <c r="A161" s="1" t="n">
        <v>159</v>
      </c>
      <c r="B161">
        <f>HYPERLINK("https://eproc.rajasthan.gov.in/nicgep/app?component=%24DirectLink&amp;page=FrontEndViewTender&amp;service=direct&amp;session=T&amp;sp=SY%2BvgnoFd3cntxCKIw6kWvQ%3D%3D", "Work including door-to-door (residential and commercial) garbage collection and segregation, road and drain cleaning and community sanitation premises cleaning in all villages of Gram Panchayat Khatwa")</f>
        <v/>
      </c>
      <c r="C161" t="inlineStr">
        <is>
          <t>Panchayati Raj Department||Secretary and Commissioner||CEO-DAUSA||BDO-LALSOT</t>
        </is>
      </c>
      <c r="D161" t="inlineStr">
        <is>
          <t>23-May-2025 06:00 PM</t>
        </is>
      </c>
      <c r="E161" t="inlineStr">
        <is>
          <t>5,31,678</t>
        </is>
      </c>
      <c r="F161" t="inlineStr">
        <is>
          <t>Work including door-to-door (residential and commercial) garbage collection and segregation, road and drain cleaning and community sanitation premises cleaning in all villages of Gram Panchayat Khatwa</t>
        </is>
      </c>
      <c r="G161" t="inlineStr">
        <is>
          <t>Gram Panchayat Khatwa</t>
        </is>
      </c>
    </row>
    <row r="162">
      <c r="A162" s="1" t="n">
        <v>160</v>
      </c>
      <c r="B162">
        <f>HYPERLINK("https://eproc.rajasthan.gov.in/nicgep/app?component=%24DirectLink&amp;page=FrontEndViewTender&amp;service=direct&amp;session=T&amp;sp=SRtG6gOcHxQpMFXuOtIAwGg%3D%3D", "Works including garbage collection and segregation from household and commercial establishments, road and drain cleaning and cleaning of community sanitary complex at Revenue Village CLEANING AT GP MUNDARIA BADA ps bhadra")</f>
        <v/>
      </c>
      <c r="C162" t="inlineStr">
        <is>
          <t>Panchayati Raj Department||Secretary and Commissioner||CEO- HANUMANGARH||BDO-BHADRA</t>
        </is>
      </c>
      <c r="D162" t="inlineStr">
        <is>
          <t>26-May-2025 06:00 PM</t>
        </is>
      </c>
      <c r="E162" t="inlineStr">
        <is>
          <t>9,81,000</t>
        </is>
      </c>
      <c r="F162" t="inlineStr">
        <is>
          <t>Works including garbage collection and segregation from household and commercial establishments, road and drain cleaning and cleaning of community sanitary complex at Revenue Village CLEANING AT GP MUNDARIA BADA ps bhadra</t>
        </is>
      </c>
      <c r="G162" t="inlineStr">
        <is>
          <t>GRAM PANCHAYAT MUNDRIA BADA</t>
        </is>
      </c>
    </row>
    <row r="163">
      <c r="A163" s="1" t="n">
        <v>161</v>
      </c>
      <c r="B163">
        <f>HYPERLINK("https://eproc.rajasthan.gov.in/nicgep/app?component=%24DirectLink&amp;page=FrontEndViewTender&amp;service=direct&amp;session=T&amp;sp=SEiJMIthi968TwXXN7Ype%2BA%3D%3D", "Gram panchyat me samast gavno me ghar ghar kachra sangrahan gav ki naliyo or Samudayik Parisar ki safai karya GP Sanghar")</f>
        <v/>
      </c>
      <c r="C163" t="inlineStr">
        <is>
          <t>Panchayati Raj Department||Secretary and Commissioner||CEO- GANGANAGAR||BDO-SURATGARH</t>
        </is>
      </c>
      <c r="D163" t="inlineStr">
        <is>
          <t>24-May-2025 02:00 PM</t>
        </is>
      </c>
      <c r="E163" t="inlineStr">
        <is>
          <t>9,55,261</t>
        </is>
      </c>
      <c r="F163" t="inlineStr">
        <is>
          <t>Gram panchyat me samast gavno me ghar ghar kachra sangrahan gav ki naliyo or Samudayik Parisar ki safai karya GP Sanghar</t>
        </is>
      </c>
      <c r="G163" t="inlineStr">
        <is>
          <t>Gram Panchyat Sanghar</t>
        </is>
      </c>
    </row>
    <row r="164">
      <c r="A164" s="1" t="n">
        <v>162</v>
      </c>
      <c r="B164">
        <f>HYPERLINK("https://eproc.rajasthan.gov.in/nicgep/app?component=%24DirectLink&amp;page=FrontEndViewTender&amp;service=direct&amp;session=T&amp;sp=Sz8eUXUCqVHlethX3f5524Q%3D%3D", "Works including garbage collection and segregation from household and commercial establishments, road and drain cleaning and cleaning of community sanitary complex at Revenue Village CLEANING AT GP BOJHLA ps bhadra")</f>
        <v/>
      </c>
      <c r="C164" t="inlineStr">
        <is>
          <t>Panchayati Raj Department||Secretary and Commissioner||CEO- HANUMANGARH||BDO-BHADRA</t>
        </is>
      </c>
      <c r="D164" t="inlineStr">
        <is>
          <t>26-May-2025 06:00 PM</t>
        </is>
      </c>
      <c r="E164" t="inlineStr">
        <is>
          <t>9,90,000</t>
        </is>
      </c>
      <c r="F164" t="inlineStr">
        <is>
          <t>Works including garbage collection and segregation from household and commercial establishments, road and drain cleaning and cleaning of community sanitary complex at Revenue Village CLEANING AT GP BOJHLA ps bhadra</t>
        </is>
      </c>
      <c r="G164" t="inlineStr">
        <is>
          <t>GRAM PANCHAYAT BOJHLA</t>
        </is>
      </c>
    </row>
    <row r="165">
      <c r="A165" s="1" t="n">
        <v>163</v>
      </c>
      <c r="B165">
        <f>HYPERLINK("https://eproc.rajasthan.gov.in/nicgep/app?component=%24DirectLink&amp;page=FrontEndViewTender&amp;service=direct&amp;session=T&amp;sp=S9Sv3kDmoKKSMijliYq97yw%3D%3D", "Supply Of Civil Constriction Goods Under Mnrega and Other scheme for session 2025-26 Gram Panchayat Bhonri Panchayat Samiti Pahadi")</f>
        <v/>
      </c>
      <c r="C165" t="inlineStr">
        <is>
          <t>Panchayati Raj Department||Secretary and Commissioner||CEO-BHARATPUR||BDO-NAGAR</t>
        </is>
      </c>
      <c r="D165" t="inlineStr">
        <is>
          <t>02-Jun-2025 06:00 PM</t>
        </is>
      </c>
      <c r="E165" t="inlineStr">
        <is>
          <t>70,00,000</t>
        </is>
      </c>
      <c r="F165" t="inlineStr">
        <is>
          <t>Supply Of Civil Constriction Goods Under Mnrega and Other scheme for session 2025-26 Gram Panchayat Bhonri Panchayat Samiti Pahadi</t>
        </is>
      </c>
      <c r="G165" t="inlineStr">
        <is>
          <t>GP_BHONRI</t>
        </is>
      </c>
    </row>
    <row r="166">
      <c r="A166" s="1" t="n">
        <v>164</v>
      </c>
      <c r="B166">
        <f>HYPERLINK("https://eproc.rajasthan.gov.in/nicgep/app?component=%24DirectLink&amp;page=FrontEndViewTender&amp;service=direct&amp;session=T&amp;sp=Sjba9OIT8OrKnAkOYuMpXOQ%3D%3D", "45 DATED 17-05-2025 NASHANWA")</f>
        <v/>
      </c>
      <c r="C166" t="inlineStr">
        <is>
          <t>Panchayati Raj Department||Secretary and Commissioner||CEO-SIKAR||BDO-NECHWA</t>
        </is>
      </c>
      <c r="D166" t="inlineStr">
        <is>
          <t>30-May-2025 06:00 PM</t>
        </is>
      </c>
      <c r="E166" t="inlineStr">
        <is>
          <t>11,49,202</t>
        </is>
      </c>
      <c r="F166" t="inlineStr">
        <is>
          <t>CHAR DIWARI NIRMAN KARYA SHAMSHAN BHOOMI NASHANWA KHASRA NO. 187 GRAM NASHNWA GRAM PANCHAYAT KACHHWA PANCHAYAT SAMITI NECHHWA</t>
        </is>
      </c>
      <c r="G166" t="inlineStr">
        <is>
          <t>GP KAchhwa</t>
        </is>
      </c>
    </row>
    <row r="167">
      <c r="A167" s="1" t="n">
        <v>165</v>
      </c>
      <c r="B167">
        <f>HYPERLINK("https://eproc.rajasthan.gov.in/nicgep/app?component=%24DirectLink&amp;page=FrontEndViewTender&amp;service=direct&amp;session=T&amp;sp=SeMFZDmdc3JrTxALnhQJKDA%3D%3D", "In all the villages of the gram panchayat Kheroda, work includes door-to-door collection and segregation of residential and commercial waste, cleaning of roads and drains, and cleaning of community sanitation facilities")</f>
        <v/>
      </c>
      <c r="C167" t="inlineStr">
        <is>
          <t>Panchayati Raj Department||Secretary and Commissioner||CEO-UDAIPUR||BDO-VALLABH NAGAR</t>
        </is>
      </c>
      <c r="D167" t="inlineStr">
        <is>
          <t>23-May-2025 05:00 PM</t>
        </is>
      </c>
      <c r="E167" t="inlineStr">
        <is>
          <t>15,00,000</t>
        </is>
      </c>
      <c r="F167" t="inlineStr">
        <is>
          <t>In all the villages of the gram panchayat Kheroda, work includes door-to-door collection and segregation of residential and commercial waste, cleaning of roads and drains, and cleaning of community sanitation facilities</t>
        </is>
      </c>
      <c r="G167" t="inlineStr">
        <is>
          <t>Gram Panchayat Kheroda</t>
        </is>
      </c>
    </row>
    <row r="168">
      <c r="A168" s="1" t="n">
        <v>166</v>
      </c>
      <c r="B168">
        <f>HYPERLINK("https://eproc.rajasthan.gov.in/nicgep/app?component=%24DirectLink&amp;page=FrontEndViewTender&amp;service=direct&amp;session=T&amp;sp=S8PvCQsagrYxogcoQk9iovQ%3D%3D", "Rate contract for Work Including Garbage Collection and Separation from Households and Commercial Establishments, Road and Drain cleaning, Cleaning of CSCs in all villages of Gram Panchayat Pali Panchayat Samiti Khandar")</f>
        <v/>
      </c>
      <c r="C168" t="inlineStr">
        <is>
          <t>Panchayati Raj Department||Secretary and Commissioner||CEO-S.MADHOPUR||BDO-KHANDAR</t>
        </is>
      </c>
      <c r="D168" t="inlineStr">
        <is>
          <t>27-May-2025 06:00 PM</t>
        </is>
      </c>
      <c r="E168" t="inlineStr">
        <is>
          <t>26,59,000</t>
        </is>
      </c>
      <c r="F168" t="inlineStr">
        <is>
          <t>Rate contract for Work Including Garbage Collection and Separation from Households and Commercial Establishments, Road and Drain cleaning, Cleaning of CSCs in all villages of Gram Panchayat Pali Panchayat Samiti Khandar</t>
        </is>
      </c>
      <c r="G168" t="inlineStr">
        <is>
          <t>GRAM PANCHYAT PALI</t>
        </is>
      </c>
    </row>
    <row r="169">
      <c r="A169" s="1" t="n">
        <v>167</v>
      </c>
      <c r="B169">
        <f>HYPERLINK("https://eproc.rajasthan.gov.in/nicgep/app?component=%24DirectLink&amp;page=FrontEndViewTender&amp;service=direct&amp;session=T&amp;sp=SKgV2gPQ%2Fc%2Bhkenf%2FqFa9Bw%3D%3D", "Rate contract For Supply of Construction Material and Providing Equipments for MGNREGA and Rural Development and Panchayati Raj departments various schemes at Gram Panchayat Nandera Panchayat Samiti Bandikui Dist Dausa For FY 2025-26")</f>
        <v/>
      </c>
      <c r="C169" t="inlineStr">
        <is>
          <t>Panchayati Raj Department||Secretary and Commissioner||CEO-DAUSA||BDO-BANDIKUI</t>
        </is>
      </c>
      <c r="D169" t="inlineStr">
        <is>
          <t>26-May-2025 05:00 PM</t>
        </is>
      </c>
      <c r="E169" t="inlineStr">
        <is>
          <t>50,00,000</t>
        </is>
      </c>
      <c r="F169" t="inlineStr">
        <is>
          <t>Rate contract For Supply of Construction Material and Providing Equipments for MGNREGA and Rural Development and Panchayati Raj departments various schemes at Gram Panchayat Nandera Panchayat Samiti Bandikui Dist Dausa For FY 2025-26</t>
        </is>
      </c>
      <c r="G169" t="inlineStr">
        <is>
          <t>GRAM PANCHYAT NANDERA</t>
        </is>
      </c>
    </row>
    <row r="170">
      <c r="A170" s="1" t="n">
        <v>168</v>
      </c>
      <c r="B170">
        <f>HYPERLINK("https://eproc.rajasthan.gov.in/nicgep/app?component=%24DirectLink&amp;page=FrontEndViewTender&amp;service=direct&amp;session=T&amp;sp=S6Pq3F2BMqgIcPSyXBXuvcQ%3D%3D", "Garbage collection and Cleaning Street-Drain GP Deengarh")</f>
        <v/>
      </c>
      <c r="C170" t="inlineStr">
        <is>
          <t>Panchayati Raj Department||Secretary and Commissioner||CEO- HANUMANGARH||BDO-SANGARIYA</t>
        </is>
      </c>
      <c r="D170" t="inlineStr">
        <is>
          <t>26-May-2025 06:00 PM</t>
        </is>
      </c>
      <c r="E170" t="inlineStr">
        <is>
          <t>4,48,000</t>
        </is>
      </c>
      <c r="F170" t="inlineStr">
        <is>
          <t>Garbage collection and Cleaning Street-Drain GP Deengarh</t>
        </is>
      </c>
      <c r="G170" t="inlineStr">
        <is>
          <t>GP Deengarh</t>
        </is>
      </c>
    </row>
    <row r="171">
      <c r="A171" s="1" t="n">
        <v>169</v>
      </c>
      <c r="B171">
        <f>HYPERLINK("https://eproc.rajasthan.gov.in/nicgep/app?component=%24DirectLink&amp;page=FrontEndViewTender&amp;service=direct&amp;session=T&amp;sp=SFJOlgceZvRRAo1ntvaO1vQ%3D%3D", "Gram panchyat me samast gavno me ghar ghar kachra sangrahan gav ki naliyo or Samudayik Parisar ki safai karya GP Raiyawali")</f>
        <v/>
      </c>
      <c r="C171" t="inlineStr">
        <is>
          <t>Panchayati Raj Department||Secretary and Commissioner||CEO- GANGANAGAR||BDO-SURATGARH</t>
        </is>
      </c>
      <c r="D171" t="inlineStr">
        <is>
          <t>24-May-2025 02:00 PM</t>
        </is>
      </c>
      <c r="E171" t="inlineStr">
        <is>
          <t>13,42,146</t>
        </is>
      </c>
      <c r="F171" t="inlineStr">
        <is>
          <t>Gram panchyat me samast gavno me ghar ghar kachra sangrahan gav ki naliyo or Samudayik Parisar ki safai karya GP Raiyawali</t>
        </is>
      </c>
      <c r="G171" t="inlineStr">
        <is>
          <t>Gram Panchyat Raiyawali</t>
        </is>
      </c>
    </row>
    <row r="172">
      <c r="A172" s="1" t="n">
        <v>170</v>
      </c>
      <c r="B172">
        <f>HYPERLINK("https://eproc.rajasthan.gov.in/nicgep/app?component=%24DirectLink&amp;page=FrontEndViewTender&amp;service=direct&amp;session=T&amp;sp=Sz1E5DDL%2BRM%2BjYXc2v4y8fw%3D%3D", "Gram panchyat me samast gavno me ghar ghar kachra sangrahan gav ki naliyo or Samudayik Parisar ki safai karya GP Rangmahal")</f>
        <v/>
      </c>
      <c r="C172" t="inlineStr">
        <is>
          <t>Panchayati Raj Department||Secretary and Commissioner||CEO- GANGANAGAR||BDO-SURATGARH</t>
        </is>
      </c>
      <c r="D172" t="inlineStr">
        <is>
          <t>24-May-2025 02:00 PM</t>
        </is>
      </c>
      <c r="E172" t="inlineStr">
        <is>
          <t>12,36,906</t>
        </is>
      </c>
      <c r="F172" t="inlineStr">
        <is>
          <t>Gram panchyat me samast gavno me ghar ghar kachra sangrahan gav ki naliyo or Samudayik Parisar ki safai karya GP Rangmahal</t>
        </is>
      </c>
      <c r="G172" t="inlineStr">
        <is>
          <t>Gram Panchyat Rangmahal</t>
        </is>
      </c>
    </row>
    <row r="173">
      <c r="A173" s="1" t="n">
        <v>171</v>
      </c>
      <c r="B173">
        <f>HYPERLINK("https://eproc.rajasthan.gov.in/nicgep/app?component=%24DirectLink&amp;page=FrontEndViewTender&amp;service=direct&amp;session=T&amp;sp=SQ2uROkb44pCcKzOfJ8f5ow%3D%3D", "Construction of Public tank near Ashapura temple")</f>
        <v/>
      </c>
      <c r="C173" t="inlineStr">
        <is>
          <t>Panchayati Raj Department||Secretary and Commissioner||CEO-BADMER||BDO-FAGLIYA</t>
        </is>
      </c>
      <c r="D173" t="inlineStr">
        <is>
          <t>24-May-2025 06:00 PM</t>
        </is>
      </c>
      <c r="E173" t="inlineStr">
        <is>
          <t>1,00,000</t>
        </is>
      </c>
      <c r="F173" t="inlineStr">
        <is>
          <t>Public Tanka</t>
        </is>
      </c>
      <c r="G173" t="inlineStr">
        <is>
          <t>Badha</t>
        </is>
      </c>
    </row>
    <row r="174">
      <c r="A174" s="1" t="n">
        <v>172</v>
      </c>
      <c r="B174">
        <f>HYPERLINK("https://eproc.rajasthan.gov.in/nicgep/app?component=%24DirectLink&amp;page=FrontEndViewTender&amp;service=direct&amp;session=T&amp;sp=S0jvy7lQ9ZIZgvOeTOI3xig%3D%3D", "Gram panchyat me samast gavno me ghar ghar kachra sangrahan gav ki naliyo or Samudayik Parisar ki safai karya GP Sadakwala")</f>
        <v/>
      </c>
      <c r="C174" t="inlineStr">
        <is>
          <t>Panchayati Raj Department||Secretary and Commissioner||CEO- GANGANAGAR||BDO-SURATGARH</t>
        </is>
      </c>
      <c r="D174" t="inlineStr">
        <is>
          <t>24-May-2025 02:00 PM</t>
        </is>
      </c>
      <c r="E174" t="inlineStr">
        <is>
          <t>8,42,991</t>
        </is>
      </c>
      <c r="F174" t="inlineStr">
        <is>
          <t>Gram panchyat me samast gavno me ghar ghar kachra sangrahan gav ki naliyo or Samudayik Parisar ki safai karya GP Sadakwala</t>
        </is>
      </c>
      <c r="G174" t="inlineStr">
        <is>
          <t>Gram Panchyat Sadakwala</t>
        </is>
      </c>
    </row>
    <row r="175">
      <c r="A175" s="1" t="n">
        <v>173</v>
      </c>
      <c r="B175">
        <f>HYPERLINK("https://eproc.rajasthan.gov.in/nicgep/app?component=%24DirectLink&amp;page=FrontEndViewTender&amp;service=direct&amp;session=T&amp;sp=SNnbf5%2BvlnPtkKJvJlkiH3Q%3D%3D", "Gram panchyat me samast gavno me ghar ghar kachra sangrahan gav ki naliyo or Samudayik Parisar ki safai karya GP Ramsara Jakhdan")</f>
        <v/>
      </c>
      <c r="C175" t="inlineStr">
        <is>
          <t>Panchayati Raj Department||Secretary and Commissioner||CEO- GANGANAGAR||BDO-SURATGARH</t>
        </is>
      </c>
      <c r="D175" t="inlineStr">
        <is>
          <t>24-May-2025 02:00 PM</t>
        </is>
      </c>
      <c r="E175" t="inlineStr">
        <is>
          <t>12,35,075</t>
        </is>
      </c>
      <c r="F175" t="inlineStr">
        <is>
          <t>Gram panchyat me samast gavno me ghar ghar kachra sangrahan gav ki naliyo or Samudayik Parisar ki safai karya GP Ramsara Jakhdan</t>
        </is>
      </c>
      <c r="G175" t="inlineStr">
        <is>
          <t>Gram Panchyat Ramsara Jakhdan</t>
        </is>
      </c>
    </row>
    <row r="176">
      <c r="A176" s="1" t="n">
        <v>174</v>
      </c>
      <c r="B176">
        <f>HYPERLINK("https://eproc.rajasthan.gov.in/nicgep/app?component=%24DirectLink&amp;page=FrontEndViewTender&amp;service=direct&amp;session=T&amp;sp=SG%2FNnCB6cVxZTp%2F62eL3Cxg%3D%3D", "gram panchayat me nirman karyo par samgri ki aapurti vittiy varsh 2025-26")</f>
        <v/>
      </c>
      <c r="C176" t="inlineStr">
        <is>
          <t>Panchayati Raj Department||Secretary and Commissioner||CEO-ALWAR||BDO-RAMGARH</t>
        </is>
      </c>
      <c r="D176" t="inlineStr">
        <is>
          <t>25-May-2025 06:00 PM</t>
        </is>
      </c>
      <c r="E176" t="inlineStr">
        <is>
          <t>30,00,000</t>
        </is>
      </c>
      <c r="F176" t="inlineStr">
        <is>
          <t>gram panchayat me nirman karyo par samgri ki aapurti vittiy varsh 2025-26</t>
        </is>
      </c>
      <c r="G176" t="inlineStr">
        <is>
          <t>gp hajipur</t>
        </is>
      </c>
    </row>
    <row r="177">
      <c r="A177" s="1" t="n">
        <v>175</v>
      </c>
      <c r="B177">
        <f>HYPERLINK("https://eproc.rajasthan.gov.in/nicgep/app?component=%24DirectLink&amp;page=FrontEndViewTender&amp;service=direct&amp;session=T&amp;sp=S1vxhjS16Adc9Q0KENIWvog%3D%3D", "Garbage collection and Cleaning Street-Drain GP Lilanwali")</f>
        <v/>
      </c>
      <c r="C177" t="inlineStr">
        <is>
          <t>Panchayati Raj Department||Secretary and Commissioner||CEO- HANUMANGARH||BDO-SANGARIYA</t>
        </is>
      </c>
      <c r="D177" t="inlineStr">
        <is>
          <t>26-May-2025 06:00 PM</t>
        </is>
      </c>
      <c r="E177" t="inlineStr">
        <is>
          <t>9,67,000</t>
        </is>
      </c>
      <c r="F177" t="inlineStr">
        <is>
          <t>Garbage collection and Cleaning Street-Drain GP Lilanwali</t>
        </is>
      </c>
      <c r="G177" t="inlineStr">
        <is>
          <t>GP Lilanwali</t>
        </is>
      </c>
    </row>
    <row r="178">
      <c r="A178" s="1" t="n">
        <v>176</v>
      </c>
      <c r="B178">
        <f>HYPERLINK("https://eproc.rajasthan.gov.in/nicgep/app?component=%24DirectLink&amp;page=FrontEndViewTender&amp;service=direct&amp;session=T&amp;sp=SX3T2bCJ%2FQvjxfIlk7zpTyA%3D%3D", "Garbage collection and Cleaning Street-Drain GP inderpura")</f>
        <v/>
      </c>
      <c r="C178" t="inlineStr">
        <is>
          <t>Panchayati Raj Department||Secretary and Commissioner||CEO- HANUMANGARH||BDO-SANGARIYA</t>
        </is>
      </c>
      <c r="D178" t="inlineStr">
        <is>
          <t>26-May-2025 06:00 PM</t>
        </is>
      </c>
      <c r="E178" t="inlineStr">
        <is>
          <t>7,08,000</t>
        </is>
      </c>
      <c r="F178" t="inlineStr">
        <is>
          <t>Garbage collection and Cleaning Street-Drain GP inderpura</t>
        </is>
      </c>
      <c r="G178" t="inlineStr">
        <is>
          <t>GP Inderpura</t>
        </is>
      </c>
    </row>
    <row r="179">
      <c r="A179" s="1" t="n">
        <v>177</v>
      </c>
      <c r="B179">
        <f>HYPERLINK("https://eproc.rajasthan.gov.in/nicgep/app?component=%24DirectLink&amp;page=FrontEndViewTender&amp;service=direct&amp;session=T&amp;sp=SRFpUs1v23WDYWyTCttwYgA%3D%3D", "Rate contract for Work Including Garbage Collection and Separation from Households and Commercial Establishments, Road and Drain cleaning, Cleaning of CSCs in all villages of Gram Panchayat Bahrawnda Kalan Panchayat Samiti Khandar")</f>
        <v/>
      </c>
      <c r="C179" t="inlineStr">
        <is>
          <t>Panchayati Raj Department||Secretary and Commissioner||CEO-S.MADHOPUR||BDO-KHANDAR</t>
        </is>
      </c>
      <c r="D179" t="inlineStr">
        <is>
          <t>27-May-2025 06:00 PM</t>
        </is>
      </c>
      <c r="E179" t="inlineStr">
        <is>
          <t>21,00,000</t>
        </is>
      </c>
      <c r="F179" t="inlineStr">
        <is>
          <t>Rate contract for Work Including Garbage Collection and Separation from Households and Commercial Establishments, Road and Drain cleaning, Cleaning of CSCs in all villages of Gram Panchayat Bahrawnda Kalan Panchayat Samiti Khandar</t>
        </is>
      </c>
      <c r="G179" t="inlineStr">
        <is>
          <t>GRAM PANCHYAT BAHRAWNDA KALAN</t>
        </is>
      </c>
    </row>
    <row r="180">
      <c r="A180" s="1" t="n">
        <v>178</v>
      </c>
      <c r="B180">
        <f>HYPERLINK("https://eproc.rajasthan.gov.in/nicgep/app?component=%24DirectLink&amp;page=FrontEndViewTender&amp;service=direct&amp;session=T&amp;sp=Sq5Sc9PTprFljKx0%2B%2Bdi5Vw%3D%3D", "Works including garbage collection and segregation from household and commercial establishments, road and drain cleaning and cleaning of community sanitary complex at Revenue Village CLEANING AT GP BHANGARH ps bhadra")</f>
        <v/>
      </c>
      <c r="C180" t="inlineStr">
        <is>
          <t>Panchayati Raj Department||Secretary and Commissioner||CEO- HANUMANGARH||BDO-BHADRA</t>
        </is>
      </c>
      <c r="D180" t="inlineStr">
        <is>
          <t>26-May-2025 06:00 PM</t>
        </is>
      </c>
      <c r="E180" t="inlineStr">
        <is>
          <t>9,75,000</t>
        </is>
      </c>
      <c r="F180" t="inlineStr">
        <is>
          <t>Works including garbage collection and segregation from household and commercial establishments, road and drain cleaning and cleaning of community sanitary complex at Revenue Village CLEANING AT GP BHANGARH ps bhadra</t>
        </is>
      </c>
      <c r="G180" t="inlineStr">
        <is>
          <t>GRAM PANCHAYAT BHANGARH</t>
        </is>
      </c>
    </row>
    <row r="181">
      <c r="A181" s="1" t="n">
        <v>179</v>
      </c>
      <c r="B181">
        <f>HYPERLINK("https://eproc.rajasthan.gov.in/nicgep/app?component=%24DirectLink&amp;page=FrontEndViewTender&amp;service=direct&amp;session=T&amp;sp=Sc5zRlXN8Xhhv%2F%2FjgK1B7%2Bw%3D%3D", "Works including garbage collection and segregation from household and commercial establishments, road and drain cleaning and cleaning of community sanitary complex at Revenue Village CLEANING AT GP RAJPURA ps bhadra")</f>
        <v/>
      </c>
      <c r="C181" t="inlineStr">
        <is>
          <t>Panchayati Raj Department||Secretary and Commissioner||CEO- HANUMANGARH||BDO-BHADRA</t>
        </is>
      </c>
      <c r="D181" t="inlineStr">
        <is>
          <t>26-May-2025 06:00 PM</t>
        </is>
      </c>
      <c r="E181" t="inlineStr">
        <is>
          <t>9,60,000</t>
        </is>
      </c>
      <c r="F181" t="inlineStr">
        <is>
          <t>Works including garbage collection and segregation from household and commercial establishments, road and drain cleaning and cleaning of community sanitary complex at Revenue Village CLEANING AT GP RAJPURA ps bhadra</t>
        </is>
      </c>
      <c r="G181" t="inlineStr">
        <is>
          <t>GRAM PANCHAYAT RAJPURA</t>
        </is>
      </c>
    </row>
    <row r="182">
      <c r="A182" s="1" t="n">
        <v>180</v>
      </c>
      <c r="B182">
        <f>HYPERLINK("https://eproc.rajasthan.gov.in/nicgep/app?component=%24DirectLink&amp;page=FrontEndViewTender&amp;service=direct&amp;session=T&amp;sp=SP5c0MFlMCeYEAik5lrjgIw%3D%3D", "Works including garbage collection and segregation from household and commercial establishments, road and drain cleaning and cleaning of community sanitary complex at Revenue Village CLEANING AT GP BHANGWA ps bhadra")</f>
        <v/>
      </c>
      <c r="C182" t="inlineStr">
        <is>
          <t>Panchayati Raj Department||Secretary and Commissioner||CEO- HANUMANGARH||BDO-BHADRA</t>
        </is>
      </c>
      <c r="D182" t="inlineStr">
        <is>
          <t>26-May-2025 06:00 PM</t>
        </is>
      </c>
      <c r="E182" t="inlineStr">
        <is>
          <t>9,27,000</t>
        </is>
      </c>
      <c r="F182" t="inlineStr">
        <is>
          <t>Works including garbage collection and segregation from household and commercial establishments, road and drain cleaning and cleaning of community sanitary complex at Revenue Village CLEANING AT GP BHANGWA ps bhadra</t>
        </is>
      </c>
      <c r="G182" t="inlineStr">
        <is>
          <t>GRAM PANCHAYAT BHANGWA</t>
        </is>
      </c>
    </row>
    <row r="183">
      <c r="A183" s="1" t="n">
        <v>181</v>
      </c>
      <c r="B183">
        <f>HYPERLINK("https://eproc.rajasthan.gov.in/nicgep/app?component=%24DirectLink&amp;page=FrontEndViewTender&amp;service=direct&amp;session=T&amp;sp=S5Y5%2BGcVnot0ELo%2FNDa3H2w%3D%3D", "Works including garbage collection and segregation from household and commercial establishments, road and drain cleaning and cleaning of community sanitary complex at Revenue Village CLEANING AT GP BHADI ps bhadra")</f>
        <v/>
      </c>
      <c r="C183" t="inlineStr">
        <is>
          <t>Panchayati Raj Department||Secretary and Commissioner||CEO- HANUMANGARH||BDO-BHADRA</t>
        </is>
      </c>
      <c r="D183" t="inlineStr">
        <is>
          <t>26-May-2025 06:00 PM</t>
        </is>
      </c>
      <c r="E183" t="inlineStr">
        <is>
          <t>9,81,000</t>
        </is>
      </c>
      <c r="F183" t="inlineStr">
        <is>
          <t>Works including garbage collection and segregation from household and commercial establishments, road and drain cleaning and cleaning of community sanitary complex at Revenue Village CLEANING AT GP BHADI ps bhadra</t>
        </is>
      </c>
      <c r="G183" t="inlineStr">
        <is>
          <t>GRAM PANCHAYAT BHADI</t>
        </is>
      </c>
    </row>
    <row r="184">
      <c r="A184" s="1" t="n">
        <v>182</v>
      </c>
      <c r="B184">
        <f>HYPERLINK("https://eproc.rajasthan.gov.in/nicgep/app?component=%24DirectLink&amp;page=FrontEndViewTender&amp;service=direct&amp;session=T&amp;sp=S4h12y7EhjCNDs22xQ30CKQ%3D%3D", "Works including garbage collection and segregation from household and commercial establishments, road and drain cleaning and cleaning of community sanitary complex at Revenue Village CLEANING AT GP BHARWANA ps bhadra")</f>
        <v/>
      </c>
      <c r="C184" t="inlineStr">
        <is>
          <t>Panchayati Raj Department||Secretary and Commissioner||CEO- HANUMANGARH||BDO-BHADRA</t>
        </is>
      </c>
      <c r="D184" t="inlineStr">
        <is>
          <t>26-May-2025 06:00 PM</t>
        </is>
      </c>
      <c r="E184" t="inlineStr">
        <is>
          <t>9,41,000</t>
        </is>
      </c>
      <c r="F184" t="inlineStr">
        <is>
          <t>Works including garbage collection and segregation from household and commercial establishments, road and drain cleaning and cleaning of community sanitary complex at Revenue Village CLEANING AT GP BHARWANA ps bhadra</t>
        </is>
      </c>
      <c r="G184" t="inlineStr">
        <is>
          <t>GRAM PANCHAYAT BHARWANA</t>
        </is>
      </c>
    </row>
    <row r="185">
      <c r="A185" s="1" t="n">
        <v>183</v>
      </c>
      <c r="B185">
        <f>HYPERLINK("https://eproc.rajasthan.gov.in/nicgep/app?component=%24DirectLink&amp;page=FrontEndViewTender&amp;service=direct&amp;session=T&amp;sp=SUc72g3HHsSwGKmYbDfqbAg%3D%3D", "01/2025-26/02/17/05/2025")</f>
        <v/>
      </c>
      <c r="C185" t="inlineStr">
        <is>
          <t>Panchayati Raj Department||Secretary and Commissioner||CEO- JAISALMER||BDO-SAM</t>
        </is>
      </c>
      <c r="D185" t="inlineStr">
        <is>
          <t>26-May-2025 12:00 PM</t>
        </is>
      </c>
      <c r="E185" t="inlineStr">
        <is>
          <t>NA</t>
        </is>
      </c>
      <c r="F185" t="inlineStr">
        <is>
          <t>SUPPLY OF MATERIAL AND QUIPEMENT FOR FP FY 2025-26 FOR MGNREGA AND OTHER SCHEME</t>
        </is>
      </c>
      <c r="G185" t="inlineStr">
        <is>
          <t>JAISALMER</t>
        </is>
      </c>
    </row>
    <row r="186">
      <c r="A186" s="1" t="n">
        <v>184</v>
      </c>
      <c r="B186">
        <f>HYPERLINK("https://eproc.rajasthan.gov.in/nicgep/app?component=%24DirectLink&amp;page=FrontEndViewTender&amp;service=direct&amp;session=T&amp;sp=S%2BKskquVOZTCXedV1V%2BuO5Q%3D%3D", "Construction of interlocking road at damar road to gram panchayat bhavan")</f>
        <v/>
      </c>
      <c r="C186" t="inlineStr">
        <is>
          <t>Panchayati Raj Department||Secretary and Commissioner||CEO-BADMER||BDO-FAGLIYA</t>
        </is>
      </c>
      <c r="D186" t="inlineStr">
        <is>
          <t>24-May-2025 06:00 PM</t>
        </is>
      </c>
      <c r="E186" t="inlineStr">
        <is>
          <t>7,00,000</t>
        </is>
      </c>
      <c r="F186" t="inlineStr">
        <is>
          <t>interlocking road</t>
        </is>
      </c>
      <c r="G186" t="inlineStr">
        <is>
          <t>Badha</t>
        </is>
      </c>
    </row>
    <row r="187">
      <c r="A187" s="1" t="n">
        <v>185</v>
      </c>
      <c r="B187">
        <f>HYPERLINK("https://eproc.rajasthan.gov.in/nicgep/app?component=%24DirectLink&amp;page=FrontEndViewTender&amp;service=direct&amp;session=T&amp;sp=SlnSwwl879DXRD111%2Bgvztw%3D%3D", "Supply of Construction Material RDPR Scheme MNREGA, SFC , FFC and other scheme for Financial Year 2025-26 in Gram Panchyat Dumoda PS Khandar")</f>
        <v/>
      </c>
      <c r="C187" t="inlineStr">
        <is>
          <t>Panchayati Raj Department||Secretary and Commissioner||CEO-S.MADHOPUR||BDO-KHANDAR</t>
        </is>
      </c>
      <c r="D187" t="inlineStr">
        <is>
          <t>27-May-2025 06:00 PM</t>
        </is>
      </c>
      <c r="E187" t="inlineStr">
        <is>
          <t>40,00,000</t>
        </is>
      </c>
      <c r="F187" t="inlineStr">
        <is>
          <t>Supply of Construction Material RDPR Scheme MNREGA, SFC , FFC and other scheme for Financial Year 2025-26 in Gram Panchyat Dumoda PS Khandar</t>
        </is>
      </c>
      <c r="G187" t="inlineStr">
        <is>
          <t>GRAM PANCHYAT DUMODA</t>
        </is>
      </c>
    </row>
    <row r="188">
      <c r="A188" s="1" t="n">
        <v>186</v>
      </c>
      <c r="B188">
        <f>HYPERLINK("https://eproc.rajasthan.gov.in/nicgep/app?component=%24DirectLink&amp;page=FrontEndViewTender&amp;service=direct&amp;session=T&amp;sp=S%2BP2wV7JwuBz0Xtu7NowxwA%3D%3D", "Material supply in GP Dhigarla for financial year 2025-26 for Mnarega and other scheme")</f>
        <v/>
      </c>
      <c r="C188" t="inlineStr">
        <is>
          <t>Panchayati Raj Department||Secretary and Commissioner||CEO-CHURU||BDO-RAJGARH</t>
        </is>
      </c>
      <c r="D188" t="inlineStr">
        <is>
          <t>23-May-2025 11:00 AM</t>
        </is>
      </c>
      <c r="E188" t="inlineStr">
        <is>
          <t>90,00,000</t>
        </is>
      </c>
      <c r="F188" t="inlineStr">
        <is>
          <t>Material supply in GP Dhigarla for financial year 2025-26 for Mnarega and other scheme</t>
        </is>
      </c>
      <c r="G188" t="inlineStr">
        <is>
          <t>DHIGARLA</t>
        </is>
      </c>
    </row>
    <row r="189">
      <c r="A189" s="1" t="n">
        <v>187</v>
      </c>
      <c r="B189">
        <f>HYPERLINK("https://eproc.rajasthan.gov.in/nicgep/app?component=%24DirectLink&amp;page=FrontEndViewTender&amp;service=direct&amp;session=T&amp;sp=SiF1n8Z8wMKmtySzlnShWLw%3D%3D", "Gram panchyat me samast gavno me ghar ghar kachra sangrahan gav ki naliyo or Samudayik Parisar ki safai karya GP Mokalsar")</f>
        <v/>
      </c>
      <c r="C189" t="inlineStr">
        <is>
          <t>Panchayati Raj Department||Secretary and Commissioner||CEO- GANGANAGAR||BDO-SURATGARH</t>
        </is>
      </c>
      <c r="D189" t="inlineStr">
        <is>
          <t>24-May-2025 02:00 PM</t>
        </is>
      </c>
      <c r="E189" t="inlineStr">
        <is>
          <t>8,62,517</t>
        </is>
      </c>
      <c r="F189" t="inlineStr">
        <is>
          <t>Gram panchyat me samast gavno me ghar ghar kachra sangrahan gav ki naliyo or Samudayik Parisar ki safai karya GP Mokalsar</t>
        </is>
      </c>
      <c r="G189" t="inlineStr">
        <is>
          <t>Gram Panchyat Mokalsar</t>
        </is>
      </c>
    </row>
    <row r="190">
      <c r="A190" s="1" t="n">
        <v>188</v>
      </c>
      <c r="B190">
        <f>HYPERLINK("https://eproc.rajasthan.gov.in/nicgep/app?component=%24DirectLink&amp;page=FrontEndViewTender&amp;service=direct&amp;session=T&amp;sp=SODqJTaLfL73yMuw%2FPKqJ6g%3D%3D", "Yearly Rate Contract(F.Y.2025-26) for Supply of Construction Materil and All item for Gram panchayat fila (Rates based on BSR 2025-26 (RDPRD) PS KURABAD DIST. UDAIPUR")</f>
        <v/>
      </c>
      <c r="C190" t="inlineStr">
        <is>
          <t>Panchayati Raj Department||Secretary and Commissioner||CEO-UDAIPUR||BDO-KURABAD</t>
        </is>
      </c>
      <c r="D190" t="inlineStr">
        <is>
          <t>26-May-2025 06:00 PM</t>
        </is>
      </c>
      <c r="E190" t="inlineStr">
        <is>
          <t>40,00,000</t>
        </is>
      </c>
      <c r="F190" t="inlineStr">
        <is>
          <t>Yearly Rate Contract(F.Y.2025-26) for Supply of Construction Materil and All item for Gram panchayat fila (Rates based on BSR 2025-26 (RDPRD) PS KURABAD DIST. UDAIPUR</t>
        </is>
      </c>
      <c r="G190" t="inlineStr">
        <is>
          <t>GP FILA</t>
        </is>
      </c>
    </row>
    <row r="191">
      <c r="A191" s="1" t="n">
        <v>189</v>
      </c>
      <c r="B191">
        <f>HYPERLINK("https://eproc.rajasthan.gov.in/nicgep/app?component=%24DirectLink&amp;page=FrontEndViewTender&amp;service=direct&amp;session=T&amp;sp=S03KbvBLdH4bXiSLWWBZ13Q%3D%3D", "Gram panchyat me samast gavno me ghar ghar kachra sangrahan gav ki naliyo or Samudayik Parisar ki safai karya GP Padampura")</f>
        <v/>
      </c>
      <c r="C191" t="inlineStr">
        <is>
          <t>Panchayati Raj Department||Secretary and Commissioner||CEO- GANGANAGAR||BDO-SURATGARH</t>
        </is>
      </c>
      <c r="D191" t="inlineStr">
        <is>
          <t>24-May-2025 02:00 PM</t>
        </is>
      </c>
      <c r="E191" t="inlineStr">
        <is>
          <t>9,98,592</t>
        </is>
      </c>
      <c r="F191" t="inlineStr">
        <is>
          <t>Gram panchyat me samast gavno me ghar ghar kachra sangrahan gav ki naliyo or Samudayik Parisar ki safai karya GP Padampura</t>
        </is>
      </c>
      <c r="G191" t="inlineStr">
        <is>
          <t>Gram Panchyat Padampura</t>
        </is>
      </c>
    </row>
    <row r="192">
      <c r="A192" s="1" t="n">
        <v>190</v>
      </c>
      <c r="B192">
        <f>HYPERLINK("https://eproc.rajasthan.gov.in/nicgep/app?component=%24DirectLink&amp;page=FrontEndViewTender&amp;service=direct&amp;session=T&amp;sp=SmARCOf0CP%2FORBqReJD98yg%3D%3D", "Gram panchyat me samast gavno me ghar ghar kachra sangrahan gav ki naliyo or Samudayik Parisar ki safai karya GP Rajiyasr Ste")</f>
        <v/>
      </c>
      <c r="C192" t="inlineStr">
        <is>
          <t>Panchayati Raj Department||Secretary and Commissioner||CEO- GANGANAGAR||BDO-SURATGARH</t>
        </is>
      </c>
      <c r="D192" t="inlineStr">
        <is>
          <t>24-May-2025 02:00 PM</t>
        </is>
      </c>
      <c r="E192" t="inlineStr">
        <is>
          <t>14,15,566</t>
        </is>
      </c>
      <c r="F192" t="inlineStr">
        <is>
          <t>Gram panchyat me samast gavno me ghar ghar kachra sangrahan gav ki naliyo or Samudayik Parisar ki safai karya GP Rajiyasr Ste</t>
        </is>
      </c>
      <c r="G192" t="inlineStr">
        <is>
          <t>Gram panchyat Rajiyasar Ste</t>
        </is>
      </c>
    </row>
    <row r="193">
      <c r="A193" s="1" t="n">
        <v>191</v>
      </c>
      <c r="B193">
        <f>HYPERLINK("https://eproc.rajasthan.gov.in/nicgep/app?component=%24DirectLink&amp;page=FrontEndViewTender&amp;service=direct&amp;session=T&amp;sp=SHVq0DxzvfC0ScJ%2BakzyilA%3D%3D", "Gram panchyat me samast gavno me ghar ghar kachra sangrahan gav ki naliyo or Samudayik Parisar ki safai karya GP Nirwana")</f>
        <v/>
      </c>
      <c r="C193" t="inlineStr">
        <is>
          <t>Panchayati Raj Department||Secretary and Commissioner||CEO- GANGANAGAR||BDO-SURATGARH</t>
        </is>
      </c>
      <c r="D193" t="inlineStr">
        <is>
          <t>24-May-2025 02:00 PM</t>
        </is>
      </c>
      <c r="E193" t="inlineStr">
        <is>
          <t>15,84,435</t>
        </is>
      </c>
      <c r="F193" t="inlineStr">
        <is>
          <t>Gram panchyat me samast gavno me ghar ghar kachra sangrahan gav ki naliyo or Samudayik Parisar ki safai karya GP Nirwana</t>
        </is>
      </c>
      <c r="G193" t="inlineStr">
        <is>
          <t>Gram Panchyat Nirwana</t>
        </is>
      </c>
    </row>
    <row r="194">
      <c r="A194" s="1" t="n">
        <v>192</v>
      </c>
      <c r="B194">
        <f>HYPERLINK("https://eproc.rajasthan.gov.in/nicgep/app?component=%24DirectLink&amp;page=FrontEndViewTender&amp;service=direct&amp;session=T&amp;sp=SFZnFk3%2B61YdvfC3V%2FQ%2FqRw%3D%3D", "Gram panchyat me samast gavno me ghar ghar kachra sangrahan gav ki naliyo or Samudayik Parisar ki safai karya GP Raghunathpura")</f>
        <v/>
      </c>
      <c r="C194" t="inlineStr">
        <is>
          <t>Panchayati Raj Department||Secretary and Commissioner||CEO- GANGANAGAR||BDO-SURATGARH</t>
        </is>
      </c>
      <c r="D194" t="inlineStr">
        <is>
          <t>24-May-2025 02:00 PM</t>
        </is>
      </c>
      <c r="E194" t="inlineStr">
        <is>
          <t>8,35,390</t>
        </is>
      </c>
      <c r="F194" t="inlineStr">
        <is>
          <t>Gram panchyat me samast gavno me ghar ghar kachra sangrahan gav ki naliyo or Samudayik Parisar ki safai karya GP Raghunathpura</t>
        </is>
      </c>
      <c r="G194" t="inlineStr">
        <is>
          <t>Gram Panchyat Raghunathpura</t>
        </is>
      </c>
    </row>
    <row r="195">
      <c r="A195" s="1" t="n">
        <v>193</v>
      </c>
      <c r="B195">
        <f>HYPERLINK("https://eproc.rajasthan.gov.in/nicgep/app?component=%24DirectLink&amp;page=FrontEndViewTender&amp;service=direct&amp;session=T&amp;sp=Si061v9ZyUzEcpmHFcLn0Sw%3D%3D", "Gram panchyat me samast gavno me ghar ghar kachra sangrahan gav ki naliyo or Samudayik Parisar ki safai karya GP Rajpura Piperan")</f>
        <v/>
      </c>
      <c r="C195" t="inlineStr">
        <is>
          <t>Panchayati Raj Department||Secretary and Commissioner||CEO- GANGANAGAR||BDO-SURATGARH</t>
        </is>
      </c>
      <c r="D195" t="inlineStr">
        <is>
          <t>24-May-2025 02:00 PM</t>
        </is>
      </c>
      <c r="E195" t="inlineStr">
        <is>
          <t>14,46,642</t>
        </is>
      </c>
      <c r="F195" t="inlineStr">
        <is>
          <t>Gram panchyat me samast gavno me ghar ghar kachra sangrahan gav ki naliyo or Samudayik Parisar ki safai karya GP Rajpura Piperan</t>
        </is>
      </c>
      <c r="G195" t="inlineStr">
        <is>
          <t>Gram Panchyat Rajpura Piperan</t>
        </is>
      </c>
    </row>
    <row r="196">
      <c r="A196" s="1" t="n">
        <v>194</v>
      </c>
      <c r="B196">
        <f>HYPERLINK("https://eproc.rajasthan.gov.in/nicgep/app?component=%24DirectLink&amp;page=FrontEndViewTender&amp;service=direct&amp;session=T&amp;sp=S1QlntYQ5inF5VgI6vkKXOg%3D%3D", "Supply of Construction Material RDPR Scheme MNREGA, SFC , FFC and other scheme for Financial Year 2025-26 in Gram Panchyat Daulatpura PS Khandar")</f>
        <v/>
      </c>
      <c r="C196" t="inlineStr">
        <is>
          <t>Panchayati Raj Department||Secretary and Commissioner||CEO-S.MADHOPUR||BDO-KHANDAR</t>
        </is>
      </c>
      <c r="D196" t="inlineStr">
        <is>
          <t>27-May-2025 06:00 PM</t>
        </is>
      </c>
      <c r="E196" t="inlineStr">
        <is>
          <t>40,00,000</t>
        </is>
      </c>
      <c r="F196" t="inlineStr">
        <is>
          <t>Supply of Construction Material RDPR Scheme MNREGA, SFC , FFC and other scheme for Financial Year 2025-26 in Gram Panchyat Daulatpura PS Khandar</t>
        </is>
      </c>
      <c r="G196" t="inlineStr">
        <is>
          <t>GRAM PANCHYAT DAULATPURA</t>
        </is>
      </c>
    </row>
    <row r="197">
      <c r="A197" s="1" t="n">
        <v>195</v>
      </c>
      <c r="B197">
        <f>HYPERLINK("https://eproc.rajasthan.gov.in/nicgep/app?component=%24DirectLink&amp;page=FrontEndViewTender&amp;service=direct&amp;session=T&amp;sp=SjbSYnTDHaOH%2F%2BPVaHnc0lA%3D%3D", "gram panchayat me nirman karyo par samgri ki aapurti vittiy varsh 2025-26")</f>
        <v/>
      </c>
      <c r="C197" t="inlineStr">
        <is>
          <t>Panchayati Raj Department||Secretary and Commissioner||CEO-ALWAR||BDO-RAMGARH</t>
        </is>
      </c>
      <c r="D197" t="inlineStr">
        <is>
          <t>25-May-2025 06:00 PM</t>
        </is>
      </c>
      <c r="E197" t="inlineStr">
        <is>
          <t>30,00,000</t>
        </is>
      </c>
      <c r="F197" t="inlineStr">
        <is>
          <t>gram panchayat me nirman karyo par samgri ki aapurti vittiy varsh 2025-26</t>
        </is>
      </c>
      <c r="G197" t="inlineStr">
        <is>
          <t>gp untwal</t>
        </is>
      </c>
    </row>
    <row r="198">
      <c r="A198" s="1" t="n">
        <v>196</v>
      </c>
      <c r="B198">
        <f>HYPERLINK("https://eproc.rajasthan.gov.in/nicgep/app?component=%24DirectLink&amp;page=FrontEndViewTender&amp;service=direct&amp;session=T&amp;sp=S7rpXbR%2FEybeOAhrHruYHSQ%3D%3D", "Works including garbage collection and segregation from household and commercial establishments, road and drain cleaning and cleaning of community sanitary complex at Revenue Village CLEANING AT GP DOONGRANA ps bhadra")</f>
        <v/>
      </c>
      <c r="C198" t="inlineStr">
        <is>
          <t>Panchayati Raj Department||Secretary and Commissioner||CEO- HANUMANGARH||BDO-BHADRA</t>
        </is>
      </c>
      <c r="D198" t="inlineStr">
        <is>
          <t>26-May-2025 06:00 PM</t>
        </is>
      </c>
      <c r="E198" t="inlineStr">
        <is>
          <t>9,98,000</t>
        </is>
      </c>
      <c r="F198" t="inlineStr">
        <is>
          <t>Works including garbage collection and segregation from household and commercial establishments, road and drain cleaning and cleaning of community sanitary complex at Revenue Village CLEANING AT GP DOONGRANA ps bhadra</t>
        </is>
      </c>
      <c r="G198" t="inlineStr">
        <is>
          <t>GRAM PANCHAYAT DUNGRANA</t>
        </is>
      </c>
    </row>
    <row r="199">
      <c r="A199" s="1" t="n">
        <v>197</v>
      </c>
      <c r="B199">
        <f>HYPERLINK("https://eproc.rajasthan.gov.in/nicgep/app?component=%24DirectLink&amp;page=FrontEndViewTender&amp;service=direct&amp;session=T&amp;sp=SIBAXpZSOAgD9065Ss2S%2Bgg%3D%3D", "Annual Rate contract for Supply of JCB and Tractor Atikaraman Hatene ke liye in All Gram Panchayat of Panchayat Samiti Hindoli (Rent only)")</f>
        <v/>
      </c>
      <c r="C199" t="inlineStr">
        <is>
          <t>Panchayati Raj Department||Secretary and Commissioner||CEO-BUNDI||BDO-HINDOLI</t>
        </is>
      </c>
      <c r="D199" t="inlineStr">
        <is>
          <t>25-May-2025 06:00 PM</t>
        </is>
      </c>
      <c r="E199" t="inlineStr">
        <is>
          <t>25,52,250</t>
        </is>
      </c>
      <c r="F199" t="inlineStr">
        <is>
          <t>Annual Rate contract for Supply of JCB and Tractor Atikaraman Hatene ke liye in All Gram Panchayat of Panchayat Samiti Hindoli (Rent only)</t>
        </is>
      </c>
      <c r="G199" t="inlineStr">
        <is>
          <t>VARIOUS GRAM PANCHAYAT OF PS HINDOLI</t>
        </is>
      </c>
    </row>
    <row r="200">
      <c r="A200" s="1" t="n">
        <v>198</v>
      </c>
      <c r="B200">
        <f>HYPERLINK("https://eproc.rajasthan.gov.in/nicgep/app?component=%24DirectLink&amp;page=FrontEndViewTender&amp;service=direct&amp;session=T&amp;sp=SgDHe8AM6JCuNcRWgRpbVNg%3D%3D", "Works including garbage collection and segregation from household and commercial establishments, road and drain cleaning and cleaning of community sanitary complex at Revenue Village CLEANING AT GP JANSAL ps bhadra")</f>
        <v/>
      </c>
      <c r="C200" t="inlineStr">
        <is>
          <t>Panchayati Raj Department||Secretary and Commissioner||CEO- HANUMANGARH||BDO-BHADRA</t>
        </is>
      </c>
      <c r="D200" t="inlineStr">
        <is>
          <t>26-May-2025 06:00 PM</t>
        </is>
      </c>
      <c r="E200" t="inlineStr">
        <is>
          <t>10,00,000</t>
        </is>
      </c>
      <c r="F200" t="inlineStr">
        <is>
          <t>Works including garbage collection and segregation from household and commercial establishments, road and drain cleaning and cleaning of community sanitary complex at Revenue Village CLEANING AT GP JANSAL ps bhadra</t>
        </is>
      </c>
      <c r="G200" t="inlineStr">
        <is>
          <t>GRAM PANCHAYAT JHANSAL</t>
        </is>
      </c>
    </row>
    <row r="201">
      <c r="A201" s="1" t="n">
        <v>199</v>
      </c>
      <c r="B201">
        <f>HYPERLINK("https://eproc.rajasthan.gov.in/nicgep/app?component=%24DirectLink&amp;page=FrontEndViewTender&amp;service=direct&amp;session=T&amp;sp=S7uIhzX9qeeeca%2FT%2Bm2du5w%3D%3D", "Works including garbage collection and segregation from household and commercial establishments, road and drain cleaning and cleaning of community sanitary complex at Revenue Village CLEANING AT GP JATAN ps bhadra")</f>
        <v/>
      </c>
      <c r="C201" t="inlineStr">
        <is>
          <t>Panchayati Raj Department||Secretary and Commissioner||CEO- HANUMANGARH||BDO-BHADRA</t>
        </is>
      </c>
      <c r="D201" t="inlineStr">
        <is>
          <t>26-May-2025 06:00 PM</t>
        </is>
      </c>
      <c r="E201" t="inlineStr">
        <is>
          <t>9,91,000</t>
        </is>
      </c>
      <c r="F201" t="inlineStr">
        <is>
          <t>Works including garbage collection and segregation from household and commercial establishments, road and drain cleaning and cleaning of community sanitary complex at Revenue Village CLEANING AT GP JATAN ps bhadra</t>
        </is>
      </c>
      <c r="G201" t="inlineStr">
        <is>
          <t>GRAM PANCHAYAT JATAN</t>
        </is>
      </c>
    </row>
    <row r="202">
      <c r="A202" s="1" t="n">
        <v>200</v>
      </c>
      <c r="B202">
        <f>HYPERLINK("https://eproc.rajasthan.gov.in/nicgep/app?component=%24DirectLink&amp;page=FrontEndViewTender&amp;service=direct&amp;session=T&amp;sp=Sxd3Xq857b%2BQli%2FRk2xFE7w%3D%3D", "Supply of Construction Material RDPR Scheme MNREGA, SFC , FFC and other scheme for Financial Year 2025-26 in Gram Panchyat Gandawar PS Khandar")</f>
        <v/>
      </c>
      <c r="C202" t="inlineStr">
        <is>
          <t>Panchayati Raj Department||Secretary and Commissioner||CEO-S.MADHOPUR||BDO-KHANDAR</t>
        </is>
      </c>
      <c r="D202" t="inlineStr">
        <is>
          <t>27-May-2025 06:00 PM</t>
        </is>
      </c>
      <c r="E202" t="inlineStr">
        <is>
          <t>50,00,000</t>
        </is>
      </c>
      <c r="F202" t="inlineStr">
        <is>
          <t>Supply of Construction Material RDPR Scheme MNREGA, SFC , FFC and other scheme for Financial Year 2025-26 in Gram Panchyat Gandawar PS Khandar</t>
        </is>
      </c>
      <c r="G202" t="inlineStr">
        <is>
          <t>GRAM PANCHYAT GANDAWAR</t>
        </is>
      </c>
    </row>
    <row r="203">
      <c r="A203" s="1" t="n">
        <v>201</v>
      </c>
      <c r="B203">
        <f>HYPERLINK("https://eproc.rajasthan.gov.in/nicgep/app?component=%24DirectLink&amp;page=FrontEndViewTender&amp;service=direct&amp;session=T&amp;sp=St%2BDClnH%2BOSlfqbnP%2FpAA7A%3D%3D", "EK KAMRA NIRMAN KRAYA MAY BARAMDA RAJKIYA UCCH MADHYMIK VISHYALAYA MASOODPUR GP NAKATPURA")</f>
        <v/>
      </c>
      <c r="C203" t="inlineStr">
        <is>
          <t>Panchayati Raj Department||Secretary and Commissioner||CEO-DHOLPUR||BDO-DHOLPUR</t>
        </is>
      </c>
      <c r="D203" t="inlineStr">
        <is>
          <t>26-May-2025 05:00 PM</t>
        </is>
      </c>
      <c r="E203" t="inlineStr">
        <is>
          <t>8,00,000</t>
        </is>
      </c>
      <c r="F203" t="inlineStr">
        <is>
          <t>EK KAMRA NIRMAN KRAYA MAY BARAMDA RAJKIYA UCCH MADHYMIK VISHYALAYA MASOODPUR GP NAKATPURA</t>
        </is>
      </c>
      <c r="G203" t="inlineStr">
        <is>
          <t>DHOLPUR</t>
        </is>
      </c>
    </row>
    <row r="204">
      <c r="A204" s="1" t="n">
        <v>202</v>
      </c>
      <c r="B204">
        <f>HYPERLINK("https://eproc.rajasthan.gov.in/nicgep/app?component=%24DirectLink&amp;page=FrontEndViewTender&amp;service=direct&amp;session=T&amp;sp=SCRF%2Fi%2F9kWPUksjAD34%2BsjQ%3D%3D", "Works including garbage collection and segregation from household and commercial establishments, road and drain cleaning and cleaning of community sanitary complex at Revenue Village CLEANING AT GP BHANAI ps bhadra")</f>
        <v/>
      </c>
      <c r="C204" t="inlineStr">
        <is>
          <t>Panchayati Raj Department||Secretary and Commissioner||CEO- HANUMANGARH||BDO-BHADRA</t>
        </is>
      </c>
      <c r="D204" t="inlineStr">
        <is>
          <t>26-May-2025 06:00 PM</t>
        </is>
      </c>
      <c r="E204" t="inlineStr">
        <is>
          <t>10,00,000</t>
        </is>
      </c>
      <c r="F204" t="inlineStr">
        <is>
          <t>Works including garbage collection and segregation from household and commercial establishments, road and drain cleaning and cleaning of community sanitary complex at Revenue Village CLEANING AT GP BHANAI ps bhadra</t>
        </is>
      </c>
      <c r="G204" t="inlineStr">
        <is>
          <t>GRAM PANCHAYAT BHANAI</t>
        </is>
      </c>
    </row>
    <row r="205">
      <c r="A205" s="1" t="n">
        <v>203</v>
      </c>
      <c r="B205">
        <f>HYPERLINK("https://eproc.rajasthan.gov.in/nicgep/app?component=%24DirectLink&amp;page=FrontEndViewTender&amp;service=direct&amp;session=T&amp;sp=ScPnWkReVLoO6RcX1sC90AA%3D%3D", "Works including garbage collection and segregation from household and commercial establishments, road and drain cleaning and cleaning of community sanitary complex at Revenue Village CLEANING AT GP NETHRANA ps bhadra")</f>
        <v/>
      </c>
      <c r="C205" t="inlineStr">
        <is>
          <t>Panchayati Raj Department||Secretary and Commissioner||CEO- HANUMANGARH||BDO-BHADRA</t>
        </is>
      </c>
      <c r="D205" t="inlineStr">
        <is>
          <t>26-May-2025 06:00 PM</t>
        </is>
      </c>
      <c r="E205" t="inlineStr">
        <is>
          <t>10,00,000</t>
        </is>
      </c>
      <c r="F205" t="inlineStr">
        <is>
          <t>Works including garbage collection and segregation from household and commercial establishments, road and drain cleaning and cleaning of community sanitary complex at Revenue Village CLEANING AT GP NETHRANA ps bhadra</t>
        </is>
      </c>
      <c r="G205" t="inlineStr">
        <is>
          <t>GRAM PANCHAYAT NETHRANA</t>
        </is>
      </c>
    </row>
    <row r="206">
      <c r="A206" s="1" t="n">
        <v>204</v>
      </c>
      <c r="B206">
        <f>HYPERLINK("https://eproc.rajasthan.gov.in/nicgep/app?component=%24DirectLink&amp;page=FrontEndViewTender&amp;service=direct&amp;session=T&amp;sp=Si8qyRHhFfRMeYqeomCPt3Q%3D%3D", "Supply Of Metrial And Other Equipments")</f>
        <v/>
      </c>
      <c r="C206" t="inlineStr">
        <is>
          <t>Panchayati Raj Department||Secretary and Commissioner||CEO- JALORE||BDO- AAHORE</t>
        </is>
      </c>
      <c r="D206" t="inlineStr">
        <is>
          <t>26-May-2025 09:00 AM</t>
        </is>
      </c>
      <c r="E206" t="inlineStr">
        <is>
          <t>50,00,000</t>
        </is>
      </c>
      <c r="F206" t="inlineStr">
        <is>
          <t>SUPPLY OF CONSTRUCTION MATERIAL AND PROVIDING EQUIPMENT FOR VARIOUS SCHEMES AT GRAM PANCHAYAT KAMBA</t>
        </is>
      </c>
      <c r="G206" t="inlineStr">
        <is>
          <t>GRAM PANCHAYAT KAMBA</t>
        </is>
      </c>
    </row>
    <row r="207">
      <c r="A207" s="1" t="n">
        <v>205</v>
      </c>
      <c r="B207">
        <f>HYPERLINK("https://eproc.rajasthan.gov.in/nicgep/app?component=%24DirectLink&amp;page=FrontEndViewTender&amp;service=direct&amp;session=T&amp;sp=Sfw2tozJptEwI%2BTBJ8QCcWw%3D%3D", "material supply in gp tarpura")</f>
        <v/>
      </c>
      <c r="C207" t="inlineStr">
        <is>
          <t>Panchayati Raj Department||Secretary and Commissioner||CEO-SIKAR||BDO-PIPARALI</t>
        </is>
      </c>
      <c r="D207" t="inlineStr">
        <is>
          <t>27-May-2025 06:00 PM</t>
        </is>
      </c>
      <c r="E207" t="inlineStr">
        <is>
          <t>40,00,000</t>
        </is>
      </c>
      <c r="F207" t="inlineStr">
        <is>
          <t>material supply in gp tarpura and villages in year 2025-26</t>
        </is>
      </c>
      <c r="G207" t="inlineStr">
        <is>
          <t>gp tarpura</t>
        </is>
      </c>
    </row>
    <row r="208">
      <c r="A208" s="1" t="n">
        <v>206</v>
      </c>
      <c r="B208">
        <f>HYPERLINK("https://eproc.rajasthan.gov.in/nicgep/app?component=%24DirectLink&amp;page=FrontEndViewTender&amp;service=direct&amp;session=T&amp;sp=SBFJ9u3uH6e3DJmv5wxis1Q%3D%3D", "Works including garbage collection and segregation from household and commercial establishments, road and drain cleaning and cleaning of community sanitary complex at Revenue Village CLEANING AT GP KARANPURA ps bhadra")</f>
        <v/>
      </c>
      <c r="C208" t="inlineStr">
        <is>
          <t>Panchayati Raj Department||Secretary and Commissioner||CEO- HANUMANGARH||BDO-BHADRA</t>
        </is>
      </c>
      <c r="D208" t="inlineStr">
        <is>
          <t>26-May-2025 06:00 PM</t>
        </is>
      </c>
      <c r="E208" t="inlineStr">
        <is>
          <t>9,99,000</t>
        </is>
      </c>
      <c r="F208" t="inlineStr">
        <is>
          <t>Works including garbage collection and segregation from household and commercial establishments, road and drain cleaning and cleaning of community sanitary complex at Revenue Village CLEANING AT GP KARANPURA ps bhadra</t>
        </is>
      </c>
      <c r="G208" t="inlineStr">
        <is>
          <t>KARANPURA</t>
        </is>
      </c>
    </row>
    <row r="209">
      <c r="A209" s="1" t="n">
        <v>207</v>
      </c>
      <c r="B209">
        <f>HYPERLINK("https://eproc.rajasthan.gov.in/nicgep/app?component=%24DirectLink&amp;page=FrontEndViewTender&amp;service=direct&amp;session=T&amp;sp=S33is%2FYdzmTct2Vmjhl%2Ftcw%3D%3D", "CC/Interlocking tiles road construction work Dob Wala Dhani Mahariya Panchayat Samiti Lalsot")</f>
        <v/>
      </c>
      <c r="C209" t="inlineStr">
        <is>
          <t>Panchayati Raj Department||Secretary and Commissioner||CEO-DAUSA||BDO-LALSOT</t>
        </is>
      </c>
      <c r="D209" t="inlineStr">
        <is>
          <t>24-May-2025 06:00 PM</t>
        </is>
      </c>
      <c r="E209" t="inlineStr">
        <is>
          <t>10,00,000</t>
        </is>
      </c>
      <c r="F209" t="inlineStr">
        <is>
          <t>CC/Interlocking tiles road construction work Dob Wala Dhani Mahariya Panchayat Samiti Lalsot</t>
        </is>
      </c>
      <c r="G209" t="inlineStr">
        <is>
          <t>Gram Panchayat Mahariya</t>
        </is>
      </c>
    </row>
    <row r="210">
      <c r="A210" s="1" t="n">
        <v>208</v>
      </c>
      <c r="B210">
        <f>HYPERLINK("https://eproc.rajasthan.gov.in/nicgep/app?component=%24DirectLink&amp;page=FrontEndViewTender&amp;service=direct&amp;session=T&amp;sp=SD86T%2Bx5O4oKWYl9PJ4DYKw%3D%3D", "Works including garbage collection and segregation from household and commercial establishments, road and drain cleaning and cleaning of community sanitary complex at Revenue Village CLEANING AT GP CHIRIAGANDHI ps bhadra")</f>
        <v/>
      </c>
      <c r="C210" t="inlineStr">
        <is>
          <t>Panchayati Raj Department||Secretary and Commissioner||CEO- HANUMANGARH||BDO-BHADRA</t>
        </is>
      </c>
      <c r="D210" t="inlineStr">
        <is>
          <t>26-May-2025 06:00 PM</t>
        </is>
      </c>
      <c r="E210" t="inlineStr">
        <is>
          <t>9,60,000</t>
        </is>
      </c>
      <c r="F210" t="inlineStr">
        <is>
          <t>Works including garbage collection and segregation from household and commercial establishments, road and drain cleaning and cleaning of community sanitary complex at Revenue Village CLEANING AT GP CHIRIAGANDHI ps bhadra</t>
        </is>
      </c>
      <c r="G210" t="inlineStr">
        <is>
          <t>GRAM PANCHAYAT CHIDIAGANDHI</t>
        </is>
      </c>
    </row>
    <row r="211">
      <c r="A211" s="1" t="n">
        <v>209</v>
      </c>
      <c r="B211">
        <f>HYPERLINK("https://eproc.rajasthan.gov.in/nicgep/app?component=%24DirectLink&amp;page=FrontEndViewTender&amp;service=direct&amp;session=T&amp;sp=Snc3xtyHg1rEj0GUvRGe5LA%3D%3D", "Works including garbage collection and segregation from household and commercial establishments, road and drain cleaning and cleaning of community sanitary complex at Revenue Village CLEANING AT GP KHACHWANA ps bhadra")</f>
        <v/>
      </c>
      <c r="C211" t="inlineStr">
        <is>
          <t>Panchayati Raj Department||Secretary and Commissioner||CEO- HANUMANGARH||BDO-BHADRA</t>
        </is>
      </c>
      <c r="D211" t="inlineStr">
        <is>
          <t>26-May-2025 06:00 PM</t>
        </is>
      </c>
      <c r="E211" t="inlineStr">
        <is>
          <t>9,96,000</t>
        </is>
      </c>
      <c r="F211" t="inlineStr">
        <is>
          <t>Works including garbage collection and segregation from household and commercial establishments, road and drain cleaning and cleaning of community sanitary complex at Revenue Village CLEANING AT GP KHACHWANA ps bhadra</t>
        </is>
      </c>
      <c r="G211" t="inlineStr">
        <is>
          <t>GRAM PANCHAYAT KHACHWANA</t>
        </is>
      </c>
    </row>
    <row r="212">
      <c r="A212" s="1" t="n">
        <v>210</v>
      </c>
      <c r="B212">
        <f>HYPERLINK("https://eproc.rajasthan.gov.in/nicgep/app?component=%24DirectLink&amp;page=FrontEndViewTender&amp;service=direct&amp;session=T&amp;sp=SWoqyo74d%2Fn8R%2FGTVealD7A%3D%3D", "Rate contract For Supply of Construction Material and Providing Equipments for MGNREGA and Rural Development and Panchayati Raj departments various schemes at Gram Panchayat Dhanawar Panchayat Samiti Bandikui Dist Dausa For FY 2025-26")</f>
        <v/>
      </c>
      <c r="C212" t="inlineStr">
        <is>
          <t>Panchayati Raj Department||Secretary and Commissioner||CEO-DAUSA||BDO-BANDIKUI</t>
        </is>
      </c>
      <c r="D212" t="inlineStr">
        <is>
          <t>26-May-2025 05:00 PM</t>
        </is>
      </c>
      <c r="E212" t="inlineStr">
        <is>
          <t>50,00,000</t>
        </is>
      </c>
      <c r="F212" t="inlineStr">
        <is>
          <t>Rate contract For Supply of Construction Material and Providing Equipments for MGNREGA and Rural Development and Panchayati Raj departments various schemes at Gram Panchayat Dhanawar Panchayat Samiti Bandikui Dist Dausa For FY 2025-26</t>
        </is>
      </c>
      <c r="G212" t="inlineStr">
        <is>
          <t>GRAM PANCHYAT DHANAWAR</t>
        </is>
      </c>
    </row>
    <row r="213">
      <c r="A213" s="1" t="n">
        <v>211</v>
      </c>
      <c r="B213">
        <f>HYPERLINK("https://eproc.rajasthan.gov.in/nicgep/app?component=%24DirectLink&amp;page=FrontEndViewTender&amp;service=direct&amp;session=T&amp;sp=SMsXAYDekAdgNYlcwbkSb4Q%3D%3D", "Works including garbage collection and segregation from household and commercial establishments, road and drain cleaning and cleaning of community sanitary complex at Revenue Village CLEANING AT GP KANAU ps bhadra")</f>
        <v/>
      </c>
      <c r="C213" t="inlineStr">
        <is>
          <t>Panchayati Raj Department||Secretary and Commissioner||CEO- HANUMANGARH||BDO-BHADRA</t>
        </is>
      </c>
      <c r="D213" t="inlineStr">
        <is>
          <t>26-May-2025 06:00 PM</t>
        </is>
      </c>
      <c r="E213" t="inlineStr">
        <is>
          <t>9,99,000</t>
        </is>
      </c>
      <c r="F213" t="inlineStr">
        <is>
          <t>Works including garbage collection and segregation from household and commercial establishments, road and drain cleaning and cleaning of community sanitary complex at Revenue Village CLEANING AT GP KANAU ps bhadra</t>
        </is>
      </c>
      <c r="G213" t="inlineStr">
        <is>
          <t>KAnau</t>
        </is>
      </c>
    </row>
    <row r="214">
      <c r="A214" s="1" t="n">
        <v>212</v>
      </c>
      <c r="B214">
        <f>HYPERLINK("https://eproc.rajasthan.gov.in/nicgep/app?component=%24DirectLink&amp;page=FrontEndViewTender&amp;service=direct&amp;session=T&amp;sp=S5sX0LOlJibVeLPf7vGKWQQ%3D%3D", "Works including garbage collection and segregation from household and commercial establishments, road and drain cleaning and cleaning of community sanitary complex at Revenue Village CLEANING AT GP ALAYALA ps bhadra")</f>
        <v/>
      </c>
      <c r="C214" t="inlineStr">
        <is>
          <t>Panchayati Raj Department||Secretary and Commissioner||CEO- HANUMANGARH||BDO-BHADRA</t>
        </is>
      </c>
      <c r="D214" t="inlineStr">
        <is>
          <t>26-May-2025 06:00 PM</t>
        </is>
      </c>
      <c r="E214" t="inlineStr">
        <is>
          <t>9,51,000</t>
        </is>
      </c>
      <c r="F214" t="inlineStr">
        <is>
          <t>Works including garbage collection and segregation from household and commercial establishments, road and drain cleaning and cleaning of community sanitary complex at Revenue Village CLEANING AT GP ALAYALA ps bhadra</t>
        </is>
      </c>
      <c r="G214" t="inlineStr">
        <is>
          <t>ALAYALA</t>
        </is>
      </c>
    </row>
    <row r="215">
      <c r="A215" s="1" t="n">
        <v>213</v>
      </c>
      <c r="B215">
        <f>HYPERLINK("https://eproc.rajasthan.gov.in/nicgep/app?component=%24DirectLink&amp;page=FrontEndViewTender&amp;service=direct&amp;session=T&amp;sp=SpJZpC14ZKBOqfMqHXkNGWA%3D%3D", "Construction of Waste Water Stablization Pond (WSP) Gogasar")</f>
        <v/>
      </c>
      <c r="C215" t="inlineStr">
        <is>
          <t>Panchayati Raj Department||Secretary and Commissioner||CEO-CHURU||BDO-RATANGARH</t>
        </is>
      </c>
      <c r="D215" t="inlineStr">
        <is>
          <t>26-May-2025 11:00 AM</t>
        </is>
      </c>
      <c r="E215" t="inlineStr">
        <is>
          <t>20,00,000</t>
        </is>
      </c>
      <c r="F215" t="inlineStr">
        <is>
          <t>Construction of Waste Water Stablization Pond (WSP) Gogasar</t>
        </is>
      </c>
      <c r="G215" t="inlineStr">
        <is>
          <t>GP GOGASAR</t>
        </is>
      </c>
    </row>
    <row r="216">
      <c r="A216" s="1" t="n">
        <v>214</v>
      </c>
      <c r="B216">
        <f>HYPERLINK("https://eproc.rajasthan.gov.in/nicgep/app?component=%24DirectLink&amp;page=FrontEndViewTender&amp;service=direct&amp;session=T&amp;sp=Se5m0CgCEfbA7NbdnbxxbDg%3D%3D", "2 class rooms constructions in GSSS DHAROD , GRAM PANCHAYAT DHAROD, PANCHAYAT SAMITI SALUMBAR DIST SALUMBAR")</f>
        <v/>
      </c>
      <c r="C216" t="inlineStr">
        <is>
          <t>Panchayati Raj Department||Secretary and Commissioner||CEO-UDAIPUR||BDO-GIRVA</t>
        </is>
      </c>
      <c r="D216" t="inlineStr">
        <is>
          <t>25-May-2025 06:00 PM</t>
        </is>
      </c>
      <c r="E216" t="inlineStr">
        <is>
          <t>22,53,000</t>
        </is>
      </c>
      <c r="F216" t="inlineStr">
        <is>
          <t>2 class rooms constructions in GSSS DHAROD , GRAM PANCHAYAT DHAROD, PANCHAYAT SAMITI SALUMBAR DIST SALUMBAR</t>
        </is>
      </c>
      <c r="G216" t="inlineStr">
        <is>
          <t>GRAM PANCHAYAT DHAROD, PANCHAYAT SAMITI SALUMBAR</t>
        </is>
      </c>
    </row>
    <row r="217">
      <c r="A217" s="1" t="n">
        <v>215</v>
      </c>
      <c r="B217">
        <f>HYPERLINK("https://eproc.rajasthan.gov.in/nicgep/app?component=%24DirectLink&amp;page=FrontEndViewTender&amp;service=direct&amp;session=T&amp;sp=SlPgNWmuPWxfo56MLuZGalw%3D%3D", "Works including garbage collection and segregation from household and commercial establishments, road and drain cleaning and cleaning of community sanitary complex at Revenue Village CLEANING AT GP Anoopshahar ps bhadra")</f>
        <v/>
      </c>
      <c r="C217" t="inlineStr">
        <is>
          <t>Panchayati Raj Department||Secretary and Commissioner||CEO- HANUMANGARH||BDO-BHADRA</t>
        </is>
      </c>
      <c r="D217" t="inlineStr">
        <is>
          <t>26-May-2025 06:00 PM</t>
        </is>
      </c>
      <c r="E217" t="inlineStr">
        <is>
          <t>9,88,000</t>
        </is>
      </c>
      <c r="F217" t="inlineStr">
        <is>
          <t>Works including garbage collection and segregation from household and commercial establishments, road and drain cleaning and cleaning of community sanitary complex at Revenue Village CLEANING AT GP Anoopshahar ps bhadra</t>
        </is>
      </c>
      <c r="G217" t="inlineStr">
        <is>
          <t>anoopshahar</t>
        </is>
      </c>
    </row>
    <row r="218">
      <c r="A218" s="1" t="n">
        <v>216</v>
      </c>
      <c r="B218">
        <f>HYPERLINK("https://eproc.rajasthan.gov.in/nicgep/app?component=%24DirectLink&amp;page=FrontEndViewTender&amp;service=direct&amp;session=T&amp;sp=Slvnabb6HYOxjLfK78ohC8Q%3D%3D", "Works including garbage collection and segregation from household and commercial establishments, road and drain cleaning and cleaning of community sanitary complex at Revenue Village CLEANING AT GP KIRADABADA ps bhadra")</f>
        <v/>
      </c>
      <c r="C218" t="inlineStr">
        <is>
          <t>Panchayati Raj Department||Secretary and Commissioner||CEO- HANUMANGARH||BDO-BHADRA</t>
        </is>
      </c>
      <c r="D218" t="inlineStr">
        <is>
          <t>26-May-2025 06:00 PM</t>
        </is>
      </c>
      <c r="E218" t="inlineStr">
        <is>
          <t>9,51,000</t>
        </is>
      </c>
      <c r="F218" t="inlineStr">
        <is>
          <t>Works including garbage collection and segregation from household and commercial establishments, road and drain cleaning and cleaning of community sanitary complex at Revenue Village CLEANING AT GP KIRADABADA ps bhadra</t>
        </is>
      </c>
      <c r="G218" t="inlineStr">
        <is>
          <t>GRAM PANCHAYAT KIRADABADA</t>
        </is>
      </c>
    </row>
    <row r="219">
      <c r="A219" s="1" t="n">
        <v>217</v>
      </c>
      <c r="B219">
        <f>HYPERLINK("https://eproc.rajasthan.gov.in/nicgep/app?component=%24DirectLink&amp;page=FrontEndViewTender&amp;service=direct&amp;session=T&amp;sp=ShVtd9pL%2FRU5bqJNEfTM7Gw%3D%3D", "Works including garbage collection and segregation from household and commercial establishments, road and drain cleaning and cleaning of community sanitary complex at Revenue Village CLEANING AT GP CHHANIBARI ps bhadra")</f>
        <v/>
      </c>
      <c r="C219" t="inlineStr">
        <is>
          <t>Panchayati Raj Department||Secretary and Commissioner||CEO- HANUMANGARH||BDO-BHADRA</t>
        </is>
      </c>
      <c r="D219" t="inlineStr">
        <is>
          <t>26-May-2025 06:00 PM</t>
        </is>
      </c>
      <c r="E219" t="inlineStr">
        <is>
          <t>10,00,000</t>
        </is>
      </c>
      <c r="F219" t="inlineStr">
        <is>
          <t>Works including garbage collection and segregation from household and commercial establishments, road and drain cleaning and cleaning of community sanitary complex at Revenue Village CLEANING AT GP CHHANIBARI ps bhadra</t>
        </is>
      </c>
      <c r="G219" t="inlineStr">
        <is>
          <t>GRAM PANCHAYAT CHHANIBARI</t>
        </is>
      </c>
    </row>
    <row r="220">
      <c r="A220" s="1" t="n">
        <v>218</v>
      </c>
      <c r="B220">
        <f>HYPERLINK("https://eproc.rajasthan.gov.in/nicgep/app?component=%24DirectLink&amp;page=FrontEndViewTender&amp;service=direct&amp;session=T&amp;sp=SfPTV%2F8x%2FPCkCdk9w8VRBqg%3D%3D", "MGNREGA AND ALL SCHEME MATERIAL SUPPLY FOR GP GOPADI FY 2025-26")</f>
        <v/>
      </c>
      <c r="C220" t="inlineStr">
        <is>
          <t>Panchayati Raj Department||Secretary and Commissioner||CEO-BADMER||BDO-BALOTRA</t>
        </is>
      </c>
      <c r="D220" t="inlineStr">
        <is>
          <t>26-May-2025 05:00 PM</t>
        </is>
      </c>
      <c r="E220" t="inlineStr">
        <is>
          <t>80,00,000</t>
        </is>
      </c>
      <c r="F220" t="inlineStr">
        <is>
          <t>SUPLLY WORK</t>
        </is>
      </c>
      <c r="G220" t="inlineStr">
        <is>
          <t>GRAM PANCHAYAT GOPADI</t>
        </is>
      </c>
    </row>
    <row r="221">
      <c r="A221" s="1" t="n">
        <v>219</v>
      </c>
      <c r="B221">
        <f>HYPERLINK("https://eproc.rajasthan.gov.in/nicgep/app?component=%24DirectLink&amp;page=FrontEndViewTender&amp;service=direct&amp;session=T&amp;sp=S1wjcYgFTJW33MPER7uEhUw%3D%3D", "MAHATMA GANDI VIDHALYA TAJSAR CHHOTI ME TUBWEEL NIRMAN KARY TAJAR KHEJROLIYAN AND RAJKIYA UCCH MADHYAMIK VIDHALYA ME TUBWEEL NIRMAN KARY GRAM PANCHAYAT TAJSAR KHEJROLIYAN")</f>
        <v/>
      </c>
      <c r="C221" t="inlineStr">
        <is>
          <t>Panchayati Raj Department||Secretary and Commissioner||CEO-SIKAR||BDO-DHOD</t>
        </is>
      </c>
      <c r="D221" t="inlineStr">
        <is>
          <t>29-May-2025 06:00 PM</t>
        </is>
      </c>
      <c r="E221" t="inlineStr">
        <is>
          <t>7,50,000</t>
        </is>
      </c>
      <c r="F221" t="inlineStr">
        <is>
          <t>MAHATMA GANDI VIDHALYA TAJSAR CHHOTI ME TUBWEEL NIRMAN KARY TAJAR KHEJROLIYAN AND RAJKIYA UCCH MADHYAMIK VIDHALYA ME TUBWEEL NIRMAN KARY GRAM PANCHAYAT TAJSAR KHEJROLIYAN</t>
        </is>
      </c>
      <c r="G221" t="inlineStr">
        <is>
          <t>GRAM PANCHAYAT TAJSAR KHEJROLIYAN</t>
        </is>
      </c>
    </row>
    <row r="222">
      <c r="A222" s="1" t="n">
        <v>220</v>
      </c>
      <c r="B222">
        <f>HYPERLINK("https://eproc.rajasthan.gov.in/nicgep/app?component=%24DirectLink&amp;page=FrontEndViewTender&amp;service=direct&amp;session=T&amp;sp=STAB2sUu6H619m9RG8GWjZg%3D%3D", "Gram panchayat Phulasar bara ke samst Gawo me Ghar av partisthan se kachra sangrhan av parthakkarn, Sadak av nail Saphae tatha Samudayk Sawcchhata parisar ke saphhae Sahiat kariya")</f>
        <v/>
      </c>
      <c r="C222" t="inlineStr">
        <is>
          <t>Panchayati Raj Department||Secretary and Commissioner||CEO-BIKANER||BDO-BAJJU KHALSA</t>
        </is>
      </c>
      <c r="D222" t="inlineStr">
        <is>
          <t>29-May-2025 06:00 PM</t>
        </is>
      </c>
      <c r="E222" t="inlineStr">
        <is>
          <t>4,95,533</t>
        </is>
      </c>
      <c r="F222" t="inlineStr">
        <is>
          <t>Gram panchayat Phulasar bara ke samst Gawo me Ghar av partisthan se kachra sangrhan av parthakkarn, Sadak av nail Saphae tatha Samudayk Sawcchhata parisar ke saphhae Sahiat kariya</t>
        </is>
      </c>
      <c r="G222" t="inlineStr">
        <is>
          <t>gp fulasar bara</t>
        </is>
      </c>
    </row>
    <row r="223">
      <c r="A223" s="1" t="n">
        <v>221</v>
      </c>
      <c r="B223">
        <f>HYPERLINK("https://eproc.rajasthan.gov.in/nicgep/app?component=%24DirectLink&amp;page=FrontEndViewTender&amp;service=direct&amp;session=T&amp;sp=SBYqjXsavs8ihh5VhzIDoWg%3D%3D", "nit/2025-26/gp/govla")</f>
        <v/>
      </c>
      <c r="C223" t="inlineStr">
        <is>
          <t>Panchayati Raj Department||Secretary and Commissioner||CEO-JHUNJHUNU||BDO-KHETARI</t>
        </is>
      </c>
      <c r="D223" t="inlineStr">
        <is>
          <t>26-May-2025 06:00 PM</t>
        </is>
      </c>
      <c r="E223" t="inlineStr">
        <is>
          <t>60,00,000</t>
        </is>
      </c>
      <c r="F223" t="inlineStr">
        <is>
          <t>MATERIAL SUPPLY FOR MGNAREGA AND OTHER SCHEME FY 2025-26</t>
        </is>
      </c>
      <c r="G223" t="inlineStr">
        <is>
          <t>GOVLA</t>
        </is>
      </c>
    </row>
    <row r="224">
      <c r="A224" s="1" t="n">
        <v>222</v>
      </c>
      <c r="B224">
        <f>HYPERLINK("https://eproc.rajasthan.gov.in/nicgep/app?component=%24DirectLink&amp;page=FrontEndViewTender&amp;service=direct&amp;session=T&amp;sp=SqgpQ9cmXv%2Buqq%2FvP5bTb%2BQ%3D%3D", "Supply of Construction Material RDPR Scheme MNREGA, SFC , FFC and other scheme for Financial Year 2025-26 in Gram Panchyat Khidarpur Jadoun PS Khandar")</f>
        <v/>
      </c>
      <c r="C224" t="inlineStr">
        <is>
          <t>Panchayati Raj Department||Secretary and Commissioner||CEO-S.MADHOPUR||BDO-KHANDAR</t>
        </is>
      </c>
      <c r="D224" t="inlineStr">
        <is>
          <t>27-May-2025 06:00 PM</t>
        </is>
      </c>
      <c r="E224" t="inlineStr">
        <is>
          <t>40,00,000</t>
        </is>
      </c>
      <c r="F224" t="inlineStr">
        <is>
          <t>Supply of Construction Material RDPR Scheme MNREGA, SFC , FFC and other scheme for Financial Year 2025-26 in Gram Panchyat Khidarpur Jadoun PS Khandar</t>
        </is>
      </c>
      <c r="G224" t="inlineStr">
        <is>
          <t>GRAM PANCHYAT KHIDARPUR JADOUN</t>
        </is>
      </c>
    </row>
    <row r="225">
      <c r="A225" s="1" t="n">
        <v>223</v>
      </c>
      <c r="B225">
        <f>HYPERLINK("https://eproc.rajasthan.gov.in/nicgep/app?component=%24DirectLink&amp;page=FrontEndViewTender&amp;service=direct&amp;session=T&amp;sp=S9Mpzs%2FzTuCdTMpht5JCSMQ%3D%3D", "Supply of Construction Material RDPR Scheme MNREGA, SFC , FFC and other scheme for Financial Year 2025-26 in Gram Panchyat Goth Bihari PS Khandar")</f>
        <v/>
      </c>
      <c r="C225" t="inlineStr">
        <is>
          <t>Panchayati Raj Department||Secretary and Commissioner||CEO-S.MADHOPUR||BDO-KHANDAR</t>
        </is>
      </c>
      <c r="D225" t="inlineStr">
        <is>
          <t>27-May-2025 06:00 PM</t>
        </is>
      </c>
      <c r="E225" t="inlineStr">
        <is>
          <t>40,00,000</t>
        </is>
      </c>
      <c r="F225" t="inlineStr">
        <is>
          <t>Supply of Construction Material RDPR Scheme MNREGA, SFC , FFC and other scheme for Financial Year 2025-26 in Gram Panchyat Goth Bihari PS Khandar</t>
        </is>
      </c>
      <c r="G225" t="inlineStr">
        <is>
          <t>GRAM PANCHYAT GOTH BIHARI</t>
        </is>
      </c>
    </row>
    <row r="226">
      <c r="A226" s="1" t="n">
        <v>224</v>
      </c>
      <c r="B226">
        <f>HYPERLINK("https://eproc.rajasthan.gov.in/nicgep/app?component=%24DirectLink&amp;page=FrontEndViewTender&amp;service=direct&amp;session=T&amp;sp=S39fI3m5f2HDHgylKNPyNUQ%3D%3D", "MATERIAL SUPPLY IN GRAM PANCHAYAT TAJSAR KHEJROLIYAN PS DHOD FOR MGNREGA AND OTHER SCHEME")</f>
        <v/>
      </c>
      <c r="C226" t="inlineStr">
        <is>
          <t>Panchayati Raj Department||Secretary and Commissioner||CEO-SIKAR||BDO-DHOD</t>
        </is>
      </c>
      <c r="D226" t="inlineStr">
        <is>
          <t>29-May-2025 06:00 PM</t>
        </is>
      </c>
      <c r="E226" t="inlineStr">
        <is>
          <t>45,00,000</t>
        </is>
      </c>
      <c r="F226" t="inlineStr">
        <is>
          <t>MATERIAL SUPPLY IN GRAM PANCHAYAT TAJSAR KHEJROLIYAN PS DHOD FOR MGNREGA AND OTHER SCHEME</t>
        </is>
      </c>
      <c r="G226" t="inlineStr">
        <is>
          <t>GRAM PANCHAYAT TAJSAR KHEJROLIYAN</t>
        </is>
      </c>
    </row>
    <row r="227">
      <c r="A227" s="1" t="n">
        <v>225</v>
      </c>
      <c r="B227">
        <f>HYPERLINK("https://eproc.rajasthan.gov.in/nicgep/app?component=%24DirectLink&amp;page=FrontEndViewTender&amp;service=direct&amp;session=T&amp;sp=S4Ktd5udnYdnd%2BxWgBGLM5A%3D%3D", "MATERIAL SUPPLY IN GRAM PANCHAYAT SANGALIYA PS DHOD FOR MGNREGA AND OTHER SCHEME")</f>
        <v/>
      </c>
      <c r="C227" t="inlineStr">
        <is>
          <t>Panchayati Raj Department||Secretary and Commissioner||CEO-SIKAR||BDO-DHOD</t>
        </is>
      </c>
      <c r="D227" t="inlineStr">
        <is>
          <t>29-May-2025 06:00 PM</t>
        </is>
      </c>
      <c r="E227" t="inlineStr">
        <is>
          <t>45,00,000</t>
        </is>
      </c>
      <c r="F227" t="inlineStr">
        <is>
          <t>MATERIAL SUPPLY IN GRAM PANCHAYAT SANGALIYA PS DHOD FOR MGNREGA AND OTHER SCHEME</t>
        </is>
      </c>
      <c r="G227" t="inlineStr">
        <is>
          <t>SANGALIYA</t>
        </is>
      </c>
    </row>
    <row r="228">
      <c r="A228" s="1" t="n">
        <v>226</v>
      </c>
      <c r="B228">
        <f>HYPERLINK("https://eproc.rajasthan.gov.in/nicgep/app?component=%24DirectLink&amp;page=FrontEndViewTender&amp;service=direct&amp;session=T&amp;sp=STM1DtZhlktyqT4JpXGtutA%3D%3D", "Annual Rate Contract for Drilling of Hand pump/tube well bore AND installation of Hand pump tube well in various Gram Panchayat area of Panchayat Samiti itawa district kota rajasthan")</f>
        <v/>
      </c>
      <c r="C228" t="inlineStr">
        <is>
          <t>Panchayati Raj Department||Secretary and Commissioner||CEO-KOTA||BDO-ITAVA</t>
        </is>
      </c>
      <c r="D228" t="inlineStr">
        <is>
          <t>26-May-2025 05:00 PM</t>
        </is>
      </c>
      <c r="E228" t="inlineStr">
        <is>
          <t>80,00,000</t>
        </is>
      </c>
      <c r="F228" t="inlineStr">
        <is>
          <t>Annual Rate Contract for Drilling of Hand pump/tube well bore AND installation of Hand pump tube well in various Gram Panchayat area of Panchayat Samiti itawa district kota rajasthan</t>
        </is>
      </c>
      <c r="G228" t="inlineStr">
        <is>
          <t>KOTA</t>
        </is>
      </c>
    </row>
    <row r="229">
      <c r="A229" s="1" t="n">
        <v>227</v>
      </c>
      <c r="B229">
        <f>HYPERLINK("https://eproc.rajasthan.gov.in/nicgep/app?component=%24DirectLink&amp;page=FrontEndViewTender&amp;service=direct&amp;session=T&amp;sp=S8Niw9gOSbFGT2gUuhlsQaw%3D%3D", "nit/gp/budaniya/2025-26")</f>
        <v/>
      </c>
      <c r="C229" t="inlineStr">
        <is>
          <t>Panchayati Raj Department||Secretary and Commissioner||CEO-JHUNJHUNU||BDO-KHETARI</t>
        </is>
      </c>
      <c r="D229" t="inlineStr">
        <is>
          <t>26-May-2025 02:00 PM</t>
        </is>
      </c>
      <c r="E229" t="inlineStr">
        <is>
          <t>80,00,000</t>
        </is>
      </c>
      <c r="F229" t="inlineStr">
        <is>
          <t>MATERIAL SUPPLY FOR MGNAREGA AND OTHER SCHEME FY 2025-26</t>
        </is>
      </c>
      <c r="G229" t="inlineStr">
        <is>
          <t>BUDANIYA</t>
        </is>
      </c>
    </row>
    <row r="230">
      <c r="A230" s="1" t="n">
        <v>228</v>
      </c>
      <c r="B230">
        <f>HYPERLINK("https://eproc.rajasthan.gov.in/nicgep/app?component=%24DirectLink&amp;page=FrontEndViewTender&amp;service=direct&amp;session=T&amp;sp=Sofz1ccpHaUx%2FxtJ4pW9ZaQ%3D%3D", "Construction of Room, Prathmik Swasth Kentra, Boundry wall, Nali Nirman, Grewal Sadak, Rapat Nirman, CC ROAD ATTACHED AS PER LIST Gram Panchayat Bikarni Block Kotra")</f>
        <v/>
      </c>
      <c r="C230" t="inlineStr">
        <is>
          <t>Panchayati Raj Department||Secretary and Commissioner||CEO-UDAIPUR||BDO-KOTADA</t>
        </is>
      </c>
      <c r="D230" t="inlineStr">
        <is>
          <t>25-May-2025 06:00 PM</t>
        </is>
      </c>
      <c r="E230" t="inlineStr">
        <is>
          <t>93,41,000</t>
        </is>
      </c>
      <c r="F230" t="inlineStr">
        <is>
          <t>Construction of Room, Prathmik Swasth Kentra, Boundry wall, Nali Nirman, Grewal Sadak, Rapat Nirman, CC ROAD ATTACHED AS PER LIST Gram Panchayat Bikarni Block Kotra</t>
        </is>
      </c>
      <c r="G230" t="inlineStr">
        <is>
          <t>Gram Panchayat Bikarni</t>
        </is>
      </c>
    </row>
    <row r="231">
      <c r="A231" s="1" t="n">
        <v>229</v>
      </c>
      <c r="B231">
        <f>HYPERLINK("https://eproc.rajasthan.gov.in/nicgep/app?component=%24DirectLink&amp;page=FrontEndViewTender&amp;service=direct&amp;session=T&amp;sp=SiyQpD3c78Iz%2BYMpxRLmpKQ%3D%3D", "Construction of Two Class Room in Govt. Sr. Sec. School Merpur GP Merpur Block Kotra under DMFT Fund")</f>
        <v/>
      </c>
      <c r="C231" t="inlineStr">
        <is>
          <t>Panchayati Raj Department||Secretary and Commissioner||CEO-UDAIPUR||BDO-KOTADA</t>
        </is>
      </c>
      <c r="D231" t="inlineStr">
        <is>
          <t>19-May-2025 06:00 PM</t>
        </is>
      </c>
      <c r="E231" t="inlineStr">
        <is>
          <t>24,98,000</t>
        </is>
      </c>
      <c r="F231" t="inlineStr">
        <is>
          <t>Construction of Two Class Room in Govt. Sr. Sec. School Merpur GP Merpur Block Kotra under DMFT Fund</t>
        </is>
      </c>
      <c r="G231" t="inlineStr">
        <is>
          <t>GP Merpur Block Kotra</t>
        </is>
      </c>
    </row>
    <row r="232">
      <c r="A232" s="1" t="n">
        <v>230</v>
      </c>
      <c r="B232">
        <f>HYPERLINK("https://eproc.rajasthan.gov.in/nicgep/app?component=%24DirectLink&amp;page=FrontEndViewTender&amp;service=direct&amp;session=T&amp;sp=SrZHpEasKMHfTXP0QYWxBoQ%3D%3D", "SBM cleaning work gp Ajgara")</f>
        <v/>
      </c>
      <c r="C232" t="inlineStr">
        <is>
          <t>Panchayati Raj Department||Secretary and Commissioner||CEO-AJMER||BDO-KEKRI</t>
        </is>
      </c>
      <c r="D232" t="inlineStr">
        <is>
          <t>26-May-2025 06:00 PM</t>
        </is>
      </c>
      <c r="E232" t="inlineStr">
        <is>
          <t>11,93,340</t>
        </is>
      </c>
      <c r="F232" t="inlineStr">
        <is>
          <t>SBM cleaning work gp Ajgara</t>
        </is>
      </c>
      <c r="G232" t="inlineStr">
        <is>
          <t>gram panchayat Ajgra</t>
        </is>
      </c>
    </row>
    <row r="233">
      <c r="A233" s="1" t="n">
        <v>231</v>
      </c>
      <c r="B233">
        <f>HYPERLINK("https://eproc.rajasthan.gov.in/nicgep/app?component=%24DirectLink&amp;page=FrontEndViewTender&amp;service=direct&amp;session=T&amp;sp=SJG2vr3tejIb3iZnW%2FckxVw%3D%3D", "Rate contract For Supply of Construction Material and Providing Equipments for MGNREGA and Rural Development and Panchayati Raj departments various schemes at Gram Panchayat Daulatpura Panchayat Samiti Lalsot Dist Dausa For FY 2025-26")</f>
        <v/>
      </c>
      <c r="C233" t="inlineStr">
        <is>
          <t>Panchayati Raj Department||Secretary and Commissioner||CEO-DAUSA||BDO-LALSOT</t>
        </is>
      </c>
      <c r="D233" t="inlineStr">
        <is>
          <t>26-May-2025 06:00 PM</t>
        </is>
      </c>
      <c r="E233" t="inlineStr">
        <is>
          <t>50,00,000</t>
        </is>
      </c>
      <c r="F233" t="inlineStr">
        <is>
          <t>Rate contract For Supply of Construction Material and Providing Equipments for MGNREGA and Rural Development and Panchayati Raj departments various schemes at Gram Panchayat Daulatpura Panchayat Samiti Lalsot Dist Dausa For FY 2025-26</t>
        </is>
      </c>
      <c r="G233" t="inlineStr">
        <is>
          <t>GRAM PANCHAYAT DAULATPURA</t>
        </is>
      </c>
    </row>
    <row r="234">
      <c r="A234" s="1" t="n">
        <v>232</v>
      </c>
      <c r="B234">
        <f>HYPERLINK("https://eproc.rajasthan.gov.in/nicgep/app?component=%24DirectLink&amp;page=FrontEndViewTender&amp;service=direct&amp;session=T&amp;sp=Sqsw0wLQwTII3Xhl%2BSd6iMw%3D%3D", "CC tiles road construction work from Bairwa Basti to Daulatpura behind IT Center")</f>
        <v/>
      </c>
      <c r="C234" t="inlineStr">
        <is>
          <t>Panchayati Raj Department||Secretary and Commissioner||CEO-DAUSA||BDO-LALSOT</t>
        </is>
      </c>
      <c r="D234" t="inlineStr">
        <is>
          <t>23-May-2025 06:00 PM</t>
        </is>
      </c>
      <c r="E234" t="inlineStr">
        <is>
          <t>5,00,000</t>
        </is>
      </c>
      <c r="F234" t="inlineStr">
        <is>
          <t>CC tiles road construction work from Bairwa Basti to Daulatpura behind IT Center</t>
        </is>
      </c>
      <c r="G234" t="inlineStr">
        <is>
          <t>GRAM PANCHAYT DAULATPURA</t>
        </is>
      </c>
    </row>
    <row r="235">
      <c r="A235" s="1" t="n">
        <v>233</v>
      </c>
      <c r="B235">
        <f>HYPERLINK("https://eproc.rajasthan.gov.in/nicgep/app?component=%24DirectLink&amp;page=FrontEndViewTender&amp;service=direct&amp;session=T&amp;sp=SnDKFu1uzf2IaO5np3icJiQ%3D%3D", "SBM cleaning work gp Rampali")</f>
        <v/>
      </c>
      <c r="C235" t="inlineStr">
        <is>
          <t>Panchayati Raj Department||Secretary and Commissioner||CEO-AJMER||BDO-KEKRI</t>
        </is>
      </c>
      <c r="D235" t="inlineStr">
        <is>
          <t>26-May-2025 06:00 PM</t>
        </is>
      </c>
      <c r="E235" t="inlineStr">
        <is>
          <t>14,42,568</t>
        </is>
      </c>
      <c r="F235" t="inlineStr">
        <is>
          <t>SBM cleaning work gp Rampali</t>
        </is>
      </c>
      <c r="G235" t="inlineStr">
        <is>
          <t>gram panchayat Rampali</t>
        </is>
      </c>
    </row>
    <row r="236">
      <c r="A236" s="1" t="n">
        <v>234</v>
      </c>
      <c r="B236">
        <f>HYPERLINK("https://eproc.rajasthan.gov.in/nicgep/app?component=%24DirectLink&amp;page=FrontEndViewTender&amp;service=direct&amp;session=T&amp;sp=Sw4GOiYPqoxi7jUDsGpIvgw%3D%3D", "SBM cleaning work gp mevdakalan")</f>
        <v/>
      </c>
      <c r="C236" t="inlineStr">
        <is>
          <t>Panchayati Raj Department||Secretary and Commissioner||CEO-AJMER||BDO-KEKRI</t>
        </is>
      </c>
      <c r="D236" t="inlineStr">
        <is>
          <t>26-May-2025 06:00 PM</t>
        </is>
      </c>
      <c r="E236" t="inlineStr">
        <is>
          <t>11,61,168</t>
        </is>
      </c>
      <c r="F236" t="inlineStr">
        <is>
          <t>SBM cleaning work gp mevdakalan</t>
        </is>
      </c>
      <c r="G236" t="inlineStr">
        <is>
          <t>gram panchayat Mevdakalan</t>
        </is>
      </c>
    </row>
    <row r="237">
      <c r="A237" s="1" t="n">
        <v>235</v>
      </c>
      <c r="B237">
        <f>HYPERLINK("https://eproc.rajasthan.gov.in/nicgep/app?component=%24DirectLink&amp;page=FrontEndViewTender&amp;service=direct&amp;session=T&amp;sp=S0Ln%2F%2FcNRq1Ngv1avsdkqfQ%3D%3D", "gram panchayat ke samast ganvo me saf safai work")</f>
        <v/>
      </c>
      <c r="C237" t="inlineStr">
        <is>
          <t>Panchayati Raj Department||Secretary and Commissioner||CEO-DAUSA||BDO-BANDIKUI</t>
        </is>
      </c>
      <c r="D237" t="inlineStr">
        <is>
          <t>23-May-2025 06:00 PM</t>
        </is>
      </c>
      <c r="E237" t="inlineStr">
        <is>
          <t>6,00,000</t>
        </is>
      </c>
      <c r="F237" t="inlineStr">
        <is>
          <t>bid.pdf</t>
        </is>
      </c>
      <c r="G237" t="inlineStr">
        <is>
          <t>services</t>
        </is>
      </c>
    </row>
    <row r="238">
      <c r="A238" s="1" t="n">
        <v>236</v>
      </c>
      <c r="B238">
        <f>HYPERLINK("https://eproc.rajasthan.gov.in/nicgep/app?component=%24DirectLink&amp;page=FrontEndViewTender&amp;service=direct&amp;session=T&amp;sp=SdepCWqSgcSOwXVz7hW5aig%3D%3D", "PURCHASE OF GOODS AND SERVICES MNREGA AND RD SCHEMES FOR YEAR 2025-26 GRAM PANCHAYAT BISARNIYA")</f>
        <v/>
      </c>
      <c r="C238" t="inlineStr">
        <is>
          <t>Panchayati Raj Department||Secretary and Commissioner||CEO-BADMER||BDO-CHOHTAN</t>
        </is>
      </c>
      <c r="D238" t="inlineStr">
        <is>
          <t>26-May-2025 05:00 PM</t>
        </is>
      </c>
      <c r="E238" t="inlineStr">
        <is>
          <t>80,00,000</t>
        </is>
      </c>
      <c r="F238" t="inlineStr">
        <is>
          <t>PURCHASE OF GOODS AND SERVICES MNREGA AND RD SCHEMES FOR YEAR 2025-26 GRAM PANCHAYAT BISARNIYA</t>
        </is>
      </c>
      <c r="G238" t="inlineStr">
        <is>
          <t>GP BISARNIYA</t>
        </is>
      </c>
    </row>
    <row r="239">
      <c r="A239" s="1" t="n">
        <v>237</v>
      </c>
      <c r="B239">
        <f>HYPERLINK("https://eproc.rajasthan.gov.in/nicgep/app?component=%24DirectLink&amp;page=FrontEndViewTender&amp;service=direct&amp;session=T&amp;sp=SZYMnJUxoDVOhH8kJWlkR7g%3D%3D", "GP PANCHALA SIDHA MGNREGA TENDER")</f>
        <v/>
      </c>
      <c r="C239" t="inlineStr">
        <is>
          <t>Panchayati Raj Department||Secretary and Commissioner||CEO-NAGORE||BDO-KHIWANSAR</t>
        </is>
      </c>
      <c r="D239" t="inlineStr">
        <is>
          <t>26-May-2025 06:00 PM</t>
        </is>
      </c>
      <c r="E239" t="inlineStr">
        <is>
          <t>80,00,000</t>
        </is>
      </c>
      <c r="F239" t="inlineStr">
        <is>
          <t>Matarial Supply In nrega scheme for gp Panchala Sidha</t>
        </is>
      </c>
      <c r="G239" t="inlineStr">
        <is>
          <t>GP PANCHALA SIDHA</t>
        </is>
      </c>
    </row>
    <row r="240">
      <c r="A240" s="1" t="n">
        <v>238</v>
      </c>
      <c r="B240">
        <f>HYPERLINK("https://eproc.rajasthan.gov.in/nicgep/app?component=%24DirectLink&amp;page=FrontEndViewTender&amp;service=direct&amp;session=T&amp;sp=S8xdzKi2VBa2l2wU6aoqGKQ%3D%3D", "GP DHONDH MATERIAL SUPPLY")</f>
        <v/>
      </c>
      <c r="C240" t="inlineStr">
        <is>
          <t>Panchayati Raj Department||Secretary and Commissioner||CEO-DHOLPUR||BDO-SARMATHURA</t>
        </is>
      </c>
      <c r="D240" t="inlineStr">
        <is>
          <t>23-May-2025 06:00 PM</t>
        </is>
      </c>
      <c r="E240" t="inlineStr">
        <is>
          <t>50,00,000</t>
        </is>
      </c>
      <c r="F240" t="inlineStr">
        <is>
          <t>GP DHONDH MATERIAL SUPPLY</t>
        </is>
      </c>
      <c r="G240" t="inlineStr">
        <is>
          <t>GP DHONDH</t>
        </is>
      </c>
    </row>
    <row r="241">
      <c r="A241" s="1" t="n">
        <v>239</v>
      </c>
      <c r="B241">
        <f>HYPERLINK("https://eproc.rajasthan.gov.in/nicgep/app?component=%24DirectLink&amp;page=FrontEndViewTender&amp;service=direct&amp;session=T&amp;sp=Stv%2Bwd0Mj60fUkhHZp%2BaogQ%3D%3D", "Supply of Construction Material RDPR Scheme MNREGA, SFC , FFC and other scheme for Financial Year 2025-26 in Gram Panchyat Kuredi PS Khandar")</f>
        <v/>
      </c>
      <c r="C241" t="inlineStr">
        <is>
          <t>Panchayati Raj Department||Secretary and Commissioner||CEO-S.MADHOPUR||BDO-KHANDAR</t>
        </is>
      </c>
      <c r="D241" t="inlineStr">
        <is>
          <t>27-May-2025 06:00 PM</t>
        </is>
      </c>
      <c r="E241" t="inlineStr">
        <is>
          <t>40,00,000</t>
        </is>
      </c>
      <c r="F241" t="inlineStr">
        <is>
          <t>Supply of Construction Material RDPR Scheme MNREGA, SFC , FFC and other scheme for Financial Year 2025-26 in Gram Panchyat Kuredi PS Khandar</t>
        </is>
      </c>
      <c r="G241" t="inlineStr">
        <is>
          <t>GRAM PANCHYAT KUREDI</t>
        </is>
      </c>
    </row>
    <row r="242">
      <c r="A242" s="1" t="n">
        <v>240</v>
      </c>
      <c r="B242">
        <f>HYPERLINK("https://eproc.rajasthan.gov.in/nicgep/app?component=%24DirectLink&amp;page=FrontEndViewTender&amp;service=direct&amp;session=T&amp;sp=SUw%2BWAjyNnIHDMTgGOENuHg%3D%3D", "Supply of Construction Material RDPR Scheme MNREGA, SFC , FFC and other scheme for Financial Year 2025-26 in Gram Panchyat Kosra PS Khandar")</f>
        <v/>
      </c>
      <c r="C242" t="inlineStr">
        <is>
          <t>Panchayati Raj Department||Secretary and Commissioner||CEO-S.MADHOPUR||BDO-KHANDAR</t>
        </is>
      </c>
      <c r="D242" t="inlineStr">
        <is>
          <t>27-May-2025 06:00 PM</t>
        </is>
      </c>
      <c r="E242" t="inlineStr">
        <is>
          <t>50,00,000</t>
        </is>
      </c>
      <c r="F242" t="inlineStr">
        <is>
          <t>Supply of Construction Material RDPR Scheme MNREGA, SFC , FFC and other scheme for Financial Year 2025-26 in Gram Panchyat Kosra PS Khandar</t>
        </is>
      </c>
      <c r="G242" t="inlineStr">
        <is>
          <t>GRAM PANCHYAT KOSRA</t>
        </is>
      </c>
    </row>
    <row r="243">
      <c r="A243" s="1" t="n">
        <v>241</v>
      </c>
      <c r="B243">
        <f>HYPERLINK("https://eproc.rajasthan.gov.in/nicgep/app?component=%24DirectLink&amp;page=FrontEndViewTender&amp;service=direct&amp;session=T&amp;sp=SyTvaOT28Tl7YgZ0H%2B5JbCQ%3D%3D", "CC interlocking tiles road construction work from Kothyari Dhani to Jaisinghpura Road Jaisinghpura")</f>
        <v/>
      </c>
      <c r="C243" t="inlineStr">
        <is>
          <t>Panchayati Raj Department||Secretary and Commissioner||CEO-DAUSA||BDO-LALSOT</t>
        </is>
      </c>
      <c r="D243" t="inlineStr">
        <is>
          <t>23-May-2025 06:00 PM</t>
        </is>
      </c>
      <c r="E243" t="inlineStr">
        <is>
          <t>10,00,000</t>
        </is>
      </c>
      <c r="F243" t="inlineStr">
        <is>
          <t>CC interlocking tiles road construction work from Kothyari Dhani to Jaisinghpura Road Jaisinghpura</t>
        </is>
      </c>
      <c r="G243" t="inlineStr">
        <is>
          <t>GRAM PANCHAYAT DAULATPURA</t>
        </is>
      </c>
    </row>
    <row r="244">
      <c r="A244" s="1" t="n">
        <v>242</v>
      </c>
      <c r="B244">
        <f>HYPERLINK("https://eproc.rajasthan.gov.in/nicgep/app?component=%24DirectLink&amp;page=FrontEndViewTender&amp;service=direct&amp;session=T&amp;sp=SrAxtk0lIe8VG9UU6RoTJig%3D%3D", "CC tiles road and square construction work Government Primary School Kokariya")</f>
        <v/>
      </c>
      <c r="C244" t="inlineStr">
        <is>
          <t>Panchayati Raj Department||Secretary and Commissioner||CEO-DAUSA||BDO-LALSOT</t>
        </is>
      </c>
      <c r="D244" t="inlineStr">
        <is>
          <t>23-May-2025 06:00 PM</t>
        </is>
      </c>
      <c r="E244" t="inlineStr">
        <is>
          <t>5,00,000</t>
        </is>
      </c>
      <c r="F244" t="inlineStr">
        <is>
          <t>CC tiles road and square construction work Government Primary School Kokariya</t>
        </is>
      </c>
      <c r="G244" t="inlineStr">
        <is>
          <t>GRAM PANCHAYAT DAULATPURA</t>
        </is>
      </c>
    </row>
    <row r="245">
      <c r="A245" s="1" t="n">
        <v>243</v>
      </c>
      <c r="B245">
        <f>HYPERLINK("https://eproc.rajasthan.gov.in/nicgep/app?component=%24DirectLink&amp;page=FrontEndViewTender&amp;service=direct&amp;session=T&amp;sp=SVoAiS4EhWtPuVlo8M7Enfw%3D%3D", "SBM cleaning work gp Lallai")</f>
        <v/>
      </c>
      <c r="C245" t="inlineStr">
        <is>
          <t>Panchayati Raj Department||Secretary and Commissioner||CEO-AJMER||BDO-KEKRI</t>
        </is>
      </c>
      <c r="D245" t="inlineStr">
        <is>
          <t>26-May-2025 06:00 PM</t>
        </is>
      </c>
      <c r="E245" t="inlineStr">
        <is>
          <t>18,34,028</t>
        </is>
      </c>
      <c r="F245" t="inlineStr">
        <is>
          <t>SBM cleaning work gp Lallai</t>
        </is>
      </c>
      <c r="G245" t="inlineStr">
        <is>
          <t>gram panchayat Lallai</t>
        </is>
      </c>
    </row>
    <row r="246">
      <c r="A246" s="1" t="n">
        <v>244</v>
      </c>
      <c r="B246">
        <f>HYPERLINK("https://eproc.rajasthan.gov.in/nicgep/app?component=%24DirectLink&amp;page=FrontEndViewTender&amp;service=direct&amp;session=T&amp;sp=SwLN1fYniV4xp81WuIoOsqA%3D%3D", "Rate contract For Supply of Construction Material and Providing Equipments for MGNREGA and Rural Development and Panchayati Raj departments various schemes at Gram Panchayat Ladpura Panchayat Samiti Lalsot Dist Dausa For FY 2025-26")</f>
        <v/>
      </c>
      <c r="C246" t="inlineStr">
        <is>
          <t>Panchayati Raj Department||Secretary and Commissioner||CEO-DAUSA||BDO-LALSOT</t>
        </is>
      </c>
      <c r="D246" t="inlineStr">
        <is>
          <t>02-Jun-2025 06:00 PM</t>
        </is>
      </c>
      <c r="E246" t="inlineStr">
        <is>
          <t>50,00,000</t>
        </is>
      </c>
      <c r="F246" t="inlineStr">
        <is>
          <t>Rate contract For Supply of Construction Material and Providing Equipments for MGNREGA and Rural Development and Panchayati Raj departments various schemes at Gram Panchayat Ladpura Panchayat Samiti Lalsot Dist Dausa For FY 2025-26</t>
        </is>
      </c>
      <c r="G246" t="inlineStr">
        <is>
          <t>GRAM PANCHAYAT LADPURA</t>
        </is>
      </c>
    </row>
    <row r="247">
      <c r="A247" s="1" t="n">
        <v>245</v>
      </c>
      <c r="B247">
        <f>HYPERLINK("https://eproc.rajasthan.gov.in/nicgep/app?component=%24DirectLink&amp;page=FrontEndViewTender&amp;service=direct&amp;session=T&amp;sp=SzN%2FJ5pTWeRxGcoLiK5W4pQ%3D%3D", "PURCHASE OF GOODS AND SERVICES MNREGA AND RD SCHEMES FOR YEAR 2025-26 GRAM PANCHAYAT, SANVLOR")</f>
        <v/>
      </c>
      <c r="C247" t="inlineStr">
        <is>
          <t>Panchayati Raj Department||Secretary and Commissioner||CEO-BADMER||BDO-CHOHTAN</t>
        </is>
      </c>
      <c r="D247" t="inlineStr">
        <is>
          <t>26-May-2025 05:00 PM</t>
        </is>
      </c>
      <c r="E247" t="inlineStr">
        <is>
          <t>80,00,000</t>
        </is>
      </c>
      <c r="F247" t="inlineStr">
        <is>
          <t>PURCHASE OF GOODS AND SERVICES MNREGA AND RD SCHEMES FOR YEAR 2025-26 GRAM PANCHAYAT, SANVLOR</t>
        </is>
      </c>
      <c r="G247" t="inlineStr">
        <is>
          <t>GRAM PANCHAYAT, SANVLOR</t>
        </is>
      </c>
    </row>
    <row r="248">
      <c r="A248" s="1" t="n">
        <v>246</v>
      </c>
      <c r="B248">
        <f>HYPERLINK("https://eproc.rajasthan.gov.in/nicgep/app?component=%24DirectLink&amp;page=FrontEndViewTender&amp;service=direct&amp;session=T&amp;sp=SFN6%2BZdQ2a%2BJzXw8krtZ0fA%3D%3D", "SBM cleaning work gp Kanoj")</f>
        <v/>
      </c>
      <c r="C248" t="inlineStr">
        <is>
          <t>Panchayati Raj Department||Secretary and Commissioner||CEO-AJMER||BDO-KEKRI</t>
        </is>
      </c>
      <c r="D248" t="inlineStr">
        <is>
          <t>26-May-2025 06:00 PM</t>
        </is>
      </c>
      <c r="E248" t="inlineStr">
        <is>
          <t>9,71,460</t>
        </is>
      </c>
      <c r="F248" t="inlineStr">
        <is>
          <t>SBM cleaning work gp Kanoj</t>
        </is>
      </c>
      <c r="G248" t="inlineStr">
        <is>
          <t>gram panchayat Kanoj</t>
        </is>
      </c>
    </row>
    <row r="249">
      <c r="A249" s="1" t="n">
        <v>247</v>
      </c>
      <c r="B249">
        <f>HYPERLINK("https://eproc.rajasthan.gov.in/nicgep/app?component=%24DirectLink&amp;page=FrontEndViewTender&amp;service=direct&amp;session=T&amp;sp=SV4LRbYVsgBBkQEAs5GCIPA%3D%3D", "Work including door-to-door (residential and commercial) garbage collection and segregation, road and drain cleaning and community sanitation premises cleaning in all villages of Gram Panchayat Ladpura.")</f>
        <v/>
      </c>
      <c r="C249" t="inlineStr">
        <is>
          <t>Panchayati Raj Department||Secretary and Commissioner||CEO-DAUSA||BDO-LALSOT</t>
        </is>
      </c>
      <c r="D249" t="inlineStr">
        <is>
          <t>23-May-2025 06:00 PM</t>
        </is>
      </c>
      <c r="E249" t="inlineStr">
        <is>
          <t>4,96,022</t>
        </is>
      </c>
      <c r="F249" t="inlineStr">
        <is>
          <t>Work including door-to-door (residential and commercial) garbage collection and segregation, road and drain cleaning and community sanitation premises cleaning in all villages of Gram Panchayat Ladpura.</t>
        </is>
      </c>
      <c r="G249" t="inlineStr">
        <is>
          <t>GRAM PANCHAYAT LADPURA</t>
        </is>
      </c>
    </row>
    <row r="250">
      <c r="A250" s="1" t="n">
        <v>248</v>
      </c>
      <c r="B250">
        <f>HYPERLINK("https://eproc.rajasthan.gov.in/nicgep/app?component=%24DirectLink&amp;page=FrontEndViewTender&amp;service=direct&amp;session=T&amp;sp=SfobZ1mMT1kQ9TrJhnsV9Pw%3D%3D", "SBM cleaning work gp Sarsari")</f>
        <v/>
      </c>
      <c r="C250" t="inlineStr">
        <is>
          <t>Panchayati Raj Department||Secretary and Commissioner||CEO-AJMER||BDO-KEKRI</t>
        </is>
      </c>
      <c r="D250" t="inlineStr">
        <is>
          <t>26-May-2025 06:00 PM</t>
        </is>
      </c>
      <c r="E250" t="inlineStr">
        <is>
          <t>11,51,160</t>
        </is>
      </c>
      <c r="F250" t="inlineStr">
        <is>
          <t>SBM cleaning work gp Sarsari</t>
        </is>
      </c>
      <c r="G250" t="inlineStr">
        <is>
          <t>gram panchayat Sarsari</t>
        </is>
      </c>
    </row>
    <row r="251">
      <c r="A251" s="1" t="n">
        <v>249</v>
      </c>
      <c r="B251">
        <f>HYPERLINK("https://eproc.rajasthan.gov.in/nicgep/app?component=%24DirectLink&amp;page=FrontEndViewTender&amp;service=direct&amp;session=T&amp;sp=SWWr%2FXHMdIi0Hm2VMl1D42g%3D%3D", "PURCHASE OF GOODS AND SERVICES MNREGA AND RD SCHEMES FOR YEAR 2025-26 GRAM PANCHAYAT NEHRO KI NADI")</f>
        <v/>
      </c>
      <c r="C251" t="inlineStr">
        <is>
          <t>Panchayati Raj Department||Secretary and Commissioner||CEO-BADMER||BDO-CHOHTAN</t>
        </is>
      </c>
      <c r="D251" t="inlineStr">
        <is>
          <t>26-May-2025 05:00 PM</t>
        </is>
      </c>
      <c r="E251" t="inlineStr">
        <is>
          <t>1,00,00,000</t>
        </is>
      </c>
      <c r="F251" t="inlineStr">
        <is>
          <t>PURCHASE OF GOODS AND SERVICES MNREGA AND RD SCHEMES FOR YEAR 2025-26 GRAM PANCHAYAT NEHRO KI NADI</t>
        </is>
      </c>
      <c r="G251" t="inlineStr">
        <is>
          <t>GP NEHRO KI NADI</t>
        </is>
      </c>
    </row>
    <row r="252">
      <c r="A252" s="1" t="n">
        <v>250</v>
      </c>
      <c r="B252">
        <f>HYPERLINK("https://eproc.rajasthan.gov.in/nicgep/app?component=%24DirectLink&amp;page=FrontEndViewTender&amp;service=direct&amp;session=T&amp;sp=SU1VpeQDCr5mHmXV3sqRadA%3D%3D", "SBM cleaning work gp Devgaon")</f>
        <v/>
      </c>
      <c r="C252" t="inlineStr">
        <is>
          <t>Panchayati Raj Department||Secretary and Commissioner||CEO-AJMER||BDO-KEKRI</t>
        </is>
      </c>
      <c r="D252" t="inlineStr">
        <is>
          <t>26-May-2025 06:00 PM</t>
        </is>
      </c>
      <c r="E252" t="inlineStr">
        <is>
          <t>17,57,328</t>
        </is>
      </c>
      <c r="F252" t="inlineStr">
        <is>
          <t>SBM cleaning work gp Devgaon</t>
        </is>
      </c>
      <c r="G252" t="inlineStr">
        <is>
          <t>gram panchayat Devgaon</t>
        </is>
      </c>
    </row>
    <row r="253">
      <c r="A253" s="1" t="n">
        <v>251</v>
      </c>
      <c r="B253">
        <f>HYPERLINK("https://eproc.rajasthan.gov.in/nicgep/app?component=%24DirectLink&amp;page=FrontEndViewTender&amp;service=direct&amp;session=T&amp;sp=SkNwCovDkWAhPJ1bmUEigNQ%3D%3D", "SBM cleaning work gp Nayaki")</f>
        <v/>
      </c>
      <c r="C253" t="inlineStr">
        <is>
          <t>Panchayati Raj Department||Secretary and Commissioner||CEO-AJMER||BDO-KEKRI</t>
        </is>
      </c>
      <c r="D253" t="inlineStr">
        <is>
          <t>26-May-2025 06:00 PM</t>
        </is>
      </c>
      <c r="E253" t="inlineStr">
        <is>
          <t>11,10,060</t>
        </is>
      </c>
      <c r="F253" t="inlineStr">
        <is>
          <t>SBM cleaning work gp Nayaki</t>
        </is>
      </c>
      <c r="G253" t="inlineStr">
        <is>
          <t>gram panchayat Nayaki</t>
        </is>
      </c>
    </row>
    <row r="254">
      <c r="A254" s="1" t="n">
        <v>252</v>
      </c>
      <c r="B254">
        <f>HYPERLINK("https://eproc.rajasthan.gov.in/nicgep/app?component=%24DirectLink&amp;page=FrontEndViewTender&amp;service=direct&amp;session=T&amp;sp=SRf3PqjIjbDQu7Ofzw33Kww%3D%3D", "Material purchase at BSR 2025-26 in RD and MGNREGA scheme GP KHARAWALAMaterial purchase at BSR 2025-26 in RD and MGNREGA scheme GP KHARAWALAMaterial purchase at BSR 2025-26 in RD and MGNREGA scheme GP KHARAWALA")</f>
        <v/>
      </c>
      <c r="C254" t="inlineStr">
        <is>
          <t>Panchayati Raj Department||Secretary and Commissioner||CEO-BADMER||BDO-CHOHTAN</t>
        </is>
      </c>
      <c r="D254" t="inlineStr">
        <is>
          <t>27-May-2025 05:00 PM</t>
        </is>
      </c>
      <c r="E254" t="inlineStr">
        <is>
          <t>60,00,000</t>
        </is>
      </c>
      <c r="F254" t="inlineStr">
        <is>
          <t>Material purchase at BSR 2025-26 in RD and MGNREGA scheme GP KHARAWALA</t>
        </is>
      </c>
      <c r="G254" t="inlineStr">
        <is>
          <t>GRAM PANCHAYAT KHARAWALA</t>
        </is>
      </c>
    </row>
    <row r="255">
      <c r="A255" s="1" t="n">
        <v>253</v>
      </c>
      <c r="B255">
        <f>HYPERLINK("https://eproc.rajasthan.gov.in/nicgep/app?component=%24DirectLink&amp;page=FrontEndViewTender&amp;service=direct&amp;session=T&amp;sp=ScgecCTUyoRt3blSBgEc7uw%3D%3D", "RATE CONTRACT FOR SUPPLY OF CONSTRUCTION MATERIAL FOR THE FINANCIAL YEAR 2025-26 IN GRAM PANCHAYAT MANDHA SURERA PANCHAYAT SAMITI DANTARAMGARH DISTT SIKAR")</f>
        <v/>
      </c>
      <c r="C255" t="inlineStr">
        <is>
          <t>Panchayati Raj Department||Secretary and Commissioner||CEO-SIKAR||BDO-DANTARAMGARH</t>
        </is>
      </c>
      <c r="D255" t="inlineStr">
        <is>
          <t>26-May-2025 06:00 PM</t>
        </is>
      </c>
      <c r="E255" t="inlineStr">
        <is>
          <t>50,00,000</t>
        </is>
      </c>
      <c r="F255" t="inlineStr">
        <is>
          <t>RATE CONTRACT FOR SUPPLY OF CONSTRUCTION MATERIAL FOR THE FINANCIAL YEAR 2025-26 IN GRAM PANCHAYAT MANDHA SURERA PANCHAYAT SAMITI DANTARAMGARH DISTT SIKAR</t>
        </is>
      </c>
      <c r="G255" t="inlineStr">
        <is>
          <t>GRAM PANCHAYAT MANDHA SURERA</t>
        </is>
      </c>
    </row>
    <row r="256">
      <c r="A256" s="1" t="n">
        <v>254</v>
      </c>
      <c r="B256">
        <f>HYPERLINK("https://eproc.rajasthan.gov.in/nicgep/app?component=%24DirectLink&amp;page=FrontEndViewTender&amp;service=direct&amp;session=T&amp;sp=SujmPXiPIN1ei27kgaX5tvQ%3D%3D", "RATE CONTRACT FOR SUPPLY OF MATERIAL AND EQUIPMENT FOR CIVIL CONSTRUCTION UNDER MGNREGA AND OTHER DEVELOPMENT SCHEMES UNDER GRAM PANCHAYAT NARTA FY 2025-26")</f>
        <v/>
      </c>
      <c r="C256" t="inlineStr">
        <is>
          <t>Panchayati Raj Department||Secretary and Commissioner||CEO- JALORE||BDO- BHINMAL</t>
        </is>
      </c>
      <c r="D256" t="inlineStr">
        <is>
          <t>26-May-2025 12:00 PM</t>
        </is>
      </c>
      <c r="E256" t="inlineStr">
        <is>
          <t>50,00,000</t>
        </is>
      </c>
      <c r="F256" t="inlineStr">
        <is>
          <t>RATE CONTRACT FOR SUPPLY OF MATERIAL AND EQUIPMENT FOR CIVIL CONSTRUCTION UNDER MGNREGA AND OTHER DEVELOPMENT SCHEMES UNDER GRAM PANCHAYAT NARTA FY 2025-26</t>
        </is>
      </c>
      <c r="G256" t="inlineStr">
        <is>
          <t>GP NARTA PS BHINMAL</t>
        </is>
      </c>
    </row>
    <row r="257">
      <c r="A257" s="1" t="n">
        <v>255</v>
      </c>
      <c r="B257">
        <f>HYPERLINK("https://eproc.rajasthan.gov.in/nicgep/app?component=%24DirectLink&amp;page=FrontEndViewTender&amp;service=direct&amp;session=T&amp;sp=SH0Ngg7mYDP2iRjV8VpZriw%3D%3D", "MATERIAL SUPPLY FOR MGNREGA WORKS IN GP KANWARLI SURAJBERA PS PATODI DISTRICT BALOTRA")</f>
        <v/>
      </c>
      <c r="C257" t="inlineStr">
        <is>
          <t>Panchayati Raj Department||Secretary and Commissioner||CEO-BADMER||BDO-PATODI</t>
        </is>
      </c>
      <c r="D257" t="inlineStr">
        <is>
          <t>27-May-2025 06:00 PM</t>
        </is>
      </c>
      <c r="E257" t="inlineStr">
        <is>
          <t>1,00,00,000</t>
        </is>
      </c>
      <c r="F257" t="inlineStr">
        <is>
          <t>MATERIAL SUPPLY FOR MGNREGA WORKS IN GP KANWARLI SURAJBERA PS PATODI DISTRICT BALOTRA</t>
        </is>
      </c>
      <c r="G257" t="inlineStr">
        <is>
          <t>GP KANWARLI SURAJBERA</t>
        </is>
      </c>
    </row>
    <row r="258">
      <c r="A258" s="1" t="n">
        <v>256</v>
      </c>
      <c r="B258">
        <f>HYPERLINK("https://eproc.rajasthan.gov.in/nicgep/app?component=%24DirectLink&amp;page=FrontEndViewTender&amp;service=direct&amp;session=T&amp;sp=SdCim39%2BVe8uUbJA8%2BgbCZA%3D%3D", "MATERIAL SUPPLY TENDER GRAM PANCHAYAT NANAN")</f>
        <v/>
      </c>
      <c r="C258" t="inlineStr">
        <is>
          <t>Panchayati Raj Department||Secretary and Commissioner||CEO- JAIPUR||BDO-DUDU</t>
        </is>
      </c>
      <c r="D258" t="inlineStr">
        <is>
          <t>26-May-2025 04:00 PM</t>
        </is>
      </c>
      <c r="E258" t="inlineStr">
        <is>
          <t>50,00,000</t>
        </is>
      </c>
      <c r="F258" t="inlineStr">
        <is>
          <t>MATERIAL SUPPLY TENDER GRAM PANCHAYAT NANAN</t>
        </is>
      </c>
      <c r="G258" t="inlineStr">
        <is>
          <t>NANAN</t>
        </is>
      </c>
    </row>
    <row r="259">
      <c r="A259" s="1" t="n">
        <v>257</v>
      </c>
      <c r="B259">
        <f>HYPERLINK("https://eproc.rajasthan.gov.in/nicgep/app?component=%24DirectLink&amp;page=FrontEndViewTender&amp;service=direct&amp;session=T&amp;sp=S9dZrasznaYOGsrCduiaAaA%3D%3D", "MATERIAL SUPPLY FOR MGNREGA WORKS IN GP SAJIYALI RUPAJI RAJABERI PS PATODI DISTRICT BALOTRA")</f>
        <v/>
      </c>
      <c r="C259" t="inlineStr">
        <is>
          <t>Panchayati Raj Department||Secretary and Commissioner||CEO-BADMER||BDO-PATODI</t>
        </is>
      </c>
      <c r="D259" t="inlineStr">
        <is>
          <t>27-May-2025 06:00 PM</t>
        </is>
      </c>
      <c r="E259" t="inlineStr">
        <is>
          <t>1,00,00,000</t>
        </is>
      </c>
      <c r="F259" t="inlineStr">
        <is>
          <t>MATERIAL SUPPLY FOR MGNREGA WORKS IN GP SAJIYALI RUPAJI RAJABERI PS PATODI DISTRICT BALOTRA</t>
        </is>
      </c>
      <c r="G259" t="inlineStr">
        <is>
          <t>GP SAJIYALI RUPAJI RAJABERI</t>
        </is>
      </c>
    </row>
    <row r="260">
      <c r="A260" s="1" t="n">
        <v>258</v>
      </c>
      <c r="B260">
        <f>HYPERLINK("https://eproc.rajasthan.gov.in/nicgep/app?component=%24DirectLink&amp;page=FrontEndViewTender&amp;service=direct&amp;session=T&amp;sp=S98bAK5sA5NOjJe6%2FwkOpzg%3D%3D", "MATERIAL SUPPLY FOR MGNREGA WORKS IN GP BHAGWANPURA PS PATODI DISTRICT BALOTRA")</f>
        <v/>
      </c>
      <c r="C260" t="inlineStr">
        <is>
          <t>Panchayati Raj Department||Secretary and Commissioner||CEO-BADMER||BDO-PATODI</t>
        </is>
      </c>
      <c r="D260" t="inlineStr">
        <is>
          <t>27-May-2025 06:00 PM</t>
        </is>
      </c>
      <c r="E260" t="inlineStr">
        <is>
          <t>1,00,00,000</t>
        </is>
      </c>
      <c r="F260" t="inlineStr">
        <is>
          <t>MATERIAL SUPPLY FOR MGNREGA WORKS IN GP BHAGWANPURA PS PATODI DISTRICT BALOTRA</t>
        </is>
      </c>
      <c r="G260" t="inlineStr">
        <is>
          <t>GP BHAGWANPURA</t>
        </is>
      </c>
    </row>
    <row r="261">
      <c r="A261" s="1" t="n">
        <v>259</v>
      </c>
      <c r="B261">
        <f>HYPERLINK("https://eproc.rajasthan.gov.in/nicgep/app?component=%24DirectLink&amp;page=FrontEndViewTender&amp;service=direct&amp;session=T&amp;sp=SBr0mTweVrYkFlfk7URhsDQ%3D%3D", "gram paladi khichiyan me barsati pani bahar niklwane ke liye pipe line dalwane gram panchayat paladi mangliya ps keru")</f>
        <v/>
      </c>
      <c r="C261" t="inlineStr">
        <is>
          <t>Panchayati Raj Department||Secretary and Commissioner||CEO-JODHPUR||BDO-KERU</t>
        </is>
      </c>
      <c r="D261" t="inlineStr">
        <is>
          <t>26-May-2025 03:00 PM</t>
        </is>
      </c>
      <c r="E261" t="inlineStr">
        <is>
          <t>10,00,000</t>
        </is>
      </c>
      <c r="F261" t="inlineStr">
        <is>
          <t>gram paladi khichiyan me barsati pani bahar niklwane ke liye pipe line dalwane gram panchayat paladi mangliya ps keru</t>
        </is>
      </c>
      <c r="G261" t="inlineStr">
        <is>
          <t>gram paladi khichiyan me barsati pani bahar niklwa</t>
        </is>
      </c>
    </row>
    <row r="262">
      <c r="A262" s="1" t="n">
        <v>260</v>
      </c>
      <c r="B262">
        <f>HYPERLINK("https://eproc.rajasthan.gov.in/nicgep/app?component=%24DirectLink&amp;page=FrontEndViewTender&amp;service=direct&amp;session=T&amp;sp=SiNs%2BM0m4K2BZCMmH4uo17w%3D%3D", "MATERIAL SUPPLY FOR MGNREGA WORKS IN GP PATODI PS PATODI DISTRICT BALOTRA")</f>
        <v/>
      </c>
      <c r="C262" t="inlineStr">
        <is>
          <t>Panchayati Raj Department||Secretary and Commissioner||CEO-BADMER||BDO-PATODI</t>
        </is>
      </c>
      <c r="D262" t="inlineStr">
        <is>
          <t>27-May-2025 06:00 PM</t>
        </is>
      </c>
      <c r="E262" t="inlineStr">
        <is>
          <t>1,00,00,000</t>
        </is>
      </c>
      <c r="F262" t="inlineStr">
        <is>
          <t>MATERIAL SUPPLY FOR MGNREGA WORKS IN GP PATODI PS PATODI DISTRICT BALOTRA</t>
        </is>
      </c>
      <c r="G262" t="inlineStr">
        <is>
          <t>GP PATODI</t>
        </is>
      </c>
    </row>
    <row r="263">
      <c r="A263" s="1" t="n">
        <v>261</v>
      </c>
      <c r="B263">
        <f>HYPERLINK("https://eproc.rajasthan.gov.in/nicgep/app?component=%24DirectLink&amp;page=FrontEndViewTender&amp;service=direct&amp;session=T&amp;sp=S%2FUWMeH2Cf52mfNQxPZ9ttg%3D%3D", "METERIAL SUPPLY IN GP SHEETAL")</f>
        <v/>
      </c>
      <c r="C263" t="inlineStr">
        <is>
          <t>Panchayati Raj Department||Secretary and Commissioner||CEO-ALWAR||BDO-KATHUMBAR</t>
        </is>
      </c>
      <c r="D263" t="inlineStr">
        <is>
          <t>26-May-2025 06:00 PM</t>
        </is>
      </c>
      <c r="E263" t="inlineStr">
        <is>
          <t>30,00,000</t>
        </is>
      </c>
      <c r="F263" t="inlineStr">
        <is>
          <t>METERIAL SUPPLY IN GP SHEETAL</t>
        </is>
      </c>
      <c r="G263" t="inlineStr">
        <is>
          <t>GP SHEETAL</t>
        </is>
      </c>
    </row>
    <row r="264">
      <c r="A264" s="1" t="n">
        <v>262</v>
      </c>
      <c r="B264">
        <f>HYPERLINK("https://eproc.rajasthan.gov.in/nicgep/app?component=%24DirectLink&amp;page=FrontEndViewTender&amp;service=direct&amp;session=T&amp;sp=SSQ7xBtqoGqnm8S76mnHHoA%3D%3D", "MATERIAL SUPPLY AND EQUIPMENT SUPPLY FOR CONSTRUCTION WORK IN G.P. KALADEH of FN 2025-26")</f>
        <v/>
      </c>
      <c r="C264" t="inlineStr">
        <is>
          <t>Panchayati Raj Department||Secretary and Commissioner||CEO-RAJSAMAND||BDO-BHEEM</t>
        </is>
      </c>
      <c r="D264" t="inlineStr">
        <is>
          <t>29-May-2025 06:00 PM</t>
        </is>
      </c>
      <c r="E264" t="inlineStr">
        <is>
          <t>50,00,000</t>
        </is>
      </c>
      <c r="F264" t="inlineStr">
        <is>
          <t>AS PER G SCHED</t>
        </is>
      </c>
      <c r="G264" t="inlineStr">
        <is>
          <t>KALADEH</t>
        </is>
      </c>
    </row>
    <row r="265">
      <c r="A265" s="1" t="n">
        <v>263</v>
      </c>
      <c r="B265">
        <f>HYPERLINK("https://eproc.rajasthan.gov.in/nicgep/app?component=%24DirectLink&amp;page=FrontEndViewTender&amp;service=direct&amp;session=T&amp;sp=SH0FnOcLwq%2FTWB9dUBMQ6tw%3D%3D", "MATERIAL SUPPLY AND EQUIPMENT SUPPLY FOR CONSTRUCTION WORK IN G.P. KUKDA of FN 2025-26")</f>
        <v/>
      </c>
      <c r="C265" t="inlineStr">
        <is>
          <t>Panchayati Raj Department||Secretary and Commissioner||CEO-RAJSAMAND||BDO-BHEEM</t>
        </is>
      </c>
      <c r="D265" t="inlineStr">
        <is>
          <t>29-May-2025 06:00 PM</t>
        </is>
      </c>
      <c r="E265" t="inlineStr">
        <is>
          <t>50,00,000</t>
        </is>
      </c>
      <c r="F265" t="inlineStr">
        <is>
          <t>AS PER G-SCHED</t>
        </is>
      </c>
      <c r="G265" t="inlineStr">
        <is>
          <t>KUKDA</t>
        </is>
      </c>
    </row>
    <row r="266">
      <c r="A266" s="1" t="n">
        <v>264</v>
      </c>
      <c r="B266">
        <f>HYPERLINK("https://eproc.rajasthan.gov.in/nicgep/app?component=%24DirectLink&amp;page=FrontEndViewTender&amp;service=direct&amp;session=T&amp;sp=SQLo1jFwUtEPmSxpP3I2%2Fdw%3D%3D", "MATERIAL SUPPLY AND EQUIPMENT SUPPLY FOR CONSTRUCTION WORK IN G.P. KUKARKHEDA")</f>
        <v/>
      </c>
      <c r="C266" t="inlineStr">
        <is>
          <t>Panchayati Raj Department||Secretary and Commissioner||CEO-RAJSAMAND||BDO-BHEEM</t>
        </is>
      </c>
      <c r="D266" t="inlineStr">
        <is>
          <t>29-May-2025 06:00 PM</t>
        </is>
      </c>
      <c r="E266" t="inlineStr">
        <is>
          <t>50,00,000</t>
        </is>
      </c>
      <c r="F266" t="inlineStr">
        <is>
          <t>MATERIAL SUPPLY AND EQUIPMENT SUPPLY FOR CONSTRUCTION WORK IN G.P. KUKARKHEDA</t>
        </is>
      </c>
      <c r="G266" t="inlineStr">
        <is>
          <t>KUKARKHEDA</t>
        </is>
      </c>
    </row>
    <row r="267">
      <c r="A267" s="1" t="n">
        <v>265</v>
      </c>
      <c r="B267">
        <f>HYPERLINK("https://eproc.rajasthan.gov.in/nicgep/app?component=%24DirectLink&amp;page=FrontEndViewTender&amp;service=direct&amp;session=T&amp;sp=SYC7yv7aAZt4q2TCCVtKNDg%3D%3D", "Supply of Construction Material RDPR Scheme MNREGA, SFC , FFC and other scheme for Financial Year 2025-26 in Gram Panchyat Lehsoda PS Khandar")</f>
        <v/>
      </c>
      <c r="C267" t="inlineStr">
        <is>
          <t>Panchayati Raj Department||Secretary and Commissioner||CEO-S.MADHOPUR||BDO-KHANDAR</t>
        </is>
      </c>
      <c r="D267" t="inlineStr">
        <is>
          <t>27-May-2025 06:00 PM</t>
        </is>
      </c>
      <c r="E267" t="inlineStr">
        <is>
          <t>50,00,000</t>
        </is>
      </c>
      <c r="F267" t="inlineStr">
        <is>
          <t>Supply of Construction Material RDPR Scheme MNREGA, SFC , FFC and other scheme for Financial Year 2025-26 in Gram Panchyat Lehsoda PS Khandar</t>
        </is>
      </c>
      <c r="G267" t="inlineStr">
        <is>
          <t>GRAM PANCHYAT LEHSODA</t>
        </is>
      </c>
    </row>
    <row r="268">
      <c r="A268" s="1" t="n">
        <v>266</v>
      </c>
      <c r="B268">
        <f>HYPERLINK("https://eproc.rajasthan.gov.in/nicgep/app?component=%24DirectLink&amp;page=FrontEndViewTender&amp;service=direct&amp;session=T&amp;sp=S4cdTbnZ6Rbpx1C2zAJBAtw%3D%3D", "Door to Door Waste collection and segretation, road and nala safai work of all revenue villages of Gram panchayat Chhareda")</f>
        <v/>
      </c>
      <c r="C268" t="inlineStr">
        <is>
          <t>Panchayati Raj Department||Secretary and Commissioner||CEO-DAUSA||BDO-NANGAL RAJAWATAN</t>
        </is>
      </c>
      <c r="D268" t="inlineStr">
        <is>
          <t>26-May-2025 10:00 AM</t>
        </is>
      </c>
      <c r="E268" t="inlineStr">
        <is>
          <t>12,00,000</t>
        </is>
      </c>
      <c r="F268" t="inlineStr">
        <is>
          <t>Door to Door Waste collection and segretation, road and nala safai work of all revenue villages of Gram panchayat Chhareda</t>
        </is>
      </c>
      <c r="G268" t="inlineStr">
        <is>
          <t>CHHAREDA</t>
        </is>
      </c>
    </row>
    <row r="269">
      <c r="A269" s="1" t="n">
        <v>267</v>
      </c>
      <c r="B269">
        <f>HYPERLINK("https://eproc.rajasthan.gov.in/nicgep/app?component=%24DirectLink&amp;page=FrontEndViewTender&amp;service=direct&amp;session=T&amp;sp=S19lahw0Srx%2FLzltv9KJrOQ%3D%3D", "Supply of Construction Material RDPR Scheme MNREGA, SFC , FFC and other scheme for Financial Year 2025-26 in Gram Panchyat Redawad PS Khandar")</f>
        <v/>
      </c>
      <c r="C269" t="inlineStr">
        <is>
          <t>Panchayati Raj Department||Secretary and Commissioner||CEO-S.MADHOPUR||BDO-KHANDAR</t>
        </is>
      </c>
      <c r="D269" t="inlineStr">
        <is>
          <t>27-May-2025 06:00 PM</t>
        </is>
      </c>
      <c r="E269" t="inlineStr">
        <is>
          <t>50,00,000</t>
        </is>
      </c>
      <c r="F269" t="inlineStr">
        <is>
          <t>Supply of Construction Material RDPR Scheme MNREGA, SFC , FFC and other scheme for Financial Year 2025-26 in Gram Panchyat Redawad PS Khandar</t>
        </is>
      </c>
      <c r="G269" t="inlineStr">
        <is>
          <t>GRAM PANCHYAT REDAWAD</t>
        </is>
      </c>
    </row>
    <row r="270">
      <c r="A270" s="1" t="n">
        <v>268</v>
      </c>
      <c r="B270">
        <f>HYPERLINK("https://eproc.rajasthan.gov.in/nicgep/app?component=%24DirectLink&amp;page=FrontEndViewTender&amp;service=direct&amp;session=T&amp;sp=S%2BNKxcII6lKWoBpJ46Qs%2B2w%3D%3D", "Door to Door Waste collection and segretation, road and nala safai work of all revenue villages of Gram panchayat Baijwadi")</f>
        <v/>
      </c>
      <c r="C270" t="inlineStr">
        <is>
          <t>Panchayati Raj Department||Secretary and Commissioner||CEO-DAUSA||BDO-LAWAN</t>
        </is>
      </c>
      <c r="D270" t="inlineStr">
        <is>
          <t>26-May-2025 10:00 AM</t>
        </is>
      </c>
      <c r="E270" t="inlineStr">
        <is>
          <t>5,82,000</t>
        </is>
      </c>
      <c r="F270" t="inlineStr">
        <is>
          <t>Door to Door Waste collection and segretation, road and nala safai work of all revenue villages of Gram panchayat Baijwadi</t>
        </is>
      </c>
      <c r="G270" t="inlineStr">
        <is>
          <t>BAIJWADI</t>
        </is>
      </c>
    </row>
    <row r="271">
      <c r="A271" s="1" t="n">
        <v>269</v>
      </c>
      <c r="B271">
        <f>HYPERLINK("https://eproc.rajasthan.gov.in/nicgep/app?component=%24DirectLink&amp;page=FrontEndViewTender&amp;service=direct&amp;session=T&amp;sp=S1AqJ2kduQWqzrIdQO4djxw%3D%3D", "SUPPLY OF BUILDING MATERIAL AND EQUIPMENT IN GP Mangta PS DHORIMANA")</f>
        <v/>
      </c>
      <c r="C271" t="inlineStr">
        <is>
          <t>Panchayati Raj Department||Secretary and Commissioner||CEO-BADMER||BDO-DHORIMANNA</t>
        </is>
      </c>
      <c r="D271" t="inlineStr">
        <is>
          <t>05-Jun-2025 06:00 PM</t>
        </is>
      </c>
      <c r="E271" t="inlineStr">
        <is>
          <t>80,00,000</t>
        </is>
      </c>
      <c r="F271" t="inlineStr">
        <is>
          <t>SUPPLY OF BUILDING MATERIAL AND EQUIPMENT IN GP Mangta PS DHORIMANA</t>
        </is>
      </c>
      <c r="G271" t="inlineStr">
        <is>
          <t>GP Mangta</t>
        </is>
      </c>
    </row>
    <row r="272">
      <c r="A272" s="1" t="n">
        <v>270</v>
      </c>
      <c r="B272">
        <f>HYPERLINK("https://eproc.rajasthan.gov.in/nicgep/app?component=%24DirectLink&amp;page=FrontEndViewTender&amp;service=direct&amp;session=T&amp;sp=SFPFygdxH3VZknYEwCXBR3A%3D%3D", "Civil Work")</f>
        <v/>
      </c>
      <c r="C272" t="inlineStr">
        <is>
          <t>Panchayati Raj Department||Secretary and Commissioner||CEO-CHURU||BDO-CHURU</t>
        </is>
      </c>
      <c r="D272" t="inlineStr">
        <is>
          <t>22-May-2025 11:00 AM</t>
        </is>
      </c>
      <c r="E272" t="inlineStr">
        <is>
          <t>6,09,000</t>
        </is>
      </c>
      <c r="F272" t="inlineStr">
        <is>
          <t>Civil Work</t>
        </is>
      </c>
      <c r="G272" t="inlineStr">
        <is>
          <t>GP</t>
        </is>
      </c>
    </row>
    <row r="273">
      <c r="A273" s="1" t="n">
        <v>271</v>
      </c>
      <c r="B273">
        <f>HYPERLINK("https://eproc.rajasthan.gov.in/nicgep/app?component=%24DirectLink&amp;page=FrontEndViewTender&amp;service=direct&amp;session=T&amp;sp=SDqMkvEhk5BVxt3EYAjstOg%3D%3D", "SUPPLY OF BUILDING MATERIAL AND EQUIPMENT IN GP Dudhiya Kalla PS DHORIMANA")</f>
        <v/>
      </c>
      <c r="C273" t="inlineStr">
        <is>
          <t>Panchayati Raj Department||Secretary and Commissioner||CEO-BADMER||BDO-DHORIMANNA</t>
        </is>
      </c>
      <c r="D273" t="inlineStr">
        <is>
          <t>31-May-2025 06:00 PM</t>
        </is>
      </c>
      <c r="E273" t="inlineStr">
        <is>
          <t>50,00,000</t>
        </is>
      </c>
      <c r="F273" t="inlineStr">
        <is>
          <t>SUPPLY OF BUILDING MATERIAL AND EQUIPMENT IN GP Dudhiya Kalla PS DHORIMANA</t>
        </is>
      </c>
      <c r="G273" t="inlineStr">
        <is>
          <t>GP Dudhiya Kalla</t>
        </is>
      </c>
    </row>
    <row r="274">
      <c r="A274" s="1" t="n">
        <v>272</v>
      </c>
      <c r="B274">
        <f>HYPERLINK("https://eproc.rajasthan.gov.in/nicgep/app?component=%24DirectLink&amp;page=FrontEndViewTender&amp;service=direct&amp;session=T&amp;sp=SL3rh99wH57b37EuHxCCdzw%3D%3D", "Supply Of Civil Constriction Goods Under Mnrega and Other scheme for session 2025-26 Gram Panchayat Khandewla Panchayat Samiti Pahadi")</f>
        <v/>
      </c>
      <c r="C274" t="inlineStr">
        <is>
          <t>Panchayati Raj Department||Secretary and Commissioner||CEO-BHARATPUR||BDO-NAGAR</t>
        </is>
      </c>
      <c r="D274" t="inlineStr">
        <is>
          <t>02-Jun-2025 06:00 PM</t>
        </is>
      </c>
      <c r="E274" t="inlineStr">
        <is>
          <t>70,00,000</t>
        </is>
      </c>
      <c r="F274" t="inlineStr">
        <is>
          <t>Supply Of Civil Constriction Goods Under Mnrega and Other scheme for session 2025-26 Gram Panchayat Khandewla Panchayat Samiti Pahadi</t>
        </is>
      </c>
      <c r="G274" t="inlineStr">
        <is>
          <t>GP_KHANDEWLA</t>
        </is>
      </c>
    </row>
    <row r="275">
      <c r="A275" s="1" t="n">
        <v>273</v>
      </c>
      <c r="B275">
        <f>HYPERLINK("https://eproc.rajasthan.gov.in/nicgep/app?component=%24DirectLink&amp;page=FrontEndViewTender&amp;service=direct&amp;session=T&amp;sp=SCbRU8sclnx%2BtYtvS8gFIjg%3D%3D", "RATE CONTRACT FOR SUPPLY OF CONSTRUCTION MATERIAL FOR THE FINANCIAL YEAR 2025-26 IN GRAM PANCHAYAT KUNDAL PANCHAYAT SAMITI PHALODI DIST. PHALODI")</f>
        <v/>
      </c>
      <c r="C275" t="inlineStr">
        <is>
          <t>Panchayati Raj Department||Secretary and Commissioner||CEO-JODHPUR||BDO-PHALODI</t>
        </is>
      </c>
      <c r="D275" t="inlineStr">
        <is>
          <t>02-Jun-2025 06:00 PM</t>
        </is>
      </c>
      <c r="E275" t="inlineStr">
        <is>
          <t>49,00,000</t>
        </is>
      </c>
      <c r="F275" t="inlineStr">
        <is>
          <t>RATE CONTRACT FOR SUPPLY OF CONSTRUCTION MATERIAL FOR THE FINANCIAL YEAR 2025-26 IN GRAM PANCHAYAT KUNDAL PANCHAYAT SAMITI PHALODI DIST. PHALODI</t>
        </is>
      </c>
      <c r="G275" t="inlineStr">
        <is>
          <t>PS Phalodi</t>
        </is>
      </c>
    </row>
    <row r="276">
      <c r="A276" s="1" t="n">
        <v>274</v>
      </c>
      <c r="B276">
        <f>HYPERLINK("https://eproc.rajasthan.gov.in/nicgep/app?component=%24DirectLink&amp;page=FrontEndViewTender&amp;service=direct&amp;session=T&amp;sp=SjzUYYiBYDU0Xa86J0hpYuw%3D%3D", "Gram panchyat me samast gavno me ghar ghar kachra sangrahan gav ki naliyo or Samudayik Parisar ki safai karya GP Bhagwangarh")</f>
        <v/>
      </c>
      <c r="C276" t="inlineStr">
        <is>
          <t>Panchayati Raj Department||Secretary and Commissioner||CEO- GANGANAGAR||BDO-SURATGARH</t>
        </is>
      </c>
      <c r="D276" t="inlineStr">
        <is>
          <t>24-May-2025 02:00 PM</t>
        </is>
      </c>
      <c r="E276" t="inlineStr">
        <is>
          <t>14,45,701</t>
        </is>
      </c>
      <c r="F276" t="inlineStr">
        <is>
          <t>Gram panchyat me samast gavno me ghar ghar kachra sangrahan gav ki naliyo or Samudayik Parisar ki safai karya GP Bhagwangarh</t>
        </is>
      </c>
      <c r="G276" t="inlineStr">
        <is>
          <t>Gram Panchyat Bhagwangarh</t>
        </is>
      </c>
    </row>
    <row r="277">
      <c r="A277" s="1" t="n">
        <v>275</v>
      </c>
      <c r="B277">
        <f>HYPERLINK("https://eproc.rajasthan.gov.in/nicgep/app?component=%24DirectLink&amp;page=FrontEndViewTender&amp;service=direct&amp;session=T&amp;sp=SBzdGFFNYTQM3hCafB7CVRQ%3D%3D", "Narega/Bhandawas/2025-26")</f>
        <v/>
      </c>
      <c r="C277" t="inlineStr">
        <is>
          <t>Panchayati Raj Department||Secretary and Commissioner||CEO-AJMER||BDO-SAWAR</t>
        </is>
      </c>
      <c r="D277" t="inlineStr">
        <is>
          <t>29-May-2025 06:00 PM</t>
        </is>
      </c>
      <c r="E277" t="inlineStr">
        <is>
          <t>NA</t>
        </is>
      </c>
      <c r="F277" t="inlineStr">
        <is>
          <t>Narega/Bhandawas/2025-26</t>
        </is>
      </c>
      <c r="G277" t="inlineStr">
        <is>
          <t>Bhandawas</t>
        </is>
      </c>
    </row>
    <row r="278">
      <c r="A278" s="1" t="n">
        <v>276</v>
      </c>
      <c r="B278">
        <f>HYPERLINK("https://eproc.rajasthan.gov.in/nicgep/app?component=%24DirectLink&amp;page=FrontEndViewTender&amp;service=direct&amp;session=T&amp;sp=SuI%2FVCnSXgY2xZe%2F8Onk%2F1w%3D%3D", "SBM/Mehrookalan/2025-26")</f>
        <v/>
      </c>
      <c r="C278" t="inlineStr">
        <is>
          <t>Panchayati Raj Department||Secretary and Commissioner||CEO-AJMER||BDO-SAWAR</t>
        </is>
      </c>
      <c r="D278" t="inlineStr">
        <is>
          <t>26-May-2025 06:00 PM</t>
        </is>
      </c>
      <c r="E278" t="inlineStr">
        <is>
          <t>NA</t>
        </is>
      </c>
      <c r="F278" t="inlineStr">
        <is>
          <t>SBM/Mehrookalan/2025-26</t>
        </is>
      </c>
      <c r="G278" t="inlineStr">
        <is>
          <t>Mehrookalan</t>
        </is>
      </c>
    </row>
    <row r="279">
      <c r="A279" s="1" t="n">
        <v>277</v>
      </c>
      <c r="B279">
        <f>HYPERLINK("https://eproc.rajasthan.gov.in/nicgep/app?component=%24DirectLink&amp;page=FrontEndViewTender&amp;service=direct&amp;session=T&amp;sp=SmN3HxuWlnLcwEIPVcI93KQ%3D%3D", "SBM/KKG/2025-26")</f>
        <v/>
      </c>
      <c r="C279" t="inlineStr">
        <is>
          <t>Panchayati Raj Department||Secretary and Commissioner||CEO-AJMER||BDO-SAWAR</t>
        </is>
      </c>
      <c r="D279" t="inlineStr">
        <is>
          <t>26-May-2025 06:00 PM</t>
        </is>
      </c>
      <c r="E279" t="inlineStr">
        <is>
          <t>NA</t>
        </is>
      </c>
      <c r="F279" t="inlineStr">
        <is>
          <t>SBM/KKG/2025-26</t>
        </is>
      </c>
      <c r="G279" t="inlineStr">
        <is>
          <t>Kalera Kawarji</t>
        </is>
      </c>
    </row>
    <row r="280">
      <c r="A280" s="1" t="n">
        <v>278</v>
      </c>
      <c r="B280">
        <f>HYPERLINK("https://eproc.rajasthan.gov.in/nicgep/app?component=%24DirectLink&amp;page=FrontEndViewTender&amp;service=direct&amp;session=T&amp;sp=SgwL%2FiVlmjB5eB2s7c%2Fm8Ig%3D%3D", "BOUNDRY WALL Costraction work in govt UPPER PRIMARY School CHANDANI, KHARPEENA")</f>
        <v/>
      </c>
      <c r="C280" t="inlineStr">
        <is>
          <t>Panchayati Raj Department||Secretary and Commissioner||CEO-UDAIPUR||BDO-GIRVA</t>
        </is>
      </c>
      <c r="D280" t="inlineStr">
        <is>
          <t>26-May-2025 04:00 PM</t>
        </is>
      </c>
      <c r="E280" t="inlineStr">
        <is>
          <t>10,00,000</t>
        </is>
      </c>
      <c r="F280" t="inlineStr">
        <is>
          <t>BOUNDRY WALL Costraction work in govt UPPER PRIMARY School CHANDANI, KHARPEENA</t>
        </is>
      </c>
      <c r="G280" t="inlineStr">
        <is>
          <t>GUPS KHARPEENA</t>
        </is>
      </c>
    </row>
    <row r="281">
      <c r="A281" s="1" t="n">
        <v>279</v>
      </c>
      <c r="B281">
        <f>HYPERLINK("https://eproc.rajasthan.gov.in/nicgep/app?component=%24DirectLink&amp;page=FrontEndViewTender&amp;service=direct&amp;session=T&amp;sp=SioIdeO3Z6sVL1xTltE1IOQ%3D%3D", "SBM/Kushayata/2025-26")</f>
        <v/>
      </c>
      <c r="C281" t="inlineStr">
        <is>
          <t>Panchayati Raj Department||Secretary and Commissioner||CEO-AJMER||BDO-SAWAR</t>
        </is>
      </c>
      <c r="D281" t="inlineStr">
        <is>
          <t>26-May-2025 06:00 PM</t>
        </is>
      </c>
      <c r="E281" t="inlineStr">
        <is>
          <t>NA</t>
        </is>
      </c>
      <c r="F281" t="inlineStr">
        <is>
          <t>SBM/Kushayata/2025-26</t>
        </is>
      </c>
      <c r="G281" t="inlineStr">
        <is>
          <t>Kushayata</t>
        </is>
      </c>
    </row>
    <row r="282">
      <c r="A282" s="1" t="n">
        <v>280</v>
      </c>
      <c r="B282">
        <f>HYPERLINK("https://eproc.rajasthan.gov.in/nicgep/app?component=%24DirectLink&amp;page=FrontEndViewTender&amp;service=direct&amp;session=T&amp;sp=SB2fMxO%2FEVqtir8l4K%2BVg5g%3D%3D", "NALA NIRMAN KARY NANURAM SERDIYA KE GHAR SE AAM GUAD KE CHEMBAR KI OR KANUTA")</f>
        <v/>
      </c>
      <c r="C282" t="inlineStr">
        <is>
          <t>Panchayati Raj Department||Secretary and Commissioner||CEO-CHURU||BDO-SUJANGARH</t>
        </is>
      </c>
      <c r="D282" t="inlineStr">
        <is>
          <t>24-May-2025 09:00 AM</t>
        </is>
      </c>
      <c r="E282" t="inlineStr">
        <is>
          <t>9,99,000</t>
        </is>
      </c>
      <c r="F282" t="inlineStr">
        <is>
          <t>NALA NIRMAN KARY NANURAM SERDIYA KE GHAR SE AAM GUAD KE CHEMBAR KI OR KANUTA</t>
        </is>
      </c>
      <c r="G282" t="inlineStr">
        <is>
          <t>GP KANUTA</t>
        </is>
      </c>
    </row>
    <row r="283">
      <c r="A283" s="1" t="n">
        <v>281</v>
      </c>
      <c r="B283">
        <f>HYPERLINK("https://eproc.rajasthan.gov.in/nicgep/app?component=%24DirectLink&amp;page=FrontEndViewTender&amp;service=direct&amp;session=T&amp;sp=SHTHKlS9bbeZThZAINwxlnw%3D%3D", "2 class room construction work in gups hayla kui Saru")</f>
        <v/>
      </c>
      <c r="C283" t="inlineStr">
        <is>
          <t>Panchayati Raj Department||Secretary and Commissioner||CEO-UDAIPUR||BDO-GIRVA</t>
        </is>
      </c>
      <c r="D283" t="inlineStr">
        <is>
          <t>26-May-2025 04:00 PM</t>
        </is>
      </c>
      <c r="E283" t="inlineStr">
        <is>
          <t>16,58,000</t>
        </is>
      </c>
      <c r="F283" t="inlineStr">
        <is>
          <t>2 class room construction work in gups hayla kui Saru</t>
        </is>
      </c>
      <c r="G283" t="inlineStr">
        <is>
          <t>GUPS HAYLA KUI</t>
        </is>
      </c>
    </row>
    <row r="284">
      <c r="A284" s="1" t="n">
        <v>282</v>
      </c>
      <c r="B284">
        <f>HYPERLINK("https://eproc.rajasthan.gov.in/nicgep/app?component=%24DirectLink&amp;page=FrontEndViewTender&amp;service=direct&amp;session=T&amp;sp=SEb%2B4ZKofBwhlUGaEsxcwuw%3D%3D", "ghar ghar kchara sangran etc IN GP KANUTA")</f>
        <v/>
      </c>
      <c r="C284" t="inlineStr">
        <is>
          <t>Panchayati Raj Department||Secretary and Commissioner||CEO-CHURU||BDO-SUJANGARH</t>
        </is>
      </c>
      <c r="D284" t="inlineStr">
        <is>
          <t>24-May-2025 06:00 PM</t>
        </is>
      </c>
      <c r="E284" t="inlineStr">
        <is>
          <t>8,05,761</t>
        </is>
      </c>
      <c r="F284" t="inlineStr">
        <is>
          <t>ghar ghar kchara sangran etc</t>
        </is>
      </c>
      <c r="G284" t="inlineStr">
        <is>
          <t>GP KANUTA</t>
        </is>
      </c>
    </row>
    <row r="285">
      <c r="A285" s="1" t="n">
        <v>283</v>
      </c>
      <c r="B285">
        <f>HYPERLINK("https://eproc.rajasthan.gov.in/nicgep/app?component=%24DirectLink&amp;page=FrontEndViewTender&amp;service=direct&amp;session=T&amp;sp=SmTjaqJkspEm9czWu4y23Gw%3D%3D", "SBM/Tankawas/2025-26")</f>
        <v/>
      </c>
      <c r="C285" t="inlineStr">
        <is>
          <t>Panchayati Raj Department||Secretary and Commissioner||CEO-AJMER||BDO-SAWAR</t>
        </is>
      </c>
      <c r="D285" t="inlineStr">
        <is>
          <t>26-May-2025 06:00 PM</t>
        </is>
      </c>
      <c r="E285" t="inlineStr">
        <is>
          <t>NA</t>
        </is>
      </c>
      <c r="F285" t="inlineStr">
        <is>
          <t>SBM/Tankawas/2025-26</t>
        </is>
      </c>
      <c r="G285" t="inlineStr">
        <is>
          <t>Tankawas</t>
        </is>
      </c>
    </row>
    <row r="286">
      <c r="A286" s="1" t="n">
        <v>284</v>
      </c>
      <c r="B286">
        <f>HYPERLINK("https://eproc.rajasthan.gov.in/nicgep/app?component=%24DirectLink&amp;page=FrontEndViewTender&amp;service=direct&amp;session=T&amp;sp=S%2B64ETyX3aM5Vj6V4m44NHg%3D%3D", "GOVT. SEN. SEC. SCHOOL KI CHAR DIWARI KA KARY GRAM GHAT")</f>
        <v/>
      </c>
      <c r="C286" t="inlineStr">
        <is>
          <t>Panchayati Raj Department||Secretary and Commissioner||CEO-ALWAR||BDO-KATHUMBAR</t>
        </is>
      </c>
      <c r="D286" t="inlineStr">
        <is>
          <t>24-May-2025 06:00 PM</t>
        </is>
      </c>
      <c r="E286" t="inlineStr">
        <is>
          <t>10,00,000</t>
        </is>
      </c>
      <c r="F286" t="inlineStr">
        <is>
          <t>GOVT. SEN. SEC. SCHOOL KI CHAR DIWARI KA KARY GRAM GHAT</t>
        </is>
      </c>
      <c r="G286" t="inlineStr">
        <is>
          <t>GRAM GHAT</t>
        </is>
      </c>
    </row>
    <row r="287">
      <c r="A287" s="1" t="n">
        <v>285</v>
      </c>
      <c r="B287">
        <f>HYPERLINK("https://eproc.rajasthan.gov.in/nicgep/app?component=%24DirectLink&amp;page=FrontEndViewTender&amp;service=direct&amp;session=T&amp;sp=SSXaY6Mh6G0EYbuEiG3UG2A%3D%3D", "Work including garbage collection and separation from every house (Residential and Commercial), road and drain cleaning and community sanitation complex cleaning in all the villages of Gram Panchayat Gorisar P S Ratangarh For 6 Months")</f>
        <v/>
      </c>
      <c r="C287" t="inlineStr">
        <is>
          <t>Panchayati Raj Department||Secretary and Commissioner||CEO-CHURU||BDO-RATANGARH</t>
        </is>
      </c>
      <c r="D287" t="inlineStr">
        <is>
          <t>26-May-2025 04:00 PM</t>
        </is>
      </c>
      <c r="E287" t="inlineStr">
        <is>
          <t>9,31,000</t>
        </is>
      </c>
      <c r="F287" t="inlineStr">
        <is>
          <t>Work including garbage collection and separation from every house (Residential and Commercial), road and drain cleaning and community sanitation complex cleaning in all the villages of Gram Panchayat Gorisar P S Ratangarh For 6 Months</t>
        </is>
      </c>
      <c r="G287" t="inlineStr">
        <is>
          <t>GP GORISAR</t>
        </is>
      </c>
    </row>
    <row r="288">
      <c r="A288" s="1" t="n">
        <v>286</v>
      </c>
      <c r="B288">
        <f>HYPERLINK("https://eproc.rajasthan.gov.in/nicgep/app?component=%24DirectLink&amp;page=FrontEndViewTender&amp;service=direct&amp;session=T&amp;sp=STc3JrjV2dP91PXtLOVJGzw%3D%3D", "Work including garbage collection and separation from every house (Residential and Commercial), road and drain cleaning and community sanitation complex cleaning in all the villages of Gram Panchayat Binadesar P S Ratangarh For 6 Months")</f>
        <v/>
      </c>
      <c r="C288" t="inlineStr">
        <is>
          <t>Panchayati Raj Department||Secretary and Commissioner||CEO-CHURU||BDO-RATANGARH</t>
        </is>
      </c>
      <c r="D288" t="inlineStr">
        <is>
          <t>26-May-2025 04:00 PM</t>
        </is>
      </c>
      <c r="E288" t="inlineStr">
        <is>
          <t>7,58,000</t>
        </is>
      </c>
      <c r="F288" t="inlineStr">
        <is>
          <t>Work including garbage collection and separation from every house (Residential and Commercial), road and drain cleaning and community sanitation complex cleaning in all the villages of Gram Panchayat Binadesar P S Ratangarh For 6 Months</t>
        </is>
      </c>
      <c r="G288" t="inlineStr">
        <is>
          <t>GP BINADESAR</t>
        </is>
      </c>
    </row>
    <row r="289">
      <c r="A289" s="1" t="n">
        <v>287</v>
      </c>
      <c r="B289">
        <f>HYPERLINK("https://eproc.rajasthan.gov.in/nicgep/app?component=%24DirectLink&amp;page=FrontEndViewTender&amp;service=direct&amp;session=T&amp;sp=Sh%2BxNUmTp45jFq7fdSQKTpw%3D%3D", "Work including garbage collection and separation from every house (Residential and Commercial), road and drain cleaning and community sanitation complex cleaning in all the villages of Gram Panchayat Biramsar P S Ratangarh For 6 Months")</f>
        <v/>
      </c>
      <c r="C289" t="inlineStr">
        <is>
          <t>Panchayati Raj Department||Secretary and Commissioner||CEO-CHURU||BDO-RATANGARH</t>
        </is>
      </c>
      <c r="D289" t="inlineStr">
        <is>
          <t>26-May-2025 04:00 PM</t>
        </is>
      </c>
      <c r="E289" t="inlineStr">
        <is>
          <t>14,78,000</t>
        </is>
      </c>
      <c r="F289" t="inlineStr">
        <is>
          <t>Work including garbage collection and separation from every house (Residential and Commercial), road and drain cleaning and community sanitation complex cleaning in all the villages of Gram Panchayat Biramsar P S Ratangarh For 6 Months</t>
        </is>
      </c>
      <c r="G289" t="inlineStr">
        <is>
          <t>GP BIRAMSAR</t>
        </is>
      </c>
    </row>
    <row r="290">
      <c r="A290" s="1" t="n">
        <v>288</v>
      </c>
      <c r="B290">
        <f>HYPERLINK("https://eproc.rajasthan.gov.in/nicgep/app?component=%24DirectLink&amp;page=FrontEndViewTender&amp;service=direct&amp;session=T&amp;sp=SEiF9tABi%2FtMTFcxw%2BwV4%2BQ%3D%3D", "METERIAL SUPPLY IN GP TILWAD")</f>
        <v/>
      </c>
      <c r="C290" t="inlineStr">
        <is>
          <t>Panchayati Raj Department||Secretary and Commissioner||CEO-ALWAR||BDO-KATHUMBAR</t>
        </is>
      </c>
      <c r="D290" t="inlineStr">
        <is>
          <t>26-May-2025 06:00 PM</t>
        </is>
      </c>
      <c r="E290" t="inlineStr">
        <is>
          <t>30,00,000</t>
        </is>
      </c>
      <c r="F290" t="inlineStr">
        <is>
          <t>METERIAL SUPPLY IN GP TILWAD</t>
        </is>
      </c>
      <c r="G290" t="inlineStr">
        <is>
          <t>GP TILWAD</t>
        </is>
      </c>
    </row>
    <row r="291">
      <c r="A291" s="1" t="n">
        <v>289</v>
      </c>
      <c r="B291">
        <f>HYPERLINK("https://eproc.rajasthan.gov.in/nicgep/app?component=%24DirectLink&amp;page=FrontEndViewTender&amp;service=direct&amp;session=T&amp;sp=Sn82EcC%2BJXDUAN84gc1t%2Fiw%3D%3D", "METERIAL SUPPLY IN GP TALDA")</f>
        <v/>
      </c>
      <c r="C291" t="inlineStr">
        <is>
          <t>Panchayati Raj Department||Secretary and Commissioner||CEO-ALWAR||BDO-KATHUMBAR</t>
        </is>
      </c>
      <c r="D291" t="inlineStr">
        <is>
          <t>26-May-2025 06:00 PM</t>
        </is>
      </c>
      <c r="E291" t="inlineStr">
        <is>
          <t>30,00,000</t>
        </is>
      </c>
      <c r="F291" t="inlineStr">
        <is>
          <t>METERIAL SUPPLY IN GP TALDA</t>
        </is>
      </c>
      <c r="G291" t="inlineStr">
        <is>
          <t>GP TALDA</t>
        </is>
      </c>
    </row>
    <row r="292">
      <c r="A292" s="1" t="n">
        <v>290</v>
      </c>
      <c r="B292">
        <f>HYPERLINK("https://eproc.rajasthan.gov.in/nicgep/app?component=%24DirectLink&amp;page=FrontEndViewTender&amp;service=direct&amp;session=T&amp;sp=SRK8tWdVsF5TEqzt8Wv40Jg%3D%3D", "Work including garbage collection and separation from every house (Residential and Commercial), road and drain cleaning and community sanitation complex cleaning in all the villages of Gram Panchayat Budhwali P S Ratangarh For 6 Months")</f>
        <v/>
      </c>
      <c r="C292" t="inlineStr">
        <is>
          <t>Panchayati Raj Department||Secretary and Commissioner||CEO-CHURU||BDO-RATANGARH</t>
        </is>
      </c>
      <c r="D292" t="inlineStr">
        <is>
          <t>26-May-2025 04:00 PM</t>
        </is>
      </c>
      <c r="E292" t="inlineStr">
        <is>
          <t>7,92,000</t>
        </is>
      </c>
      <c r="F292" t="inlineStr">
        <is>
          <t>Work including garbage collection and separation from every house (Residential and Commercial), road and drain cleaning and community sanitation complex cleaning in all the villages of Gram Panchayat Budhwali P S Ratangarh For 6 Months</t>
        </is>
      </c>
      <c r="G292" t="inlineStr">
        <is>
          <t>GP BHUDHWALI</t>
        </is>
      </c>
    </row>
    <row r="293">
      <c r="A293" s="1" t="n">
        <v>291</v>
      </c>
      <c r="B293">
        <f>HYPERLINK("https://eproc.rajasthan.gov.in/nicgep/app?component=%24DirectLink&amp;page=FrontEndViewTender&amp;service=direct&amp;session=T&amp;sp=SSkgdV6%2FWFL4WIbf7yNAyzA%3D%3D", "Work of supply of material and equipment for Mgnarega and other development schemes in Gram panchayat DS DHANI PS Chitalwana For fy 2025-26")</f>
        <v/>
      </c>
      <c r="C293" t="inlineStr">
        <is>
          <t>Panchayati Raj Department||Secretary and Commissioner||CEO- JALORE||BDO-CHITALWANA</t>
        </is>
      </c>
      <c r="D293" t="inlineStr">
        <is>
          <t>27-May-2025 12:30 PM</t>
        </is>
      </c>
      <c r="E293" t="inlineStr">
        <is>
          <t>49,00,000</t>
        </is>
      </c>
      <c r="F293" t="inlineStr">
        <is>
          <t>Work of supply of material and equipment for Mgnarega and other development schemes in Gram panchayat DS DHANI PS Chitalwana For fy 2025-26</t>
        </is>
      </c>
      <c r="G293" t="inlineStr">
        <is>
          <t>GRAM PANCHAYAT DS DHANI PS CHITALWANA</t>
        </is>
      </c>
    </row>
    <row r="294">
      <c r="A294" s="1" t="n">
        <v>292</v>
      </c>
      <c r="B294">
        <f>HYPERLINK("https://eproc.rajasthan.gov.in/nicgep/app?component=%24DirectLink&amp;page=FrontEndViewTender&amp;service=direct&amp;session=T&amp;sp=SSYHSQ2E89ryvR67gXCwfKQ%3D%3D", "METERIAL SUPPLY IN GP BAROLI")</f>
        <v/>
      </c>
      <c r="C294" t="inlineStr">
        <is>
          <t>Panchayati Raj Department||Secretary and Commissioner||CEO-ALWAR||BDO-KATHUMBAR</t>
        </is>
      </c>
      <c r="D294" t="inlineStr">
        <is>
          <t>26-May-2025 06:00 PM</t>
        </is>
      </c>
      <c r="E294" t="inlineStr">
        <is>
          <t>30,00,000</t>
        </is>
      </c>
      <c r="F294" t="inlineStr">
        <is>
          <t>METERIAL SUPPLY IN GP BAROLI</t>
        </is>
      </c>
      <c r="G294" t="inlineStr">
        <is>
          <t>GP BAROLI</t>
        </is>
      </c>
    </row>
    <row r="295">
      <c r="A295" s="1" t="n">
        <v>293</v>
      </c>
      <c r="B295">
        <f>HYPERLINK("https://eproc.rajasthan.gov.in/nicgep/app?component=%24DirectLink&amp;page=FrontEndViewTender&amp;service=direct&amp;session=T&amp;sp=SvGLvnseVsYmhmZENdz%2B4ww%3D%3D", "SBM")</f>
        <v/>
      </c>
      <c r="C295" t="inlineStr">
        <is>
          <t>Panchayati Raj Department||Secretary and Commissioner||CEO-AJMER||BDO-JAWAJA</t>
        </is>
      </c>
      <c r="D295" t="inlineStr">
        <is>
          <t>28-May-2025 05:00 PM</t>
        </is>
      </c>
      <c r="E295" t="inlineStr">
        <is>
          <t>12,92,816</t>
        </is>
      </c>
      <c r="F295" t="inlineStr">
        <is>
          <t>SBM</t>
        </is>
      </c>
      <c r="G295" t="inlineStr">
        <is>
          <t>GP</t>
        </is>
      </c>
    </row>
    <row r="296">
      <c r="A296" s="1" t="n">
        <v>294</v>
      </c>
      <c r="B296">
        <f>HYPERLINK("https://eproc.rajasthan.gov.in/nicgep/app?component=%24DirectLink&amp;page=FrontEndViewTender&amp;service=direct&amp;session=T&amp;sp=STeHrzzRLGcEB6GBjtvZVPg%3D%3D", "Supply of buiding metarial and equipment providing at Gram Panchayat Ogala")</f>
        <v/>
      </c>
      <c r="C296" t="inlineStr">
        <is>
          <t>Panchayati Raj Department||Secretary and Commissioner||CEO-BADMER||BDO-FAGLIYA</t>
        </is>
      </c>
      <c r="D296" t="inlineStr">
        <is>
          <t>26-May-2025 06:00 PM</t>
        </is>
      </c>
      <c r="E296" t="inlineStr">
        <is>
          <t>1,00,00,000</t>
        </is>
      </c>
      <c r="F296" t="inlineStr">
        <is>
          <t>Building Material</t>
        </is>
      </c>
      <c r="G296" t="inlineStr">
        <is>
          <t>Ogala</t>
        </is>
      </c>
    </row>
    <row r="297">
      <c r="A297" s="1" t="n">
        <v>295</v>
      </c>
      <c r="B297">
        <f>HYPERLINK("https://eproc.rajasthan.gov.in/nicgep/app?component=%24DirectLink&amp;page=FrontEndViewTender&amp;service=direct&amp;session=T&amp;sp=SwxILsjkcWkogt4e8KZ4XeA%3D%3D", "SBM")</f>
        <v/>
      </c>
      <c r="C297" t="inlineStr">
        <is>
          <t>Panchayati Raj Department||Secretary and Commissioner||CEO-AJMER||BDO-JAWAJA</t>
        </is>
      </c>
      <c r="D297" t="inlineStr">
        <is>
          <t>28-May-2025 05:00 PM</t>
        </is>
      </c>
      <c r="E297" t="inlineStr">
        <is>
          <t>9,35,760</t>
        </is>
      </c>
      <c r="F297" t="inlineStr">
        <is>
          <t>SBM</t>
        </is>
      </c>
      <c r="G297" t="inlineStr">
        <is>
          <t>GP</t>
        </is>
      </c>
    </row>
    <row r="298">
      <c r="A298" s="1" t="n">
        <v>296</v>
      </c>
      <c r="B298">
        <f>HYPERLINK("https://eproc.rajasthan.gov.in/nicgep/app?component=%24DirectLink&amp;page=FrontEndViewTender&amp;service=direct&amp;session=T&amp;sp=SvdzzcNq60DiT11rQD%2BSliQ%3D%3D", "Collection of wastage in Residential and Commercial Building from all Villages in Gram Panchayat Road, Nali Cleaning and CSC Campus GP BIJOWA")</f>
        <v/>
      </c>
      <c r="C298" t="inlineStr">
        <is>
          <t>Panchayati Raj Department||Secretary and Commissioner||CEO-PALI||BDO-RANISTATION</t>
        </is>
      </c>
      <c r="D298" t="inlineStr">
        <is>
          <t>29-May-2025 06:00 PM</t>
        </is>
      </c>
      <c r="E298" t="inlineStr">
        <is>
          <t>7,21,000</t>
        </is>
      </c>
      <c r="F298" t="inlineStr">
        <is>
          <t>Collection of wastage in Residential and Commercial Building from all Villages in Gram Panchayat Road, Nali Cleaning and CSC Campus GP BIJOWA</t>
        </is>
      </c>
      <c r="G298" t="inlineStr">
        <is>
          <t>GRAM PANCHAYAT BIJOWA</t>
        </is>
      </c>
    </row>
    <row r="299">
      <c r="A299" s="1" t="n">
        <v>297</v>
      </c>
      <c r="B299">
        <f>HYPERLINK("https://eproc.rajasthan.gov.in/nicgep/app?component=%24DirectLink&amp;page=FrontEndViewTender&amp;service=direct&amp;session=T&amp;sp=SuBovLWRwEG2p1RZ6XluInw%3D%3D", "2 ROOM Costraction work in govt se.sec. school LAI CHANBORA")</f>
        <v/>
      </c>
      <c r="C299" t="inlineStr">
        <is>
          <t>Panchayati Raj Department||Secretary and Commissioner||CEO-UDAIPUR||BDO-GIRVA</t>
        </is>
      </c>
      <c r="D299" t="inlineStr">
        <is>
          <t>26-May-2025 04:00 PM</t>
        </is>
      </c>
      <c r="E299" t="inlineStr">
        <is>
          <t>24,84,000</t>
        </is>
      </c>
      <c r="F299" t="inlineStr">
        <is>
          <t>2 ROOM Costraction work in govt se.sec. school LAI CHANBORA</t>
        </is>
      </c>
      <c r="G299" t="inlineStr">
        <is>
          <t>GSSS LAI CHANBORA</t>
        </is>
      </c>
    </row>
    <row r="300">
      <c r="A300" s="1" t="n">
        <v>298</v>
      </c>
      <c r="B300">
        <f>HYPERLINK("https://eproc.rajasthan.gov.in/nicgep/app?component=%24DirectLink&amp;page=FrontEndViewTender&amp;service=direct&amp;session=T&amp;sp=SviPlpQ%2FcpX4NzH6PY0VZGw%3D%3D", "Work including garbage collection and separation from every house (Residential and Commercial), road and drain cleaning and community sanitation complex cleaning in all the villages of Gram Panchayat Parsneu P S Ratangarh for 8 Month")</f>
        <v/>
      </c>
      <c r="C300" t="inlineStr">
        <is>
          <t>Panchayati Raj Department||Secretary and Commissioner||CEO-CHURU||BDO-RATANGARH</t>
        </is>
      </c>
      <c r="D300" t="inlineStr">
        <is>
          <t>26-May-2025 04:00 PM</t>
        </is>
      </c>
      <c r="E300" t="inlineStr">
        <is>
          <t>15,00,000</t>
        </is>
      </c>
      <c r="F300" t="inlineStr">
        <is>
          <t>Work including garbage collection and separation from every house (Residential and Commercial), road and drain cleaning and community sanitation complex cleaning in all the villages of Gram Panchayat Parsneu P S Ratangarh for 8 Month</t>
        </is>
      </c>
      <c r="G300" t="inlineStr">
        <is>
          <t>GP PARSNEU</t>
        </is>
      </c>
    </row>
    <row r="301">
      <c r="A301" s="1" t="n">
        <v>299</v>
      </c>
      <c r="B301">
        <f>HYPERLINK("https://eproc.rajasthan.gov.in/nicgep/app?component=%24DirectLink&amp;page=FrontEndViewTender&amp;service=direct&amp;session=T&amp;sp=SxHtzjZhST2Cc5UX2cMbrsw%3D%3D", "Work including garbage collection and separation from every house (Residential and Commercial), road and drain cleaning and community sanitation complex cleaning in all the villages of Gram Panchayat Ratnadesar P S Ratangarh for 6 Month")</f>
        <v/>
      </c>
      <c r="C301" t="inlineStr">
        <is>
          <t>Panchayati Raj Department||Secretary and Commissioner||CEO-CHURU||BDO-RATANGARH</t>
        </is>
      </c>
      <c r="D301" t="inlineStr">
        <is>
          <t>26-May-2025 04:00 PM</t>
        </is>
      </c>
      <c r="E301" t="inlineStr">
        <is>
          <t>8,79,000</t>
        </is>
      </c>
      <c r="F301" t="inlineStr">
        <is>
          <t>Work including garbage collection and separation from every house (Residential and Commercial), road and drain cleaning and community sanitation complex cleaning in all the villages of Gram Panchayat Ratnadesar P S Ratangarh for 6 Month</t>
        </is>
      </c>
      <c r="G301" t="inlineStr">
        <is>
          <t>GP RATNADESAR</t>
        </is>
      </c>
    </row>
    <row r="302">
      <c r="A302" s="1" t="n">
        <v>300</v>
      </c>
      <c r="B302">
        <f>HYPERLINK("https://eproc.rajasthan.gov.in/nicgep/app?component=%24DirectLink&amp;page=FrontEndViewTender&amp;service=direct&amp;session=T&amp;sp=S7y6FxaVqbJ6UUVn2rJswIg%3D%3D", "SBM")</f>
        <v/>
      </c>
      <c r="C302" t="inlineStr">
        <is>
          <t>Panchayati Raj Department||Secretary and Commissioner||CEO-AJMER||BDO-JAWAJA</t>
        </is>
      </c>
      <c r="D302" t="inlineStr">
        <is>
          <t>28-May-2025 05:00 PM</t>
        </is>
      </c>
      <c r="E302" t="inlineStr">
        <is>
          <t>7,65,290</t>
        </is>
      </c>
      <c r="F302" t="inlineStr">
        <is>
          <t>SBM</t>
        </is>
      </c>
      <c r="G302" t="inlineStr">
        <is>
          <t>GP</t>
        </is>
      </c>
    </row>
    <row r="303">
      <c r="A303" s="1" t="n">
        <v>301</v>
      </c>
      <c r="B303">
        <f>HYPERLINK("https://eproc.rajasthan.gov.in/nicgep/app?component=%24DirectLink&amp;page=FrontEndViewTender&amp;service=direct&amp;session=T&amp;sp=Sqi%2B1IhbhRDikSILudrsPHg%3D%3D", "Work including garbage collection and separation from every house (Residential and Commercial), road and drain cleaning and community sanitation complex cleaning in all the villages of Gram Panchayat Parihara P S Ratangarh for 8 Month")</f>
        <v/>
      </c>
      <c r="C303" t="inlineStr">
        <is>
          <t>Panchayati Raj Department||Secretary and Commissioner||CEO-CHURU||BDO-RATANGARH</t>
        </is>
      </c>
      <c r="D303" t="inlineStr">
        <is>
          <t>26-May-2025 04:00 PM</t>
        </is>
      </c>
      <c r="E303" t="inlineStr">
        <is>
          <t>15,00,000</t>
        </is>
      </c>
      <c r="F303" t="inlineStr">
        <is>
          <t>Work including garbage collection and separation from every house (Residential and Commercial), road and drain cleaning and community sanitation complex cleaning in all the villages of Gram Panchayat Parihara P S Ratangarh for 8 Month</t>
        </is>
      </c>
      <c r="G303" t="inlineStr">
        <is>
          <t>GP PARIHARA</t>
        </is>
      </c>
    </row>
    <row r="304">
      <c r="A304" s="1" t="n">
        <v>302</v>
      </c>
      <c r="B304">
        <f>HYPERLINK("https://eproc.rajasthan.gov.in/nicgep/app?component=%24DirectLink&amp;page=FrontEndViewTender&amp;service=direct&amp;session=T&amp;sp=S4%2B6mnXl0AIYSXINlUDZVFg%3D%3D", "SECURITY GUARD")</f>
        <v/>
      </c>
      <c r="C304" t="inlineStr">
        <is>
          <t>Panchayati Raj Department||Secretary and Commissioner||CEO-AJMER||BDO-JAWAJA</t>
        </is>
      </c>
      <c r="D304" t="inlineStr">
        <is>
          <t>26-May-2025 05:00 PM</t>
        </is>
      </c>
      <c r="E304" t="inlineStr">
        <is>
          <t>41,00,000</t>
        </is>
      </c>
      <c r="F304" t="inlineStr">
        <is>
          <t>SECURITY GUARD</t>
        </is>
      </c>
      <c r="G304" t="inlineStr">
        <is>
          <t>GRAM PANCHAYAT</t>
        </is>
      </c>
    </row>
    <row r="305">
      <c r="A305" s="1" t="n">
        <v>303</v>
      </c>
      <c r="B305">
        <f>HYPERLINK("https://eproc.rajasthan.gov.in/nicgep/app?component=%24DirectLink&amp;page=FrontEndViewTender&amp;service=direct&amp;session=T&amp;sp=SlILBhuAbLf%2BK05EPUdcS4Q%3D%3D", "Work including garbage collection and separation from every house (Residential and Commercial), road and drain cleaning and community sanitation complex cleaning in all the villages of Gram Panchayat Sikrali P S Ratangarh for 8 Month")</f>
        <v/>
      </c>
      <c r="C305" t="inlineStr">
        <is>
          <t>Panchayati Raj Department||Secretary and Commissioner||CEO-CHURU||BDO-RATANGARH</t>
        </is>
      </c>
      <c r="D305" t="inlineStr">
        <is>
          <t>26-May-2025 04:00 PM</t>
        </is>
      </c>
      <c r="E305" t="inlineStr">
        <is>
          <t>15,00,000</t>
        </is>
      </c>
      <c r="F305" t="inlineStr">
        <is>
          <t>Work including garbage collection and separation from every house (Residential and Commercial), road and drain cleaning and community sanitation complex cleaning in all the villages of Gram Panchayat Sikrali P S Ratangarh for 8 Month</t>
        </is>
      </c>
      <c r="G305" t="inlineStr">
        <is>
          <t>GP SIKRALI</t>
        </is>
      </c>
    </row>
    <row r="306">
      <c r="A306" s="1" t="n">
        <v>304</v>
      </c>
      <c r="B306">
        <f>HYPERLINK("https://eproc.rajasthan.gov.in/nicgep/app?component=%24DirectLink&amp;page=FrontEndViewTender&amp;service=direct&amp;session=T&amp;sp=StOKMC3khLyYFVJ6APjAuJQ%3D%3D", "Supply of Construction Material and Equipment in Gram panchayat KUSHALPURA of FY 2025-26")</f>
        <v/>
      </c>
      <c r="C306" t="inlineStr">
        <is>
          <t>Panchayati Raj Department||Secretary and Commissioner||CEO-RAJSAMAND||BDO-BHEEM</t>
        </is>
      </c>
      <c r="D306" t="inlineStr">
        <is>
          <t>29-May-2025 06:00 PM</t>
        </is>
      </c>
      <c r="E306" t="inlineStr">
        <is>
          <t>50,00,000</t>
        </is>
      </c>
      <c r="F306" t="inlineStr">
        <is>
          <t>Supply of Construction Material and Equipment in Gram panchayat of FY 2025-26</t>
        </is>
      </c>
      <c r="G306" t="inlineStr">
        <is>
          <t>kushalpura</t>
        </is>
      </c>
    </row>
    <row r="307">
      <c r="A307" s="1" t="n">
        <v>305</v>
      </c>
      <c r="B307">
        <f>HYPERLINK("https://eproc.rajasthan.gov.in/nicgep/app?component=%24DirectLink&amp;page=FrontEndViewTender&amp;service=direct&amp;session=T&amp;sp=S1JeOXo32LzcPfsr06SHJYQ%3D%3D", "Collection of wastage in Residential and Commercial Building from all Villages in Gram Panchayat Road, Nali Cleaning and CSC Campus GP KEERWA")</f>
        <v/>
      </c>
      <c r="C307" t="inlineStr">
        <is>
          <t>Panchayati Raj Department||Secretary and Commissioner||CEO-PALI||BDO-RANISTATION</t>
        </is>
      </c>
      <c r="D307" t="inlineStr">
        <is>
          <t>29-May-2025 06:00 PM</t>
        </is>
      </c>
      <c r="E307" t="inlineStr">
        <is>
          <t>3,88,000</t>
        </is>
      </c>
      <c r="F307" t="inlineStr">
        <is>
          <t>Collection of wastage in Residential and Commercial Building from all Villages in Gram Panchayat Road, Nali Cleaning and CSC Campus GP KEERWA</t>
        </is>
      </c>
      <c r="G307" t="inlineStr">
        <is>
          <t>GRAM PANCHAYAT KEERWA</t>
        </is>
      </c>
    </row>
    <row r="308">
      <c r="A308" s="1" t="n">
        <v>306</v>
      </c>
      <c r="B308">
        <f>HYPERLINK("https://eproc.rajasthan.gov.in/nicgep/app?component=%24DirectLink&amp;page=FrontEndViewTender&amp;service=direct&amp;session=T&amp;sp=S2igvopas%2BICR%2Febkp9vM9Q%3D%3D", "Work including garbage collection and separation from every house (Residential and Commercial), road and drain cleaning and community sanitation complex cleaning in all the villages of Gram Panchayat Loha P S Ratangarh for 6 Month")</f>
        <v/>
      </c>
      <c r="C308" t="inlineStr">
        <is>
          <t>Panchayati Raj Department||Secretary and Commissioner||CEO-CHURU||BDO-RATANGARH</t>
        </is>
      </c>
      <c r="D308" t="inlineStr">
        <is>
          <t>26-May-2025 04:00 PM</t>
        </is>
      </c>
      <c r="E308" t="inlineStr">
        <is>
          <t>5,00,000</t>
        </is>
      </c>
      <c r="F308" t="inlineStr">
        <is>
          <t>Work including garbage collection and separation from every house (Residential and Commercial), road and drain cleaning and community sanitation complex cleaning in all the villages of Gram Panchayat Loha P S Ratangarh for 6 Month</t>
        </is>
      </c>
      <c r="G308" t="inlineStr">
        <is>
          <t>GP LOHA</t>
        </is>
      </c>
    </row>
    <row r="309">
      <c r="A309" s="1" t="n">
        <v>307</v>
      </c>
      <c r="B309">
        <f>HYPERLINK("https://eproc.rajasthan.gov.in/nicgep/app?component=%24DirectLink&amp;page=FrontEndViewTender&amp;service=direct&amp;session=T&amp;sp=SHTd5dLv9L35kUZaLTxvKoQ%3D%3D", "Work including garbage collection and separation from every house (Residential and Commercial), road and drain cleaning and community sanitation complex cleaning in all the villages of Gram Panchayat Bhukhredi P S Ratangarh for 12 Month")</f>
        <v/>
      </c>
      <c r="C309" t="inlineStr">
        <is>
          <t>Panchayati Raj Department||Secretary and Commissioner||CEO-CHURU||BDO-RATANGARH</t>
        </is>
      </c>
      <c r="D309" t="inlineStr">
        <is>
          <t>26-May-2025 04:00 PM</t>
        </is>
      </c>
      <c r="E309" t="inlineStr">
        <is>
          <t>9,01,000</t>
        </is>
      </c>
      <c r="F309" t="inlineStr">
        <is>
          <t>Work including garbage collection and separation from every house (Residential and Commercial), road and drain cleaning and community sanitation complex cleaning in all the villages of Gram Panchayat Bhukhredi P S Ratangarh for 12 Month</t>
        </is>
      </c>
      <c r="G309" t="inlineStr">
        <is>
          <t>GP BHUKHREDI</t>
        </is>
      </c>
    </row>
    <row r="310">
      <c r="A310" s="1" t="n">
        <v>308</v>
      </c>
      <c r="B310">
        <f>HYPERLINK("https://eproc.rajasthan.gov.in/nicgep/app?component=%24DirectLink&amp;page=FrontEndViewTender&amp;service=direct&amp;session=T&amp;sp=S1B7YEPqi7xb0svxsshnBew%3D%3D", "METERIAL SUPPLY IN GP FAHARI")</f>
        <v/>
      </c>
      <c r="C310" t="inlineStr">
        <is>
          <t>Panchayati Raj Department||Secretary and Commissioner||CEO-ALWAR||BDO-KATHUMBAR</t>
        </is>
      </c>
      <c r="D310" t="inlineStr">
        <is>
          <t>26-May-2025 06:00 PM</t>
        </is>
      </c>
      <c r="E310" t="inlineStr">
        <is>
          <t>30,00,000</t>
        </is>
      </c>
      <c r="F310" t="inlineStr">
        <is>
          <t>METERIAL SUPPLY IN GP FAHARI</t>
        </is>
      </c>
      <c r="G310" t="inlineStr">
        <is>
          <t>GP FAHARI</t>
        </is>
      </c>
    </row>
    <row r="311">
      <c r="A311" s="1" t="n">
        <v>309</v>
      </c>
      <c r="B311">
        <f>HYPERLINK("https://eproc.rajasthan.gov.in/nicgep/app?component=%24DirectLink&amp;page=FrontEndViewTender&amp;service=direct&amp;session=T&amp;sp=SjAdxxzlVGpFlYC4x8GiViw%3D%3D", "Construction of 02 Class Rooms in Government Senior Secondary School Palodara Gram Panchayat Palodara Panchayat Samiti Jaisamand District Salumber in DMFT Scheme.")</f>
        <v/>
      </c>
      <c r="C311" t="inlineStr">
        <is>
          <t>Panchayati Raj Department||Secretary and Commissioner||CEO-UDAIPUR||BDO-SARADA</t>
        </is>
      </c>
      <c r="D311" t="inlineStr">
        <is>
          <t>26-May-2025 06:00 PM</t>
        </is>
      </c>
      <c r="E311" t="inlineStr">
        <is>
          <t>24,00,000</t>
        </is>
      </c>
      <c r="F311" t="inlineStr">
        <is>
          <t>Construction of 02 Class Rooms in Government Senior Secondary School Palodara Gram Panchayat Palodara Panchayat Samiti Jaisamand District Salumber in DMFT Scheme.</t>
        </is>
      </c>
      <c r="G311" t="inlineStr">
        <is>
          <t>GRAM PANCHAYAT PALODARA</t>
        </is>
      </c>
    </row>
    <row r="312">
      <c r="A312" s="1" t="n">
        <v>310</v>
      </c>
      <c r="B312">
        <f>HYPERLINK("https://eproc.rajasthan.gov.in/nicgep/app?component=%24DirectLink&amp;page=FrontEndViewTender&amp;service=direct&amp;session=T&amp;sp=SZ4krsZl89Nnhd0ndALo3KQ%3D%3D", "Work including garbage collection and separation from every house (Residential and Commercial), road and drain cleaning and community sanitation complex cleaning in all the villages of Gram Panchayat Nosaria P S Ratangarh for 12 Month")</f>
        <v/>
      </c>
      <c r="C312" t="inlineStr">
        <is>
          <t>Panchayati Raj Department||Secretary and Commissioner||CEO-CHURU||BDO-RATANGARH</t>
        </is>
      </c>
      <c r="D312" t="inlineStr">
        <is>
          <t>26-May-2025 04:00 PM</t>
        </is>
      </c>
      <c r="E312" t="inlineStr">
        <is>
          <t>9,99,000</t>
        </is>
      </c>
      <c r="F312" t="inlineStr">
        <is>
          <t>Work including garbage collection and separation from every house (Residential and Commercial), road and drain cleaning and community sanitation complex cleaning in all the villages of Gram Panchayat Nosaria P S Ratangarh for 12 Month</t>
        </is>
      </c>
      <c r="G312" t="inlineStr">
        <is>
          <t>GP NOSARIA</t>
        </is>
      </c>
    </row>
    <row r="313">
      <c r="A313" s="1" t="n">
        <v>311</v>
      </c>
      <c r="B313">
        <f>HYPERLINK("https://eproc.rajasthan.gov.in/nicgep/app?component=%24DirectLink&amp;page=FrontEndViewTender&amp;service=direct&amp;session=T&amp;sp=S9WTWRQ0kUf0b36XZg2qiNQ%3D%3D", "Collection of wastage in Residential and Commercial Building from all Villages in Gram Panchayat Road, Nali Cleaning and CSC Campus GP NIMBADA")</f>
        <v/>
      </c>
      <c r="C313" t="inlineStr">
        <is>
          <t>Panchayati Raj Department||Secretary and Commissioner||CEO-PALI||BDO-RANISTATION</t>
        </is>
      </c>
      <c r="D313" t="inlineStr">
        <is>
          <t>29-May-2025 06:00 PM</t>
        </is>
      </c>
      <c r="E313" t="inlineStr">
        <is>
          <t>4,44,000</t>
        </is>
      </c>
      <c r="F313" t="inlineStr">
        <is>
          <t>Collection of wastage in Residential and Commercial Building from all Villages in Gram Panchayat Road, Nali Cleaning and CSC Campus GP NIMBADA</t>
        </is>
      </c>
      <c r="G313" t="inlineStr">
        <is>
          <t>GRAM PANCHAYAT NIMBADA</t>
        </is>
      </c>
    </row>
    <row r="314">
      <c r="A314" s="1" t="n">
        <v>312</v>
      </c>
      <c r="B314">
        <f>HYPERLINK("https://eproc.rajasthan.gov.in/nicgep/app?component=%24DirectLink&amp;page=FrontEndViewTender&amp;service=direct&amp;session=T&amp;sp=SW0lGQbW846ymJFNdui02ag%3D%3D", "Work including garbage collection and separation from every house (Residential and Commercial), road and drain cleaning and community sanitation complex cleaning in all the villages of Gram Panchayat Bharpalsar P S Ratangarh for 6 Month")</f>
        <v/>
      </c>
      <c r="C314" t="inlineStr">
        <is>
          <t>Panchayati Raj Department||Secretary and Commissioner||CEO-CHURU||BDO-RATANGARH</t>
        </is>
      </c>
      <c r="D314" t="inlineStr">
        <is>
          <t>26-May-2025 04:00 PM</t>
        </is>
      </c>
      <c r="E314" t="inlineStr">
        <is>
          <t>9,97,000</t>
        </is>
      </c>
      <c r="F314" t="inlineStr">
        <is>
          <t>Work including garbage collection and separation from every house (Residential and Commercial), road and drain cleaning and community sanitation complex cleaning in all the villages of Gram Panchayat Bharpalsar P S Ratangarh for 6 Month</t>
        </is>
      </c>
      <c r="G314" t="inlineStr">
        <is>
          <t>GP BHARPALSAR</t>
        </is>
      </c>
    </row>
    <row r="315">
      <c r="A315" s="1" t="n">
        <v>313</v>
      </c>
      <c r="B315">
        <f>HYPERLINK("https://eproc.rajasthan.gov.in/nicgep/app?component=%24DirectLink&amp;page=FrontEndViewTender&amp;service=direct&amp;session=T&amp;sp=SL537nkCKiZBUm7jDoWGOjw%3D%3D", "Work including garbage collection and separation from every house (Residential and Commercial), road and drain cleaning and community sanitation complex cleaning in all the villages of Gram Panchayat Hamusar P S Ratangarh for 6 Month")</f>
        <v/>
      </c>
      <c r="C315" t="inlineStr">
        <is>
          <t>Panchayati Raj Department||Secretary and Commissioner||CEO-CHURU||BDO-RATANGARH</t>
        </is>
      </c>
      <c r="D315" t="inlineStr">
        <is>
          <t>26-May-2025 04:00 PM</t>
        </is>
      </c>
      <c r="E315" t="inlineStr">
        <is>
          <t>6,56,000</t>
        </is>
      </c>
      <c r="F315" t="inlineStr">
        <is>
          <t>Work including garbage collection and separation from every house (Residential and Commercial), road and drain cleaning and community sanitation complex cleaning in all the villages of Gram Panchayat Hamusar P S Ratangarh for 6 Month</t>
        </is>
      </c>
      <c r="G315" t="inlineStr">
        <is>
          <t>GP HAMUSAR</t>
        </is>
      </c>
    </row>
    <row r="316">
      <c r="A316" s="1" t="n">
        <v>314</v>
      </c>
      <c r="B316">
        <f>HYPERLINK("https://eproc.rajasthan.gov.in/nicgep/app?component=%24DirectLink&amp;page=FrontEndViewTender&amp;service=direct&amp;session=T&amp;sp=SkAWj2cOjNa%2FAHzrSpvtg5Q%3D%3D", "gram panchayat me nirman karyo par samgri aapurti vittiy varsh 2025-26")</f>
        <v/>
      </c>
      <c r="C316" t="inlineStr">
        <is>
          <t>Panchayati Raj Department||Secretary and Commissioner||CEO-ALWAR||BDO-RAMGARH</t>
        </is>
      </c>
      <c r="D316" t="inlineStr">
        <is>
          <t>25-May-2025 06:00 PM</t>
        </is>
      </c>
      <c r="E316" t="inlineStr">
        <is>
          <t>30,00,000</t>
        </is>
      </c>
      <c r="F316" t="inlineStr">
        <is>
          <t>gram panchayat me nirman karyo par samgri aapurti vittiy varsh 2025-26</t>
        </is>
      </c>
      <c r="G316" t="inlineStr">
        <is>
          <t>gp khalsa Nagar</t>
        </is>
      </c>
    </row>
    <row r="317">
      <c r="A317" s="1" t="n">
        <v>315</v>
      </c>
      <c r="B317">
        <f>HYPERLINK("https://eproc.rajasthan.gov.in/nicgep/app?component=%24DirectLink&amp;page=FrontEndViewTender&amp;service=direct&amp;session=T&amp;sp=SPb%2Fn9bRgWZCbH8%2BKbPFaSw%3D%3D", "Gram panchyat me samast gavno me ghar ghar kachra sangrahan gav ki naliyo or Samudayik Parisar ki safai karya GP Maler")</f>
        <v/>
      </c>
      <c r="C317" t="inlineStr">
        <is>
          <t>Panchayati Raj Department||Secretary and Commissioner||CEO- GANGANAGAR||BDO-SURATGARH</t>
        </is>
      </c>
      <c r="D317" t="inlineStr">
        <is>
          <t>24-May-2025 02:00 PM</t>
        </is>
      </c>
      <c r="E317" t="inlineStr">
        <is>
          <t>7,47,499</t>
        </is>
      </c>
      <c r="F317" t="inlineStr">
        <is>
          <t>Gram panchyat me samast gavno me ghar ghar kachra sangrahan gav ki naliyo or Samudayik Parisar ki safai karya GP Maler</t>
        </is>
      </c>
      <c r="G317" t="inlineStr">
        <is>
          <t>Gram Panchyat Maler</t>
        </is>
      </c>
    </row>
    <row r="318">
      <c r="A318" s="1" t="n">
        <v>316</v>
      </c>
      <c r="B318">
        <f>HYPERLINK("https://eproc.rajasthan.gov.in/nicgep/app?component=%24DirectLink&amp;page=FrontEndViewTender&amp;service=direct&amp;session=T&amp;sp=S5EkZgIBhv%2BtUUaoKKfxsDA%3D%3D", "Gram panchyat me samast gavno me ghar ghar kachra sangrahan gav ki naliyo or Samudayik Parisar ki safai karya GP Janikdaswala")</f>
        <v/>
      </c>
      <c r="C318" t="inlineStr">
        <is>
          <t>Panchayati Raj Department||Secretary and Commissioner||CEO- GANGANAGAR||BDO-SURATGARH</t>
        </is>
      </c>
      <c r="D318" t="inlineStr">
        <is>
          <t>24-May-2025 02:00 PM</t>
        </is>
      </c>
      <c r="E318" t="inlineStr">
        <is>
          <t>7,17,006</t>
        </is>
      </c>
      <c r="F318" t="inlineStr">
        <is>
          <t>Gram panchyat me samast gavno me ghar ghar kachra sangrahan gav ki naliyo or Samudayik Parisar ki safai karya GP Janikdaswala</t>
        </is>
      </c>
      <c r="G318" t="inlineStr">
        <is>
          <t>Gram panchyat Jankidaswala</t>
        </is>
      </c>
    </row>
    <row r="319">
      <c r="A319" s="1" t="n">
        <v>317</v>
      </c>
      <c r="B319">
        <f>HYPERLINK("https://eproc.rajasthan.gov.in/nicgep/app?component=%24DirectLink&amp;page=FrontEndViewTender&amp;service=direct&amp;session=T&amp;sp=SwUOgAlaYYa2mKkm1tVGL3Q%3D%3D", "Rate contract for supply of material on all construction works conducted under Mahatma Gandhi NREGA scheme and various schemes of Rural Development and Panchayati Raj Department, Gram Panchayat Toda Meena")</f>
        <v/>
      </c>
      <c r="C319" t="inlineStr">
        <is>
          <t>Panchayati Raj Department||Secretary and Commissioner||CEO- JAIPUR||BDO-JAMUVARAMGAH</t>
        </is>
      </c>
      <c r="D319" t="inlineStr">
        <is>
          <t>28-May-2025 05:00 PM</t>
        </is>
      </c>
      <c r="E319" t="inlineStr">
        <is>
          <t>50,00,000</t>
        </is>
      </c>
      <c r="F319" t="inlineStr">
        <is>
          <t>Rate contract for supply of material on all construction works conducted under Mahatma Gandhi NREGA scheme and various schemes of Rural Development and Panchayati Raj Department, Gram Panchayat Toda Meena</t>
        </is>
      </c>
      <c r="G319" t="inlineStr">
        <is>
          <t>GP TODA MEENA</t>
        </is>
      </c>
    </row>
    <row r="320">
      <c r="A320" s="1" t="n">
        <v>318</v>
      </c>
      <c r="B320">
        <f>HYPERLINK("https://eproc.rajasthan.gov.in/nicgep/app?component=%24DirectLink&amp;page=FrontEndViewTender&amp;service=direct&amp;session=T&amp;sp=SkE77NwNe2rdA6IvRSxVYHw%3D%3D", "Gram panchyat me samast gavno me ghar ghar kachra sangrahan gav ki naliyo or Samudayik Parisar ki safai karya GP Manewala")</f>
        <v/>
      </c>
      <c r="C320" t="inlineStr">
        <is>
          <t>Panchayati Raj Department||Secretary and Commissioner||CEO- GANGANAGAR||BDO-SURATGARH</t>
        </is>
      </c>
      <c r="D320" t="inlineStr">
        <is>
          <t>24-May-2025 02:00 PM</t>
        </is>
      </c>
      <c r="E320" t="inlineStr">
        <is>
          <t>9,60,049</t>
        </is>
      </c>
      <c r="F320" t="inlineStr">
        <is>
          <t>Gram panchyat me samast gavno me ghar ghar kachra sangrahan gav ki naliyo or Samudayik Parisar ki safai karya GP Manewala</t>
        </is>
      </c>
      <c r="G320" t="inlineStr">
        <is>
          <t>Gram panchyat Manewala</t>
        </is>
      </c>
    </row>
    <row r="321">
      <c r="A321" s="1" t="n">
        <v>319</v>
      </c>
      <c r="B321">
        <f>HYPERLINK("https://eproc.rajasthan.gov.in/nicgep/app?component=%24DirectLink&amp;page=FrontEndViewTender&amp;service=direct&amp;session=T&amp;sp=SK0Z935qk1v%2BA%2BhiGVFxcSQ%3D%3D", "Rate contract for supply of material on all construction works conducted under Mahatma Gandhi NREGA scheme and various schemes of Rural Development and Panchayati Raj Department, Gram Panchayat Tala")</f>
        <v/>
      </c>
      <c r="C321" t="inlineStr">
        <is>
          <t>Panchayati Raj Department||Secretary and Commissioner||CEO- JAIPUR||BDO-JAMUVARAMGAH</t>
        </is>
      </c>
      <c r="D321" t="inlineStr">
        <is>
          <t>28-May-2025 05:00 PM</t>
        </is>
      </c>
      <c r="E321" t="inlineStr">
        <is>
          <t>40,00,000</t>
        </is>
      </c>
      <c r="F321" t="inlineStr">
        <is>
          <t>Rate contract for supply of material on all construction works conducted under Mahatma Gandhi NREGA scheme and various schemes of Rural Development and Panchayati Raj Department, Gram Panchayat Tala</t>
        </is>
      </c>
      <c r="G321" t="inlineStr">
        <is>
          <t>gp TALA</t>
        </is>
      </c>
    </row>
    <row r="322">
      <c r="A322" s="1" t="n">
        <v>320</v>
      </c>
      <c r="B322">
        <f>HYPERLINK("https://eproc.rajasthan.gov.in/nicgep/app?component=%24DirectLink&amp;page=FrontEndViewTender&amp;service=direct&amp;session=T&amp;sp=SU%2FY66%2BLBcx0Tg05pQzqDYA%3D%3D", "Gram panchyat me samast gavno me ghar ghar kachra sangrahan gav ki naliyo or Samudayik Parisar ki safai karya GP Hardaswali")</f>
        <v/>
      </c>
      <c r="C322" t="inlineStr">
        <is>
          <t>Panchayati Raj Department||Secretary and Commissioner||CEO- GANGANAGAR||BDO-SURATGARH</t>
        </is>
      </c>
      <c r="D322" t="inlineStr">
        <is>
          <t>24-May-2025 02:00 PM</t>
        </is>
      </c>
      <c r="E322" t="inlineStr">
        <is>
          <t>7,81,495</t>
        </is>
      </c>
      <c r="F322" t="inlineStr">
        <is>
          <t>Gram panchyat me samast gavno me ghar ghar kachra sangrahan gav ki naliyo or Samudayik Parisar ki safai karya GP Hardaswali</t>
        </is>
      </c>
      <c r="G322" t="inlineStr">
        <is>
          <t>Gram Panchyat Hardaswali</t>
        </is>
      </c>
    </row>
    <row r="323">
      <c r="A323" s="1" t="n">
        <v>321</v>
      </c>
      <c r="B323">
        <f>HYPERLINK("https://eproc.rajasthan.gov.in/nicgep/app?component=%24DirectLink&amp;page=FrontEndViewTender&amp;service=direct&amp;session=T&amp;sp=Sp05OUAJBS6rNBAO3mb2nEg%3D%3D", "Gram panchyat me samast gavno me ghar ghar kachra sangrahan gav ki naliyo or Samudayik Parisar ki safai karya GP Kardoo")</f>
        <v/>
      </c>
      <c r="C323" t="inlineStr">
        <is>
          <t>Panchayati Raj Department||Secretary and Commissioner||CEO- GANGANAGAR||BDO-SURATGARH</t>
        </is>
      </c>
      <c r="D323" t="inlineStr">
        <is>
          <t>24-May-2025 02:00 PM</t>
        </is>
      </c>
      <c r="E323" t="inlineStr">
        <is>
          <t>7,30,446</t>
        </is>
      </c>
      <c r="F323" t="inlineStr">
        <is>
          <t>Gram panchyat me samast gavno me ghar ghar kachra sangrahan gav ki naliyo or Samudayik Parisar ki safai karya GP Kardoo</t>
        </is>
      </c>
      <c r="G323" t="inlineStr">
        <is>
          <t>Gram Panchyat Kardoo</t>
        </is>
      </c>
    </row>
    <row r="324">
      <c r="A324" s="1" t="n">
        <v>322</v>
      </c>
      <c r="B324">
        <f>HYPERLINK("https://eproc.rajasthan.gov.in/nicgep/app?component=%24DirectLink&amp;page=FrontEndViewTender&amp;service=direct&amp;session=T&amp;sp=SugglkxDlAjEht7TCjhCmNQ%3D%3D", "Rate contract for supply of material on all construction works conducted under Mahatma Gandhi NREGA scheme and various schemes of Rural Development and Panchayati Raj Department, Gram Panchayat Samred Kalan")</f>
        <v/>
      </c>
      <c r="C324" t="inlineStr">
        <is>
          <t>Panchayati Raj Department||Secretary and Commissioner||CEO- JAIPUR||BDO-JAMUVARAMGAH</t>
        </is>
      </c>
      <c r="D324" t="inlineStr">
        <is>
          <t>28-May-2025 09:00 AM</t>
        </is>
      </c>
      <c r="E324" t="inlineStr">
        <is>
          <t>50,00,000</t>
        </is>
      </c>
      <c r="F324" t="inlineStr">
        <is>
          <t>Rate contract for supply of material on all construction works conducted under Mahatma Gandhi NREGA scheme and various schemes of Rural Development and Panchayati Raj Department, Gram Panchayat Samred Kalan</t>
        </is>
      </c>
      <c r="G324" t="inlineStr">
        <is>
          <t>gp SAMRED KALAN</t>
        </is>
      </c>
    </row>
    <row r="325">
      <c r="A325" s="1" t="n">
        <v>323</v>
      </c>
      <c r="B325">
        <f>HYPERLINK("https://eproc.rajasthan.gov.in/nicgep/app?component=%24DirectLink&amp;page=FrontEndViewTender&amp;service=direct&amp;session=T&amp;sp=SnHK17HrIdiZTXF0mgnWIuw%3D%3D", "Supply of Construction Material RDPR Scheme MNREGA, SFC , FFC and other scheme for Financial Year 2025-26 in Gram Panchyat Mai Kalan PS Khandar")</f>
        <v/>
      </c>
      <c r="C325" t="inlineStr">
        <is>
          <t>Panchayati Raj Department||Secretary and Commissioner||CEO-S.MADHOPUR||BDO-KHANDAR</t>
        </is>
      </c>
      <c r="D325" t="inlineStr">
        <is>
          <t>28-May-2025 06:00 PM</t>
        </is>
      </c>
      <c r="E325" t="inlineStr">
        <is>
          <t>50,00,000</t>
        </is>
      </c>
      <c r="F325" t="inlineStr">
        <is>
          <t>Supply of Construction Material RDPR Scheme MNREGA, SFC , FFC and other scheme for Financial Year 2025-26 in Gram Panchyat Mai Kalan PS Khandar</t>
        </is>
      </c>
      <c r="G325" t="inlineStr">
        <is>
          <t>GRAM PANCHYAT MAI KALAN</t>
        </is>
      </c>
    </row>
    <row r="326">
      <c r="A326" s="1" t="n">
        <v>324</v>
      </c>
      <c r="B326">
        <f>HYPERLINK("https://eproc.rajasthan.gov.in/nicgep/app?component=%24DirectLink&amp;page=FrontEndViewTender&amp;service=direct&amp;session=T&amp;sp=Sd5TBjUZGGpT1OJ0oqvLneA%3D%3D", "Rate contract for supply of material on all construction works conducted under Mahatma Gandhi NREGA scheme and various schemes of Rural Development and Panchayati Raj Department, Gram Panchayat Saiwad")</f>
        <v/>
      </c>
      <c r="C326" t="inlineStr">
        <is>
          <t>Panchayati Raj Department||Secretary and Commissioner||CEO- JAIPUR||BDO-JAMUVARAMGAH</t>
        </is>
      </c>
      <c r="D326" t="inlineStr">
        <is>
          <t>28-May-2025 05:00 PM</t>
        </is>
      </c>
      <c r="E326" t="inlineStr">
        <is>
          <t>60,00,000</t>
        </is>
      </c>
      <c r="F326" t="inlineStr">
        <is>
          <t>Rate contract for supply of material on all construction works conducted under Mahatma Gandhi NREGA scheme and various schemes of Rural Development and Panchayati Raj Department, Gram Panchayat Saiwad</t>
        </is>
      </c>
      <c r="G326" t="inlineStr">
        <is>
          <t>GP SAIWAD</t>
        </is>
      </c>
    </row>
    <row r="327">
      <c r="A327" s="1" t="n">
        <v>325</v>
      </c>
      <c r="B327">
        <f>HYPERLINK("https://eproc.rajasthan.gov.in/nicgep/app?component=%24DirectLink&amp;page=FrontEndViewTender&amp;service=direct&amp;session=T&amp;sp=SuT0%2B4SQMufZ94PH79YhOMw%3D%3D", "Gram panchyat me samast gavno me ghar ghar kachra sangrahan gav ki naliyo or Samudayik Parisar ki safai karya GP Gurusar Modia")</f>
        <v/>
      </c>
      <c r="C327" t="inlineStr">
        <is>
          <t>Panchayati Raj Department||Secretary and Commissioner||CEO- GANGANAGAR||BDO-SURATGARH</t>
        </is>
      </c>
      <c r="D327" t="inlineStr">
        <is>
          <t>24-May-2025 02:00 PM</t>
        </is>
      </c>
      <c r="E327" t="inlineStr">
        <is>
          <t>10,09,317</t>
        </is>
      </c>
      <c r="F327" t="inlineStr">
        <is>
          <t>Gram panchyat me samast gavno me ghar ghar kachra sangrahan gav ki naliyo or Samudayik Parisar ki safai karya GP Gurusar Modia</t>
        </is>
      </c>
      <c r="G327" t="inlineStr">
        <is>
          <t>Gram Panchyat Gurusar Modia</t>
        </is>
      </c>
    </row>
    <row r="328">
      <c r="A328" s="1" t="n">
        <v>326</v>
      </c>
      <c r="B328">
        <f>HYPERLINK("https://eproc.rajasthan.gov.in/nicgep/app?component=%24DirectLink&amp;page=FrontEndViewTender&amp;service=direct&amp;session=T&amp;sp=SFmbaldF66g3XDt6sZzc6kw%3D%3D", "Rate contract for supply of material on all construction works conducted under Mahatma Gandhi NREGA scheme and various schemes of Rural Development and Panchayati Raj Department, Gram Panchayat Saipura")</f>
        <v/>
      </c>
      <c r="C328" t="inlineStr">
        <is>
          <t>Panchayati Raj Department||Secretary and Commissioner||CEO- JAIPUR||BDO-JAMUVARAMGAH</t>
        </is>
      </c>
      <c r="D328" t="inlineStr">
        <is>
          <t>28-May-2025 05:00 PM</t>
        </is>
      </c>
      <c r="E328" t="inlineStr">
        <is>
          <t>60,00,000</t>
        </is>
      </c>
      <c r="F328" t="inlineStr">
        <is>
          <t>Rate contract for supply of material on all construction works conducted under Mahatma Gandhi NREGA scheme and various schemes of Rural Development and Panchayati Raj Department, Gram Panchayat Saipura</t>
        </is>
      </c>
      <c r="G328" t="inlineStr">
        <is>
          <t>gp SAIPURA</t>
        </is>
      </c>
    </row>
    <row r="329">
      <c r="A329" s="1" t="n">
        <v>327</v>
      </c>
      <c r="B329">
        <f>HYPERLINK("https://eproc.rajasthan.gov.in/nicgep/app?component=%24DirectLink&amp;page=FrontEndViewTender&amp;service=direct&amp;session=T&amp;sp=S9oylUdkZFl2piUVA1LNV1g%3D%3D", "Gram panchyat me samast gavno me ghar ghar kachra sangrahan gav ki naliyo or Samudayik Parisar ki safai karya GP Manksar")</f>
        <v/>
      </c>
      <c r="C329" t="inlineStr">
        <is>
          <t>Panchayati Raj Department||Secretary and Commissioner||CEO- GANGANAGAR||BDO-SURATGARH</t>
        </is>
      </c>
      <c r="D329" t="inlineStr">
        <is>
          <t>24-May-2025 02:00 PM</t>
        </is>
      </c>
      <c r="E329" t="inlineStr">
        <is>
          <t>15,44,554</t>
        </is>
      </c>
      <c r="F329" t="inlineStr">
        <is>
          <t>Gram panchyat me samast gavno me ghar ghar kachra sangrahan gav ki naliyo or Samudayik Parisar ki safai karya GP Manksar</t>
        </is>
      </c>
      <c r="G329" t="inlineStr">
        <is>
          <t>Gram panchyat manksar</t>
        </is>
      </c>
    </row>
    <row r="330">
      <c r="A330" s="1" t="n">
        <v>328</v>
      </c>
      <c r="B330">
        <f>HYPERLINK("https://eproc.rajasthan.gov.in/nicgep/app?component=%24DirectLink&amp;page=FrontEndViewTender&amp;service=direct&amp;session=T&amp;sp=SJqe94r8hdmpoRK3p6e5FLQ%3D%3D", "Gram panchyat me samast gavno me ghar ghar kachra sangrahan gav ki naliyo or Samudayik Parisar ki safai karya GP Gudali")</f>
        <v/>
      </c>
      <c r="C330" t="inlineStr">
        <is>
          <t>Panchayati Raj Department||Secretary and Commissioner||CEO- GANGANAGAR||BDO-SURATGARH</t>
        </is>
      </c>
      <c r="D330" t="inlineStr">
        <is>
          <t>24-May-2025 02:00 PM</t>
        </is>
      </c>
      <c r="E330" t="inlineStr">
        <is>
          <t>10,64,745</t>
        </is>
      </c>
      <c r="F330" t="inlineStr">
        <is>
          <t>Gram panchyat me samast gavno me ghar ghar kachra sangrahan gav ki naliyo or Samudayik Parisar ki safai karya GP Gudali</t>
        </is>
      </c>
      <c r="G330" t="inlineStr">
        <is>
          <t>Gram panchyat Gudali</t>
        </is>
      </c>
    </row>
    <row r="331">
      <c r="A331" s="1" t="n">
        <v>329</v>
      </c>
      <c r="B331">
        <f>HYPERLINK("https://eproc.rajasthan.gov.in/nicgep/app?component=%24DirectLink&amp;page=FrontEndViewTender&amp;service=direct&amp;session=T&amp;sp=Sgxhz1FRpubAzMKFbRQUIvA%3D%3D", "Rate contract for supply of material on all construction works conducted under Mahatma Gandhi NREGA scheme and various schemes of Rural Development and Panchayati Raj Department, Gram Panchayat Roopwas")</f>
        <v/>
      </c>
      <c r="C331" t="inlineStr">
        <is>
          <t>Panchayati Raj Department||Secretary and Commissioner||CEO- JAIPUR||BDO-JAMUVARAMGAH</t>
        </is>
      </c>
      <c r="D331" t="inlineStr">
        <is>
          <t>28-May-2025 05:00 PM</t>
        </is>
      </c>
      <c r="E331" t="inlineStr">
        <is>
          <t>60,00,000</t>
        </is>
      </c>
      <c r="F331" t="inlineStr">
        <is>
          <t>Rate contract for supply of material on all construction works conducted under Mahatma Gandhi NREGA scheme and various schemes of Rural Development and Panchayati Raj Department, Gram Panchayat Roopwas</t>
        </is>
      </c>
      <c r="G331" t="inlineStr">
        <is>
          <t>GP Roopwas</t>
        </is>
      </c>
    </row>
    <row r="332">
      <c r="A332" s="1" t="n">
        <v>330</v>
      </c>
      <c r="B332">
        <f>HYPERLINK("https://eproc.rajasthan.gov.in/nicgep/app?component=%24DirectLink&amp;page=FrontEndViewTender&amp;service=direct&amp;session=T&amp;sp=Sr3PfVXJgTV%2FhyHxLDKzP6w%3D%3D", "Gram panchyat me samast gavno me ghar ghar kachra sangrahan gav ki naliyo or Samudayik Parisar ki safai karya GP Govindsar")</f>
        <v/>
      </c>
      <c r="C332" t="inlineStr">
        <is>
          <t>Panchayati Raj Department||Secretary and Commissioner||CEO- GANGANAGAR||BDO-SURATGARH</t>
        </is>
      </c>
      <c r="D332" t="inlineStr">
        <is>
          <t>24-May-2025 02:00 PM</t>
        </is>
      </c>
      <c r="E332" t="inlineStr">
        <is>
          <t>6,74,417</t>
        </is>
      </c>
      <c r="F332" t="inlineStr">
        <is>
          <t>Gram panchyat me samast gavno me ghar ghar kachra sangrahan gav ki naliyo or Samudayik Parisar ki safai karya GP Govindsar</t>
        </is>
      </c>
      <c r="G332" t="inlineStr">
        <is>
          <t>Gram Panchyat Govindsar</t>
        </is>
      </c>
    </row>
    <row r="333">
      <c r="A333" s="1" t="n">
        <v>331</v>
      </c>
      <c r="B333">
        <f>HYPERLINK("https://eproc.rajasthan.gov.in/nicgep/app?component=%24DirectLink&amp;page=FrontEndViewTender&amp;service=direct&amp;session=T&amp;sp=S40rPrIBtyZP54DwXorTp7A%3D%3D", "Rate contract for supply of material on all construction works conducted under Mahatma Gandhi NREGA scheme and various schemes of Rural Development and Panchayati Raj Department, Gram Panchayat RajpurVas Tala")</f>
        <v/>
      </c>
      <c r="C333" t="inlineStr">
        <is>
          <t>Panchayati Raj Department||Secretary and Commissioner||CEO- JAIPUR||BDO-JAMUVARAMGAH</t>
        </is>
      </c>
      <c r="D333" t="inlineStr">
        <is>
          <t>28-May-2025 05:00 PM</t>
        </is>
      </c>
      <c r="E333" t="inlineStr">
        <is>
          <t>60,00,000</t>
        </is>
      </c>
      <c r="F333" t="inlineStr">
        <is>
          <t>Rate contract for supply of material on all construction works conducted under Mahatma Gandhi NREGA scheme and various schemes of Rural Development and Panchayati Raj Department, Gram Panchayat RajpurVas Tala</t>
        </is>
      </c>
      <c r="G333" t="inlineStr">
        <is>
          <t>GP RajpurVas Tala</t>
        </is>
      </c>
    </row>
    <row r="334">
      <c r="A334" s="1" t="n">
        <v>332</v>
      </c>
      <c r="B334">
        <f>HYPERLINK("https://eproc.rajasthan.gov.in/nicgep/app?component=%24DirectLink&amp;page=FrontEndViewTender&amp;service=direct&amp;session=T&amp;sp=Sh2vuhhWeQU%2BGh55BSaivRw%3D%3D", "Interlocking Tiles Nrman Karya Isharwala Damar Road Se Ojato Ki Dhani Ki Or Bhawsar Isharwala Gp Ramsar Palawala Panchayat Samiti Bassi Dist Jaipur")</f>
        <v/>
      </c>
      <c r="C334" t="inlineStr">
        <is>
          <t>Panchayati Raj Department||Secretary and Commissioner||CEO- JAIPUR||BDO-BASSI</t>
        </is>
      </c>
      <c r="D334" t="inlineStr">
        <is>
          <t>26-May-2025 02:00 PM</t>
        </is>
      </c>
      <c r="E334" t="inlineStr">
        <is>
          <t>9,93,000</t>
        </is>
      </c>
      <c r="F334" t="inlineStr">
        <is>
          <t>Interlocking Tiles Nrman Karya Isharwala Damar Road Se Ojato Ki Dhani Ki Or Bhawsar Isharwala Gp Ramsar Palawala Panchayat Samiti Bassi Dist Jaipur</t>
        </is>
      </c>
      <c r="G334" t="inlineStr">
        <is>
          <t>GP Ramsar Palawala</t>
        </is>
      </c>
    </row>
    <row r="335">
      <c r="A335" s="1" t="n">
        <v>333</v>
      </c>
      <c r="B335">
        <f>HYPERLINK("https://eproc.rajasthan.gov.in/nicgep/app?component=%24DirectLink&amp;page=FrontEndViewTender&amp;service=direct&amp;session=T&amp;sp=SSi0ry9%2FwWObSmJstvUCKrw%3D%3D", "WORK TENDOR")</f>
        <v/>
      </c>
      <c r="C335" t="inlineStr">
        <is>
          <t>Panchayati Raj Department||Secretary and Commissioner||CEO-BHARATPUR||BDO-KUMHER</t>
        </is>
      </c>
      <c r="D335" t="inlineStr">
        <is>
          <t>23-May-2025 06:00 PM</t>
        </is>
      </c>
      <c r="E335" t="inlineStr">
        <is>
          <t>10,00,000</t>
        </is>
      </c>
      <c r="F335" t="inlineStr">
        <is>
          <t>WORK TENDOR</t>
        </is>
      </c>
      <c r="G335" t="inlineStr">
        <is>
          <t>AT SITE</t>
        </is>
      </c>
    </row>
    <row r="336">
      <c r="A336" s="1" t="n">
        <v>334</v>
      </c>
      <c r="B336">
        <f>HYPERLINK("https://eproc.rajasthan.gov.in/nicgep/app?component=%24DirectLink&amp;page=FrontEndViewTender&amp;service=direct&amp;session=T&amp;sp=SZM99CZBJdQcdVLmheT6Fow%3D%3D", "Supply of Construction Material RDPR Scheme MNREGA, SFC , FFC and other scheme for Financial Year 2025-26 in Gram Panchyat Todra PS Khandar")</f>
        <v/>
      </c>
      <c r="C336" t="inlineStr">
        <is>
          <t>Panchayati Raj Department||Secretary and Commissioner||CEO-S.MADHOPUR||BDO-KHANDAR</t>
        </is>
      </c>
      <c r="D336" t="inlineStr">
        <is>
          <t>27-May-2025 06:00 PM</t>
        </is>
      </c>
      <c r="E336" t="inlineStr">
        <is>
          <t>60,00,000</t>
        </is>
      </c>
      <c r="F336" t="inlineStr">
        <is>
          <t>Supply of Construction Material RDPR Scheme MNREGA, SFC , FFC and other scheme for Financial Year 2025-26 in Gram Panchyat Todra PS Khandar</t>
        </is>
      </c>
      <c r="G336" t="inlineStr">
        <is>
          <t>GRAM PANCHYAT TODRA</t>
        </is>
      </c>
    </row>
    <row r="337">
      <c r="A337" s="1" t="n">
        <v>335</v>
      </c>
      <c r="B337">
        <f>HYPERLINK("https://eproc.rajasthan.gov.in/nicgep/app?component=%24DirectLink&amp;page=FrontEndViewTender&amp;service=direct&amp;session=T&amp;sp=SD41uycmeWMdTfeDEQAWKUQ%3D%3D", "WORK TENDOR")</f>
        <v/>
      </c>
      <c r="C337" t="inlineStr">
        <is>
          <t>Panchayati Raj Department||Secretary and Commissioner||CEO-BHARATPUR||BDO-KUMHER</t>
        </is>
      </c>
      <c r="D337" t="inlineStr">
        <is>
          <t>23-May-2025 06:00 PM</t>
        </is>
      </c>
      <c r="E337" t="inlineStr">
        <is>
          <t>9,50,000</t>
        </is>
      </c>
      <c r="F337" t="inlineStr">
        <is>
          <t>WORK TENDOR</t>
        </is>
      </c>
      <c r="G337" t="inlineStr">
        <is>
          <t>AT SITE</t>
        </is>
      </c>
    </row>
    <row r="338">
      <c r="A338" s="1" t="n">
        <v>336</v>
      </c>
      <c r="B338">
        <f>HYPERLINK("https://eproc.rajasthan.gov.in/nicgep/app?component=%24DirectLink&amp;page=FrontEndViewTender&amp;service=direct&amp;session=T&amp;sp=S%2F7OP71mfQ%2Bmr43%2FvKId7vw%3D%3D", "Rate contract for supply of material on all construction works conducted under Mahatma Gandhi NREGA scheme and various schemes of Rural Development and Panchayati Raj Department, Gram Panchayat Rahauri")</f>
        <v/>
      </c>
      <c r="C338" t="inlineStr">
        <is>
          <t>Panchayati Raj Department||Secretary and Commissioner||CEO- JAIPUR||BDO-JAMUVARAMGAH</t>
        </is>
      </c>
      <c r="D338" t="inlineStr">
        <is>
          <t>28-May-2025 05:00 PM</t>
        </is>
      </c>
      <c r="E338" t="inlineStr">
        <is>
          <t>50,00,000</t>
        </is>
      </c>
      <c r="F338" t="inlineStr">
        <is>
          <t>Rate contract for supply of material on all construction works conducted under Mahatma Gandhi NREGA scheme and various schemes of Rural Development and Panchayati Raj Department, Gram Panchayat Rahauri</t>
        </is>
      </c>
      <c r="G338" t="inlineStr">
        <is>
          <t>GP Rahauri</t>
        </is>
      </c>
    </row>
    <row r="339">
      <c r="A339" s="1" t="n">
        <v>337</v>
      </c>
      <c r="B339">
        <f>HYPERLINK("https://eproc.rajasthan.gov.in/nicgep/app?component=%24DirectLink&amp;page=FrontEndViewTender&amp;service=direct&amp;session=T&amp;sp=SnBQoh%2BkCdr5s2oLKREZM1g%3D%3D", "GHATAMDAS MANDIR KE PICHE WARD NUMBER 07 SARVAJANIK PUSTAKALAY BHAWAN NIRMAN BHADWA")</f>
        <v/>
      </c>
      <c r="C339" t="inlineStr">
        <is>
          <t>Panchayati Raj Department||Secretary and Commissioner||CEO- JAIPUR||BDO-KISHNAGARH RENWAL</t>
        </is>
      </c>
      <c r="D339" t="inlineStr">
        <is>
          <t>23-May-2025 10:00 AM</t>
        </is>
      </c>
      <c r="E339" t="inlineStr">
        <is>
          <t>10,00,000</t>
        </is>
      </c>
      <c r="F339" t="inlineStr">
        <is>
          <t>GHATAMDAS MANDIR KE PICHE WARD NUMBER 07 SARVAJANIK PUSTAKALAY BHAWAN NIRMAN BHADWA</t>
        </is>
      </c>
      <c r="G339" t="inlineStr">
        <is>
          <t>GRAM PANCHAYAT BHADWA</t>
        </is>
      </c>
    </row>
    <row r="340">
      <c r="A340" s="1" t="n">
        <v>338</v>
      </c>
      <c r="B340">
        <f>HYPERLINK("https://eproc.rajasthan.gov.in/nicgep/app?component=%24DirectLink&amp;page=FrontEndViewTender&amp;service=direct&amp;session=T&amp;sp=S1ztal7bRifYtv1fzUGEKcA%3D%3D", "METERIAL SUPPLY IN GP SEMLA KHURD")</f>
        <v/>
      </c>
      <c r="C340" t="inlineStr">
        <is>
          <t>Panchayati Raj Department||Secretary and Commissioner||CEO-ALWAR||BDO-KATHUMBAR</t>
        </is>
      </c>
      <c r="D340" t="inlineStr">
        <is>
          <t>26-May-2025 06:00 PM</t>
        </is>
      </c>
      <c r="E340" t="inlineStr">
        <is>
          <t>30,00,000</t>
        </is>
      </c>
      <c r="F340" t="inlineStr">
        <is>
          <t>METERIAL SUPPLY IN GP SEMLA KHURD</t>
        </is>
      </c>
      <c r="G340" t="inlineStr">
        <is>
          <t>GP SEMLA KHURD</t>
        </is>
      </c>
    </row>
    <row r="341">
      <c r="A341" s="1" t="n">
        <v>339</v>
      </c>
      <c r="B341">
        <f>HYPERLINK("https://eproc.rajasthan.gov.in/nicgep/app?component=%24DirectLink&amp;page=FrontEndViewTender&amp;service=direct&amp;session=T&amp;sp=SnE6SN9obPZ%2F%2FHcg2J8K5Hg%3D%3D", "Work including garbage collection and separation from every house (Residential and Commercial), road and drain cleaning and community sanitation complex cleaning in all the villages of Gram Panchayat Kanwari P S Ratangarh For 6 Months")</f>
        <v/>
      </c>
      <c r="C341" t="inlineStr">
        <is>
          <t>Panchayati Raj Department||Secretary and Commissioner||CEO-CHURU||BDO-RATANGARH</t>
        </is>
      </c>
      <c r="D341" t="inlineStr">
        <is>
          <t>26-May-2025 04:00 PM</t>
        </is>
      </c>
      <c r="E341" t="inlineStr">
        <is>
          <t>6,19,000</t>
        </is>
      </c>
      <c r="F341" t="inlineStr">
        <is>
          <t>Work including garbage collection and separation from every house (Residential and Commercial), road and drain cleaning and community sanitation complex cleaning in all the villages of Gram Panchayat Kanwari P S Ratangarh For 6 Months</t>
        </is>
      </c>
      <c r="G341" t="inlineStr">
        <is>
          <t>GP KANWARI</t>
        </is>
      </c>
    </row>
    <row r="342">
      <c r="A342" s="1" t="n">
        <v>340</v>
      </c>
      <c r="B342">
        <f>HYPERLINK("https://eproc.rajasthan.gov.in/nicgep/app?component=%24DirectLink&amp;page=FrontEndViewTender&amp;service=direct&amp;session=T&amp;sp=SSxX8XXnUe5CR0HM32gcuBA%3D%3D", "METERIAL SUPPLY IN GP RONPUR")</f>
        <v/>
      </c>
      <c r="C342" t="inlineStr">
        <is>
          <t>Panchayati Raj Department||Secretary and Commissioner||CEO-ALWAR||BDO-KATHUMBAR</t>
        </is>
      </c>
      <c r="D342" t="inlineStr">
        <is>
          <t>26-May-2025 06:00 PM</t>
        </is>
      </c>
      <c r="E342" t="inlineStr">
        <is>
          <t>30,00,000</t>
        </is>
      </c>
      <c r="F342" t="inlineStr">
        <is>
          <t>METERIAL SUPPLY IN GP RONPUR</t>
        </is>
      </c>
      <c r="G342" t="inlineStr">
        <is>
          <t>GP RONPUR</t>
        </is>
      </c>
    </row>
    <row r="343">
      <c r="A343" s="1" t="n">
        <v>341</v>
      </c>
      <c r="B343">
        <f>HYPERLINK("https://eproc.rajasthan.gov.in/nicgep/app?component=%24DirectLink&amp;page=FrontEndViewTender&amp;service=direct&amp;session=T&amp;sp=Sm5uJmvZV0Xu8xSfkbWJM1A%3D%3D", "METERIAL SUPPLY IN GP NYANA")</f>
        <v/>
      </c>
      <c r="C343" t="inlineStr">
        <is>
          <t>Panchayati Raj Department||Secretary and Commissioner||CEO-ALWAR||BDO-KATHUMBAR</t>
        </is>
      </c>
      <c r="D343" t="inlineStr">
        <is>
          <t>26-May-2025 06:00 PM</t>
        </is>
      </c>
      <c r="E343" t="inlineStr">
        <is>
          <t>30,00,000</t>
        </is>
      </c>
      <c r="F343" t="inlineStr">
        <is>
          <t>METERIAL SUPPLY IN GP NYANA</t>
        </is>
      </c>
      <c r="G343" t="inlineStr">
        <is>
          <t>GP NYANA</t>
        </is>
      </c>
    </row>
    <row r="344">
      <c r="A344" s="1" t="n">
        <v>342</v>
      </c>
      <c r="B344">
        <f>HYPERLINK("https://eproc.rajasthan.gov.in/nicgep/app?component=%24DirectLink&amp;page=FrontEndViewTender&amp;service=direct&amp;session=T&amp;sp=SzBYt3cE8UYzaoIEEOW38Iw%3D%3D", "METERIAL SUPPLY IN GP SAIDAMPUR")</f>
        <v/>
      </c>
      <c r="C344" t="inlineStr">
        <is>
          <t>Panchayati Raj Department||Secretary and Commissioner||CEO-ALWAR||BDO-KATHUMBAR</t>
        </is>
      </c>
      <c r="D344" t="inlineStr">
        <is>
          <t>26-May-2025 06:00 PM</t>
        </is>
      </c>
      <c r="E344" t="inlineStr">
        <is>
          <t>30,00,000</t>
        </is>
      </c>
      <c r="F344" t="inlineStr">
        <is>
          <t>METERIAL SUPPLY IN GP SAIDAMPUR</t>
        </is>
      </c>
      <c r="G344" t="inlineStr">
        <is>
          <t>GP SAIDAMPUR</t>
        </is>
      </c>
    </row>
    <row r="345">
      <c r="A345" s="1" t="n">
        <v>343</v>
      </c>
      <c r="B345">
        <f>HYPERLINK("https://eproc.rajasthan.gov.in/nicgep/app?component=%24DirectLink&amp;page=FrontEndViewTender&amp;service=direct&amp;session=T&amp;sp=SUn1mzZc7SPx60PJLxyG7ng%3D%3D", "METERIAL SUPPLY IN GP NASWARI")</f>
        <v/>
      </c>
      <c r="C345" t="inlineStr">
        <is>
          <t>Panchayati Raj Department||Secretary and Commissioner||CEO-ALWAR||BDO-KATHUMBAR</t>
        </is>
      </c>
      <c r="D345" t="inlineStr">
        <is>
          <t>26-May-2025 06:00 PM</t>
        </is>
      </c>
      <c r="E345" t="inlineStr">
        <is>
          <t>30,00,000</t>
        </is>
      </c>
      <c r="F345" t="inlineStr">
        <is>
          <t>METERIAL SUPPLY IN GP NASWARI</t>
        </is>
      </c>
      <c r="G345" t="inlineStr">
        <is>
          <t>GP NASWARI</t>
        </is>
      </c>
    </row>
    <row r="346">
      <c r="A346" s="1" t="n">
        <v>344</v>
      </c>
      <c r="B346">
        <f>HYPERLINK("https://eproc.rajasthan.gov.in/nicgep/app?component=%24DirectLink&amp;page=FrontEndViewTender&amp;service=direct&amp;session=T&amp;sp=SLInTZ8KInXn%2FlEu16ogSTw%3D%3D", "METERIAL SUPPLY IN GP MOLIYA")</f>
        <v/>
      </c>
      <c r="C346" t="inlineStr">
        <is>
          <t>Panchayati Raj Department||Secretary and Commissioner||CEO-ALWAR||BDO-KATHUMBAR</t>
        </is>
      </c>
      <c r="D346" t="inlineStr">
        <is>
          <t>26-May-2025 06:00 PM</t>
        </is>
      </c>
      <c r="E346" t="inlineStr">
        <is>
          <t>30,00,000</t>
        </is>
      </c>
      <c r="F346" t="inlineStr">
        <is>
          <t>METERIAL SUPPLY IN GP MOLIYA</t>
        </is>
      </c>
      <c r="G346" t="inlineStr">
        <is>
          <t>GP MOLIYA</t>
        </is>
      </c>
    </row>
    <row r="347">
      <c r="A347" s="1" t="n">
        <v>345</v>
      </c>
      <c r="B347">
        <f>HYPERLINK("https://eproc.rajasthan.gov.in/nicgep/app?component=%24DirectLink&amp;page=FrontEndViewTender&amp;service=direct&amp;session=T&amp;sp=SlmdFvjq03cNfJL3ukAzxMA%3D%3D", "Collection of wastage in Residential and Commercial Building from all Villages in Gram Panchayat Road, Nali Cleaning and CSC Campus GP SANWALTA")</f>
        <v/>
      </c>
      <c r="C347" t="inlineStr">
        <is>
          <t>Panchayati Raj Department||Secretary and Commissioner||CEO-PALI||BDO-RANISTATION</t>
        </is>
      </c>
      <c r="D347" t="inlineStr">
        <is>
          <t>29-May-2025 06:00 PM</t>
        </is>
      </c>
      <c r="E347" t="inlineStr">
        <is>
          <t>4,22,000</t>
        </is>
      </c>
      <c r="F347" t="inlineStr">
        <is>
          <t>Collection of wastage in Residential and Commercial Building from all Villages in Gram Panchayat Road, Nali Cleaning and CSC Campus GP SANWALTA</t>
        </is>
      </c>
      <c r="G347" t="inlineStr">
        <is>
          <t>GRAM PANCHAYAT SANWALTA</t>
        </is>
      </c>
    </row>
    <row r="348">
      <c r="A348" s="1" t="n">
        <v>346</v>
      </c>
      <c r="B348">
        <f>HYPERLINK("https://eproc.rajasthan.gov.in/nicgep/app?component=%24DirectLink&amp;page=FrontEndViewTender&amp;service=direct&amp;session=T&amp;sp=SBInth9RXf120fgSCYtUmzA%3D%3D", "METERIAL SUPPLY IN GP MALPUR")</f>
        <v/>
      </c>
      <c r="C348" t="inlineStr">
        <is>
          <t>Panchayati Raj Department||Secretary and Commissioner||CEO-ALWAR||BDO-KATHUMBAR</t>
        </is>
      </c>
      <c r="D348" t="inlineStr">
        <is>
          <t>26-May-2025 06:00 PM</t>
        </is>
      </c>
      <c r="E348" t="inlineStr">
        <is>
          <t>30,00,000</t>
        </is>
      </c>
      <c r="F348" t="inlineStr">
        <is>
          <t>METERIAL SUPPLY IN GP MALPUR</t>
        </is>
      </c>
      <c r="G348" t="inlineStr">
        <is>
          <t>GP MALPUR</t>
        </is>
      </c>
    </row>
    <row r="349">
      <c r="A349" s="1" t="n">
        <v>347</v>
      </c>
      <c r="B349">
        <f>HYPERLINK("https://eproc.rajasthan.gov.in/nicgep/app?component=%24DirectLink&amp;page=FrontEndViewTender&amp;service=direct&amp;session=T&amp;sp=SDWIR83vhIwvqzhTBPeQnuA%3D%3D", "METERIAL SUPPLY IN GP KHEDA MAHMOOD")</f>
        <v/>
      </c>
      <c r="C349" t="inlineStr">
        <is>
          <t>Panchayati Raj Department||Secretary and Commissioner||CEO-ALWAR||BDO-KATHUMBAR</t>
        </is>
      </c>
      <c r="D349" t="inlineStr">
        <is>
          <t>26-May-2025 06:00 PM</t>
        </is>
      </c>
      <c r="E349" t="inlineStr">
        <is>
          <t>30,00,000</t>
        </is>
      </c>
      <c r="F349" t="inlineStr">
        <is>
          <t>METERIAL SUPPLY IN GP KHEDA MAHMOOD</t>
        </is>
      </c>
      <c r="G349" t="inlineStr">
        <is>
          <t>GP KHEDA MAHMOOD</t>
        </is>
      </c>
    </row>
    <row r="350">
      <c r="A350" s="1" t="n">
        <v>348</v>
      </c>
      <c r="B350">
        <f>HYPERLINK("https://eproc.rajasthan.gov.in/nicgep/app?component=%24DirectLink&amp;page=FrontEndViewTender&amp;service=direct&amp;session=T&amp;sp=Sx7fltFbN2ScymsX404mWrA%3D%3D", "Work including garbage collection and separation from every house (Residential and Commercial), road and drain cleaning and community sanitation complex cleaning in all the villages of Gram Panchayat Bhanuda P S Ratangarh for 6 Month")</f>
        <v/>
      </c>
      <c r="C350" t="inlineStr">
        <is>
          <t>Panchayati Raj Department||Secretary and Commissioner||CEO-CHURU||BDO-RATANGARH</t>
        </is>
      </c>
      <c r="D350" t="inlineStr">
        <is>
          <t>26-May-2025 04:00 PM</t>
        </is>
      </c>
      <c r="E350" t="inlineStr">
        <is>
          <t>10,00,000</t>
        </is>
      </c>
      <c r="F350" t="inlineStr">
        <is>
          <t>Work including garbage collection and separation from every house (Residential and Commercial), road and drain cleaning and community sanitation complex cleaning in all the villages of Gram Panchayat Bhanuda P S Ratangarh for 6 Month</t>
        </is>
      </c>
      <c r="G350" t="inlineStr">
        <is>
          <t>GP BHANUDA</t>
        </is>
      </c>
    </row>
    <row r="351">
      <c r="A351" s="1" t="n">
        <v>349</v>
      </c>
      <c r="B351">
        <f>HYPERLINK("https://eproc.rajasthan.gov.in/nicgep/app?component=%24DirectLink&amp;page=FrontEndViewTender&amp;service=direct&amp;session=T&amp;sp=SlU2iK%2FFV9s82cTEWWlA%2BVg%3D%3D", "Collection of wastage in Residential and Commercial Building from all Villages in Gram Panchayat Road, Nali Cleaning and CSC Campus GP BHADARLAU")</f>
        <v/>
      </c>
      <c r="C351" t="inlineStr">
        <is>
          <t>Panchayati Raj Department||Secretary and Commissioner||CEO-PALI||BDO-RANISTATION</t>
        </is>
      </c>
      <c r="D351" t="inlineStr">
        <is>
          <t>29-May-2025 06:00 PM</t>
        </is>
      </c>
      <c r="E351" t="inlineStr">
        <is>
          <t>7,00,000</t>
        </is>
      </c>
      <c r="F351" t="inlineStr">
        <is>
          <t>Collection of wastage in Residential and Commercial Building from all Villages in Gram Panchayat Road, Nali Cleaning and CSC Campus GP BHADARLAU</t>
        </is>
      </c>
      <c r="G351" t="inlineStr">
        <is>
          <t>GRAM PANCHAYAT BHADARLAU</t>
        </is>
      </c>
    </row>
    <row r="352">
      <c r="A352" s="1" t="n">
        <v>350</v>
      </c>
      <c r="B352">
        <f>HYPERLINK("https://eproc.rajasthan.gov.in/nicgep/app?component=%24DirectLink&amp;page=FrontEndViewTender&amp;service=direct&amp;session=T&amp;sp=Spo1K%2FDn4OlGrGm%2F6KJyr6A%3D%3D", "Work including garbage collection and separation from every house (Residential and Commercial), road and drain cleaning and community sanitation complex cleaning in all the villages of Gram Panchayat Ladhsar P S Ratangarh for 6 Month")</f>
        <v/>
      </c>
      <c r="C352" t="inlineStr">
        <is>
          <t>Panchayati Raj Department||Secretary and Commissioner||CEO-CHURU||BDO-RATANGARH</t>
        </is>
      </c>
      <c r="D352" t="inlineStr">
        <is>
          <t>26-May-2025 04:00 PM</t>
        </is>
      </c>
      <c r="E352" t="inlineStr">
        <is>
          <t>9,97,000</t>
        </is>
      </c>
      <c r="F352" t="inlineStr">
        <is>
          <t>Work including garbage collection and separation from every house (Residential and Commercial), road and drain cleaning and community sanitation complex cleaning in all the villages of Gram Panchayat Ladhsar P S Ratangarh for 6 Month</t>
        </is>
      </c>
      <c r="G352" t="inlineStr">
        <is>
          <t>GP LADHASAR</t>
        </is>
      </c>
    </row>
    <row r="353">
      <c r="A353" s="1" t="n">
        <v>351</v>
      </c>
      <c r="B353">
        <f>HYPERLINK("https://eproc.rajasthan.gov.in/nicgep/app?component=%24DirectLink&amp;page=FrontEndViewTender&amp;service=direct&amp;session=T&amp;sp=SBOd%2FhFf1mxuQ5ybpf0Y7bA%3D%3D", "METERIAL SUPPLY IN GP KHARSANKI")</f>
        <v/>
      </c>
      <c r="C353" t="inlineStr">
        <is>
          <t>Panchayati Raj Department||Secretary and Commissioner||CEO-ALWAR||BDO-KATHUMBAR</t>
        </is>
      </c>
      <c r="D353" t="inlineStr">
        <is>
          <t>26-May-2025 06:00 PM</t>
        </is>
      </c>
      <c r="E353" t="inlineStr">
        <is>
          <t>30,00,000</t>
        </is>
      </c>
      <c r="F353" t="inlineStr">
        <is>
          <t>METERIAL SUPPLY IN GP KHARSANKI</t>
        </is>
      </c>
      <c r="G353" t="inlineStr">
        <is>
          <t>GP KHARSANKI</t>
        </is>
      </c>
    </row>
    <row r="354">
      <c r="A354" s="1" t="n">
        <v>352</v>
      </c>
      <c r="B354">
        <f>HYPERLINK("https://eproc.rajasthan.gov.in/nicgep/app?component=%24DirectLink&amp;page=FrontEndViewTender&amp;service=direct&amp;session=T&amp;sp=SKWmgP2Gf2cOoarB2M84AWA%3D%3D", "Misc. Materials Supply For F.Y 2025-26 in G.P. Sefragunwar")</f>
        <v/>
      </c>
      <c r="C354" t="inlineStr">
        <is>
          <t>Panchayati Raj Department||Secretary and Commissioner||CEO-JHUNJHUNU||BDO-KHETARI</t>
        </is>
      </c>
      <c r="D354" t="inlineStr">
        <is>
          <t>26-May-2025 06:00 PM</t>
        </is>
      </c>
      <c r="E354" t="inlineStr">
        <is>
          <t>1,00,00,000</t>
        </is>
      </c>
      <c r="F354" t="inlineStr">
        <is>
          <t>Misc. Materials Supply For F.Y 2025-26 in G.P. Sefragunwar</t>
        </is>
      </c>
      <c r="G354" t="inlineStr">
        <is>
          <t>G.P.Sefragunwar</t>
        </is>
      </c>
    </row>
    <row r="355">
      <c r="A355" s="1" t="n">
        <v>353</v>
      </c>
      <c r="B355">
        <f>HYPERLINK("https://eproc.rajasthan.gov.in/nicgep/app?component=%24DirectLink&amp;page=FrontEndViewTender&amp;service=direct&amp;session=T&amp;sp=ShiWpLk7LC5ne%2FAb9M%2BDJFw%3D%3D", "Collection of wastage in Residential and Commercial Building from all Villages in Gram Panchayat Road, Nali Cleaning and CSC Campus GP RANIKALLAN")</f>
        <v/>
      </c>
      <c r="C355" t="inlineStr">
        <is>
          <t>Panchayati Raj Department||Secretary and Commissioner||CEO-PALI||BDO-RANISTATION</t>
        </is>
      </c>
      <c r="D355" t="inlineStr">
        <is>
          <t>29-May-2025 06:00 PM</t>
        </is>
      </c>
      <c r="E355" t="inlineStr">
        <is>
          <t>6,08,000</t>
        </is>
      </c>
      <c r="F355" t="inlineStr">
        <is>
          <t>Collection of wastage in Residential and Commercial Building from all Villages in Gram Panchayat Road, Nali Cleaning and CSC Campus GP RANIKALLAN</t>
        </is>
      </c>
      <c r="G355" t="inlineStr">
        <is>
          <t>GRAM PANCHAYAT RANIKALLAN</t>
        </is>
      </c>
    </row>
    <row r="356">
      <c r="A356" s="1" t="n">
        <v>354</v>
      </c>
      <c r="B356">
        <f>HYPERLINK("https://eproc.rajasthan.gov.in/nicgep/app?component=%24DirectLink&amp;page=FrontEndViewTender&amp;service=direct&amp;session=T&amp;sp=Sz9P9YSinb2kVaHJfCNUMdA%3D%3D", "Gram panchyat me samast gavno me ghar ghar kachra sangrahan gav ki naliyo or Samudayik Parisar ki safai karya GP Gopalsar")</f>
        <v/>
      </c>
      <c r="C356" t="inlineStr">
        <is>
          <t>Panchayati Raj Department||Secretary and Commissioner||CEO- GANGANAGAR||BDO-SURATGARH</t>
        </is>
      </c>
      <c r="D356" t="inlineStr">
        <is>
          <t>24-May-2025 02:00 PM</t>
        </is>
      </c>
      <c r="E356" t="inlineStr">
        <is>
          <t>9,19,264</t>
        </is>
      </c>
      <c r="F356" t="inlineStr">
        <is>
          <t>Gram panchyat me samast gavno me ghar ghar kachra sangrahan gav ki naliyo or Samudayik Parisar ki safai karya GP Gopalsar</t>
        </is>
      </c>
      <c r="G356" t="inlineStr">
        <is>
          <t>Gram Panchyat Gopalsar</t>
        </is>
      </c>
    </row>
    <row r="357">
      <c r="A357" s="1" t="n">
        <v>355</v>
      </c>
      <c r="B357">
        <f>HYPERLINK("https://eproc.rajasthan.gov.in/nicgep/app?component=%24DirectLink&amp;page=FrontEndViewTender&amp;service=direct&amp;session=T&amp;sp=STzH5C5chXJrHIQ05%2Bz0sZg%3D%3D", "Rate contract for supply of material on all construction works conducted under Mahatma Gandhi NREGA scheme and various schemes of Rural Development and Panchayati Raj Department, Gram Panchayat Papad")</f>
        <v/>
      </c>
      <c r="C357" t="inlineStr">
        <is>
          <t>Panchayati Raj Department||Secretary and Commissioner||CEO- JAIPUR||BDO-JAMUVARAMGAH</t>
        </is>
      </c>
      <c r="D357" t="inlineStr">
        <is>
          <t>28-May-2025 05:00 PM</t>
        </is>
      </c>
      <c r="E357" t="inlineStr">
        <is>
          <t>50,00,000</t>
        </is>
      </c>
      <c r="F357" t="inlineStr">
        <is>
          <t>Rate contract for supply of material on all construction works conducted under Mahatma Gandhi NREGA scheme and various schemes of Rural Development and Panchayati Raj Department, Gram Panchayat Papad</t>
        </is>
      </c>
      <c r="G357" t="inlineStr">
        <is>
          <t>Gram Panchayat Papad</t>
        </is>
      </c>
    </row>
    <row r="358">
      <c r="A358" s="1" t="n">
        <v>356</v>
      </c>
      <c r="B358">
        <f>HYPERLINK("https://eproc.rajasthan.gov.in/nicgep/app?component=%24DirectLink&amp;page=FrontEndViewTender&amp;service=direct&amp;session=T&amp;sp=ScI1yNymTo%2BK%2F%2BSbsZd54sA%3D%3D", "Supply of Construction Material RDPR Scheme MNREGA, SFC , FFC and other scheme for Financial Year 2025-26 in Gram Panchyat Chitara PS Khandar")</f>
        <v/>
      </c>
      <c r="C358" t="inlineStr">
        <is>
          <t>Panchayati Raj Department||Secretary and Commissioner||CEO-S.MADHOPUR||BDO-KHANDAR</t>
        </is>
      </c>
      <c r="D358" t="inlineStr">
        <is>
          <t>27-May-2025 06:00 PM</t>
        </is>
      </c>
      <c r="E358" t="inlineStr">
        <is>
          <t>40,00,000</t>
        </is>
      </c>
      <c r="F358" t="inlineStr">
        <is>
          <t>Supply of Construction Material RDPR Scheme MNREGA, SFC , FFC and other scheme for Financial Year 2025-26 in Gram Panchyat Chitara PS Khandar</t>
        </is>
      </c>
      <c r="G358" t="inlineStr">
        <is>
          <t>GRAM PANCHYAT CHITARA</t>
        </is>
      </c>
    </row>
    <row r="359">
      <c r="A359" s="1" t="n">
        <v>357</v>
      </c>
      <c r="B359">
        <f>HYPERLINK("https://eproc.rajasthan.gov.in/nicgep/app?component=%24DirectLink&amp;page=FrontEndViewTender&amp;service=direct&amp;session=T&amp;sp=SJ3BE3bULThYgRYgL369Rqg%3D%3D", "Rate contract for supply of material on all construction works conducted under Mahatma Gandhi NREGA scheme and various schemes of Rural Development and Panchayati Raj Department, Gram Panchayat Nayla")</f>
        <v/>
      </c>
      <c r="C359" t="inlineStr">
        <is>
          <t>Panchayati Raj Department||Secretary and Commissioner||CEO- JAIPUR||BDO-JAMUVARAMGAH</t>
        </is>
      </c>
      <c r="D359" t="inlineStr">
        <is>
          <t>28-May-2025 05:00 PM</t>
        </is>
      </c>
      <c r="E359" t="inlineStr">
        <is>
          <t>60,00,000</t>
        </is>
      </c>
      <c r="F359" t="inlineStr">
        <is>
          <t>Rate contract for supply of material on all construction works conducted under Mahatma Gandhi NREGA scheme and various schemes of Rural Development and Panchayati Raj Department, Gram Panchayat Nayla</t>
        </is>
      </c>
      <c r="G359" t="inlineStr">
        <is>
          <t>GP NAYLA</t>
        </is>
      </c>
    </row>
    <row r="360">
      <c r="A360" s="1" t="n">
        <v>358</v>
      </c>
      <c r="B360">
        <f>HYPERLINK("https://eproc.rajasthan.gov.in/nicgep/app?component=%24DirectLink&amp;page=FrontEndViewTender&amp;service=direct&amp;session=T&amp;sp=SzLuhoMIbfXVdxF0NVQC%2Fmw%3D%3D", "Gram panchyat me samast gavno me ghar ghar kachra sangrahan gav ki naliyo or Samudayik Parisar ki safai karya GP Ghamandia")</f>
        <v/>
      </c>
      <c r="C360" t="inlineStr">
        <is>
          <t>Panchayati Raj Department||Secretary and Commissioner||CEO- GANGANAGAR||BDO-SURATGARH</t>
        </is>
      </c>
      <c r="D360" t="inlineStr">
        <is>
          <t>24-May-2025 02:00 PM</t>
        </is>
      </c>
      <c r="E360" t="inlineStr">
        <is>
          <t>9,54,233</t>
        </is>
      </c>
      <c r="F360" t="inlineStr">
        <is>
          <t>Gram panchyat me samast gavno me ghar ghar kachra sangrahan gav ki naliyo or Samudayik Parisar ki safai karya GP Ghamandia</t>
        </is>
      </c>
      <c r="G360" t="inlineStr">
        <is>
          <t>Gram Panchyat Ghamandia</t>
        </is>
      </c>
    </row>
    <row r="361">
      <c r="A361" s="1" t="n">
        <v>359</v>
      </c>
      <c r="B361">
        <f>HYPERLINK("https://eproc.rajasthan.gov.in/nicgep/app?component=%24DirectLink&amp;page=FrontEndViewTender&amp;service=direct&amp;session=T&amp;sp=SRAGwbkcXeYaWHFHpifmJHg%3D%3D", "Rate contract for supply of material on all construction works conducted under Mahatma Gandhi NREGA scheme and various schemes of Rural Development and Panchayati Raj Department, Gram Panchayat Kharkada")</f>
        <v/>
      </c>
      <c r="C361" t="inlineStr">
        <is>
          <t>Panchayati Raj Department||Secretary and Commissioner||CEO- JAIPUR||BDO-JAMUVARAMGAH</t>
        </is>
      </c>
      <c r="D361" t="inlineStr">
        <is>
          <t>28-May-2025 05:00 PM</t>
        </is>
      </c>
      <c r="E361" t="inlineStr">
        <is>
          <t>50,00,000</t>
        </is>
      </c>
      <c r="F361" t="inlineStr">
        <is>
          <t>Rate contract for supply of material on all construction works conducted under Mahatma Gandhi NREGA scheme and various schemes of Rural Development and Panchayati Raj Department, Gram Panchayat Kharkada</t>
        </is>
      </c>
      <c r="G361" t="inlineStr">
        <is>
          <t>GP Kharkada</t>
        </is>
      </c>
    </row>
    <row r="362">
      <c r="A362" s="1" t="n">
        <v>360</v>
      </c>
      <c r="B362">
        <f>HYPERLINK("https://eproc.rajasthan.gov.in/nicgep/app?component=%24DirectLink&amp;page=FrontEndViewTender&amp;service=direct&amp;session=T&amp;sp=S51nv4Kow5VpSVmvH8%2FOP%2FQ%3D%3D", "Rate contract for supply of material on all construction works conducted under Mahatma Gandhi NREGA scheme and various schemes of Rural Development and Panchayati Raj Department, Gram Panchayat Natata")</f>
        <v/>
      </c>
      <c r="C362" t="inlineStr">
        <is>
          <t>Panchayati Raj Department||Secretary and Commissioner||CEO- JAIPUR||BDO-JAMUVARAMGAH</t>
        </is>
      </c>
      <c r="D362" t="inlineStr">
        <is>
          <t>28-May-2025 05:00 PM</t>
        </is>
      </c>
      <c r="E362" t="inlineStr">
        <is>
          <t>50,00,000</t>
        </is>
      </c>
      <c r="F362" t="inlineStr">
        <is>
          <t>Rate contract for supply of material on all construction works conducted under Mahatma Gandhi NREGA scheme and various schemes of Rural Development and Panchayati Raj Department, Gram Panchayat Natata</t>
        </is>
      </c>
      <c r="G362" t="inlineStr">
        <is>
          <t>GP NATATA</t>
        </is>
      </c>
    </row>
    <row r="363">
      <c r="A363" s="1" t="n">
        <v>361</v>
      </c>
      <c r="B363">
        <f>HYPERLINK("https://eproc.rajasthan.gov.in/nicgep/app?component=%24DirectLink&amp;page=FrontEndViewTender&amp;service=direct&amp;session=T&amp;sp=SzvRPIo8Zd%2FNoQ83Vty6Hxg%3D%3D", "Gram panchyat me samast gavno me ghar ghar kachra sangrahan gav ki naliyo or Samudayik Parisar ki safai karya GP Dhaba")</f>
        <v/>
      </c>
      <c r="C363" t="inlineStr">
        <is>
          <t>Panchayati Raj Department||Secretary and Commissioner||CEO- GANGANAGAR||BDO-SURATGARH</t>
        </is>
      </c>
      <c r="D363" t="inlineStr">
        <is>
          <t>24-May-2025 02:00 PM</t>
        </is>
      </c>
      <c r="E363" t="inlineStr">
        <is>
          <t>9,12,795</t>
        </is>
      </c>
      <c r="F363" t="inlineStr">
        <is>
          <t>Gram panchyat me samast gavno me ghar ghar kachra sangrahan gav ki naliyo or Samudayik Parisar ki safai karya GP Dhaba</t>
        </is>
      </c>
      <c r="G363" t="inlineStr">
        <is>
          <t>Gram Panchyat Dhaba</t>
        </is>
      </c>
    </row>
    <row r="364">
      <c r="A364" s="1" t="n">
        <v>362</v>
      </c>
      <c r="B364">
        <f>HYPERLINK("https://eproc.rajasthan.gov.in/nicgep/app?component=%24DirectLink&amp;page=FrontEndViewTender&amp;service=direct&amp;session=T&amp;sp=SvBtDYRO4eRp4Yxwjxn8%2BMQ%3D%3D", "Rate contract for supply of material on all construction works conducted under Mahatma Gandhi NREGA scheme and various schemes of Rural Development and Panchayati Raj Department, Gram Panchayat Nangal Tulsidas")</f>
        <v/>
      </c>
      <c r="C364" t="inlineStr">
        <is>
          <t>Panchayati Raj Department||Secretary and Commissioner||CEO- JAIPUR||BDO-JAMUVARAMGAH</t>
        </is>
      </c>
      <c r="D364" t="inlineStr">
        <is>
          <t>28-May-2025 05:00 PM</t>
        </is>
      </c>
      <c r="E364" t="inlineStr">
        <is>
          <t>50,00,000</t>
        </is>
      </c>
      <c r="F364" t="inlineStr">
        <is>
          <t>Rate contract for supply of material on all construction works conducted under Mahatma Gandhi NREGA scheme and various schemes of Rural Development and Panchayati Raj Department, Gram Panchayat Nangal Tulsidas</t>
        </is>
      </c>
      <c r="G364" t="inlineStr">
        <is>
          <t>G P Nangal Tulsidas</t>
        </is>
      </c>
    </row>
    <row r="365">
      <c r="A365" s="1" t="n">
        <v>363</v>
      </c>
      <c r="B365">
        <f>HYPERLINK("https://eproc.rajasthan.gov.in/nicgep/app?component=%24DirectLink&amp;page=FrontEndViewTender&amp;service=direct&amp;session=T&amp;sp=SUmN0Bt%2FOaaT8n2rins28hQ%3D%3D", "Rate contract for supply of material on all construction works conducted under Mahatma Gandhi NREGA scheme and various schemes of Rural Development and Panchayati Raj Department, Gram Panchayat Manota")</f>
        <v/>
      </c>
      <c r="C365" t="inlineStr">
        <is>
          <t>Panchayati Raj Department||Secretary and Commissioner||CEO- JAIPUR||BDO-JAMUVARAMGAH</t>
        </is>
      </c>
      <c r="D365" t="inlineStr">
        <is>
          <t>28-May-2025 05:00 PM</t>
        </is>
      </c>
      <c r="E365" t="inlineStr">
        <is>
          <t>60,00,000</t>
        </is>
      </c>
      <c r="F365" t="inlineStr">
        <is>
          <t>Rate contract for supply of material on all construction works conducted under Mahatma Gandhi NREGA scheme and various schemes of Rural Development and Panchayati Raj Department, Gram Panchayat Manota</t>
        </is>
      </c>
      <c r="G365" t="inlineStr">
        <is>
          <t>Gram Panchayat Manota</t>
        </is>
      </c>
    </row>
    <row r="366">
      <c r="A366" s="1" t="n">
        <v>364</v>
      </c>
      <c r="B366">
        <f>HYPERLINK("https://eproc.rajasthan.gov.in/nicgep/app?component=%24DirectLink&amp;page=FrontEndViewTender&amp;service=direct&amp;session=T&amp;sp=SWkzK7xJFckViHO0AXqWTvw%3D%3D", "Narega/Dhoondhary/13/2025-26")</f>
        <v/>
      </c>
      <c r="C366" t="inlineStr">
        <is>
          <t>Panchayati Raj Department||Secretary and Commissioner||CEO-AJMER||BDO-SAWAR</t>
        </is>
      </c>
      <c r="D366" t="inlineStr">
        <is>
          <t>29-May-2025 06:00 PM</t>
        </is>
      </c>
      <c r="E366" t="inlineStr">
        <is>
          <t>NA</t>
        </is>
      </c>
      <c r="F366" t="inlineStr">
        <is>
          <t>Narega/Dhoondhary/13/2025-26</t>
        </is>
      </c>
      <c r="G366" t="inlineStr">
        <is>
          <t>Dhoondhary</t>
        </is>
      </c>
    </row>
    <row r="367">
      <c r="A367" s="1" t="n">
        <v>365</v>
      </c>
      <c r="B367">
        <f>HYPERLINK("https://eproc.rajasthan.gov.in/nicgep/app?component=%24DirectLink&amp;page=FrontEndViewTender&amp;service=direct&amp;session=T&amp;sp=SC1QbKO%2F0mkyqqioaCu1F%2Fw%3D%3D", "material supply gram panchayat Bhatoli year 2025-26")</f>
        <v/>
      </c>
      <c r="C367" t="inlineStr">
        <is>
          <t>Panchayati Raj Department||Secretary and Commissioner||CEO-RAJSAMAND||BDO-RAJSAMAND</t>
        </is>
      </c>
      <c r="D367" t="inlineStr">
        <is>
          <t>26-May-2025 10:00 AM</t>
        </is>
      </c>
      <c r="E367" t="inlineStr">
        <is>
          <t>90,00,000</t>
        </is>
      </c>
      <c r="F367" t="inlineStr">
        <is>
          <t>material supply gram panchayat Bhatoli year 2025-26</t>
        </is>
      </c>
      <c r="G367" t="inlineStr">
        <is>
          <t>gram panchayat Bhatoli</t>
        </is>
      </c>
    </row>
    <row r="368">
      <c r="A368" s="1" t="n">
        <v>366</v>
      </c>
      <c r="B368">
        <f>HYPERLINK("https://eproc.rajasthan.gov.in/nicgep/app?component=%24DirectLink&amp;page=FrontEndViewTender&amp;service=direct&amp;session=T&amp;sp=SG2sfIvyc8liD52ucCDxShw%3D%3D", "Gram panchyat me samast gavno me ghar ghar kachra sangrahan gav ki naliyo or Samudayik Parisar ki safai karya GP Birmana")</f>
        <v/>
      </c>
      <c r="C368" t="inlineStr">
        <is>
          <t>Panchayati Raj Department||Secretary and Commissioner||CEO- GANGANAGAR||BDO-SURATGARH</t>
        </is>
      </c>
      <c r="D368" t="inlineStr">
        <is>
          <t>24-May-2025 02:00 PM</t>
        </is>
      </c>
      <c r="E368" t="inlineStr">
        <is>
          <t>18,76,048</t>
        </is>
      </c>
      <c r="F368" t="inlineStr">
        <is>
          <t>Gram panchyat me samast gavno me ghar ghar kachra sangrahan gav ki naliyo or Samudayik Parisar ki safai karya GP Birmana</t>
        </is>
      </c>
      <c r="G368" t="inlineStr">
        <is>
          <t>Gram Panchyat Birmana</t>
        </is>
      </c>
    </row>
    <row r="369">
      <c r="A369" s="1" t="n">
        <v>367</v>
      </c>
      <c r="B369">
        <f>HYPERLINK("https://eproc.rajasthan.gov.in/nicgep/app?component=%24DirectLink&amp;page=FrontEndViewTender&amp;service=direct&amp;session=T&amp;sp=S7qaSHBJIYyXz1fmC7etPnQ%3D%3D", "Gram panchyat me samast gavno me ghar ghar kachra sangrahan gav ki naliyo or Samudayik Parisar ki safai karya GP Daidaspura")</f>
        <v/>
      </c>
      <c r="C369" t="inlineStr">
        <is>
          <t>Panchayati Raj Department||Secretary and Commissioner||CEO- GANGANAGAR||BDO-SURATGARH</t>
        </is>
      </c>
      <c r="D369" t="inlineStr">
        <is>
          <t>24-May-2025 02:00 PM</t>
        </is>
      </c>
      <c r="E369" t="inlineStr">
        <is>
          <t>9,57,854</t>
        </is>
      </c>
      <c r="F369" t="inlineStr">
        <is>
          <t>Gram panchyat me samast gavno me ghar ghar kachra sangrahan gav ki naliyo or Samudayik Parisar ki safai karya GP Daidaspura</t>
        </is>
      </c>
      <c r="G369" t="inlineStr">
        <is>
          <t>Gram Panchyat Daidaspura</t>
        </is>
      </c>
    </row>
    <row r="370">
      <c r="A370" s="1" t="n">
        <v>368</v>
      </c>
      <c r="B370">
        <f>HYPERLINK("https://eproc.rajasthan.gov.in/nicgep/app?component=%24DirectLink&amp;page=FrontEndViewTender&amp;service=direct&amp;session=T&amp;sp=SJOurXKNyAnAj8yFuxNSm%2BQ%3D%3D", "Rate contract for supply of material on all construction works conducted under Mahatma Gandhi NREGA scheme and various schemes of Rural Development and Panchayati Raj Department, Gram Panchayat Landiyawas")</f>
        <v/>
      </c>
      <c r="C370" t="inlineStr">
        <is>
          <t>Panchayati Raj Department||Secretary and Commissioner||CEO- JAIPUR||BDO-JAMUVARAMGAH</t>
        </is>
      </c>
      <c r="D370" t="inlineStr">
        <is>
          <t>28-May-2025 05:00 PM</t>
        </is>
      </c>
      <c r="E370" t="inlineStr">
        <is>
          <t>50,00,000</t>
        </is>
      </c>
      <c r="F370" t="inlineStr">
        <is>
          <t>Rate contract for supply of material on all construction works conducted under Mahatma Gandhi NREGA scheme and various schemes of Rural Development and Panchayati Raj Department, Gram Panchayat Landiyawas</t>
        </is>
      </c>
      <c r="G370" t="inlineStr">
        <is>
          <t>Panchayat Landiyawas</t>
        </is>
      </c>
    </row>
    <row r="371">
      <c r="A371" s="1" t="n">
        <v>369</v>
      </c>
      <c r="B371">
        <f>HYPERLINK("https://eproc.rajasthan.gov.in/nicgep/app?component=%24DirectLink&amp;page=FrontEndViewTender&amp;service=direct&amp;session=T&amp;sp=Se3ACquXziLmbZhaOoPb47A%3D%3D", "RATE CONTRACT FOR SUPPLY OF CONSTRUCTION MATERIAL FOR THE FINANCIAL YEAR 2025-26 IN GRAM PANCHAYAT SANVREEJ PANCHAYAT SAMITI PHALODI DIST. PHALODI")</f>
        <v/>
      </c>
      <c r="C371" t="inlineStr">
        <is>
          <t>Panchayati Raj Department||Secretary and Commissioner||CEO-JODHPUR||BDO-PHALODI</t>
        </is>
      </c>
      <c r="D371" t="inlineStr">
        <is>
          <t>02-Jun-2025 06:00 PM</t>
        </is>
      </c>
      <c r="E371" t="inlineStr">
        <is>
          <t>49,00,000</t>
        </is>
      </c>
      <c r="F371" t="inlineStr">
        <is>
          <t>RATE CONTRACT FOR SUPPLY OF CONSTRUCTION MATERIAL FOR THE FINANCIAL YEAR 2025-26 IN GRAM PANCHAYAT SANVREEJ PANCHAYAT SAMITI PHALODI DIST. PHALODI</t>
        </is>
      </c>
      <c r="G371" t="inlineStr">
        <is>
          <t>PS Phalodi</t>
        </is>
      </c>
    </row>
    <row r="372">
      <c r="A372" s="1" t="n">
        <v>370</v>
      </c>
      <c r="B372">
        <f>HYPERLINK("https://eproc.rajasthan.gov.in/nicgep/app?component=%24DirectLink&amp;page=FrontEndViewTender&amp;service=direct&amp;session=T&amp;sp=SSrs1k44bMgejfTX1P0NQxA%3D%3D", "Rate contract for supply of material on all construction works conducted under Mahatma Gandhi NREGA scheme and various schemes of Rural Development and Panchayati Raj Department, Gram Panchayat Gathwari")</f>
        <v/>
      </c>
      <c r="C372" t="inlineStr">
        <is>
          <t>Panchayati Raj Department||Secretary and Commissioner||CEO- JAIPUR||BDO-JAMUVARAMGAH</t>
        </is>
      </c>
      <c r="D372" t="inlineStr">
        <is>
          <t>28-May-2025 05:00 PM</t>
        </is>
      </c>
      <c r="E372" t="inlineStr">
        <is>
          <t>40,00,000</t>
        </is>
      </c>
      <c r="F372" t="inlineStr">
        <is>
          <t>Rate contract for supply of material on all construction works conducted under Mahatma Gandhi NREGA scheme and various schemes of Rural Development and Panchayati Raj Department, Gram Panchayat Gathwari</t>
        </is>
      </c>
      <c r="G372" t="inlineStr">
        <is>
          <t>gp Gathwari</t>
        </is>
      </c>
    </row>
    <row r="373">
      <c r="A373" s="1" t="n">
        <v>371</v>
      </c>
      <c r="B373">
        <f>HYPERLINK("https://eproc.rajasthan.gov.in/nicgep/app?component=%24DirectLink&amp;page=FrontEndViewTender&amp;service=direct&amp;session=T&amp;sp=SEIGVPRp90F6wGgVezOI2AA%3D%3D", "Gram panchyat me samast gavno me ghar ghar kachra sangrahan gav ki naliyo or Samudayik Parisar ki safai karya GP Faridsar")</f>
        <v/>
      </c>
      <c r="C373" t="inlineStr">
        <is>
          <t>Panchayati Raj Department||Secretary and Commissioner||CEO- GANGANAGAR||BDO-SURATGARH</t>
        </is>
      </c>
      <c r="D373" t="inlineStr">
        <is>
          <t>24-May-2025 02:00 PM</t>
        </is>
      </c>
      <c r="E373" t="inlineStr">
        <is>
          <t>11,71,855</t>
        </is>
      </c>
      <c r="F373" t="inlineStr">
        <is>
          <t>Gram panchyat me samast gavno me ghar ghar kachra sangrahan gav ki naliyo or Samudayik Parisar ki safai karya GP Faridsar</t>
        </is>
      </c>
      <c r="G373" t="inlineStr">
        <is>
          <t>Gram Panchyat Faridsar</t>
        </is>
      </c>
    </row>
    <row r="374">
      <c r="A374" s="1" t="n">
        <v>372</v>
      </c>
      <c r="B374">
        <f>HYPERLINK("https://eproc.rajasthan.gov.in/nicgep/app?component=%24DirectLink&amp;page=FrontEndViewTender&amp;service=direct&amp;session=T&amp;sp=SLj5506sjNtexrA7yPLV1Xw%3D%3D", "Supply of Construction Material RDPR Scheme MNREGA, SFC , FFC and other scheme for Financial Year 2025-26 in Gram Panchyat BAHRAWNDA KALAN PS Khandar")</f>
        <v/>
      </c>
      <c r="C374" t="inlineStr">
        <is>
          <t>Panchayati Raj Department||Secretary and Commissioner||CEO-S.MADHOPUR||BDO-KHANDAR</t>
        </is>
      </c>
      <c r="D374" t="inlineStr">
        <is>
          <t>27-May-2025 06:00 PM</t>
        </is>
      </c>
      <c r="E374" t="inlineStr">
        <is>
          <t>60,00,000</t>
        </is>
      </c>
      <c r="F374" t="inlineStr">
        <is>
          <t>Supply of Construction Material RDPR Scheme MNREGA, SFC , FFC and other scheme for Financial Year 2025-26 in Gram Panchyat BAHRAWNDA KALAN PS Khandar</t>
        </is>
      </c>
      <c r="G374" t="inlineStr">
        <is>
          <t>GRAM PANCHYAT BAHRAWANDA KALAN</t>
        </is>
      </c>
    </row>
    <row r="375">
      <c r="A375" s="1" t="n">
        <v>373</v>
      </c>
      <c r="B375">
        <f>HYPERLINK("https://eproc.rajasthan.gov.in/nicgep/app?component=%24DirectLink&amp;page=FrontEndViewTender&amp;service=direct&amp;session=T&amp;sp=SrDiKm%2FtO4HEX4dkrOXYB7w%3D%3D", "INTERLOCK KHURRA NIRMAN BHANISAR SADAK SE LEKAR SHOHANRAM KILKA KE GHAR KI OR AABSAR")</f>
        <v/>
      </c>
      <c r="C375" t="inlineStr">
        <is>
          <t>Panchayati Raj Department||Secretary and Commissioner||CEO-CHURU||BDO-SUJANGARH</t>
        </is>
      </c>
      <c r="D375" t="inlineStr">
        <is>
          <t>24-May-2025 06:00 PM</t>
        </is>
      </c>
      <c r="E375" t="inlineStr">
        <is>
          <t>9,99,000</t>
        </is>
      </c>
      <c r="F375" t="inlineStr">
        <is>
          <t>INTERLOCK KHURRA NIRMAN BHANISAR SADAK SE LEKAR SHOHANRAM KILKA KE GHAR KI OR AABSAR</t>
        </is>
      </c>
      <c r="G375" t="inlineStr">
        <is>
          <t>GP AABSAR</t>
        </is>
      </c>
    </row>
    <row r="376">
      <c r="A376" s="1" t="n">
        <v>374</v>
      </c>
      <c r="B376">
        <f>HYPERLINK("https://eproc.rajasthan.gov.in/nicgep/app?component=%24DirectLink&amp;page=FrontEndViewTender&amp;service=direct&amp;session=T&amp;sp=Sdg%2FUf1FmIpN5hxukYgr0Nw%3D%3D", "Rate contract for supply of material on all construction works conducted under Mahatma Gandhi NREGA scheme and various schemes of Rural Development and Panchayati Raj Department, Gram Panchayat Dyoda Doongar")</f>
        <v/>
      </c>
      <c r="C376" t="inlineStr">
        <is>
          <t>Panchayati Raj Department||Secretary and Commissioner||CEO- JAIPUR||BDO-JAMUVARAMGAH</t>
        </is>
      </c>
      <c r="D376" t="inlineStr">
        <is>
          <t>28-May-2025 05:00 PM</t>
        </is>
      </c>
      <c r="E376" t="inlineStr">
        <is>
          <t>40,00,000</t>
        </is>
      </c>
      <c r="F376" t="inlineStr">
        <is>
          <t>Rate contract for supply of material on all construction works conducted under Mahatma Gandhi NREGA scheme and various schemes of Rural Development and Panchayati Raj Department, Gram Panchayat Dyoda Doongar</t>
        </is>
      </c>
      <c r="G376" t="inlineStr">
        <is>
          <t>Panchayat Dyoda Doongar</t>
        </is>
      </c>
    </row>
    <row r="377">
      <c r="A377" s="1" t="n">
        <v>375</v>
      </c>
      <c r="B377">
        <f>HYPERLINK("https://eproc.rajasthan.gov.in/nicgep/app?component=%24DirectLink&amp;page=FrontEndViewTender&amp;service=direct&amp;session=T&amp;sp=SK25VFB6Y1bcJJ3E2pcKByw%3D%3D", "Supply Of Civil Constriction Goods Under Mnrega and Other scheme for session 2025-26 Gram Panchayat Kaithwara Panchayat Samiti Pahadi")</f>
        <v/>
      </c>
      <c r="C377" t="inlineStr">
        <is>
          <t>Panchayati Raj Department||Secretary and Commissioner||CEO-BHARATPUR||BDO-NAGAR</t>
        </is>
      </c>
      <c r="D377" t="inlineStr">
        <is>
          <t>02-Jun-2025 06:00 PM</t>
        </is>
      </c>
      <c r="E377" t="inlineStr">
        <is>
          <t>70,00,000</t>
        </is>
      </c>
      <c r="F377" t="inlineStr">
        <is>
          <t>Supply Of Civil Constriction Goods Under Mnrega and Other scheme for session 2025-26 Gram Panchayat Kaithwara Panchayat Samiti Pahadi</t>
        </is>
      </c>
      <c r="G377" t="inlineStr">
        <is>
          <t>GP_KAITHWARA</t>
        </is>
      </c>
    </row>
    <row r="378">
      <c r="A378" s="1" t="n">
        <v>376</v>
      </c>
      <c r="B378">
        <f>HYPERLINK("https://eproc.rajasthan.gov.in/nicgep/app?component=%24DirectLink&amp;page=FrontEndViewTender&amp;service=direct&amp;session=T&amp;sp=S8w%2F5sdw9swg2rhy%2F7VjinQ%3D%3D", "RATE CONTRACT FOR SUPPLY OF CONSTRUCTION MATERIAL FOR THE FINANCIAL YEAR 2025-26 IN GRAM PANCHAYAT NANEU PANCHAYAT SAMITI PHALODI DIST. PHALODI")</f>
        <v/>
      </c>
      <c r="C378" t="inlineStr">
        <is>
          <t>Panchayati Raj Department||Secretary and Commissioner||CEO-JODHPUR||BDO-PHALODI</t>
        </is>
      </c>
      <c r="D378" t="inlineStr">
        <is>
          <t>02-Jun-2025 06:00 PM</t>
        </is>
      </c>
      <c r="E378" t="inlineStr">
        <is>
          <t>49,00,000</t>
        </is>
      </c>
      <c r="F378" t="inlineStr">
        <is>
          <t>RATE CONTRACT FOR SUPPLY OF CONSTRUCTION MATERIAL FOR THE FINANCIAL YEAR 2025-26 IN GRAM PANCHAYAT NANEU PANCHAYAT SAMITI PHALODI DIST. PHALODI</t>
        </is>
      </c>
      <c r="G378" t="inlineStr">
        <is>
          <t>PS Phalodi</t>
        </is>
      </c>
    </row>
    <row r="379">
      <c r="A379" s="1" t="n">
        <v>377</v>
      </c>
      <c r="B379">
        <f>HYPERLINK("https://eproc.rajasthan.gov.in/nicgep/app?component=%24DirectLink&amp;page=FrontEndViewTender&amp;service=direct&amp;session=T&amp;sp=STM95gaOCOUXIHto%2BOks%2B%2Bw%3D%3D", "Gram panchyat me samast gavno me ghar ghar kachra sangrahan gav ki naliyo or Samudayik Parisar ki safai karya GP Bhojewala")</f>
        <v/>
      </c>
      <c r="C379" t="inlineStr">
        <is>
          <t>Panchayati Raj Department||Secretary and Commissioner||CEO- GANGANAGAR||BDO-SURATGARH</t>
        </is>
      </c>
      <c r="D379" t="inlineStr">
        <is>
          <t>24-May-2025 02:00 PM</t>
        </is>
      </c>
      <c r="E379" t="inlineStr">
        <is>
          <t>9,00,311</t>
        </is>
      </c>
      <c r="F379" t="inlineStr">
        <is>
          <t>Gram panchyat me samast gavno me ghar ghar kachra sangrahan gav ki naliyo or Samudayik Parisar ki safai karya GP Bhojewala</t>
        </is>
      </c>
      <c r="G379" t="inlineStr">
        <is>
          <t>Gram Panchyat Bhojewala</t>
        </is>
      </c>
    </row>
    <row r="380">
      <c r="A380" s="1" t="n">
        <v>378</v>
      </c>
      <c r="B380">
        <f>HYPERLINK("https://eproc.rajasthan.gov.in/nicgep/app?component=%24DirectLink&amp;page=FrontEndViewTender&amp;service=direct&amp;session=T&amp;sp=S1yhlPy6jkm48FAvLxZnGUw%3D%3D", "RATE CONTRACT FOR SUPPLY OF CONSTRUCTION MATERIAL FOR THE FINANCIAL YEAR 2025-26 IN GRAM PANCHAYAT MOKHERI PANCHAYAT SAMITI PHALODI DIST. PHALODI")</f>
        <v/>
      </c>
      <c r="C380" t="inlineStr">
        <is>
          <t>Panchayati Raj Department||Secretary and Commissioner||CEO-JODHPUR||BDO-PHALODI</t>
        </is>
      </c>
      <c r="D380" t="inlineStr">
        <is>
          <t>02-Jun-2025 06:00 PM</t>
        </is>
      </c>
      <c r="E380" t="inlineStr">
        <is>
          <t>49,00,000</t>
        </is>
      </c>
      <c r="F380" t="inlineStr">
        <is>
          <t>RATE CONTRACT FOR SUPPLY OF CONSTRUCTION MATERIAL FOR THE FINANCIAL YEAR 2025-26 IN GRAM PANCHAYAT MOKHERI PANCHAYAT SAMITI PHALODI DIST. PHALODI</t>
        </is>
      </c>
      <c r="G380" t="inlineStr">
        <is>
          <t>PS Phalodi</t>
        </is>
      </c>
    </row>
    <row r="381">
      <c r="A381" s="1" t="n">
        <v>379</v>
      </c>
      <c r="B381">
        <f>HYPERLINK("https://eproc.rajasthan.gov.in/nicgep/app?component=%24DirectLink&amp;page=FrontEndViewTender&amp;service=direct&amp;session=T&amp;sp=SrTyicLf%2Bd0x1PusKk3U%2Fpg%3D%3D", "Rate contract for supply of material on all construction works conducted under Mahatma Gandhi NREGA scheme and various schemes of Rural Development and Panchayati Raj Department, Gram Panchayat Khawaraniji")</f>
        <v/>
      </c>
      <c r="C381" t="inlineStr">
        <is>
          <t>Panchayati Raj Department||Secretary and Commissioner||CEO- JAIPUR||BDO-JAMUVARAMGAH</t>
        </is>
      </c>
      <c r="D381" t="inlineStr">
        <is>
          <t>28-May-2025 05:00 PM</t>
        </is>
      </c>
      <c r="E381" t="inlineStr">
        <is>
          <t>50,00,000</t>
        </is>
      </c>
      <c r="F381" t="inlineStr">
        <is>
          <t>Rate contract for supply of material on all construction works conducted under Mahatma Gandhi NREGA scheme and various schemes of Rural Development and Panchayati Raj Department, Gram Panchayat Khawaraniji</t>
        </is>
      </c>
      <c r="G381" t="inlineStr">
        <is>
          <t>Panchayat Khawaraniji</t>
        </is>
      </c>
    </row>
    <row r="382">
      <c r="A382" s="1" t="n">
        <v>380</v>
      </c>
      <c r="B382">
        <f>HYPERLINK("https://eproc.rajasthan.gov.in/nicgep/app?component=%24DirectLink&amp;page=FrontEndViewTender&amp;service=direct&amp;session=T&amp;sp=SpHqBhw9U6wbf8RnojH8EvQ%3D%3D", "Gram panchyat k samast gavo me ghar ghar kachra sangrahan and nail safai karya or other saf safai work")</f>
        <v/>
      </c>
      <c r="C382" t="inlineStr">
        <is>
          <t>Panchayati Raj Department||Secretary and Commissioner||CEO-DAUSA||BDO-BANDIKUI</t>
        </is>
      </c>
      <c r="D382" t="inlineStr">
        <is>
          <t>24-May-2025 05:00 PM</t>
        </is>
      </c>
      <c r="E382" t="inlineStr">
        <is>
          <t>5,00,000</t>
        </is>
      </c>
      <c r="F382" t="inlineStr">
        <is>
          <t>Gram panchyat k samast gavo me ghar ghar kachra sangrahan and nail safai karya or other saf safai work</t>
        </is>
      </c>
      <c r="G382" t="inlineStr">
        <is>
          <t>GRAM PANCHYAT RALAWATA</t>
        </is>
      </c>
    </row>
    <row r="383">
      <c r="A383" s="1" t="n">
        <v>381</v>
      </c>
      <c r="B383">
        <f>HYPERLINK("https://eproc.rajasthan.gov.in/nicgep/app?component=%24DirectLink&amp;page=FrontEndViewTender&amp;service=direct&amp;session=T&amp;sp=SgqkrBivt0J0zvVK6usct1A%3D%3D", "Supply Of Civil Constriction Goods Under Mnrega and Other scheme for session 2025-26 Gram Panchayat Dholet Panchayat Samiti Pahadi")</f>
        <v/>
      </c>
      <c r="C383" t="inlineStr">
        <is>
          <t>Panchayati Raj Department||Secretary and Commissioner||CEO-BHARATPUR||BDO-NAGAR</t>
        </is>
      </c>
      <c r="D383" t="inlineStr">
        <is>
          <t>02-Jun-2025 06:00 PM</t>
        </is>
      </c>
      <c r="E383" t="inlineStr">
        <is>
          <t>70,00,000</t>
        </is>
      </c>
      <c r="F383" t="inlineStr">
        <is>
          <t>Supply Of Civil Constriction Goods Under Mnrega and Other scheme for session 2025-26 Gram Panchayat Dholet Panchayat Samiti Pahadi</t>
        </is>
      </c>
      <c r="G383" t="inlineStr">
        <is>
          <t>GP_DHOLET</t>
        </is>
      </c>
    </row>
    <row r="384">
      <c r="A384" s="1" t="n">
        <v>382</v>
      </c>
      <c r="B384">
        <f>HYPERLINK("https://eproc.rajasthan.gov.in/nicgep/app?component=%24DirectLink&amp;page=FrontEndViewTender&amp;service=direct&amp;session=T&amp;sp=SWsDXM8paVUqa6y5gts9BeQ%3D%3D", "RATE CONTRACT FOR SUPPLY OF CONSTRUCTION MATERIAL FOR THE FINANCIAL YEAR 2025-26 IN GRAM PANCHAYAT JUNEJO KI DHANI PANCHAYAT SAMITI PHALODI DIST. PHALODI")</f>
        <v/>
      </c>
      <c r="C384" t="inlineStr">
        <is>
          <t>Panchayati Raj Department||Secretary and Commissioner||CEO-JODHPUR||BDO-PHALODI</t>
        </is>
      </c>
      <c r="D384" t="inlineStr">
        <is>
          <t>02-Jun-2025 06:00 PM</t>
        </is>
      </c>
      <c r="E384" t="inlineStr">
        <is>
          <t>49,00,000</t>
        </is>
      </c>
      <c r="F384" t="inlineStr">
        <is>
          <t>RATE CONTRACT FOR SUPPLY OF CONSTRUCTION MATERIAL FOR THE FINANCIAL YEAR 2025-26 IN GRAM PANCHAYAT JUNEJO KI DHANI PANCHAYAT SAMITI PHALODI DIST. PHALODI</t>
        </is>
      </c>
      <c r="G384" t="inlineStr">
        <is>
          <t>PS Phalodi</t>
        </is>
      </c>
    </row>
    <row r="385">
      <c r="A385" s="1" t="n">
        <v>383</v>
      </c>
      <c r="B385">
        <f>HYPERLINK("https://eproc.rajasthan.gov.in/nicgep/app?component=%24DirectLink&amp;page=FrontEndViewTender&amp;service=direct&amp;session=T&amp;sp=SX1K64tUMcyJ9LvreuJQkGg%3D%3D", "Narega/PARA/20/2025-26")</f>
        <v/>
      </c>
      <c r="C385" t="inlineStr">
        <is>
          <t>Panchayati Raj Department||Secretary and Commissioner||CEO-AJMER||BDO-SAWAR</t>
        </is>
      </c>
      <c r="D385" t="inlineStr">
        <is>
          <t>29-May-2025 06:00 PM</t>
        </is>
      </c>
      <c r="E385" t="inlineStr">
        <is>
          <t>NA</t>
        </is>
      </c>
      <c r="F385" t="inlineStr">
        <is>
          <t>Narega/PARA/20/2025-26</t>
        </is>
      </c>
      <c r="G385" t="inlineStr">
        <is>
          <t>PARA</t>
        </is>
      </c>
    </row>
    <row r="386">
      <c r="A386" s="1" t="n">
        <v>384</v>
      </c>
      <c r="B386">
        <f>HYPERLINK("https://eproc.rajasthan.gov.in/nicgep/app?component=%24DirectLink&amp;page=FrontEndViewTender&amp;service=direct&amp;session=T&amp;sp=Syn0pjvdKTyKOz468N32Elg%3D%3D", "Gram panchyat me samast gavno me ghar ghar kachra sangrahan gav ki naliyo or Samudayik Parisar ki safai karya GP Eata")</f>
        <v/>
      </c>
      <c r="C386" t="inlineStr">
        <is>
          <t>Panchayati Raj Department||Secretary and Commissioner||CEO- GANGANAGAR||BDO-SURATGARH</t>
        </is>
      </c>
      <c r="D386" t="inlineStr">
        <is>
          <t>24-May-2025 02:00 PM</t>
        </is>
      </c>
      <c r="E386" t="inlineStr">
        <is>
          <t>6,08,410</t>
        </is>
      </c>
      <c r="F386" t="inlineStr">
        <is>
          <t>Gram panchyat me samast gavno me ghar ghar kachra sangrahan gav ki naliyo or Samudayik Parisar ki safai karya GP Eata</t>
        </is>
      </c>
      <c r="G386" t="inlineStr">
        <is>
          <t>Gram Panchyat Eata</t>
        </is>
      </c>
    </row>
    <row r="387">
      <c r="A387" s="1" t="n">
        <v>385</v>
      </c>
      <c r="B387">
        <f>HYPERLINK("https://eproc.rajasthan.gov.in/nicgep/app?component=%24DirectLink&amp;page=FrontEndViewTender&amp;service=direct&amp;session=T&amp;sp=SY9p0r%2BnSXzJDwzzzqiCRFw%3D%3D", "RATE CONTRACT FOR SUPPLY OF CONSTRUCTION MATERIAL FOR THE FINANCIAL YEAR 2025-26 IN GRAM PANCHAYAT VIJAY NAGAR PANCHAYAT SAMITI PHALODI DIST. PHALODI")</f>
        <v/>
      </c>
      <c r="C387" t="inlineStr">
        <is>
          <t>Panchayati Raj Department||Secretary and Commissioner||CEO-JODHPUR||BDO-PHALODI</t>
        </is>
      </c>
      <c r="D387" t="inlineStr">
        <is>
          <t>02-Jun-2025 06:00 PM</t>
        </is>
      </c>
      <c r="E387" t="inlineStr">
        <is>
          <t>49,00,000</t>
        </is>
      </c>
      <c r="F387" t="inlineStr">
        <is>
          <t>RATE CONTRACT FOR SUPPLY OF CONSTRUCTION MATERIAL FOR THE FINANCIAL YEAR 2025-26 IN GRAM PANCHAYAT VIJAY NAGAR PANCHAYAT SAMITI PHALODI DIST. PHALODI</t>
        </is>
      </c>
      <c r="G387" t="inlineStr">
        <is>
          <t>PS PHalodi</t>
        </is>
      </c>
    </row>
    <row r="388">
      <c r="A388" s="1" t="n">
        <v>386</v>
      </c>
      <c r="B388">
        <f>HYPERLINK("https://eproc.rajasthan.gov.in/nicgep/app?component=%24DirectLink&amp;page=FrontEndViewTender&amp;service=direct&amp;session=T&amp;sp=Son889QQzdJNaUmVyhiegmA%3D%3D", "ghar ghar kchara sangran etc BHASINA")</f>
        <v/>
      </c>
      <c r="C388" t="inlineStr">
        <is>
          <t>Panchayati Raj Department||Secretary and Commissioner||CEO-CHURU||BDO-SUJANGARH</t>
        </is>
      </c>
      <c r="D388" t="inlineStr">
        <is>
          <t>24-May-2025 06:00 PM</t>
        </is>
      </c>
      <c r="E388" t="inlineStr">
        <is>
          <t>7,77,000</t>
        </is>
      </c>
      <c r="F388" t="inlineStr">
        <is>
          <t>ghar ghar kchara sangran etc</t>
        </is>
      </c>
      <c r="G388" t="inlineStr">
        <is>
          <t>GP BHASINA</t>
        </is>
      </c>
    </row>
    <row r="389">
      <c r="A389" s="1" t="n">
        <v>387</v>
      </c>
      <c r="B389">
        <f>HYPERLINK("https://eproc.rajasthan.gov.in/nicgep/app?component=%24DirectLink&amp;page=FrontEndViewTender&amp;service=direct&amp;session=T&amp;sp=SN5E7W5fpgaqHrZdCclpAdQ%3D%3D", "RATE CONTRACT FOR SUPPLY OF CONSTRUCTION MATERIAL FOR THE FINANCIAL YEAR 2025-26 IN GRAM PANCHAYAT MALAR PANCHAYAT SAMITI PHALODI DIST. PHALODI")</f>
        <v/>
      </c>
      <c r="C389" t="inlineStr">
        <is>
          <t>Panchayati Raj Department||Secretary and Commissioner||CEO-JODHPUR||BDO-PHALODI</t>
        </is>
      </c>
      <c r="D389" t="inlineStr">
        <is>
          <t>02-Jun-2025 06:00 PM</t>
        </is>
      </c>
      <c r="E389" t="inlineStr">
        <is>
          <t>49,00,000</t>
        </is>
      </c>
      <c r="F389" t="inlineStr">
        <is>
          <t>RATE CONTRACT FOR SUPPLY OF CONSTRUCTION MATERIAL FOR THE FINANCIAL YEAR 2025-26 IN GRAM PANCHAYAT MALAR PANCHAYAT SAMITI PHALODI DIST. PHALODI</t>
        </is>
      </c>
      <c r="G389" t="inlineStr">
        <is>
          <t>PS Phalodi</t>
        </is>
      </c>
    </row>
    <row r="390">
      <c r="A390" s="1" t="n">
        <v>388</v>
      </c>
      <c r="B390">
        <f>HYPERLINK("https://eproc.rajasthan.gov.in/nicgep/app?component=%24DirectLink&amp;page=FrontEndViewTender&amp;service=direct&amp;session=T&amp;sp=Sgw4Q4oyIQ3PSxJY9alsmGw%3D%3D", "Rate contract for supply of material on all construction works conducted under Mahatma Gandhi NREGA scheme and various schemes of Rural Development and Panchayati Raj Department, Gram Panchayat Dhaula")</f>
        <v/>
      </c>
      <c r="C390" t="inlineStr">
        <is>
          <t>Panchayati Raj Department||Secretary and Commissioner||CEO- JAIPUR||BDO-JAMUVARAMGAH</t>
        </is>
      </c>
      <c r="D390" t="inlineStr">
        <is>
          <t>28-May-2025 05:00 PM</t>
        </is>
      </c>
      <c r="E390" t="inlineStr">
        <is>
          <t>70,00,000</t>
        </is>
      </c>
      <c r="F390" t="inlineStr">
        <is>
          <t>Rate contract for supply of material on all construction works conducted under Mahatma Gandhi NREGA scheme and various schemes of Rural Development and Panchayati Raj Department, Gram Panchayat Dhaula</t>
        </is>
      </c>
      <c r="G390" t="inlineStr">
        <is>
          <t>Panchayat Dhaula</t>
        </is>
      </c>
    </row>
    <row r="391">
      <c r="A391" s="1" t="n">
        <v>389</v>
      </c>
      <c r="B391">
        <f>HYPERLINK("https://eproc.rajasthan.gov.in/nicgep/app?component=%24DirectLink&amp;page=FrontEndViewTender&amp;service=direct&amp;session=T&amp;sp=SGmu4SMwknHqAV5nt0imMlQ%3D%3D", "Gram panchyat me samast gavno me ghar ghar kachra sangrahan gav ki naliyo or Samudayik Parisar ki safai karya GP Bherupura")</f>
        <v/>
      </c>
      <c r="C391" t="inlineStr">
        <is>
          <t>Panchayati Raj Department||Secretary and Commissioner||CEO- GANGANAGAR||BDO-SURATGARH</t>
        </is>
      </c>
      <c r="D391" t="inlineStr">
        <is>
          <t>24-May-2025 02:00 PM</t>
        </is>
      </c>
      <c r="E391" t="inlineStr">
        <is>
          <t>20,34,017</t>
        </is>
      </c>
      <c r="F391" t="inlineStr">
        <is>
          <t>Gram panchyat me samast gavno me ghar ghar kachra sangrahan gav ki naliyo or Samudayik Parisar ki safai karya GP Bherupura</t>
        </is>
      </c>
      <c r="G391" t="inlineStr">
        <is>
          <t>Gram Panchyat Bherupura</t>
        </is>
      </c>
    </row>
    <row r="392">
      <c r="A392" s="1" t="n">
        <v>390</v>
      </c>
      <c r="B392">
        <f>HYPERLINK("https://eproc.rajasthan.gov.in/nicgep/app?component=%24DirectLink&amp;page=FrontEndViewTender&amp;service=direct&amp;session=T&amp;sp=SypuVTWtyQf3zcrXSntKfAA%3D%3D", "Rate contract for supply of material on all construction works conducted under Mahatma Gandhi NREGA scheme and various schemes of Rural Development and Panchayati Raj Department, Gram Panchayat Jaichandpura")</f>
        <v/>
      </c>
      <c r="C392" t="inlineStr">
        <is>
          <t>Panchayati Raj Department||Secretary and Commissioner||CEO- JAIPUR||BDO-JAMUVARAMGAH</t>
        </is>
      </c>
      <c r="D392" t="inlineStr">
        <is>
          <t>28-May-2025 05:00 PM</t>
        </is>
      </c>
      <c r="E392" t="inlineStr">
        <is>
          <t>60,00,000</t>
        </is>
      </c>
      <c r="F392" t="inlineStr">
        <is>
          <t>Rate contract for supply of material on all construction works conducted under Mahatma Gandhi NREGA scheme and various schemes of Rural Development and Panchayati Raj Department, Gram Panchayat Jaichandpura</t>
        </is>
      </c>
      <c r="G392" t="inlineStr">
        <is>
          <t>GP Jaichandpura</t>
        </is>
      </c>
    </row>
    <row r="393">
      <c r="A393" s="1" t="n">
        <v>391</v>
      </c>
      <c r="B393">
        <f>HYPERLINK("https://eproc.rajasthan.gov.in/nicgep/app?component=%24DirectLink&amp;page=FrontEndViewTender&amp;service=direct&amp;session=T&amp;sp=S9RHxBzEBvRFaPwGMFdRs4w%3D%3D", "Supply Of Civil Constriction Goods Under Mnrega and Other scheme for session 2025-26 Gram Panchayat Ghatmeeka Panchayat Samiti Pahadi")</f>
        <v/>
      </c>
      <c r="C393" t="inlineStr">
        <is>
          <t>Panchayati Raj Department||Secretary and Commissioner||CEO-BHARATPUR||BDO-NAGAR</t>
        </is>
      </c>
      <c r="D393" t="inlineStr">
        <is>
          <t>02-Jun-2025 06:00 PM</t>
        </is>
      </c>
      <c r="E393" t="inlineStr">
        <is>
          <t>70,00,000</t>
        </is>
      </c>
      <c r="F393" t="inlineStr">
        <is>
          <t>Supply Of Civil Constriction Goods Under Mnrega and Other scheme for session 2025-26 Gram Panchayat Ghatmeeka Panchayat Samiti Pahadi</t>
        </is>
      </c>
      <c r="G393" t="inlineStr">
        <is>
          <t>GP_GHATMEEKA</t>
        </is>
      </c>
    </row>
    <row r="394">
      <c r="A394" s="1" t="n">
        <v>392</v>
      </c>
      <c r="B394">
        <f>HYPERLINK("https://eproc.rajasthan.gov.in/nicgep/app?component=%24DirectLink&amp;page=FrontEndViewTender&amp;service=direct&amp;session=T&amp;sp=Sl2l%2BwIWCwo4%2Bvt2qm09QVg%3D%3D", "Narega/Giwarpura/17/2025-26")</f>
        <v/>
      </c>
      <c r="C394" t="inlineStr">
        <is>
          <t>Panchayati Raj Department||Secretary and Commissioner||CEO-AJMER||BDO-SAWAR</t>
        </is>
      </c>
      <c r="D394" t="inlineStr">
        <is>
          <t>29-May-2025 06:00 PM</t>
        </is>
      </c>
      <c r="E394" t="inlineStr">
        <is>
          <t>NA</t>
        </is>
      </c>
      <c r="F394" t="inlineStr">
        <is>
          <t>Narega/Giwarpura/17/2025-26</t>
        </is>
      </c>
      <c r="G394" t="inlineStr">
        <is>
          <t>Girwarpura</t>
        </is>
      </c>
    </row>
    <row r="395">
      <c r="A395" s="1" t="n">
        <v>393</v>
      </c>
      <c r="B395">
        <f>HYPERLINK("https://eproc.rajasthan.gov.in/nicgep/app?component=%24DirectLink&amp;page=FrontEndViewTender&amp;service=direct&amp;session=T&amp;sp=Suq8p6Y9%2Bv54CenR9DwbglQ%3D%3D", "SUPPLY OF CONSTRUCTION MATERIAL AND PROVIDING EQUIPMENT IN GP BOTUNDA PS TODARAISINGH")</f>
        <v/>
      </c>
      <c r="C395" t="inlineStr">
        <is>
          <t>Panchayati Raj Department||Secretary and Commissioner||CEO-TONK||BDO-TODARAISINGH</t>
        </is>
      </c>
      <c r="D395" t="inlineStr">
        <is>
          <t>22-May-2025 06:00 PM</t>
        </is>
      </c>
      <c r="E395" t="inlineStr">
        <is>
          <t>50,00,000</t>
        </is>
      </c>
      <c r="F395" t="inlineStr">
        <is>
          <t>SUPPLY OF CONSTRUCTION MATERIAL AND PROVIDING EQUIPMENT IN GP BOTUNDA PS TODARAISINGH</t>
        </is>
      </c>
      <c r="G395" t="inlineStr">
        <is>
          <t>GP BOTUNDA</t>
        </is>
      </c>
    </row>
    <row r="396">
      <c r="A396" s="1" t="n">
        <v>394</v>
      </c>
      <c r="B396">
        <f>HYPERLINK("https://eproc.rajasthan.gov.in/nicgep/app?component=%24DirectLink&amp;page=FrontEndViewTender&amp;service=direct&amp;session=T&amp;sp=Spx3DqlfEztkkE7EwNpnwqQ%3D%3D", "Rate contract for supply of material on all construction works conducted under Mahatma Gandhi NREGA scheme and various schemes of Rural Development and Panchayati Raj Department, Gram Panchayat Dantala Meena")</f>
        <v/>
      </c>
      <c r="C396" t="inlineStr">
        <is>
          <t>Panchayati Raj Department||Secretary and Commissioner||CEO- JAIPUR||BDO-JAMUVARAMGAH</t>
        </is>
      </c>
      <c r="D396" t="inlineStr">
        <is>
          <t>28-May-2025 05:00 PM</t>
        </is>
      </c>
      <c r="E396" t="inlineStr">
        <is>
          <t>60,00,000</t>
        </is>
      </c>
      <c r="F396" t="inlineStr">
        <is>
          <t>Rate contract for supply of material on all construction works conducted under Mahatma Gandhi NREGA scheme and various schemes of Rural Development and Panchayati Raj Department, Gram Panchayat Dantala Meena</t>
        </is>
      </c>
      <c r="G396" t="inlineStr">
        <is>
          <t>Panchayat Dantala Meena</t>
        </is>
      </c>
    </row>
    <row r="397">
      <c r="A397" s="1" t="n">
        <v>395</v>
      </c>
      <c r="B397">
        <f>HYPERLINK("https://eproc.rajasthan.gov.in/nicgep/app?component=%24DirectLink&amp;page=FrontEndViewTender&amp;service=direct&amp;session=T&amp;sp=S9pqwiBHIl3ezzvKvg1kGDQ%3D%3D", "SUPPLY OF CONSTRUCTION MATERIAL AND PROVIDING EQUIPMENT IN GP DABADDUMBA PS TODARAISINGH")</f>
        <v/>
      </c>
      <c r="C397" t="inlineStr">
        <is>
          <t>Panchayati Raj Department||Secretary and Commissioner||CEO-TONK||BDO-TODARAISINGH</t>
        </is>
      </c>
      <c r="D397" t="inlineStr">
        <is>
          <t>22-May-2025 06:00 PM</t>
        </is>
      </c>
      <c r="E397" t="inlineStr">
        <is>
          <t>50,00,000</t>
        </is>
      </c>
      <c r="F397" t="inlineStr">
        <is>
          <t>SUPPLY OF CONSTRUCTION MATERIAL AND PROVIDING EQUIPMENT IN GP DABADDUMBA PS TODARAISINGH</t>
        </is>
      </c>
      <c r="G397" t="inlineStr">
        <is>
          <t>GP DABADDUMBA</t>
        </is>
      </c>
    </row>
    <row r="398">
      <c r="A398" s="1" t="n">
        <v>396</v>
      </c>
      <c r="B398">
        <f>HYPERLINK("https://eproc.rajasthan.gov.in/nicgep/app?component=%24DirectLink&amp;page=FrontEndViewTender&amp;service=direct&amp;session=T&amp;sp=SDv2m21KJ7qwkWsweqO8F7g%3D%3D", "Rate contract for supply of material on all construction works conducted under Mahatma Gandhi NREGA scheme and various schemes of Rural Development and Panchayati Raj Department, Gram Panchayat Chawand Ka Mand")</f>
        <v/>
      </c>
      <c r="C398" t="inlineStr">
        <is>
          <t>Panchayati Raj Department||Secretary and Commissioner||CEO- JAIPUR||BDO-JAMUVARAMGAH</t>
        </is>
      </c>
      <c r="D398" t="inlineStr">
        <is>
          <t>28-May-2025 05:00 PM</t>
        </is>
      </c>
      <c r="E398" t="inlineStr">
        <is>
          <t>40,00,000</t>
        </is>
      </c>
      <c r="F398" t="inlineStr">
        <is>
          <t>Rate contract for supply of material on all construction works conducted under Mahatma Gandhi NREGA scheme and various schemes of Rural Development and Panchayati Raj Department, Gram Panchayat Chawand Ka Mand</t>
        </is>
      </c>
      <c r="G398" t="inlineStr">
        <is>
          <t>Panchayat Chawand Ka Mand</t>
        </is>
      </c>
    </row>
    <row r="399">
      <c r="A399" s="1" t="n">
        <v>397</v>
      </c>
      <c r="B399">
        <f>HYPERLINK("https://eproc.rajasthan.gov.in/nicgep/app?component=%24DirectLink&amp;page=FrontEndViewTender&amp;service=direct&amp;session=T&amp;sp=SbunUzgewMQTJtsPT4epE6Q%3D%3D", "Supply Of Civil Constriction Goods Under Mnrega and Other scheme for session 2025-26 Gram Panchayat Chhapra Panchayat Samiti Pahadi")</f>
        <v/>
      </c>
      <c r="C399" t="inlineStr">
        <is>
          <t>Panchayati Raj Department||Secretary and Commissioner||CEO-BHARATPUR||BDO-NAGAR</t>
        </is>
      </c>
      <c r="D399" t="inlineStr">
        <is>
          <t>02-Jun-2025 06:00 PM</t>
        </is>
      </c>
      <c r="E399" t="inlineStr">
        <is>
          <t>70,00,000</t>
        </is>
      </c>
      <c r="F399" t="inlineStr">
        <is>
          <t>Supply Of Civil Constriction Goods Under Mnrega and Other scheme for session 2025-26 Gram Panchayat Chhapra Panchayat Samiti Pahadi</t>
        </is>
      </c>
      <c r="G399" t="inlineStr">
        <is>
          <t>GP_CHHAPRA</t>
        </is>
      </c>
    </row>
    <row r="400">
      <c r="A400" s="1" t="n">
        <v>398</v>
      </c>
      <c r="B400">
        <f>HYPERLINK("https://eproc.rajasthan.gov.in/nicgep/app?component=%24DirectLink&amp;page=FrontEndViewTender&amp;service=direct&amp;session=T&amp;sp=SAFnKGjdKPviA7gKoSw93Iw%3D%3D", "Supply of Construction Materials and Service of Equipments (Financial Year 2025-26) for Gram Panchayat Sansera.")</f>
        <v/>
      </c>
      <c r="C400" t="inlineStr">
        <is>
          <t>Panchayati Raj Department||Secretary and Commissioner||CEO-RAJSAMAND||BDO-RAILMAGARA</t>
        </is>
      </c>
      <c r="D400" t="inlineStr">
        <is>
          <t>26-May-2025 06:00 PM</t>
        </is>
      </c>
      <c r="E400" t="inlineStr">
        <is>
          <t>50,00,000</t>
        </is>
      </c>
      <c r="F400" t="inlineStr">
        <is>
          <t>Supply of Construction Materials and Service of Equipments (Financial Year 2025-26) for Gram Panchayat Sansera.</t>
        </is>
      </c>
      <c r="G400" t="inlineStr">
        <is>
          <t>GRAM PANCHAYAT SANSERA</t>
        </is>
      </c>
    </row>
    <row r="401">
      <c r="A401" s="1" t="n">
        <v>399</v>
      </c>
      <c r="B401">
        <f>HYPERLINK("https://eproc.rajasthan.gov.in/nicgep/app?component=%24DirectLink&amp;page=FrontEndViewTender&amp;service=direct&amp;session=T&amp;sp=SKjdWgiBSHgMsnN7PY%2BSOEQ%3D%3D", "SUPPLY OF CONSTRUCTION MATERIAL AND PROVIDING EQUIPMENT IN GP GANETI PS TODARAISINGH")</f>
        <v/>
      </c>
      <c r="C401" t="inlineStr">
        <is>
          <t>Panchayati Raj Department||Secretary and Commissioner||CEO-TONK||BDO-TODARAISINGH</t>
        </is>
      </c>
      <c r="D401" t="inlineStr">
        <is>
          <t>22-May-2025 06:00 PM</t>
        </is>
      </c>
      <c r="E401" t="inlineStr">
        <is>
          <t>50,00,000</t>
        </is>
      </c>
      <c r="F401" t="inlineStr">
        <is>
          <t>SUPPLY OF CONSTRUCTION MATERIAL AND PROVIDING EQUIPMENT IN GP GANETI PS TODARAISINGH</t>
        </is>
      </c>
      <c r="G401" t="inlineStr">
        <is>
          <t>GP GANETI</t>
        </is>
      </c>
    </row>
    <row r="402">
      <c r="A402" s="1" t="n">
        <v>400</v>
      </c>
      <c r="B402">
        <f>HYPERLINK("https://eproc.rajasthan.gov.in/nicgep/app?component=%24DirectLink&amp;page=FrontEndViewTender&amp;service=direct&amp;session=T&amp;sp=S7jvp%2FX44vrAmo8fMCZkNlw%3D%3D", "Gram panchyat me samast gavno me ghar ghar kachra sangrahan gav ki naliyo or Samudayik Parisar ki safai karya Gram Panchyat Bhagwansar")</f>
        <v/>
      </c>
      <c r="C402" t="inlineStr">
        <is>
          <t>Panchayati Raj Department||Secretary and Commissioner||CEO- GANGANAGAR||BDO-SURATGARH</t>
        </is>
      </c>
      <c r="D402" t="inlineStr">
        <is>
          <t>24-May-2025 02:00 PM</t>
        </is>
      </c>
      <c r="E402" t="inlineStr">
        <is>
          <t>13,25,230</t>
        </is>
      </c>
      <c r="F402" t="inlineStr">
        <is>
          <t>Gram panchyat me samast gavno me ghar ghar kachra sangrahan gav ki naliyo or Samudayik Parisar ki safai karya Gram Panchyat Bhagwansar</t>
        </is>
      </c>
      <c r="G402" t="inlineStr">
        <is>
          <t>Gram panchyat Bhagwansar</t>
        </is>
      </c>
    </row>
    <row r="403">
      <c r="A403" s="1" t="n">
        <v>401</v>
      </c>
      <c r="B403">
        <f>HYPERLINK("https://eproc.rajasthan.gov.in/nicgep/app?component=%24DirectLink&amp;page=FrontEndViewTender&amp;service=direct&amp;session=T&amp;sp=SctUn7aXUxkctMtoiM%2BD7aw%3D%3D", "Supply Of Civil Constriction Goods Under Mnrega and Other scheme for session 2025-26 Gram Panchayat Peepalkhera Gheesira Panchayat Samiti Pahadi")</f>
        <v/>
      </c>
      <c r="C403" t="inlineStr">
        <is>
          <t>Panchayati Raj Department||Secretary and Commissioner||CEO-BHARATPUR||BDO-NAGAR</t>
        </is>
      </c>
      <c r="D403" t="inlineStr">
        <is>
          <t>02-Jun-2025 06:00 PM</t>
        </is>
      </c>
      <c r="E403" t="inlineStr">
        <is>
          <t>70,00,000</t>
        </is>
      </c>
      <c r="F403" t="inlineStr">
        <is>
          <t>Supply Of Civil Constriction Goods Under Mnrega and Other scheme for session 2025-26 Gram Panchayat Peepalkhera Panchayat Samiti Pahadi</t>
        </is>
      </c>
      <c r="G403" t="inlineStr">
        <is>
          <t>GP_PEEPALKHERA</t>
        </is>
      </c>
    </row>
    <row r="404">
      <c r="A404" s="1" t="n">
        <v>402</v>
      </c>
      <c r="B404">
        <f>HYPERLINK("https://eproc.rajasthan.gov.in/nicgep/app?component=%24DirectLink&amp;page=FrontEndViewTender&amp;service=direct&amp;session=T&amp;sp=SlXp2H9NetoL37PnN1E6dVA%3D%3D", "RATE CONTRACT FOR SUPPLY OF CONSTRUCTION MATERIAL FOR THE FINANCIAL YEAR 2025-26 IN GRAM PANCHAYAT UGRAS PANCHAYAT SAMITI PHALODI DIST. PHALODI")</f>
        <v/>
      </c>
      <c r="C404" t="inlineStr">
        <is>
          <t>Panchayati Raj Department||Secretary and Commissioner||CEO-JODHPUR||BDO-PHALODI</t>
        </is>
      </c>
      <c r="D404" t="inlineStr">
        <is>
          <t>02-Jun-2025 06:00 PM</t>
        </is>
      </c>
      <c r="E404" t="inlineStr">
        <is>
          <t>49,00,000</t>
        </is>
      </c>
      <c r="F404" t="inlineStr">
        <is>
          <t>RATE CONTRACT FOR SUPPLY OF CONSTRUCTION MATERIAL FOR THE FINANCIAL YEAR 2025-26 IN GRAM PANCHAYAT UGRAS PANCHAYAT SAMITI PHALODI DIST. PHALODI</t>
        </is>
      </c>
      <c r="G404" t="inlineStr">
        <is>
          <t>PS Phalodi</t>
        </is>
      </c>
    </row>
    <row r="405">
      <c r="A405" s="1" t="n">
        <v>403</v>
      </c>
      <c r="B405">
        <f>HYPERLINK("https://eproc.rajasthan.gov.in/nicgep/app?component=%24DirectLink&amp;page=FrontEndViewTender&amp;service=direct&amp;session=T&amp;sp=SzOZg3B0pBNkpGsLQkqaRTA%3D%3D", "RATE CONTRACT FOR SUPPLY OF CONSTRUCTION MATERIAL FOR THE FINANCIAL YEAR 2025-26 IN GRAM PANCHAYAT LORDIYAN PANCHAYAT SAMITI PHALODI DIST. PHALODI")</f>
        <v/>
      </c>
      <c r="C405" t="inlineStr">
        <is>
          <t>Panchayati Raj Department||Secretary and Commissioner||CEO-JODHPUR||BDO-PHALODI</t>
        </is>
      </c>
      <c r="D405" t="inlineStr">
        <is>
          <t>02-Jun-2025 06:00 PM</t>
        </is>
      </c>
      <c r="E405" t="inlineStr">
        <is>
          <t>49,00,000</t>
        </is>
      </c>
      <c r="F405" t="inlineStr">
        <is>
          <t>RATE CONTRACT FOR SUPPLY OF CONSTRUCTION MATERIAL FOR THE FINANCIAL YEAR 2025-26 IN GRAM PANCHAYAT LORDIYAN PANCHAYAT SAMITI PHALODI DIST. PHALODI</t>
        </is>
      </c>
      <c r="G405" t="inlineStr">
        <is>
          <t>PS Phalodi</t>
        </is>
      </c>
    </row>
    <row r="406">
      <c r="A406" s="1" t="n">
        <v>404</v>
      </c>
      <c r="B406">
        <f>HYPERLINK("https://eproc.rajasthan.gov.in/nicgep/app?component=%24DirectLink&amp;page=FrontEndViewTender&amp;service=direct&amp;session=T&amp;sp=SSC%2FLKH51aD2wgK%2FyGp6Sew%3D%3D", "Rate contract for supply of material on all construction works conducted under Mahatma Gandhi NREGA scheme and various schemes of Rural Development and Panchayati Raj Department, Gram Panchayat Booj")</f>
        <v/>
      </c>
      <c r="C406" t="inlineStr">
        <is>
          <t>Panchayati Raj Department||Secretary and Commissioner||CEO- JAIPUR||BDO-JAMUVARAMGAH</t>
        </is>
      </c>
      <c r="D406" t="inlineStr">
        <is>
          <t>28-May-2025 05:00 PM</t>
        </is>
      </c>
      <c r="E406" t="inlineStr">
        <is>
          <t>80,00,000</t>
        </is>
      </c>
      <c r="F406" t="inlineStr">
        <is>
          <t>Rate contract for supply of material on all construction works conducted under Mahatma Gandhi NREGA scheme and various schemes of Rural Development and Panchayati Raj Department, Gram Panchayat Booj</t>
        </is>
      </c>
      <c r="G406" t="inlineStr">
        <is>
          <t>Gram Panchayat Booj</t>
        </is>
      </c>
    </row>
    <row r="407">
      <c r="A407" s="1" t="n">
        <v>405</v>
      </c>
      <c r="B407">
        <f>HYPERLINK("https://eproc.rajasthan.gov.in/nicgep/app?component=%24DirectLink&amp;page=FrontEndViewTender&amp;service=direct&amp;session=T&amp;sp=SDVgae0eDhY2Z4HMmbv%2B2jA%3D%3D", "Rate contract for supply of material on all construction works conducted under Mahatma Gandhi NREGA scheme and various schemes of Rural Development and Panchayati Raj Department, Gram Panchayat Indragarh")</f>
        <v/>
      </c>
      <c r="C407" t="inlineStr">
        <is>
          <t>Panchayati Raj Department||Secretary and Commissioner||CEO- JAIPUR||BDO-JAMUVARAMGAH</t>
        </is>
      </c>
      <c r="D407" t="inlineStr">
        <is>
          <t>28-May-2025 05:00 PM</t>
        </is>
      </c>
      <c r="E407" t="inlineStr">
        <is>
          <t>50,00,000</t>
        </is>
      </c>
      <c r="F407" t="inlineStr">
        <is>
          <t>Rate contract for supply of material on all construction works conducted under Mahatma Gandhi NREGA scheme and various schemes of Rural Development and Panchayati Raj Department, Gram Panchayat Indragarh</t>
        </is>
      </c>
      <c r="G407" t="inlineStr">
        <is>
          <t>Gram Panchayat Indragarh</t>
        </is>
      </c>
    </row>
    <row r="408">
      <c r="A408" s="1" t="n">
        <v>406</v>
      </c>
      <c r="B408">
        <f>HYPERLINK("https://eproc.rajasthan.gov.in/nicgep/app?component=%24DirectLink&amp;page=FrontEndViewTender&amp;service=direct&amp;session=T&amp;sp=SYXadqb8OrrtXO568mu3NvQ%3D%3D", "GHAR GHAR KACHARA SANGHARAN AVM PRATHAKKARAN SADAK AVM NALI SAFAI TATHA SAMODAYAK SWACHCHATA PARISAR KI SAFAI KARY")</f>
        <v/>
      </c>
      <c r="C408" t="inlineStr">
        <is>
          <t>Panchayati Raj Department||Secretary and Commissioner||CEO-NAGORE||BDO-JAYAL</t>
        </is>
      </c>
      <c r="D408" t="inlineStr">
        <is>
          <t>26-May-2025 09:00 AM</t>
        </is>
      </c>
      <c r="E408" t="inlineStr">
        <is>
          <t>15,00,000</t>
        </is>
      </c>
      <c r="F408" t="inlineStr">
        <is>
          <t>GHAR GHAR KACHARA SANGHARAN AVM PRATHAKKARAN SADAK AVM NALI SAFAI TATHA SAMODAYAK SWACHCHATA PARISAR KI SAFAI KARY</t>
        </is>
      </c>
      <c r="G408" t="inlineStr">
        <is>
          <t>GP DEH</t>
        </is>
      </c>
    </row>
    <row r="409">
      <c r="A409" s="1" t="n">
        <v>407</v>
      </c>
      <c r="B409">
        <f>HYPERLINK("https://eproc.rajasthan.gov.in/nicgep/app?component=%24DirectLink&amp;page=FrontEndViewTender&amp;service=direct&amp;session=T&amp;sp=SuBPNJTGvQO1O650FtBhlSA%3D%3D", "METERIAL SUPPLY IN GP GHAT")</f>
        <v/>
      </c>
      <c r="C409" t="inlineStr">
        <is>
          <t>Panchayati Raj Department||Secretary and Commissioner||CEO-ALWAR||BDO-KATHUMBAR</t>
        </is>
      </c>
      <c r="D409" t="inlineStr">
        <is>
          <t>26-May-2025 06:00 PM</t>
        </is>
      </c>
      <c r="E409" t="inlineStr">
        <is>
          <t>30,00,000</t>
        </is>
      </c>
      <c r="F409" t="inlineStr">
        <is>
          <t>METERIAL SUPPLY IN GP GHAT</t>
        </is>
      </c>
      <c r="G409" t="inlineStr">
        <is>
          <t>GP GHAT</t>
        </is>
      </c>
    </row>
    <row r="410">
      <c r="A410" s="1" t="n">
        <v>408</v>
      </c>
      <c r="B410">
        <f>HYPERLINK("https://eproc.rajasthan.gov.in/nicgep/app?component=%24DirectLink&amp;page=FrontEndViewTender&amp;service=direct&amp;session=T&amp;sp=SxdGln32bTPLY212CG1%2BtxQ%3D%3D", "METERIAL SUPPLY IN GP INTERA")</f>
        <v/>
      </c>
      <c r="C410" t="inlineStr">
        <is>
          <t>Panchayati Raj Department||Secretary and Commissioner||CEO-ALWAR||BDO-KATHUMBAR</t>
        </is>
      </c>
      <c r="D410" t="inlineStr">
        <is>
          <t>26-May-2025 06:00 PM</t>
        </is>
      </c>
      <c r="E410" t="inlineStr">
        <is>
          <t>30,00,000</t>
        </is>
      </c>
      <c r="F410" t="inlineStr">
        <is>
          <t>METERIAL SUPPLY IN GP INTERA</t>
        </is>
      </c>
      <c r="G410" t="inlineStr">
        <is>
          <t>GP INTERA</t>
        </is>
      </c>
    </row>
    <row r="411">
      <c r="A411" s="1" t="n">
        <v>409</v>
      </c>
      <c r="B411">
        <f>HYPERLINK("https://eproc.rajasthan.gov.in/nicgep/app?component=%24DirectLink&amp;page=FrontEndViewTender&amp;service=direct&amp;session=T&amp;sp=SOfnAQelIA7bVXGQ80kTJjA%3D%3D", "SBM")</f>
        <v/>
      </c>
      <c r="C411" t="inlineStr">
        <is>
          <t>Panchayati Raj Department||Secretary and Commissioner||CEO-AJMER||BDO-JAWAJA</t>
        </is>
      </c>
      <c r="D411" t="inlineStr">
        <is>
          <t>28-May-2025 05:00 PM</t>
        </is>
      </c>
      <c r="E411" t="inlineStr">
        <is>
          <t>6,42,280</t>
        </is>
      </c>
      <c r="F411" t="inlineStr">
        <is>
          <t>SBM</t>
        </is>
      </c>
      <c r="G411" t="inlineStr">
        <is>
          <t>GP</t>
        </is>
      </c>
    </row>
    <row r="412">
      <c r="A412" s="1" t="n">
        <v>410</v>
      </c>
      <c r="B412">
        <f>HYPERLINK("https://eproc.rajasthan.gov.in/nicgep/app?component=%24DirectLink&amp;page=FrontEndViewTender&amp;service=direct&amp;session=T&amp;sp=SkQAaRb9oS1mdiGNCHY2S7Q%3D%3D", "METERIAL SUPPLY IN GONGARI")</f>
        <v/>
      </c>
      <c r="C412" t="inlineStr">
        <is>
          <t>Panchayati Raj Department||Secretary and Commissioner||CEO-ALWAR||BDO-KATHUMBAR</t>
        </is>
      </c>
      <c r="D412" t="inlineStr">
        <is>
          <t>26-May-2025 06:00 PM</t>
        </is>
      </c>
      <c r="E412" t="inlineStr">
        <is>
          <t>30,00,000</t>
        </is>
      </c>
      <c r="F412" t="inlineStr">
        <is>
          <t>METERIAL SUPPLY IN GONGARI</t>
        </is>
      </c>
      <c r="G412" t="inlineStr">
        <is>
          <t>GP DONGARI</t>
        </is>
      </c>
    </row>
    <row r="413">
      <c r="A413" s="1" t="n">
        <v>411</v>
      </c>
      <c r="B413">
        <f>HYPERLINK("https://eproc.rajasthan.gov.in/nicgep/app?component=%24DirectLink&amp;page=FrontEndViewTender&amp;service=direct&amp;session=T&amp;sp=SmQgEcMqT0CQqDQDEFiHdEA%3D%3D", "METERIAL SUPPLY IN GP CHIDWAI")</f>
        <v/>
      </c>
      <c r="C413" t="inlineStr">
        <is>
          <t>Panchayati Raj Department||Secretary and Commissioner||CEO-ALWAR||BDO-KATHUMBAR</t>
        </is>
      </c>
      <c r="D413" t="inlineStr">
        <is>
          <t>26-May-2025 06:00 PM</t>
        </is>
      </c>
      <c r="E413" t="inlineStr">
        <is>
          <t>30,00,000</t>
        </is>
      </c>
      <c r="F413" t="inlineStr">
        <is>
          <t>METERIAL SUPPLY IN GP CHIDWAI</t>
        </is>
      </c>
      <c r="G413" t="inlineStr">
        <is>
          <t>GP CHIDWAI</t>
        </is>
      </c>
    </row>
    <row r="414">
      <c r="A414" s="1" t="n">
        <v>412</v>
      </c>
      <c r="B414">
        <f>HYPERLINK("https://eproc.rajasthan.gov.in/nicgep/app?component=%24DirectLink&amp;page=FrontEndViewTender&amp;service=direct&amp;session=T&amp;sp=SCslJYpUlO%2BcOyOQN0LyB4g%3D%3D", "METERIAL SUPPLY IN GP BUTIYANA")</f>
        <v/>
      </c>
      <c r="C414" t="inlineStr">
        <is>
          <t>Panchayati Raj Department||Secretary and Commissioner||CEO-ALWAR||BDO-KATHUMBAR</t>
        </is>
      </c>
      <c r="D414" t="inlineStr">
        <is>
          <t>26-May-2025 06:00 PM</t>
        </is>
      </c>
      <c r="E414" t="inlineStr">
        <is>
          <t>30,00,000</t>
        </is>
      </c>
      <c r="F414" t="inlineStr">
        <is>
          <t>METERIAL SUPPLY IN GP BUTIYANA</t>
        </is>
      </c>
      <c r="G414" t="inlineStr">
        <is>
          <t>GP BUTIYANA</t>
        </is>
      </c>
    </row>
    <row r="415">
      <c r="A415" s="1" t="n">
        <v>413</v>
      </c>
      <c r="B415">
        <f>HYPERLINK("https://eproc.rajasthan.gov.in/nicgep/app?component=%24DirectLink&amp;page=FrontEndViewTender&amp;service=direct&amp;session=T&amp;sp=SS7xBXwC2hnmbyvaTJzNU%2Bw%3D%3D", "METERIAL SUPPLY IN GP INPUR")</f>
        <v/>
      </c>
      <c r="C415" t="inlineStr">
        <is>
          <t>Panchayati Raj Department||Secretary and Commissioner||CEO-ALWAR||BDO-KATHUMBAR</t>
        </is>
      </c>
      <c r="D415" t="inlineStr">
        <is>
          <t>26-May-2025 06:00 PM</t>
        </is>
      </c>
      <c r="E415" t="inlineStr">
        <is>
          <t>30,00,000</t>
        </is>
      </c>
      <c r="F415" t="inlineStr">
        <is>
          <t>METERIAL SUPPLY IN GP INPUR</t>
        </is>
      </c>
      <c r="G415" t="inlineStr">
        <is>
          <t>GP INPUR</t>
        </is>
      </c>
    </row>
    <row r="416">
      <c r="A416" s="1" t="n">
        <v>414</v>
      </c>
      <c r="B416">
        <f>HYPERLINK("https://eproc.rajasthan.gov.in/nicgep/app?component=%24DirectLink&amp;page=FrontEndViewTender&amp;service=direct&amp;session=T&amp;sp=SRLr562LOgm2oAxn%2BYzddVg%3D%3D", "METERIAL SUPPLY IN GP BHESDAWAT")</f>
        <v/>
      </c>
      <c r="C416" t="inlineStr">
        <is>
          <t>Panchayati Raj Department||Secretary and Commissioner||CEO-ALWAR||BDO-KATHUMBAR</t>
        </is>
      </c>
      <c r="D416" t="inlineStr">
        <is>
          <t>26-May-2025 06:00 PM</t>
        </is>
      </c>
      <c r="E416" t="inlineStr">
        <is>
          <t>30,00,000</t>
        </is>
      </c>
      <c r="F416" t="inlineStr">
        <is>
          <t>METERIAL SUPPLY IN GP BHESDAWAT</t>
        </is>
      </c>
      <c r="G416" t="inlineStr">
        <is>
          <t>GP BHESDAWAT</t>
        </is>
      </c>
    </row>
    <row r="417">
      <c r="A417" s="1" t="n">
        <v>415</v>
      </c>
      <c r="B417">
        <f>HYPERLINK("https://eproc.rajasthan.gov.in/nicgep/app?component=%24DirectLink&amp;page=FrontEndViewTender&amp;service=direct&amp;session=T&amp;sp=SvLd%2FcaPSnTm33gv5n%2FADxA%3D%3D", "Supply of buiding metarial and equipment providing at Gram Panchayat Boli")</f>
        <v/>
      </c>
      <c r="C417" t="inlineStr">
        <is>
          <t>Panchayati Raj Department||Secretary and Commissioner||CEO-BADMER||BDO-FAGLIYA</t>
        </is>
      </c>
      <c r="D417" t="inlineStr">
        <is>
          <t>26-May-2025 06:00 PM</t>
        </is>
      </c>
      <c r="E417" t="inlineStr">
        <is>
          <t>1,00,00,000</t>
        </is>
      </c>
      <c r="F417" t="inlineStr">
        <is>
          <t>Building Material</t>
        </is>
      </c>
      <c r="G417" t="inlineStr">
        <is>
          <t>Boli</t>
        </is>
      </c>
    </row>
    <row r="418">
      <c r="A418" s="1" t="n">
        <v>416</v>
      </c>
      <c r="B418">
        <f>HYPERLINK("https://eproc.rajasthan.gov.in/nicgep/app?component=%24DirectLink&amp;page=FrontEndViewTender&amp;service=direct&amp;session=T&amp;sp=SObNtA9cIZ1NAXsGP96qcnA%3D%3D", "Supply Of Civil Constriction Goods Under Mnrega and Other scheme for session 2025-26 Gram Panchayat Ghosinga Panchayat Samiti Pahadi")</f>
        <v/>
      </c>
      <c r="C418" t="inlineStr">
        <is>
          <t>Panchayati Raj Department||Secretary and Commissioner||CEO-BHARATPUR||BDO-NAGAR</t>
        </is>
      </c>
      <c r="D418" t="inlineStr">
        <is>
          <t>02-Jun-2025 06:00 PM</t>
        </is>
      </c>
      <c r="E418" t="inlineStr">
        <is>
          <t>70,00,000</t>
        </is>
      </c>
      <c r="F418" t="inlineStr">
        <is>
          <t>Supply Of Civil Constriction Goods Under Mnrega and Other scheme for session 2025-26 Gram Panchayat Ghosinga Panchayat Samiti Pahadi</t>
        </is>
      </c>
      <c r="G418" t="inlineStr">
        <is>
          <t>GP_GHOSINGA</t>
        </is>
      </c>
    </row>
    <row r="419">
      <c r="A419" s="1" t="n">
        <v>417</v>
      </c>
      <c r="B419">
        <f>HYPERLINK("https://eproc.rajasthan.gov.in/nicgep/app?component=%24DirectLink&amp;page=FrontEndViewTender&amp;service=direct&amp;session=T&amp;sp=Soe4VQu0zbyiWEjNHqXbUcA%3D%3D", "Supply Of Civil Constriction Goods Under Mnrega and Other scheme for session 2025-26 Gram Panchayat Ranph Panchayat Samiti Pahadi")</f>
        <v/>
      </c>
      <c r="C419" t="inlineStr">
        <is>
          <t>Panchayati Raj Department||Secretary and Commissioner||CEO-BHARATPUR||BDO-NAGAR</t>
        </is>
      </c>
      <c r="D419" t="inlineStr">
        <is>
          <t>02-Jun-2025 06:00 PM</t>
        </is>
      </c>
      <c r="E419" t="inlineStr">
        <is>
          <t>70,00,000</t>
        </is>
      </c>
      <c r="F419" t="inlineStr">
        <is>
          <t>Supply Of Civil Constriction Goods Under Mnrega and Other scheme for session 2025-26 Gram Panchayat Ranph Panchayat Samiti Pahadi</t>
        </is>
      </c>
      <c r="G419" t="inlineStr">
        <is>
          <t>GP_RANPH</t>
        </is>
      </c>
    </row>
    <row r="420">
      <c r="A420" s="1" t="n">
        <v>418</v>
      </c>
      <c r="B420">
        <f>HYPERLINK("https://eproc.rajasthan.gov.in/nicgep/app?component=%24DirectLink&amp;page=FrontEndViewTender&amp;service=direct&amp;session=T&amp;sp=SVAoxOCZGuoRc%2FDiPJzTYCA%3D%3D", "SUPPLY OF CONSTRUCTION MATERIAL AND PROVIDING EQUIPMENT IN GP LAMBAKALAN PS TODARAISINGH")</f>
        <v/>
      </c>
      <c r="C420" t="inlineStr">
        <is>
          <t>Panchayati Raj Department||Secretary and Commissioner||CEO-TONK||BDO-TODARAISINGH</t>
        </is>
      </c>
      <c r="D420" t="inlineStr">
        <is>
          <t>27-May-2025 06:00 PM</t>
        </is>
      </c>
      <c r="E420" t="inlineStr">
        <is>
          <t>60,00,000</t>
        </is>
      </c>
      <c r="F420" t="inlineStr">
        <is>
          <t>SUPPLY OF CONSTRUCTION MATERIAL AND PROVIDING EQUIPMENT IN GP LAMBAKALAN PS TODARAISINGH</t>
        </is>
      </c>
      <c r="G420" t="inlineStr">
        <is>
          <t>GP LAMBAKALAN</t>
        </is>
      </c>
    </row>
    <row r="421">
      <c r="A421" s="1" t="n">
        <v>419</v>
      </c>
      <c r="B421">
        <f>HYPERLINK("https://eproc.rajasthan.gov.in/nicgep/app?component=%24DirectLink&amp;page=FrontEndViewTender&amp;service=direct&amp;session=T&amp;sp=S4Q8v0H6cSns6261zjtAwbA%3D%3D", "SUPPLY OF CONSTRUCTION MATERIAL AND PROVIDING EQUIPMENT IN GP GOPALPURA PS TODARAISINGH")</f>
        <v/>
      </c>
      <c r="C421" t="inlineStr">
        <is>
          <t>Panchayati Raj Department||Secretary and Commissioner||CEO-TONK||BDO-TODARAISINGH</t>
        </is>
      </c>
      <c r="D421" t="inlineStr">
        <is>
          <t>26-May-2025 06:00 PM</t>
        </is>
      </c>
      <c r="E421" t="inlineStr">
        <is>
          <t>80,00,000</t>
        </is>
      </c>
      <c r="F421" t="inlineStr">
        <is>
          <t>SUPPLY OF CONSTRUCTION MATERIAL AND PROVIDING EQUIPMENT IN GP GOPALPURA PS TODARAISINGH</t>
        </is>
      </c>
      <c r="G421" t="inlineStr">
        <is>
          <t>GP GOPALPURA</t>
        </is>
      </c>
    </row>
    <row r="422">
      <c r="A422" s="1" t="n">
        <v>420</v>
      </c>
      <c r="B422">
        <f>HYPERLINK("https://eproc.rajasthan.gov.in/nicgep/app?component=%24DirectLink&amp;page=FrontEndViewTender&amp;service=direct&amp;session=T&amp;sp=SyRFWyOVi%2B5STFbDOp8rUpg%3D%3D", "GHAR GHAR KACHARA SANGHARAN AVM PRATHAKKARAN SADAK AVM NALI SAFAI TATHA SAMODAYAK SWACHCHATA PARISAR KI SAFAI KARY")</f>
        <v/>
      </c>
      <c r="C422" t="inlineStr">
        <is>
          <t>Panchayati Raj Department||Secretary and Commissioner||CEO-NAGORE||BDO-JAYAL</t>
        </is>
      </c>
      <c r="D422" t="inlineStr">
        <is>
          <t>26-May-2025 10:55 AM</t>
        </is>
      </c>
      <c r="E422" t="inlineStr">
        <is>
          <t>15,00,000</t>
        </is>
      </c>
      <c r="F422" t="inlineStr">
        <is>
          <t>GHAR GHAR KACHARA SANGHARAN AVM PRATHAKKARAN SADAK AVM NALI SAFAI TATHA SAMODAYAK SWACHCHATA PARISAR KI SAFAI KARY</t>
        </is>
      </c>
      <c r="G422" t="inlineStr">
        <is>
          <t>GP KATHOTI</t>
        </is>
      </c>
    </row>
    <row r="423">
      <c r="A423" s="1" t="n">
        <v>421</v>
      </c>
      <c r="B423">
        <f>HYPERLINK("https://eproc.rajasthan.gov.in/nicgep/app?component=%24DirectLink&amp;page=FrontEndViewTender&amp;service=direct&amp;session=T&amp;sp=Snvafn5CESTO1pAYzJbRZOA%3D%3D", "MATERIAL SUPPLY TENDER GP KOLIYA")</f>
        <v/>
      </c>
      <c r="C423" t="inlineStr">
        <is>
          <t>Panchayati Raj Department||Secretary and Commissioner||CEO-NAGORE||BDO-DIDWANA</t>
        </is>
      </c>
      <c r="D423" t="inlineStr">
        <is>
          <t>26-May-2025 06:00 PM</t>
        </is>
      </c>
      <c r="E423" t="inlineStr">
        <is>
          <t>1,00,00,000</t>
        </is>
      </c>
      <c r="F423" t="inlineStr">
        <is>
          <t>Material and Equipment supply under MGNREGA RD and PRD Schemes in GP KOLIYA</t>
        </is>
      </c>
      <c r="G423" t="inlineStr">
        <is>
          <t>GP KOLIYA</t>
        </is>
      </c>
    </row>
    <row r="424">
      <c r="A424" s="1" t="n">
        <v>422</v>
      </c>
      <c r="B424">
        <f>HYPERLINK("https://eproc.rajasthan.gov.in/nicgep/app?component=%24DirectLink&amp;page=FrontEndViewTender&amp;service=direct&amp;session=T&amp;sp=SOcoPZ62HcUmYrDKJZqNuYQ%3D%3D", "SUPPLY OF CONSTRUCTION MATERIAL AND PROVIDING EQUIPMENT IN GP CHANBASSURYA PS TODARAISINGH")</f>
        <v/>
      </c>
      <c r="C424" t="inlineStr">
        <is>
          <t>Panchayati Raj Department||Secretary and Commissioner||CEO-TONK||BDO-TODARAISINGH</t>
        </is>
      </c>
      <c r="D424" t="inlineStr">
        <is>
          <t>22-May-2025 06:00 PM</t>
        </is>
      </c>
      <c r="E424" t="inlineStr">
        <is>
          <t>80,00,000</t>
        </is>
      </c>
      <c r="F424" t="inlineStr">
        <is>
          <t>SUPPLY OF CONSTRUCTION MATERIAL AND PROVIDING EQUIPMENT IN GP CHANBASSURYA PS TODARAISINGH</t>
        </is>
      </c>
      <c r="G424" t="inlineStr">
        <is>
          <t>GP CHANBASSURYA</t>
        </is>
      </c>
    </row>
    <row r="425">
      <c r="A425" s="1" t="n">
        <v>423</v>
      </c>
      <c r="B425">
        <f>HYPERLINK("https://eproc.rajasthan.gov.in/nicgep/app?component=%24DirectLink&amp;page=FrontEndViewTender&amp;service=direct&amp;session=T&amp;sp=SFWCo2tE8iiHJkzvjb7o2pg%3D%3D", "SUPPLY OF CONSTRUCTION MATERIAL AND PROVIDING EQUIPMENT IN GP HAMIRPUR PS TODARAISINGH")</f>
        <v/>
      </c>
      <c r="C425" t="inlineStr">
        <is>
          <t>Panchayati Raj Department||Secretary and Commissioner||CEO-TONK||BDO-TODARAISINGH</t>
        </is>
      </c>
      <c r="D425" t="inlineStr">
        <is>
          <t>22-May-2025 06:00 PM</t>
        </is>
      </c>
      <c r="E425" t="inlineStr">
        <is>
          <t>50,00,000</t>
        </is>
      </c>
      <c r="F425" t="inlineStr">
        <is>
          <t>SUPPLY OF CONSTRUCTION MATERIAL AND PROVIDING EQUIPMENT IN GP HAMIRPUR PS TODARAISINGH</t>
        </is>
      </c>
      <c r="G425" t="inlineStr">
        <is>
          <t>GP HAMIRPUR</t>
        </is>
      </c>
    </row>
    <row r="426">
      <c r="A426" s="1" t="n">
        <v>424</v>
      </c>
      <c r="B426">
        <f>HYPERLINK("https://eproc.rajasthan.gov.in/nicgep/app?component=%24DirectLink&amp;page=FrontEndViewTender&amp;service=direct&amp;session=T&amp;sp=SMr4h4ObQaRNEWb6xYQ3Pww%3D%3D", "SUPPLY OF CONSTRUCTION MATERIAL AND PROVIDING EQUIPMENT IN GP INDOKIYA PS TODARAISINGH")</f>
        <v/>
      </c>
      <c r="C426" t="inlineStr">
        <is>
          <t>Panchayati Raj Department||Secretary and Commissioner||CEO-TONK||BDO-TODARAISINGH</t>
        </is>
      </c>
      <c r="D426" t="inlineStr">
        <is>
          <t>22-May-2025 06:00 PM</t>
        </is>
      </c>
      <c r="E426" t="inlineStr">
        <is>
          <t>50,00,000</t>
        </is>
      </c>
      <c r="F426" t="inlineStr">
        <is>
          <t>SUPPLY OF CONSTRUCTION MATERIAL AND PROVIDING EQUIPMENT IN GP INDOKIYA PS TODARAISINGH</t>
        </is>
      </c>
      <c r="G426" t="inlineStr">
        <is>
          <t>GP INDOKIYA</t>
        </is>
      </c>
    </row>
    <row r="427">
      <c r="A427" s="1" t="n">
        <v>425</v>
      </c>
      <c r="B427">
        <f>HYPERLINK("https://eproc.rajasthan.gov.in/nicgep/app?component=%24DirectLink&amp;page=FrontEndViewTender&amp;service=direct&amp;session=T&amp;sp=SqXAP%2BMboPnspRWjDXRxxJA%3D%3D", "SUPPLY OF CONSTRUCTION MATERIAL AND PROVIDING EQUIPMENT IN GP KANWRAWAS PS TODARAISINGH")</f>
        <v/>
      </c>
      <c r="C427" t="inlineStr">
        <is>
          <t>Panchayati Raj Department||Secretary and Commissioner||CEO-TONK||BDO-TODARAISINGH</t>
        </is>
      </c>
      <c r="D427" t="inlineStr">
        <is>
          <t>28-May-2025 06:00 PM</t>
        </is>
      </c>
      <c r="E427" t="inlineStr">
        <is>
          <t>60,00,000</t>
        </is>
      </c>
      <c r="F427" t="inlineStr">
        <is>
          <t>SUPPLY OF CONSTRUCTION MATERIAL AND PROVIDING EQUIPMENT IN GP KANWRAWAS PS TODARAISINGH</t>
        </is>
      </c>
      <c r="G427" t="inlineStr">
        <is>
          <t>GP KANWRAWAS</t>
        </is>
      </c>
    </row>
    <row r="428">
      <c r="A428" s="1" t="n">
        <v>426</v>
      </c>
      <c r="B428">
        <f>HYPERLINK("https://eproc.rajasthan.gov.in/nicgep/app?component=%24DirectLink&amp;page=FrontEndViewTender&amp;service=direct&amp;session=T&amp;sp=SsfWc29I48ZmN62eC%2FoIvBA%3D%3D", "Rate contract for supply of material on all construction works conducted under Mahatma Gandhi NREGA scheme and various schemes of Rural Development and Panchayati Raj Department, Gram Panchayat Bobadi")</f>
        <v/>
      </c>
      <c r="C428" t="inlineStr">
        <is>
          <t>Panchayati Raj Department||Secretary and Commissioner||CEO- JAIPUR||BDO-JAMUVARAMGAH</t>
        </is>
      </c>
      <c r="D428" t="inlineStr">
        <is>
          <t>28-May-2025 05:00 PM</t>
        </is>
      </c>
      <c r="E428" t="inlineStr">
        <is>
          <t>60,00,000</t>
        </is>
      </c>
      <c r="F428" t="inlineStr">
        <is>
          <t>Rate contract for supply of material on all construction works conducted under Mahatma Gandhi NREGA scheme and various schemes of Rural Development and Panchayati Raj Department, Gram Panchayat Bobadi</t>
        </is>
      </c>
      <c r="G428" t="inlineStr">
        <is>
          <t>Gram Panchayat Bobadi</t>
        </is>
      </c>
    </row>
    <row r="429">
      <c r="A429" s="1" t="n">
        <v>427</v>
      </c>
      <c r="B429">
        <f>HYPERLINK("https://eproc.rajasthan.gov.in/nicgep/app?component=%24DirectLink&amp;page=FrontEndViewTender&amp;service=direct&amp;session=T&amp;sp=SEm%2FqrQ5eP%2Bf8glvPh5NXTw%3D%3D", "Handpump and Singal Point establishment work all GP of Nangal Rajawatan")</f>
        <v/>
      </c>
      <c r="C429" t="inlineStr">
        <is>
          <t>Panchayati Raj Department||Secretary and Commissioner||CEO-DAUSA||BDO-NANGAL RAJAWATAN</t>
        </is>
      </c>
      <c r="D429" t="inlineStr">
        <is>
          <t>28-May-2025 12:30 PM</t>
        </is>
      </c>
      <c r="E429" t="inlineStr">
        <is>
          <t>60,00,000</t>
        </is>
      </c>
      <c r="F429" t="inlineStr">
        <is>
          <t>Handpump and Singal Point establishment work all GP of Nangal Rajawatan</t>
        </is>
      </c>
      <c r="G429" t="inlineStr">
        <is>
          <t>NANGAL RAJAWATAN</t>
        </is>
      </c>
    </row>
    <row r="430">
      <c r="A430" s="1" t="n">
        <v>428</v>
      </c>
      <c r="B430">
        <f>HYPERLINK("https://eproc.rajasthan.gov.in/nicgep/app?component=%24DirectLink&amp;page=FrontEndViewTender&amp;service=direct&amp;session=T&amp;sp=SEH1nmHFdhBChphhyrieucw%3D%3D", "Supply of Construction Materials and Service of Equipments (Financial Year 2025-26) for Gram Panchayat Charana.")</f>
        <v/>
      </c>
      <c r="C430" t="inlineStr">
        <is>
          <t>Panchayati Raj Department||Secretary and Commissioner||CEO-RAJSAMAND||BDO-RAILMAGARA</t>
        </is>
      </c>
      <c r="D430" t="inlineStr">
        <is>
          <t>27-May-2025 06:00 PM</t>
        </is>
      </c>
      <c r="E430" t="inlineStr">
        <is>
          <t>50,00,000</t>
        </is>
      </c>
      <c r="F430" t="inlineStr">
        <is>
          <t>Supply of Construction Materials and Service of Equipments (Financial Year 2025-26) for Gram Panchayat Charana.</t>
        </is>
      </c>
      <c r="G430" t="inlineStr">
        <is>
          <t>GRAM PANCHAYAT CHARANA</t>
        </is>
      </c>
    </row>
    <row r="431">
      <c r="A431" s="1" t="n">
        <v>429</v>
      </c>
      <c r="B431">
        <f>HYPERLINK("https://eproc.rajasthan.gov.in/nicgep/app?component=%24DirectLink&amp;page=FrontEndViewTender&amp;service=direct&amp;session=T&amp;sp=Sm3nRrPumJTHiT2n4Kq1s7w%3D%3D", "SUPPLY OF CONSTRUCTION MATERIAL AND PROVIDING EQUIPMENT IN GP KUKAD PS TODARAISINGH")</f>
        <v/>
      </c>
      <c r="C431" t="inlineStr">
        <is>
          <t>Panchayati Raj Department||Secretary and Commissioner||CEO-TONK||BDO-TODARAISINGH</t>
        </is>
      </c>
      <c r="D431" t="inlineStr">
        <is>
          <t>22-May-2025 06:00 PM</t>
        </is>
      </c>
      <c r="E431" t="inlineStr">
        <is>
          <t>50,00,000</t>
        </is>
      </c>
      <c r="F431" t="inlineStr">
        <is>
          <t>SUPPLY OF CONSTRUCTION MATERIAL AND PROVIDING EQUIPMENT IN GP KUKAD PS TODARAISINGH</t>
        </is>
      </c>
      <c r="G431" t="inlineStr">
        <is>
          <t>G KUKAD</t>
        </is>
      </c>
    </row>
    <row r="432">
      <c r="A432" s="1" t="n">
        <v>430</v>
      </c>
      <c r="B432">
        <f>HYPERLINK("https://eproc.rajasthan.gov.in/nicgep/app?component=%24DirectLink&amp;page=FrontEndViewTender&amp;service=direct&amp;session=T&amp;sp=StDY0cCYqe24y2Utif3Ytig%3D%3D", "SUPPLY OF CONSTRUCTION MATERIAL AND PROVIDING EQUIPMENT IN GP BASSI PS TODARAISINGH")</f>
        <v/>
      </c>
      <c r="C432" t="inlineStr">
        <is>
          <t>Panchayati Raj Department||Secretary and Commissioner||CEO-TONK||BDO-TODARAISINGH</t>
        </is>
      </c>
      <c r="D432" t="inlineStr">
        <is>
          <t>26-May-2025 06:00 PM</t>
        </is>
      </c>
      <c r="E432" t="inlineStr">
        <is>
          <t>1,00,00,000</t>
        </is>
      </c>
      <c r="F432" t="inlineStr">
        <is>
          <t>SUPPLY OF CONSTRUCTION MATERIAL AND PROVIDING EQUIPMENT IN GP BASSI PS TODARAISINGH</t>
        </is>
      </c>
      <c r="G432" t="inlineStr">
        <is>
          <t>GP BASSI</t>
        </is>
      </c>
    </row>
    <row r="433">
      <c r="A433" s="1" t="n">
        <v>431</v>
      </c>
      <c r="B433">
        <f>HYPERLINK("https://eproc.rajasthan.gov.in/nicgep/app?component=%24DirectLink&amp;page=FrontEndViewTender&amp;service=direct&amp;session=T&amp;sp=SvW7N4NUTZ85%2F6t0G8x6qGg%3D%3D", "Supply Of Civil Constriction Goods Under Mnrega and Other scheme for session 2025-26 Gram Panchayat Gheesira Panchayat Samiti Pahadi")</f>
        <v/>
      </c>
      <c r="C433" t="inlineStr">
        <is>
          <t>Panchayati Raj Department||Secretary and Commissioner||CEO-BHARATPUR||BDO-NAGAR</t>
        </is>
      </c>
      <c r="D433" t="inlineStr">
        <is>
          <t>02-Jun-2025 06:00 PM</t>
        </is>
      </c>
      <c r="E433" t="inlineStr">
        <is>
          <t>70,00,000</t>
        </is>
      </c>
      <c r="F433" t="inlineStr">
        <is>
          <t>Supply Of Civil Constriction Goods Under Mnrega and Other scheme for session 2025-26 Gram Panchayat Gheesira Panchayat Samiti Pahadi</t>
        </is>
      </c>
      <c r="G433" t="inlineStr">
        <is>
          <t>GP_GHEESIRA</t>
        </is>
      </c>
    </row>
    <row r="434">
      <c r="A434" s="1" t="n">
        <v>432</v>
      </c>
      <c r="B434">
        <f>HYPERLINK("https://eproc.rajasthan.gov.in/nicgep/app?component=%24DirectLink&amp;page=FrontEndViewTender&amp;service=direct&amp;session=T&amp;sp=SOOVv64omEHOff36ICo99ag%3D%3D", "Material and Sundry Equipment supply under MGNREGA, RD and PRD Schemes in GP BHADANA For Fin. Year 2025-26")</f>
        <v/>
      </c>
      <c r="C434" t="inlineStr">
        <is>
          <t>Panchayati Raj Department||Secretary and Commissioner||CEO-NAGORE||BDO-NAGORE</t>
        </is>
      </c>
      <c r="D434" t="inlineStr">
        <is>
          <t>26-May-2025 06:00 PM</t>
        </is>
      </c>
      <c r="E434" t="inlineStr">
        <is>
          <t>90,00,000</t>
        </is>
      </c>
      <c r="F434" t="inlineStr">
        <is>
          <t>Material and Sundry Equipment supply under MGNREGA, RD and PRD Schemes in GP BHADANA For Fin. Year 2025-26</t>
        </is>
      </c>
      <c r="G434" t="inlineStr">
        <is>
          <t>GP BHADANA</t>
        </is>
      </c>
    </row>
    <row r="435">
      <c r="A435" s="1" t="n">
        <v>433</v>
      </c>
      <c r="B435">
        <f>HYPERLINK("https://eproc.rajasthan.gov.in/nicgep/app?component=%24DirectLink&amp;page=FrontEndViewTender&amp;service=direct&amp;session=T&amp;sp=SqUxrjrysIPsgSh9REaF6dA%3D%3D", "Rate contract for supply of material on all construction works conducted under Mahatma Gandhi NREGA scheme and various schemes of Rural Development and Panchayati Raj Department, Gram Panchayat Bilod")</f>
        <v/>
      </c>
      <c r="C435" t="inlineStr">
        <is>
          <t>Panchayati Raj Department||Secretary and Commissioner||CEO- JAIPUR||BDO-JAMUVARAMGAH</t>
        </is>
      </c>
      <c r="D435" t="inlineStr">
        <is>
          <t>28-May-2025 05:00 PM</t>
        </is>
      </c>
      <c r="E435" t="inlineStr">
        <is>
          <t>50,00,000</t>
        </is>
      </c>
      <c r="F435" t="inlineStr">
        <is>
          <t>Rate contract for supply of material on all construction works conducted under Mahatma Gandhi NREGA scheme and various schemes of Rural Development and Panchayati Raj Department, Gram Panchayat Bilod</t>
        </is>
      </c>
      <c r="G435" t="inlineStr">
        <is>
          <t>Gram Panchayat Bilod</t>
        </is>
      </c>
    </row>
    <row r="436">
      <c r="A436" s="1" t="n">
        <v>434</v>
      </c>
      <c r="B436">
        <f>HYPERLINK("https://eproc.rajasthan.gov.in/nicgep/app?component=%24DirectLink&amp;page=FrontEndViewTender&amp;service=direct&amp;session=T&amp;sp=SK%2Ffy%2FSgGDxO7bcdg5COHyw%3D%3D", "Rate contract for supply of material on all construction works conducted under Mahatma Gandhi NREGA scheme and various schemes of Rural Development and Panchayati Raj Department, Gram Panchayat Bhuranpura")</f>
        <v/>
      </c>
      <c r="C436" t="inlineStr">
        <is>
          <t>Panchayati Raj Department||Secretary and Commissioner||CEO- JAIPUR||BDO-JAMUVARAMGAH</t>
        </is>
      </c>
      <c r="D436" t="inlineStr">
        <is>
          <t>28-May-2025 05:00 PM</t>
        </is>
      </c>
      <c r="E436" t="inlineStr">
        <is>
          <t>60,00,000</t>
        </is>
      </c>
      <c r="F436" t="inlineStr">
        <is>
          <t>Rate contract for supply of material on all construction works conducted under Mahatma Gandhi NREGA scheme and various schemes of Rural Development and Panchayati Raj Department, Gram Panchayat Bhuranpura</t>
        </is>
      </c>
      <c r="G436" t="inlineStr">
        <is>
          <t>Panchayat Bhuranpura</t>
        </is>
      </c>
    </row>
    <row r="437">
      <c r="A437" s="1" t="n">
        <v>435</v>
      </c>
      <c r="B437">
        <f>HYPERLINK("https://eproc.rajasthan.gov.in/nicgep/app?component=%24DirectLink&amp;page=FrontEndViewTender&amp;service=direct&amp;session=T&amp;sp=SCfCXKtTOhZfClF46vtHf7g%3D%3D", "Supply of Construction Material with POI Driver in Scheme MNREGA, SFC , FFC and other scheme for Financial Year 2025-26 in Gram Panchyat Khedabarh Ramgarh PS Gangapur city")</f>
        <v/>
      </c>
      <c r="C437" t="inlineStr">
        <is>
          <t>Panchayati Raj Department||Secretary and Commissioner||CEO-S.MADHOPUR||BDO-GANGAPUR</t>
        </is>
      </c>
      <c r="D437" t="inlineStr">
        <is>
          <t>20-May-2025 06:00 PM</t>
        </is>
      </c>
      <c r="E437" t="inlineStr">
        <is>
          <t>40,00,000</t>
        </is>
      </c>
      <c r="F437" t="inlineStr">
        <is>
          <t>Supply of Construction Material with POI Driver in Scheme MNREGA, SFC , FFC and other scheme for Financial Year 2025-26 in Gram Panchyat Khedabarh Ramgarh PS Gangapur city</t>
        </is>
      </c>
      <c r="G437" t="inlineStr">
        <is>
          <t>GRAM PANCHAYAT KHEDABARH RAMGARH</t>
        </is>
      </c>
    </row>
    <row r="438">
      <c r="A438" s="1" t="n">
        <v>436</v>
      </c>
      <c r="B438">
        <f>HYPERLINK("https://eproc.rajasthan.gov.in/nicgep/app?component=%24DirectLink&amp;page=FrontEndViewTender&amp;service=direct&amp;session=T&amp;sp=SMD7XaGVQ43B87jFZUCRBBA%3D%3D", "MATERIAL SUPPLY AND EQUIPMENT SUPPLY FOR CONSTRUCTION WORK IN G.P. KALAGUMAN")</f>
        <v/>
      </c>
      <c r="C438" t="inlineStr">
        <is>
          <t>Panchayati Raj Department||Secretary and Commissioner||CEO-RAJSAMAND||BDO-BHEEM</t>
        </is>
      </c>
      <c r="D438" t="inlineStr">
        <is>
          <t>29-May-2025 06:00 PM</t>
        </is>
      </c>
      <c r="E438" t="inlineStr">
        <is>
          <t>50,00,000</t>
        </is>
      </c>
      <c r="F438" t="inlineStr">
        <is>
          <t>AS PER G-SCHEDULE</t>
        </is>
      </c>
      <c r="G438" t="inlineStr">
        <is>
          <t>KALAGUMAN</t>
        </is>
      </c>
    </row>
    <row r="439">
      <c r="A439" s="1" t="n">
        <v>437</v>
      </c>
      <c r="B439">
        <f>HYPERLINK("https://eproc.rajasthan.gov.in/nicgep/app?component=%24DirectLink&amp;page=FrontEndViewTender&amp;service=direct&amp;session=T&amp;sp=SgWhwF1z63%2BYt%2FmCuQSJe3Q%3D%3D", "MATERIAL SUPPLY AND EQUIPMENT SUPPLY FOR CONSTRUCTION WORK IN G.P. KACHBALI")</f>
        <v/>
      </c>
      <c r="C439" t="inlineStr">
        <is>
          <t>Panchayati Raj Department||Secretary and Commissioner||CEO-RAJSAMAND||BDO-BHEEM</t>
        </is>
      </c>
      <c r="D439" t="inlineStr">
        <is>
          <t>29-May-2025 06:00 PM</t>
        </is>
      </c>
      <c r="E439" t="inlineStr">
        <is>
          <t>50,00,000</t>
        </is>
      </c>
      <c r="F439" t="inlineStr">
        <is>
          <t>AS PER G-SCHEDULE</t>
        </is>
      </c>
      <c r="G439" t="inlineStr">
        <is>
          <t>KACHABALI</t>
        </is>
      </c>
    </row>
    <row r="440">
      <c r="A440" s="1" t="n">
        <v>438</v>
      </c>
      <c r="B440">
        <f>HYPERLINK("https://eproc.rajasthan.gov.in/nicgep/app?component=%24DirectLink&amp;page=FrontEndViewTender&amp;service=direct&amp;session=T&amp;sp=SybUq6B8POUKkXQsBRk0o1w%3D%3D", "Supply of Construction Material in Gram Panchayat Barnavada In Panchayat Samiti Khandar under MNREGA and RD and Various Scheme for the Year 2025-26")</f>
        <v/>
      </c>
      <c r="C440" t="inlineStr">
        <is>
          <t>Panchayati Raj Department||Secretary and Commissioner||CEO-S.MADHOPUR||BDO-KHANDAR</t>
        </is>
      </c>
      <c r="D440" t="inlineStr">
        <is>
          <t>25-May-2025 06:00 PM</t>
        </is>
      </c>
      <c r="E440" t="inlineStr">
        <is>
          <t>50,00,000</t>
        </is>
      </c>
      <c r="F440" t="inlineStr">
        <is>
          <t>Supply of Construction Material in Gram Panchayat Barnavada In Panchayat Samiti Khandar under MNREGA and RD and Various Scheme for the Year 2025-26</t>
        </is>
      </c>
      <c r="G440" t="inlineStr">
        <is>
          <t>GRAM PANCHAYAT BARNAVADA</t>
        </is>
      </c>
    </row>
    <row r="441">
      <c r="A441" s="1" t="n">
        <v>439</v>
      </c>
      <c r="B441">
        <f>HYPERLINK("https://eproc.rajasthan.gov.in/nicgep/app?component=%24DirectLink&amp;page=FrontEndViewTender&amp;service=direct&amp;session=T&amp;sp=SBVWHujPiYNtm8ShpNdDs%2Bw%3D%3D", "Supply Of Various Construction Materials In Gram Panchayat KHERLA For MG Nrega and Rural Development and Panchayati raj Departments Schemes for Financial Year 2025-26")</f>
        <v/>
      </c>
      <c r="C441" t="inlineStr">
        <is>
          <t>Panchayati Raj Department||Secretary and Commissioner||CEO-JHUNJHUNU||BDO-PILANI</t>
        </is>
      </c>
      <c r="D441" t="inlineStr">
        <is>
          <t>02-Jun-2025 09:00 AM</t>
        </is>
      </c>
      <c r="E441" t="inlineStr">
        <is>
          <t>50,00,000</t>
        </is>
      </c>
      <c r="F441" t="inlineStr">
        <is>
          <t>Supply Of Various Construction Materials In Gram Panchayat KHERLA For MG Nrega and Rural Development and Panchayati raj Departments Schemes for Financial Year 2025-26</t>
        </is>
      </c>
      <c r="G441" t="inlineStr">
        <is>
          <t>KHERLA</t>
        </is>
      </c>
    </row>
    <row r="442">
      <c r="A442" s="1" t="n">
        <v>440</v>
      </c>
      <c r="B442">
        <f>HYPERLINK("https://eproc.rajasthan.gov.in/nicgep/app?component=%24DirectLink&amp;page=FrontEndViewTender&amp;service=direct&amp;session=T&amp;sp=SrMp1NGUMwPnZJsJ4imvGhg%3D%3D", "Work including garbage collection and separation from homes and commercial establishments, road and drain cleaning and community sanitation complex cleaning in all the villages of Gram Panchayat Umren")</f>
        <v/>
      </c>
      <c r="C442" t="inlineStr">
        <is>
          <t>Panchayati Raj Department||Secretary and Commissioner||CEO-ALWAR||BDO-UMRAIN</t>
        </is>
      </c>
      <c r="D442" t="inlineStr">
        <is>
          <t>30-May-2025 06:00 PM</t>
        </is>
      </c>
      <c r="E442" t="inlineStr">
        <is>
          <t>16,00,000</t>
        </is>
      </c>
      <c r="F442" t="inlineStr">
        <is>
          <t>Work including garbage collection and separation from homes and commercial establishments, road and drain cleaning and community sanitation complex cleaning in all the villages of Gram Panchayat Umren</t>
        </is>
      </c>
      <c r="G442" t="inlineStr">
        <is>
          <t>GP UMREN</t>
        </is>
      </c>
    </row>
    <row r="443">
      <c r="A443" s="1" t="n">
        <v>441</v>
      </c>
      <c r="B443">
        <f>HYPERLINK("https://eproc.rajasthan.gov.in/nicgep/app?component=%24DirectLink&amp;page=FrontEndViewTender&amp;service=direct&amp;session=T&amp;sp=SQ3%2FTpUHde4s0tTrDJBtA2w%3D%3D", "MATERIAL SUPPLY TENDER GP MANDABASNI")</f>
        <v/>
      </c>
      <c r="C443" t="inlineStr">
        <is>
          <t>Panchayati Raj Department||Secretary and Commissioner||CEO-NAGORE||BDO-DIDWANA</t>
        </is>
      </c>
      <c r="D443" t="inlineStr">
        <is>
          <t>26-May-2025 06:00 PM</t>
        </is>
      </c>
      <c r="E443" t="inlineStr">
        <is>
          <t>1,00,00,000</t>
        </is>
      </c>
      <c r="F443" t="inlineStr">
        <is>
          <t>Material and Equipment supply under MGNREGA RD and PRD Schemes in GP MANDABASNI</t>
        </is>
      </c>
      <c r="G443" t="inlineStr">
        <is>
          <t>GP MANDABASNI</t>
        </is>
      </c>
    </row>
    <row r="444">
      <c r="A444" s="1" t="n">
        <v>442</v>
      </c>
      <c r="B444">
        <f>HYPERLINK("https://eproc.rajasthan.gov.in/nicgep/app?component=%24DirectLink&amp;page=FrontEndViewTender&amp;service=direct&amp;session=T&amp;sp=S1KYZ4sArY8YmBXlaniWabQ%3D%3D", "Supply of Construction Material and Equipment in Gram panchayat Ajitgarh of FY 2025-26")</f>
        <v/>
      </c>
      <c r="C444" t="inlineStr">
        <is>
          <t>Panchayati Raj Department||Secretary and Commissioner||CEO-RAJSAMAND||BDO-BHEEM</t>
        </is>
      </c>
      <c r="D444" t="inlineStr">
        <is>
          <t>29-May-2025 06:00 PM</t>
        </is>
      </c>
      <c r="E444" t="inlineStr">
        <is>
          <t>50,00,000</t>
        </is>
      </c>
      <c r="F444" t="inlineStr">
        <is>
          <t>MATERIAL SUPPLY AND EQUIPMENT SUPPLY FOR CONSTRUCTION WORK IN G.P. ajithgarh</t>
        </is>
      </c>
      <c r="G444" t="inlineStr">
        <is>
          <t>ajithgrah</t>
        </is>
      </c>
    </row>
    <row r="445">
      <c r="A445" s="1" t="n">
        <v>443</v>
      </c>
      <c r="B445">
        <f>HYPERLINK("https://eproc.rajasthan.gov.in/nicgep/app?component=%24DirectLink&amp;page=FrontEndViewTender&amp;service=direct&amp;session=T&amp;sp=SGooYbSkP7pTlwSzpUPWrMw%3D%3D", "Supply Of Various Construction Materials In Gram Panchayat GHANDAWA For MG Nrega and Rural Development and Panchayati raj Departments Schemes for Financial Year 2025-26")</f>
        <v/>
      </c>
      <c r="C445" t="inlineStr">
        <is>
          <t>Panchayati Raj Department||Secretary and Commissioner||CEO-JHUNJHUNU||BDO-PILANI</t>
        </is>
      </c>
      <c r="D445" t="inlineStr">
        <is>
          <t>02-Jun-2025 09:00 AM</t>
        </is>
      </c>
      <c r="E445" t="inlineStr">
        <is>
          <t>70,00,000</t>
        </is>
      </c>
      <c r="F445" t="inlineStr">
        <is>
          <t>Supply Of Various Construction Materials In Gram Panchayat GHANDAWA For MG Nrega and Rural Development and Panchayati raj Departments Schemes for Financial Year 2025-26</t>
        </is>
      </c>
      <c r="G445" t="inlineStr">
        <is>
          <t>GHANDAWA</t>
        </is>
      </c>
    </row>
    <row r="446">
      <c r="A446" s="1" t="n">
        <v>444</v>
      </c>
      <c r="B446">
        <f>HYPERLINK("https://eproc.rajasthan.gov.in/nicgep/app?component=%24DirectLink&amp;page=FrontEndViewTender&amp;service=direct&amp;session=T&amp;sp=SpsE3epbjEOYvl7nSgJ1Y9Q%3D%3D", "Gram panchyat me samast gavno me ghar ghar kachra sangrahan gav ki naliyo or Samudayik Parisar ki safai karya GP 8 SHPD")</f>
        <v/>
      </c>
      <c r="C446" t="inlineStr">
        <is>
          <t>Panchayati Raj Department||Secretary and Commissioner||CEO- GANGANAGAR||BDO-SURATGARH</t>
        </is>
      </c>
      <c r="D446" t="inlineStr">
        <is>
          <t>24-May-2025 02:00 PM</t>
        </is>
      </c>
      <c r="E446" t="inlineStr">
        <is>
          <t>10,62,193</t>
        </is>
      </c>
      <c r="F446" t="inlineStr">
        <is>
          <t>Gram panchyat me samast gavno me ghar ghar kachra sangrahan gav ki naliyo or Samudayik Parisar ki safai karya GP 8 SHPD</t>
        </is>
      </c>
      <c r="G446" t="inlineStr">
        <is>
          <t>Gram Panchyat 8 SHPD</t>
        </is>
      </c>
    </row>
    <row r="447">
      <c r="A447" s="1" t="n">
        <v>445</v>
      </c>
      <c r="B447">
        <f>HYPERLINK("https://eproc.rajasthan.gov.in/nicgep/app?component=%24DirectLink&amp;page=FrontEndViewTender&amp;service=direct&amp;session=T&amp;sp=SSYdNRrokZlj%2Fok4xpVmGVA%3D%3D", "RATE CONTRACT FOR SUPPLY OF CONSTRUCTION MATERIAL FOR THE FINANCIAL YEAR 2025-26 IN GRAM PANCHAYAT BAWADI KALLA PANCHAYAT SAMITI PHALODI DIST. PHALODI")</f>
        <v/>
      </c>
      <c r="C447" t="inlineStr">
        <is>
          <t>Panchayati Raj Department||Secretary and Commissioner||CEO-JODHPUR||BDO-PHALODI</t>
        </is>
      </c>
      <c r="D447" t="inlineStr">
        <is>
          <t>02-Jun-2025 06:00 PM</t>
        </is>
      </c>
      <c r="E447" t="inlineStr">
        <is>
          <t>49,00,000</t>
        </is>
      </c>
      <c r="F447" t="inlineStr">
        <is>
          <t>RATE CONTRACT FOR SUPPLY OF CONSTRUCTION MATERIAL FOR THE FINANCIAL YEAR 2025-26 IN GRAM PANCHAYAT BAWADI KALLA PANCHAYAT SAMITI PHALODI DIST. PHALODI</t>
        </is>
      </c>
      <c r="G447" t="inlineStr">
        <is>
          <t>PS Phalodi</t>
        </is>
      </c>
    </row>
    <row r="448">
      <c r="A448" s="1" t="n">
        <v>446</v>
      </c>
      <c r="B448">
        <f>HYPERLINK("https://eproc.rajasthan.gov.in/nicgep/app?component=%24DirectLink&amp;page=FrontEndViewTender&amp;service=direct&amp;session=T&amp;sp=SN9IsYFAvX%2BRYmvUQHc3Zng%3D%3D", "Gram panchyat me samast gavno me ghar ghar kachra sangrahan gav ki naliyo or Samudayik Parisar ki safai karya GP Bakhtawarpura")</f>
        <v/>
      </c>
      <c r="C448" t="inlineStr">
        <is>
          <t>Panchayati Raj Department||Secretary and Commissioner||CEO- GANGANAGAR||BDO-SURATGARH</t>
        </is>
      </c>
      <c r="D448" t="inlineStr">
        <is>
          <t>24-May-2025 02:00 PM</t>
        </is>
      </c>
      <c r="E448" t="inlineStr">
        <is>
          <t>11,12,518</t>
        </is>
      </c>
      <c r="F448" t="inlineStr">
        <is>
          <t>Gram panchyat me samast gavno me ghar ghar kachra sangrahan gav ki naliyo or Samudayik Parisar ki safai karya GP Bakhtawarpura</t>
        </is>
      </c>
      <c r="G448" t="inlineStr">
        <is>
          <t>Gram panchyat Bakhtawarpura</t>
        </is>
      </c>
    </row>
    <row r="449">
      <c r="A449" s="1" t="n">
        <v>447</v>
      </c>
      <c r="B449">
        <f>HYPERLINK("https://eproc.rajasthan.gov.in/nicgep/app?component=%24DirectLink&amp;page=FrontEndViewTender&amp;service=direct&amp;session=T&amp;sp=SjMZmtooQDg5cFD3j37z5OA%3D%3D", "NALA NIRMAN KAARY NEKIRAM KE GHAR SE HIRALAL KE GHAR KI OR DHANI MALIYAN GRAM PANCHYAT DHANI GUMAN SINGH")</f>
        <v/>
      </c>
      <c r="C449" t="inlineStr">
        <is>
          <t>Panchayati Raj Department||Secretary and Commissioner||CEO-SIKAR||BDO-KHANDELA</t>
        </is>
      </c>
      <c r="D449" t="inlineStr">
        <is>
          <t>26-May-2025 06:00 PM</t>
        </is>
      </c>
      <c r="E449" t="inlineStr">
        <is>
          <t>10,00,000</t>
        </is>
      </c>
      <c r="F449" t="inlineStr">
        <is>
          <t>NALA NIRMAN KAARY NEKIRAM KE GHAR SE HIRALAL KE GHAR KI OR DHANI MALIYAN GRAM PANCHYAT DHANI GUMAN SINGH</t>
        </is>
      </c>
      <c r="G449" t="inlineStr">
        <is>
          <t>GP DHANI GUMAN SINGH</t>
        </is>
      </c>
    </row>
    <row r="450">
      <c r="A450" s="1" t="n">
        <v>448</v>
      </c>
      <c r="B450">
        <f>HYPERLINK("https://eproc.rajasthan.gov.in/nicgep/app?component=%24DirectLink&amp;page=FrontEndViewTender&amp;service=direct&amp;session=T&amp;sp=Sg%2F0xFRBgr1dv%2FKWHdesUHQ%3D%3D", "6 SUPPLY OF CONST. MATER. AND EQUIP. FOR YR 2025-26 AS PER BSR AT PS GARHI GP PANASI CHHOTI")</f>
        <v/>
      </c>
      <c r="C450" t="inlineStr">
        <is>
          <t>Panchayati Raj Department||Secretary and Commissioner||CEO-BANSWARA||BDO-GADHI</t>
        </is>
      </c>
      <c r="D450" t="inlineStr">
        <is>
          <t>29-May-2025 06:00 PM</t>
        </is>
      </c>
      <c r="E450" t="inlineStr">
        <is>
          <t>75,00,000</t>
        </is>
      </c>
      <c r="F450" t="inlineStr">
        <is>
          <t>6 SUPPLY OF CONST. MATER. AND EQUIP. FOR YR 2025-26 AS PER BSR AT PS GARHI GP PANASI CHHOTI</t>
        </is>
      </c>
      <c r="G450" t="inlineStr">
        <is>
          <t>GARHI</t>
        </is>
      </c>
    </row>
    <row r="451">
      <c r="A451" s="1" t="n">
        <v>449</v>
      </c>
      <c r="B451">
        <f>HYPERLINK("https://eproc.rajasthan.gov.in/nicgep/app?component=%24DirectLink&amp;page=FrontEndViewTender&amp;service=direct&amp;session=T&amp;sp=SxQeo2ZWt0vGa%2FEGoUL1UwQ%3D%3D", "RATE CONTRACT FOR SUPPLY OF CONSTRUCTION MATERIAL FOR THE FINANCIAL YEAR 2025-26 IN GRAM PANCHAYAT BENGATI KALLA PANCHAYAT SAMITI PHALODI DIST. PHALODI")</f>
        <v/>
      </c>
      <c r="C451" t="inlineStr">
        <is>
          <t>Panchayati Raj Department||Secretary and Commissioner||CEO-JODHPUR||BDO-PHALODI</t>
        </is>
      </c>
      <c r="D451" t="inlineStr">
        <is>
          <t>02-Jun-2025 06:00 PM</t>
        </is>
      </c>
      <c r="E451" t="inlineStr">
        <is>
          <t>49,00,000</t>
        </is>
      </c>
      <c r="F451" t="inlineStr">
        <is>
          <t>RATE CONTRACT FOR SUPPLY OF CONSTRUCTION MATERIAL FOR THE FINANCIAL YEAR 2025-26 IN GRAM PANCHAYAT BENGATI KALLA PANCHAYAT SAMITI PHALODI DIST. PHALODI</t>
        </is>
      </c>
      <c r="G451" t="inlineStr">
        <is>
          <t>PS Phalodi</t>
        </is>
      </c>
    </row>
    <row r="452">
      <c r="A452" s="1" t="n">
        <v>450</v>
      </c>
      <c r="B452">
        <f>HYPERLINK("https://eproc.rajasthan.gov.in/nicgep/app?component=%24DirectLink&amp;page=FrontEndViewTender&amp;service=direct&amp;session=T&amp;sp=SEaGta5OPZHdTHvix6Cn0Pw%3D%3D", "RATE CONTRACT FOR SUPPLY OF CONSTRUCTION MATERIAL FOR THE FINANCIAL YEAR 2025-26 IN GRAM PANCHAYAT KHARA PANCHAYAT SAMITI PHALODI DIST. PHALODI")</f>
        <v/>
      </c>
      <c r="C452" t="inlineStr">
        <is>
          <t>Panchayati Raj Department||Secretary and Commissioner||CEO-JODHPUR||BDO-PHALODI</t>
        </is>
      </c>
      <c r="D452" t="inlineStr">
        <is>
          <t>02-Jun-2025 06:00 PM</t>
        </is>
      </c>
      <c r="E452" t="inlineStr">
        <is>
          <t>49,00,000</t>
        </is>
      </c>
      <c r="F452" t="inlineStr">
        <is>
          <t>RATE CONTRACT FOR SUPPLY OF CONSTRUCTION MATERIAL FOR THE FINANCIAL YEAR 2025-26 IN GRAM PANCHAYAT KHARA PANCHAYAT SAMITI PHALODI DIST. PHALODI</t>
        </is>
      </c>
      <c r="G452" t="inlineStr">
        <is>
          <t>PS Phalodi</t>
        </is>
      </c>
    </row>
    <row r="453">
      <c r="A453" s="1" t="n">
        <v>451</v>
      </c>
      <c r="B453">
        <f>HYPERLINK("https://eproc.rajasthan.gov.in/nicgep/app?component=%24DirectLink&amp;page=FrontEndViewTender&amp;service=direct&amp;session=T&amp;sp=Sajn%2BbHyHe86grzg%2Buhcoqg%3D%3D", "Supply of Construction Materials and Service of Equipments (Financial Year 2025-26) for Gram Panchayat Panotiya.")</f>
        <v/>
      </c>
      <c r="C453" t="inlineStr">
        <is>
          <t>Panchayati Raj Department||Secretary and Commissioner||CEO-RAJSAMAND||BDO-RAILMAGARA</t>
        </is>
      </c>
      <c r="D453" t="inlineStr">
        <is>
          <t>27-May-2025 06:00 PM</t>
        </is>
      </c>
      <c r="E453" t="inlineStr">
        <is>
          <t>50,00,000</t>
        </is>
      </c>
      <c r="F453" t="inlineStr">
        <is>
          <t>Supply of Construction Materials and Service of Equipments (Financial Year 2025-26) for Gram Panchayat Panotiya.</t>
        </is>
      </c>
      <c r="G453" t="inlineStr">
        <is>
          <t>GRAM PANCHAYAT PANOTIYA</t>
        </is>
      </c>
    </row>
    <row r="454">
      <c r="A454" s="1" t="n">
        <v>452</v>
      </c>
      <c r="B454">
        <f>HYPERLINK("https://eproc.rajasthan.gov.in/nicgep/app?component=%24DirectLink&amp;page=FrontEndViewTender&amp;service=direct&amp;session=T&amp;sp=SHHaV%2FfXZ7ljtCuwGn5SMHA%3D%3D", "MATERIAL SUPPLY FOR MGNREGA RD AND PR YEAR 2025-26")</f>
        <v/>
      </c>
      <c r="C454" t="inlineStr">
        <is>
          <t>Panchayati Raj Department||Secretary and Commissioner||CEO-BHILWARA||BDO-AASIND</t>
        </is>
      </c>
      <c r="D454" t="inlineStr">
        <is>
          <t>26-May-2025 06:00 PM</t>
        </is>
      </c>
      <c r="E454" t="inlineStr">
        <is>
          <t>1,00,00,000</t>
        </is>
      </c>
      <c r="F454" t="inlineStr">
        <is>
          <t>MATERIAL SUPPLY FOR MGNREGA RD AND PR YEAR 2025-26</t>
        </is>
      </c>
      <c r="G454" t="inlineStr">
        <is>
          <t>GP</t>
        </is>
      </c>
    </row>
    <row r="455">
      <c r="A455" s="1" t="n">
        <v>453</v>
      </c>
      <c r="B455">
        <f>HYPERLINK("https://eproc.rajasthan.gov.in/nicgep/app?component=%24DirectLink&amp;page=FrontEndViewTender&amp;service=direct&amp;session=T&amp;sp=SFNNI1%2FpqeR4Bav0yVeBabA%3D%3D", "RATE CONTRACT FOR SUPPLY OF CONSTRUCTION MATERIAL FOR THE FINANCIAL YEAR 2025-26 IN GRAM PANCHAYAT KHICHAN PANCHAYAT SAMITI PHALODI DIST. PHALODI")</f>
        <v/>
      </c>
      <c r="C455" t="inlineStr">
        <is>
          <t>Panchayati Raj Department||Secretary and Commissioner||CEO-JODHPUR||BDO-PHALODI</t>
        </is>
      </c>
      <c r="D455" t="inlineStr">
        <is>
          <t>02-Jun-2025 06:00 PM</t>
        </is>
      </c>
      <c r="E455" t="inlineStr">
        <is>
          <t>49,00,000</t>
        </is>
      </c>
      <c r="F455" t="inlineStr">
        <is>
          <t>RATE CONTRACT FOR SUPPLY OF CONSTRUCTION MATERIAL FOR THE FINANCIAL YEAR 2025-26 IN GRAM PANCHAYAT KHICHAN PANCHAYAT SAMITI PHALODI DIST. PHALODI</t>
        </is>
      </c>
      <c r="G455" t="inlineStr">
        <is>
          <t>PS Phalodi</t>
        </is>
      </c>
    </row>
    <row r="456">
      <c r="A456" s="1" t="n">
        <v>454</v>
      </c>
      <c r="B456">
        <f>HYPERLINK("https://eproc.rajasthan.gov.in/nicgep/app?component=%24DirectLink&amp;page=FrontEndViewTender&amp;service=direct&amp;session=T&amp;sp=SlhYHqLcREmqbJ%2Fxh2h0pOg%3D%3D", "TIHARI25")</f>
        <v/>
      </c>
      <c r="C456" t="inlineStr">
        <is>
          <t>Panchayati Raj Department||Secretary and Commissioner||CEO-AJMER||BDO-SRI NAGAR</t>
        </is>
      </c>
      <c r="D456" t="inlineStr">
        <is>
          <t>27-May-2025 06:00 PM</t>
        </is>
      </c>
      <c r="E456" t="inlineStr">
        <is>
          <t>95,00,000</t>
        </is>
      </c>
      <c r="F456" t="inlineStr">
        <is>
          <t>SUPPLY OF CONSTRUCTION MATERIAL SUPPLY AND HIRE OF EQUIPMENTS</t>
        </is>
      </c>
      <c r="G456" t="inlineStr">
        <is>
          <t>GP TIHARAI</t>
        </is>
      </c>
    </row>
    <row r="457">
      <c r="A457" s="1" t="n">
        <v>455</v>
      </c>
      <c r="B457">
        <f>HYPERLINK("https://eproc.rajasthan.gov.in/nicgep/app?component=%24DirectLink&amp;page=FrontEndViewTender&amp;service=direct&amp;session=T&amp;sp=SV0Lj3o3Wfqz9oBFrp36loA%3D%3D", "9 SUPPLY OF CONST. MATER. AND EQUIP. FOR YR 2025-26 AS PER BSR AT PS GARHI GP VAJWANA")</f>
        <v/>
      </c>
      <c r="C457" t="inlineStr">
        <is>
          <t>Panchayati Raj Department||Secretary and Commissioner||CEO-BANSWARA||BDO-GADHI</t>
        </is>
      </c>
      <c r="D457" t="inlineStr">
        <is>
          <t>29-May-2025 06:00 PM</t>
        </is>
      </c>
      <c r="E457" t="inlineStr">
        <is>
          <t>75,00,000</t>
        </is>
      </c>
      <c r="F457" t="inlineStr">
        <is>
          <t>9 SUPPLY OF CONST. MATER. AND EQUIP. FOR YR 2025-26 AS PER BSR AT PS GARHI GP VAJWANA</t>
        </is>
      </c>
      <c r="G457" t="inlineStr">
        <is>
          <t>GARHI</t>
        </is>
      </c>
    </row>
    <row r="458">
      <c r="A458" s="1" t="n">
        <v>456</v>
      </c>
      <c r="B458">
        <f>HYPERLINK("https://eproc.rajasthan.gov.in/nicgep/app?component=%24DirectLink&amp;page=FrontEndViewTender&amp;service=direct&amp;session=T&amp;sp=SL0W1cY4hE%2FFUV%2F2YpAF4gg%3D%3D", "Rate contract for supply of material on all construction works conducted under Mahatma Gandhi NREGA scheme and various schemes of Rural Development and Panchayati Raj Department, Gram Panchayat Bhavpura")</f>
        <v/>
      </c>
      <c r="C458" t="inlineStr">
        <is>
          <t>Panchayati Raj Department||Secretary and Commissioner||CEO- JAIPUR||BDO-JAMUVARAMGAH</t>
        </is>
      </c>
      <c r="D458" t="inlineStr">
        <is>
          <t>28-May-2025 05:00 PM</t>
        </is>
      </c>
      <c r="E458" t="inlineStr">
        <is>
          <t>40,00,000</t>
        </is>
      </c>
      <c r="F458" t="inlineStr">
        <is>
          <t>Rate contract for supply of material on all construction works conducted under Mahatma Gandhi NREGA scheme and various schemes of Rural Development and Panchayati Raj Department, Gram Panchayat Bhavpura</t>
        </is>
      </c>
      <c r="G458" t="inlineStr">
        <is>
          <t>Gram Panchayat Bhavpura</t>
        </is>
      </c>
    </row>
    <row r="459">
      <c r="A459" s="1" t="n">
        <v>457</v>
      </c>
      <c r="B459">
        <f>HYPERLINK("https://eproc.rajasthan.gov.in/nicgep/app?component=%24DirectLink&amp;page=FrontEndViewTender&amp;service=direct&amp;session=T&amp;sp=SstbHavweQ4uXWWi1SeWa0A%3D%3D", "10 SUPPLY OF CONST. MATER. AND EQUIP. FOR YR 2025-26 AS PER BSR AT PS GARHI GP DAKARKUNDI")</f>
        <v/>
      </c>
      <c r="C459" t="inlineStr">
        <is>
          <t>Panchayati Raj Department||Secretary and Commissioner||CEO-BANSWARA||BDO-GADHI</t>
        </is>
      </c>
      <c r="D459" t="inlineStr">
        <is>
          <t>29-May-2025 06:00 PM</t>
        </is>
      </c>
      <c r="E459" t="inlineStr">
        <is>
          <t>75,00,000</t>
        </is>
      </c>
      <c r="F459" t="inlineStr">
        <is>
          <t>10 SUPPLY OF CONST. MATER. AND EQUIP. FOR YR 2025-26 AS PER BSR AT PS GARHI GP DAKARKUNDI</t>
        </is>
      </c>
      <c r="G459" t="inlineStr">
        <is>
          <t>GARHI</t>
        </is>
      </c>
    </row>
    <row r="460">
      <c r="A460" s="1" t="n">
        <v>458</v>
      </c>
      <c r="B460">
        <f>HYPERLINK("https://eproc.rajasthan.gov.in/nicgep/app?component=%24DirectLink&amp;page=FrontEndViewTender&amp;service=direct&amp;session=T&amp;sp=SNsR76B0jwZiaraDKY5M7Ag%3D%3D", "Gram panchyat me samast gavno me ghar ghar kachra sangrahan gav ki naliyo or Samudayik Parisar ki safai karya GP 6 DWM")</f>
        <v/>
      </c>
      <c r="C460" t="inlineStr">
        <is>
          <t>Panchayati Raj Department||Secretary and Commissioner||CEO- GANGANAGAR||BDO-SURATGARH</t>
        </is>
      </c>
      <c r="D460" t="inlineStr">
        <is>
          <t>24-May-2025 02:00 PM</t>
        </is>
      </c>
      <c r="E460" t="inlineStr">
        <is>
          <t>6,17,825</t>
        </is>
      </c>
      <c r="F460" t="inlineStr">
        <is>
          <t>Gram panchyat me samast gavno me ghar ghar kachra sangrahan gav ki naliyo or Samudayik Parisar ki safai karya GP 6 DWM</t>
        </is>
      </c>
      <c r="G460" t="inlineStr">
        <is>
          <t>Gram Panchyat 6 DWM</t>
        </is>
      </c>
    </row>
    <row r="461">
      <c r="A461" s="1" t="n">
        <v>459</v>
      </c>
      <c r="B461">
        <f>HYPERLINK("https://eproc.rajasthan.gov.in/nicgep/app?component=%24DirectLink&amp;page=FrontEndViewTender&amp;service=direct&amp;session=T&amp;sp=SG%2FMYNVr4m7nSG2Skjr4KAg%3D%3D", "Rate contract for supply of material on all construction works conducted under Mahatma Gandhi NREGA scheme and various schemes of Rural Development and Panchayati Raj Department, Gram Panchayat Bhanpur Kalan")</f>
        <v/>
      </c>
      <c r="C461" t="inlineStr">
        <is>
          <t>Panchayati Raj Department||Secretary and Commissioner||CEO- JAIPUR||BDO-JAMUVARAMGAH</t>
        </is>
      </c>
      <c r="D461" t="inlineStr">
        <is>
          <t>28-May-2025 05:00 PM</t>
        </is>
      </c>
      <c r="E461" t="inlineStr">
        <is>
          <t>30,00,000</t>
        </is>
      </c>
      <c r="F461" t="inlineStr">
        <is>
          <t>Rate contract for supply of material on all construction works conducted under Mahatma Gandhi NREGA scheme and various schemes of Rural Development and Panchayati Raj Department, Gram Panchayat Bhanpur Kalan</t>
        </is>
      </c>
      <c r="G461" t="inlineStr">
        <is>
          <t>Panchayat Bhanpur Kalan</t>
        </is>
      </c>
    </row>
    <row r="462">
      <c r="A462" s="1" t="n">
        <v>460</v>
      </c>
      <c r="B462">
        <f>HYPERLINK("https://eproc.rajasthan.gov.in/nicgep/app?component=%24DirectLink&amp;page=FrontEndViewTender&amp;service=direct&amp;session=T&amp;sp=S7YNTeTuq0BJywUUm7k8fLA%3D%3D", "Patoda")</f>
        <v/>
      </c>
      <c r="C462" t="inlineStr">
        <is>
          <t>Panchayati Raj Department||Secretary and Commissioner||CEO-SIKAR||BDO-LAXMANGARH</t>
        </is>
      </c>
      <c r="D462" t="inlineStr">
        <is>
          <t>26-May-2025 06:00 PM</t>
        </is>
      </c>
      <c r="E462" t="inlineStr">
        <is>
          <t>15,00,000</t>
        </is>
      </c>
      <c r="F462" t="inlineStr">
        <is>
          <t>Room</t>
        </is>
      </c>
      <c r="G462" t="inlineStr">
        <is>
          <t>Patoda</t>
        </is>
      </c>
    </row>
    <row r="463">
      <c r="A463" s="1" t="n">
        <v>461</v>
      </c>
      <c r="B463">
        <f>HYPERLINK("https://eproc.rajasthan.gov.in/nicgep/app?component=%24DirectLink&amp;page=FrontEndViewTender&amp;service=direct&amp;session=T&amp;sp=SOnuu9OQTIhtAeFZTeDr5wg%3D%3D", "7 SUPPLY OF CONST. MATER. AND EQUIP. FOR YR 2025-26 AS PER BSR AT PS GARHI GP PARAHEDA")</f>
        <v/>
      </c>
      <c r="C463" t="inlineStr">
        <is>
          <t>Panchayati Raj Department||Secretary and Commissioner||CEO-BANSWARA||BDO-GADHI</t>
        </is>
      </c>
      <c r="D463" t="inlineStr">
        <is>
          <t>29-May-2025 06:00 PM</t>
        </is>
      </c>
      <c r="E463" t="inlineStr">
        <is>
          <t>75,00,000</t>
        </is>
      </c>
      <c r="F463" t="inlineStr">
        <is>
          <t>7 SUPPLY OF CONST. MATER. AND EQUIP. FOR YR 2025-26 AS PER BSR AT PS GARHI GP PARAHEDA</t>
        </is>
      </c>
      <c r="G463" t="inlineStr">
        <is>
          <t>GARHI</t>
        </is>
      </c>
    </row>
    <row r="464">
      <c r="A464" s="1" t="n">
        <v>462</v>
      </c>
      <c r="B464">
        <f>HYPERLINK("https://eproc.rajasthan.gov.in/nicgep/app?component=%24DirectLink&amp;page=FrontEndViewTender&amp;service=direct&amp;session=T&amp;sp=SSfJ6fDbvEfVErsouXoXFDw%3D%3D", "8 SUPPLY OF CONST. MATER. AND EQUIP. FOR YR 2025-26 AS PER BSR AT PS GARHI GP JHALO KA GARHA")</f>
        <v/>
      </c>
      <c r="C464" t="inlineStr">
        <is>
          <t>Panchayati Raj Department||Secretary and Commissioner||CEO-BANSWARA||BDO-GADHI</t>
        </is>
      </c>
      <c r="D464" t="inlineStr">
        <is>
          <t>29-May-2025 06:00 PM</t>
        </is>
      </c>
      <c r="E464" t="inlineStr">
        <is>
          <t>75,00,000</t>
        </is>
      </c>
      <c r="F464" t="inlineStr">
        <is>
          <t>8 SUPPLY OF CONST. MATER. AND EQUIP. FOR YR 2025-26 AS PER BSR AT PS GARHI GP JHALO KA GARHA</t>
        </is>
      </c>
      <c r="G464" t="inlineStr">
        <is>
          <t>GARHI</t>
        </is>
      </c>
    </row>
    <row r="465">
      <c r="A465" s="1" t="n">
        <v>463</v>
      </c>
      <c r="B465">
        <f>HYPERLINK("https://eproc.rajasthan.gov.in/nicgep/app?component=%24DirectLink&amp;page=FrontEndViewTender&amp;service=direct&amp;session=T&amp;sp=SGq8oqkvyNzDKXmhraVIFkw%3D%3D", "Annual Rate Contract of Material Supply and Equipment Arrangement of Construction Work in Gram Panchayat Kota Mamchari Under NREGA and Rural Development and Panchayati Raj Department Schemes for Year 2025-26")</f>
        <v/>
      </c>
      <c r="C465" t="inlineStr">
        <is>
          <t>Panchayati Raj Department||Secretary and Commissioner||CEO-KARAULI||BDO-KARAULI</t>
        </is>
      </c>
      <c r="D465" t="inlineStr">
        <is>
          <t>26-May-2025 06:00 PM</t>
        </is>
      </c>
      <c r="E465" t="inlineStr">
        <is>
          <t>1,00,00,000</t>
        </is>
      </c>
      <c r="F465" t="inlineStr">
        <is>
          <t>Annual Rate Contract of Material Supply and Equipment Arrangement of Construction Work in Gram Panchayat Kota Mamchari Under NREGA and Rural Development and Panchayati Raj Department Schemes for Year 2025-26</t>
        </is>
      </c>
      <c r="G465" t="inlineStr">
        <is>
          <t>KOTA MAMCHARI</t>
        </is>
      </c>
    </row>
    <row r="466">
      <c r="A466" s="1" t="n">
        <v>464</v>
      </c>
      <c r="B466">
        <f>HYPERLINK("https://eproc.rajasthan.gov.in/nicgep/app?component=%24DirectLink&amp;page=FrontEndViewTender&amp;service=direct&amp;session=T&amp;sp=S82xfk3y4eIX56H3n%2BMTPrg%3D%3D", "Gram panchyat me samast gavno me ghar ghar kachra sangrahan gav ki naliyo or Samudayik Parisar ki safai karya GP 7 SGM")</f>
        <v/>
      </c>
      <c r="C466" t="inlineStr">
        <is>
          <t>Panchayati Raj Department||Secretary and Commissioner||CEO- GANGANAGAR||BDO-SURATGARH</t>
        </is>
      </c>
      <c r="D466" t="inlineStr">
        <is>
          <t>24-May-2025 02:00 PM</t>
        </is>
      </c>
      <c r="E466" t="inlineStr">
        <is>
          <t>16,09,508</t>
        </is>
      </c>
      <c r="F466" t="inlineStr">
        <is>
          <t>Gram panchyat me samast gavno me ghar ghar kachra sangrahan gav ki naliyo or Samudayik Parisar ki safai karya GP 7 SGM</t>
        </is>
      </c>
      <c r="G466" t="inlineStr">
        <is>
          <t>Gram Panchyat 7 SGM</t>
        </is>
      </c>
    </row>
    <row r="467">
      <c r="A467" s="1" t="n">
        <v>465</v>
      </c>
      <c r="B467">
        <f>HYPERLINK("https://eproc.rajasthan.gov.in/nicgep/app?component=%24DirectLink&amp;page=FrontEndViewTender&amp;service=direct&amp;session=T&amp;sp=Szrx0IbN%2BWhwG%2FW%2B7yQy5qA%3D%3D", "RATE CONTRACT FOR SUPPLY OF CONSTRUCTION MATERIAL FOR THE FINANCIAL YEAR 2025-26 IN GRAM PANCHAYAT DHADHU PANCHAYAT SAMITI PHALODI DIST. PHALODI")</f>
        <v/>
      </c>
      <c r="C467" t="inlineStr">
        <is>
          <t>Panchayati Raj Department||Secretary and Commissioner||CEO-JODHPUR||BDO-PHALODI</t>
        </is>
      </c>
      <c r="D467" t="inlineStr">
        <is>
          <t>02-Jun-2025 06:00 PM</t>
        </is>
      </c>
      <c r="E467" t="inlineStr">
        <is>
          <t>49,00,000</t>
        </is>
      </c>
      <c r="F467" t="inlineStr">
        <is>
          <t>RATE CONTRACT FOR SUPPLY OF CONSTRUCTION MATERIAL FOR THE FINANCIAL YEAR 2025-26 IN GRAM PANCHAYAT DHADHU PANCHAYAT SAMITI PHALODI DIST. PHALODI</t>
        </is>
      </c>
      <c r="G467" t="inlineStr">
        <is>
          <t>PS Phalodi</t>
        </is>
      </c>
    </row>
    <row r="468">
      <c r="A468" s="1" t="n">
        <v>466</v>
      </c>
      <c r="B468">
        <f>HYPERLINK("https://eproc.rajasthan.gov.in/nicgep/app?component=%24DirectLink&amp;page=FrontEndViewTender&amp;service=direct&amp;session=T&amp;sp=S5u1DOcZ9118zif03Cds7ng%3D%3D", "RATE CONTRACT FOR SUPPLY OF CONSTRUCTION MATERIAL FOR THE FINANCIAL YEAR 2025-26 IN GRAM PANCHAYAT HOPARADI PANCHAYAT SAMITI PHALODI DIST. PHALODI")</f>
        <v/>
      </c>
      <c r="C468" t="inlineStr">
        <is>
          <t>Panchayati Raj Department||Secretary and Commissioner||CEO-JODHPUR||BDO-PHALODI</t>
        </is>
      </c>
      <c r="D468" t="inlineStr">
        <is>
          <t>02-Jun-2025 06:00 PM</t>
        </is>
      </c>
      <c r="E468" t="inlineStr">
        <is>
          <t>49,00,000</t>
        </is>
      </c>
      <c r="F468" t="inlineStr">
        <is>
          <t>RATE CONTRACT FOR SUPPLY OF CONSTRUCTION MATERIAL FOR THE FINANCIAL YEAR 2025-26 IN GRAM PANCHAYAT HOPARADI PANCHAYAT SAMITI PHALODI DIST. PHALODI</t>
        </is>
      </c>
      <c r="G468" t="inlineStr">
        <is>
          <t>PS Phalodi</t>
        </is>
      </c>
    </row>
    <row r="469">
      <c r="A469" s="1" t="n">
        <v>467</v>
      </c>
      <c r="B469">
        <f>HYPERLINK("https://eproc.rajasthan.gov.in/nicgep/app?component=%24DirectLink&amp;page=FrontEndViewTender&amp;service=direct&amp;session=T&amp;sp=SkjUJUBfcNkYIWpKwiJYtvw%3D%3D", "GHAR GHAR KACHARA SANGHARAN AVM PRATHAKKARAN SADAK AVM NALI SAFAI TATHA SAMODAYAK SWACHCHATA PARISAR KI SAFAI KARY")</f>
        <v/>
      </c>
      <c r="C469" t="inlineStr">
        <is>
          <t>Panchayati Raj Department||Secretary and Commissioner||CEO-NAGORE||BDO-JAYAL</t>
        </is>
      </c>
      <c r="D469" t="inlineStr">
        <is>
          <t>26-May-2025 09:00 AM</t>
        </is>
      </c>
      <c r="E469" t="inlineStr">
        <is>
          <t>15,00,000</t>
        </is>
      </c>
      <c r="F469" t="inlineStr">
        <is>
          <t>GHAR GHAR KACHARA SANGHARAN AVM PRATHAKKARAN SADAK AVM NALI SAFAI TATHA SAMODAYAK SWACHCHATA PARISAR KI SAFAI KARY</t>
        </is>
      </c>
      <c r="G469" t="inlineStr">
        <is>
          <t>GP KHIYALA</t>
        </is>
      </c>
    </row>
    <row r="470">
      <c r="A470" s="1" t="n">
        <v>468</v>
      </c>
      <c r="B470">
        <f>HYPERLINK("https://eproc.rajasthan.gov.in/nicgep/app?component=%24DirectLink&amp;page=FrontEndViewTender&amp;service=direct&amp;session=T&amp;sp=Sf8Shwo98HAoYK1LuWmK6vw%3D%3D", "GRAM PANCHAYAT SONTHALI ME AMBEDKAR BHAWAN NIRMAN KARYA")</f>
        <v/>
      </c>
      <c r="C470" t="inlineStr">
        <is>
          <t>Panchayati Raj Department||Secretary and Commissioner||CEO-JHUNJHUNU||BDO-NAVALGARH</t>
        </is>
      </c>
      <c r="D470" t="inlineStr">
        <is>
          <t>26-May-2025 06:00 PM</t>
        </is>
      </c>
      <c r="E470" t="inlineStr">
        <is>
          <t>10,00,000</t>
        </is>
      </c>
      <c r="F470" t="inlineStr">
        <is>
          <t>GRAM PANCHAYAT SONTHALI ME AMBEDKAR BHAWAN NIRMAN KARYA</t>
        </is>
      </c>
      <c r="G470" t="inlineStr">
        <is>
          <t>GRAM PANCHAYAT SONTHALI</t>
        </is>
      </c>
    </row>
    <row r="471">
      <c r="A471" s="1" t="n">
        <v>469</v>
      </c>
      <c r="B471">
        <f>HYPERLINK("https://eproc.rajasthan.gov.in/nicgep/app?component=%24DirectLink&amp;page=FrontEndViewTender&amp;service=direct&amp;session=T&amp;sp=Slg%2BY7644353abbbTF2TnIw%3D%3D", "Gram panchyat me samast gavno me ghar ghar kachra sangrahan gav ki naliyo or Samudayik Parisar ki safai karya GP 1 LM")</f>
        <v/>
      </c>
      <c r="C471" t="inlineStr">
        <is>
          <t>Panchayati Raj Department||Secretary and Commissioner||CEO- GANGANAGAR||BDO-SURATGARH</t>
        </is>
      </c>
      <c r="D471" t="inlineStr">
        <is>
          <t>24-May-2025 02:00 PM</t>
        </is>
      </c>
      <c r="E471" t="inlineStr">
        <is>
          <t>10,50,433</t>
        </is>
      </c>
      <c r="F471" t="inlineStr">
        <is>
          <t>Gram panchyat me samast gavno me ghar ghar kachra sangrahan gav ki naliyo or Samudayik Parisar ki safai karya GP 1 LM</t>
        </is>
      </c>
      <c r="G471" t="inlineStr">
        <is>
          <t>Gram Panchyat 1 LM</t>
        </is>
      </c>
    </row>
    <row r="472">
      <c r="A472" s="1" t="n">
        <v>470</v>
      </c>
      <c r="B472">
        <f>HYPERLINK("https://eproc.rajasthan.gov.in/nicgep/app?component=%24DirectLink&amp;page=FrontEndViewTender&amp;service=direct&amp;session=T&amp;sp=Sc21UmaXH8UsZbx7zXg5YVA%3D%3D", "MATERIAL SUPPLY AND EQUIPMENT SUPPLY FOR CONSTRUCTION WORK IN G.P. Hamela ki ver of FN 2025-26")</f>
        <v/>
      </c>
      <c r="C472" t="inlineStr">
        <is>
          <t>Panchayati Raj Department||Secretary and Commissioner||CEO-RAJSAMAND||BDO-BHEEM</t>
        </is>
      </c>
      <c r="D472" t="inlineStr">
        <is>
          <t>29-May-2025 06:00 PM</t>
        </is>
      </c>
      <c r="E472" t="inlineStr">
        <is>
          <t>50,00,000</t>
        </is>
      </c>
      <c r="F472" t="inlineStr">
        <is>
          <t>MATERIAL SUPPLY AND EQUIPMENT SUPPLY FOR CONSTRUCTION WORK IN G.P. Hamela ki ver</t>
        </is>
      </c>
      <c r="G472" t="inlineStr">
        <is>
          <t>HAMELA KI VER</t>
        </is>
      </c>
    </row>
    <row r="473">
      <c r="A473" s="1" t="n">
        <v>471</v>
      </c>
      <c r="B473">
        <f>HYPERLINK("https://eproc.rajasthan.gov.in/nicgep/app?component=%24DirectLink&amp;page=FrontEndViewTender&amp;service=direct&amp;session=T&amp;sp=SgJYwgO9E0u7PFHV0fLKjbA%3D%3D", "RATE CONTRACT FOR SUPPLY OF CONSTRUCTION MATERIAL FOR THE FINANCIAL YEAR 2025-26 IN GRAM PANCHAYAT BITHADI PANCHAYAT SAMITI PHALODI DIST. PHALODI")</f>
        <v/>
      </c>
      <c r="C473" t="inlineStr">
        <is>
          <t>Panchayati Raj Department||Secretary and Commissioner||CEO-JODHPUR||BDO-PHALODI</t>
        </is>
      </c>
      <c r="D473" t="inlineStr">
        <is>
          <t>02-Jun-2025 06:00 PM</t>
        </is>
      </c>
      <c r="E473" t="inlineStr">
        <is>
          <t>49,00,000</t>
        </is>
      </c>
      <c r="F473" t="inlineStr">
        <is>
          <t>RATE CONTRACT FOR SUPPLY OF CONSTRUCTION MATERIAL FOR THE FINANCIAL YEAR 2025-26 IN GRAM PANCHAYAT BITHADI PANCHAYAT SAMITI PHALODI DIST. PHALODI</t>
        </is>
      </c>
      <c r="G473" t="inlineStr">
        <is>
          <t>PS Phalodi</t>
        </is>
      </c>
    </row>
    <row r="474">
      <c r="A474" s="1" t="n">
        <v>472</v>
      </c>
      <c r="B474">
        <f>HYPERLINK("https://eproc.rajasthan.gov.in/nicgep/app?component=%24DirectLink&amp;page=FrontEndViewTender&amp;service=direct&amp;session=T&amp;sp=SJvjhd0aaCyUMWpbcAWpr7w%3D%3D", "Gram panchyat me samast gavno me ghar ghar kachra sangrahan gav ki naliyo or Samudayik Parisar ki safai karya GP 13")</f>
        <v/>
      </c>
      <c r="C474" t="inlineStr">
        <is>
          <t>Panchayati Raj Department||Secretary and Commissioner||CEO- GANGANAGAR||BDO-SURATGARH</t>
        </is>
      </c>
      <c r="D474" t="inlineStr">
        <is>
          <t>24-May-2025 02:00 PM</t>
        </is>
      </c>
      <c r="E474" t="inlineStr">
        <is>
          <t>5,24,285</t>
        </is>
      </c>
      <c r="F474" t="inlineStr">
        <is>
          <t>Gram panchyat me samast gavno me ghar ghar kachra sangrahan gav ki naliyo or Samudayik Parisar ki safai karya GP 13</t>
        </is>
      </c>
      <c r="G474" t="inlineStr">
        <is>
          <t>Gram Panchyat 13 SD</t>
        </is>
      </c>
    </row>
    <row r="475">
      <c r="A475" s="1" t="n">
        <v>473</v>
      </c>
      <c r="B475">
        <f>HYPERLINK("https://eproc.rajasthan.gov.in/nicgep/app?component=%24DirectLink&amp;page=FrontEndViewTender&amp;service=direct&amp;session=T&amp;sp=SseEahqWzTgB6q64g3y3LmA%3D%3D", "RATE CONTRACT FOR SUPPLY OF CONSTRUCTION MATERIAL FOR THE FINANCIAL YEAR 2025-26 IN GRAM PANCHAYAT BENGATI KHURD PANCHAYAT SAMITI PHALODI DIST. PHALODI")</f>
        <v/>
      </c>
      <c r="C475" t="inlineStr">
        <is>
          <t>Panchayati Raj Department||Secretary and Commissioner||CEO-JODHPUR||BDO-PHALODI</t>
        </is>
      </c>
      <c r="D475" t="inlineStr">
        <is>
          <t>02-Jun-2025 06:00 PM</t>
        </is>
      </c>
      <c r="E475" t="inlineStr">
        <is>
          <t>49,00,000</t>
        </is>
      </c>
      <c r="F475" t="inlineStr">
        <is>
          <t>RATE CONTRACT FOR SUPPLY OF CONSTRUCTION MATERIAL FOR THE FINANCIAL YEAR 2025-26 IN GRAM PANCHAYAT BENGATI KHURD PANCHAYAT SAMITI PHALODI DIST. PHALODI</t>
        </is>
      </c>
      <c r="G475" t="inlineStr">
        <is>
          <t>PS Phalodi</t>
        </is>
      </c>
    </row>
    <row r="476">
      <c r="A476" s="1" t="n">
        <v>474</v>
      </c>
      <c r="B476">
        <f>HYPERLINK("https://eproc.rajasthan.gov.in/nicgep/app?component=%24DirectLink&amp;page=FrontEndViewTender&amp;service=direct&amp;session=T&amp;sp=SfsnD2dt8E3cYOLh8WKv5VQ%3D%3D", "Gram panchyat me samast gavno me ghar ghar kachra sangrahan gav ki naliyo or Samudayik Parisar ki safai karya GP2 AP")</f>
        <v/>
      </c>
      <c r="C476" t="inlineStr">
        <is>
          <t>Panchayati Raj Department||Secretary and Commissioner||CEO- GANGANAGAR||BDO-SURATGARH</t>
        </is>
      </c>
      <c r="D476" t="inlineStr">
        <is>
          <t>24-May-2025 02:00 PM</t>
        </is>
      </c>
      <c r="E476" t="inlineStr">
        <is>
          <t>4,51,817</t>
        </is>
      </c>
      <c r="F476" t="inlineStr">
        <is>
          <t>Gram panchyat me samast gavno me ghar ghar kachra sangrahan gav ki naliyo or Samudayik Parisar ki safai karya GP2 AP</t>
        </is>
      </c>
      <c r="G476" t="inlineStr">
        <is>
          <t>Gram Panchyat 2 AP</t>
        </is>
      </c>
    </row>
    <row r="477">
      <c r="A477" s="1" t="n">
        <v>475</v>
      </c>
      <c r="B477">
        <f>HYPERLINK("https://eproc.rajasthan.gov.in/nicgep/app?component=%24DirectLink&amp;page=FrontEndViewTender&amp;service=direct&amp;session=T&amp;sp=SUwmh4KRKDivodiQRf5dJiw%3D%3D", "RATE CONTRACT FOR SUPPLY OF CONSTRUCTION MATERIAL FOR THE FINANCIAL YEAR 2025-26 IN GRAM PANCHAYAT JAGARIYA PANCHAYAT SAMITI PHALODI DIST. PHALODI")</f>
        <v/>
      </c>
      <c r="C477" t="inlineStr">
        <is>
          <t>Panchayati Raj Department||Secretary and Commissioner||CEO-JODHPUR||BDO-PHALODI</t>
        </is>
      </c>
      <c r="D477" t="inlineStr">
        <is>
          <t>02-Jun-2025 06:00 PM</t>
        </is>
      </c>
      <c r="E477" t="inlineStr">
        <is>
          <t>49,00,000</t>
        </is>
      </c>
      <c r="F477" t="inlineStr">
        <is>
          <t>RATE CONTRACT FOR SUPPLY OF CONSTRUCTION MATERIAL FOR THE FINANCIAL YEAR 2025-26 IN GRAM PANCHAYAT JAGARIYA PANCHAYAT SAMITI PHALODI DIST. PHALODI</t>
        </is>
      </c>
      <c r="G477" t="inlineStr">
        <is>
          <t>PS Phalodi</t>
        </is>
      </c>
    </row>
    <row r="478">
      <c r="A478" s="1" t="n">
        <v>476</v>
      </c>
      <c r="B478">
        <f>HYPERLINK("https://eproc.rajasthan.gov.in/nicgep/app?component=%24DirectLink&amp;page=FrontEndViewTender&amp;service=direct&amp;session=T&amp;sp=SfqdBJg9GlNKxqME3p%2B%2BfdQ%3D%3D", "Gram panchyat me samast gavno me ghar ghar kachra sangrahan gav ki naliyo or Samudayik Parisar ki safai karya GP 17 STB Paliwala")</f>
        <v/>
      </c>
      <c r="C478" t="inlineStr">
        <is>
          <t>Panchayati Raj Department||Secretary and Commissioner||CEO- GANGANAGAR||BDO-SURATGARH</t>
        </is>
      </c>
      <c r="D478" t="inlineStr">
        <is>
          <t>24-May-2025 02:00 PM</t>
        </is>
      </c>
      <c r="E478" t="inlineStr">
        <is>
          <t>15,69,438</t>
        </is>
      </c>
      <c r="F478" t="inlineStr">
        <is>
          <t>Gram panchyat me samast gavno me ghar ghar kachra sangrahan gav ki naliyo or Samudayik Parisar ki safai karya GP 17 STB Paliwala</t>
        </is>
      </c>
      <c r="G478" t="inlineStr">
        <is>
          <t>Gram Panchyat 17 STB Paliwala</t>
        </is>
      </c>
    </row>
    <row r="479">
      <c r="A479" s="1" t="n">
        <v>477</v>
      </c>
      <c r="B479">
        <f>HYPERLINK("https://eproc.rajasthan.gov.in/nicgep/app?component=%24DirectLink&amp;page=FrontEndViewTender&amp;service=direct&amp;session=T&amp;sp=SzvnzI9%2FF1HJ0D4MhB8jXkA%3D%3D", "Work including door-to-door (residential and commercial) garbage collection and segregation, road and drain cleaning and community sanitation premises cleaning in all villages of Gram Panchayat birol")</f>
        <v/>
      </c>
      <c r="C479" t="inlineStr">
        <is>
          <t>Panchayati Raj Department||Secretary and Commissioner||CEO-JHUNJHUNU||BDO-NAVALGARH</t>
        </is>
      </c>
      <c r="D479" t="inlineStr">
        <is>
          <t>26-May-2025 06:00 PM</t>
        </is>
      </c>
      <c r="E479" t="inlineStr">
        <is>
          <t>6,90,000</t>
        </is>
      </c>
      <c r="F479" t="inlineStr">
        <is>
          <t>Work including door-to-door (residential and commercial) garbage collection and segregation, road and drain cleaning and community sanitation premises cleaning in all villages of Gram Panchayat birol</t>
        </is>
      </c>
      <c r="G479" t="inlineStr">
        <is>
          <t>GRAM PANCHAYAT BIROL</t>
        </is>
      </c>
    </row>
    <row r="480">
      <c r="A480" s="1" t="n">
        <v>478</v>
      </c>
      <c r="B480">
        <f>HYPERLINK("https://eproc.rajasthan.gov.in/nicgep/app?component=%24DirectLink&amp;page=FrontEndViewTender&amp;service=direct&amp;session=T&amp;sp=SJRoWpz8QugsrxmkbjxIVkQ%3D%3D", "2 SUPPLY OF CONST. MATER. AND EQUIP. FOR YR 2025-26 AS PER BSR AT PS GARHI GP AAMJA")</f>
        <v/>
      </c>
      <c r="C480" t="inlineStr">
        <is>
          <t>Panchayati Raj Department||Secretary and Commissioner||CEO-BANSWARA||BDO-GADHI</t>
        </is>
      </c>
      <c r="D480" t="inlineStr">
        <is>
          <t>29-May-2025 06:00 PM</t>
        </is>
      </c>
      <c r="E480" t="inlineStr">
        <is>
          <t>75,00,000</t>
        </is>
      </c>
      <c r="F480" t="inlineStr">
        <is>
          <t>2 SUPPLY OF CONST. MATER. AND EQUIP. FOR YR 2025-26 AS PER BSR AT PS GARHI GP AAMJA</t>
        </is>
      </c>
      <c r="G480" t="inlineStr">
        <is>
          <t>GARHI</t>
        </is>
      </c>
    </row>
    <row r="481">
      <c r="A481" s="1" t="n">
        <v>479</v>
      </c>
      <c r="B481">
        <f>HYPERLINK("https://eproc.rajasthan.gov.in/nicgep/app?component=%24DirectLink&amp;page=FrontEndViewTender&amp;service=direct&amp;session=T&amp;sp=SdAaCJxlsBdK7BjPYNlIqFQ%3D%3D", "Gram panchyat me samast gavno me ghar ghar kachra sangrahan gav ki naliyo or Samudayik Parisar ki safai karya GP 4 KSR Shyopura")</f>
        <v/>
      </c>
      <c r="C481" t="inlineStr">
        <is>
          <t>Panchayati Raj Department||Secretary and Commissioner||CEO- GANGANAGAR||BDO-SURATGARH</t>
        </is>
      </c>
      <c r="D481" t="inlineStr">
        <is>
          <t>24-May-2025 02:00 PM</t>
        </is>
      </c>
      <c r="E481" t="inlineStr">
        <is>
          <t>10,20,554</t>
        </is>
      </c>
      <c r="F481" t="inlineStr">
        <is>
          <t>Gram panchyat me samast gavno me ghar ghar kachra sangrahan gav ki naliyo or Samudayik Parisar ki safai karya GP 4 KSR Shyopura</t>
        </is>
      </c>
      <c r="G481" t="inlineStr">
        <is>
          <t>Gram Panchyat 4 KSR Shyopura</t>
        </is>
      </c>
    </row>
    <row r="482">
      <c r="A482" s="1" t="n">
        <v>480</v>
      </c>
      <c r="B482">
        <f>HYPERLINK("https://eproc.rajasthan.gov.in/nicgep/app?component=%24DirectLink&amp;page=FrontEndViewTender&amp;service=direct&amp;session=T&amp;sp=S5OBax5nKOpOcUD2KAMh5vA%3D%3D", "nyarasbm25")</f>
        <v/>
      </c>
      <c r="C482" t="inlineStr">
        <is>
          <t>Panchayati Raj Department||Secretary and Commissioner||CEO-AJMER||BDO-SRI NAGAR</t>
        </is>
      </c>
      <c r="D482" t="inlineStr">
        <is>
          <t>26-May-2025 10:00 AM</t>
        </is>
      </c>
      <c r="E482" t="inlineStr">
        <is>
          <t>16,83,318</t>
        </is>
      </c>
      <c r="F482" t="inlineStr">
        <is>
          <t>sbm work in gp nyara</t>
        </is>
      </c>
      <c r="G482" t="inlineStr">
        <is>
          <t>GP NYARA</t>
        </is>
      </c>
    </row>
    <row r="483">
      <c r="A483" s="1" t="n">
        <v>481</v>
      </c>
      <c r="B483">
        <f>HYPERLINK("https://eproc.rajasthan.gov.in/nicgep/app?component=%24DirectLink&amp;page=FrontEndViewTender&amp;service=direct&amp;session=T&amp;sp=SMA5ZJZ%2B3TEWG5eCyCmKwww%3D%3D", "MATERIAL SUPPLY FOR MGNREGA RD AND PR YEAR 2025-26")</f>
        <v/>
      </c>
      <c r="C483" t="inlineStr">
        <is>
          <t>Panchayati Raj Department||Secretary and Commissioner||CEO-BHILWARA||BDO-AASIND</t>
        </is>
      </c>
      <c r="D483" t="inlineStr">
        <is>
          <t>04-Jun-2025 06:00 PM</t>
        </is>
      </c>
      <c r="E483" t="inlineStr">
        <is>
          <t>2,00,00,000</t>
        </is>
      </c>
      <c r="F483" t="inlineStr">
        <is>
          <t>MATERIAL SUPPLY FOR MGNREGA RD AND PR YEAR 2025-26</t>
        </is>
      </c>
      <c r="G483" t="inlineStr">
        <is>
          <t>GP</t>
        </is>
      </c>
    </row>
    <row r="484">
      <c r="A484" s="1" t="n">
        <v>482</v>
      </c>
      <c r="B484">
        <f>HYPERLINK("https://eproc.rajasthan.gov.in/nicgep/app?component=%24DirectLink&amp;page=FrontEndViewTender&amp;service=direct&amp;session=T&amp;sp=Sah%2Feo0eviVOvXLYlhZXQWw%3D%3D", "3 SUPPLY OF CONST. MATER. AND EQUIP. FOR YR 2025-26 AS PER BSR AT PS GARHI GP BHAGORA")</f>
        <v/>
      </c>
      <c r="C484" t="inlineStr">
        <is>
          <t>Panchayati Raj Department||Secretary and Commissioner||CEO-BANSWARA||BDO-GADHI</t>
        </is>
      </c>
      <c r="D484" t="inlineStr">
        <is>
          <t>29-May-2025 06:00 PM</t>
        </is>
      </c>
      <c r="E484" t="inlineStr">
        <is>
          <t>75,00,000</t>
        </is>
      </c>
      <c r="F484" t="inlineStr">
        <is>
          <t>3 SUPPLY OF CONST. MATER. AND EQUIP. FOR YR 2025-26 AS PER BSR AT PS GARHI GP BHAGORA</t>
        </is>
      </c>
      <c r="G484" t="inlineStr">
        <is>
          <t>GARHI</t>
        </is>
      </c>
    </row>
    <row r="485">
      <c r="A485" s="1" t="n">
        <v>483</v>
      </c>
      <c r="B485">
        <f>HYPERLINK("https://eproc.rajasthan.gov.in/nicgep/app?component=%24DirectLink&amp;page=FrontEndViewTender&amp;service=direct&amp;session=T&amp;sp=SByuuV7MmIwohAH3mtJfbyA%3D%3D", "5 SUPPLY OF CONST. MATER. AND EQUIP. FOR YR 2025-26 AS PER BSR AT PS GARHI GP MADALDA")</f>
        <v/>
      </c>
      <c r="C485" t="inlineStr">
        <is>
          <t>Panchayati Raj Department||Secretary and Commissioner||CEO-BANSWARA||BDO-GADHI</t>
        </is>
      </c>
      <c r="D485" t="inlineStr">
        <is>
          <t>29-May-2025 06:00 PM</t>
        </is>
      </c>
      <c r="E485" t="inlineStr">
        <is>
          <t>75,00,000</t>
        </is>
      </c>
      <c r="F485" t="inlineStr">
        <is>
          <t>5 SUPPLY OF CONST. MATER. AND EQUIP. FOR YR 2025-26 AS PER BSR AT PS GARHI GP MADALDA</t>
        </is>
      </c>
      <c r="G485" t="inlineStr">
        <is>
          <t>GARHI</t>
        </is>
      </c>
    </row>
    <row r="486">
      <c r="A486" s="1" t="n">
        <v>484</v>
      </c>
      <c r="B486">
        <f>HYPERLINK("https://eproc.rajasthan.gov.in/nicgep/app?component=%24DirectLink&amp;page=FrontEndViewTender&amp;service=direct&amp;session=T&amp;sp=SJcxhsyqs6QsvQ0ciIkovbQ%3D%3D", "Gram panchyat me samast gavno me ghar ghar kachra sangrahan gav ki naliyo or Samudayik Parisar ki safai karya Gram Panchyat 2 SD")</f>
        <v/>
      </c>
      <c r="C486" t="inlineStr">
        <is>
          <t>Panchayati Raj Department||Secretary and Commissioner||CEO- GANGANAGAR||BDO-SURATGARH</t>
        </is>
      </c>
      <c r="D486" t="inlineStr">
        <is>
          <t>24-May-2025 02:00 PM</t>
        </is>
      </c>
      <c r="E486" t="inlineStr">
        <is>
          <t>5,05,798</t>
        </is>
      </c>
      <c r="F486" t="inlineStr">
        <is>
          <t>Gram panchyat me samast gavno me ghar ghar kachra sangrahan gav ki naliyo or Samudayik Parisar ki safai karya Gram Panchyat 2 SD</t>
        </is>
      </c>
      <c r="G486" t="inlineStr">
        <is>
          <t>Gram Panchyat 2 SD</t>
        </is>
      </c>
    </row>
    <row r="487">
      <c r="A487" s="1" t="n">
        <v>485</v>
      </c>
      <c r="B487">
        <f>HYPERLINK("https://eproc.rajasthan.gov.in/nicgep/app?component=%24DirectLink&amp;page=FrontEndViewTender&amp;service=direct&amp;session=T&amp;sp=SAo6DT8l%2F0s%2FVAcjocfyA%2Fg%3D%3D", "4 SUPPLY OF CONST. MATER. AND EQUIP. FOR YR 2025-26 AS PER BSR AT PS GARHI GP GOPINATH KA GARHA")</f>
        <v/>
      </c>
      <c r="C487" t="inlineStr">
        <is>
          <t>Panchayati Raj Department||Secretary and Commissioner||CEO-BANSWARA||BDO-GADHI</t>
        </is>
      </c>
      <c r="D487" t="inlineStr">
        <is>
          <t>29-May-2025 06:00 PM</t>
        </is>
      </c>
      <c r="E487" t="inlineStr">
        <is>
          <t>75,00,000</t>
        </is>
      </c>
      <c r="F487" t="inlineStr">
        <is>
          <t>4 SUPPLY OF CONST. MATER. AND EQUIP. FOR YR 2025-26 AS PER BSR AT PS GARHI GP GOPINATH KA GARHA</t>
        </is>
      </c>
      <c r="G487" t="inlineStr">
        <is>
          <t>GARHI</t>
        </is>
      </c>
    </row>
    <row r="488">
      <c r="A488" s="1" t="n">
        <v>486</v>
      </c>
      <c r="B488">
        <f>HYPERLINK("https://eproc.rajasthan.gov.in/nicgep/app?component=%24DirectLink&amp;page=FrontEndViewTender&amp;service=direct&amp;session=T&amp;sp=Sk2%2FnjljeYqP8Rah2gVrxxQ%3D%3D", "RATE CONTRACT FOR SUPPLY OF CONSTRUCTION MATERIAL FOR THE FINANCIAL YEAR 2025-26 IN GRAM PANCHAYAT BAMANU PANCHAYAT SAMITI PHALODI DIST. PHALODI")</f>
        <v/>
      </c>
      <c r="C488" t="inlineStr">
        <is>
          <t>Panchayati Raj Department||Secretary and Commissioner||CEO-JODHPUR||BDO-PHALODI</t>
        </is>
      </c>
      <c r="D488" t="inlineStr">
        <is>
          <t>02-Jun-2025 06:00 PM</t>
        </is>
      </c>
      <c r="E488" t="inlineStr">
        <is>
          <t>49,00,000</t>
        </is>
      </c>
      <c r="F488" t="inlineStr">
        <is>
          <t>RATE CONTRACT FOR SUPPLY OF CONSTRUCTION MATERIAL FOR THE FINANCIAL YEAR 2025-26 IN GRAM PANCHAYAT BAMANU PANCHAYAT SAMITI PHALODI DIST. PHALODI</t>
        </is>
      </c>
      <c r="G488" t="inlineStr">
        <is>
          <t>PS Phalodi</t>
        </is>
      </c>
    </row>
    <row r="489">
      <c r="A489" s="1" t="n">
        <v>487</v>
      </c>
      <c r="B489">
        <f>HYPERLINK("https://eproc.rajasthan.gov.in/nicgep/app?component=%24DirectLink&amp;page=FrontEndViewTender&amp;service=direct&amp;session=T&amp;sp=SIdnY5Y%2BiB1WWupJe55oRrw%3D%3D", "Work including garbage collection and separation from every house (residential and commercial), road and drain cleaning, and cleaning of community sanitation complex in all the villages of Gram Panchayat balaheda")</f>
        <v/>
      </c>
      <c r="C489" t="inlineStr">
        <is>
          <t>Panchayati Raj Department||Secretary and Commissioner||CEO-DAUSA||BDO-BAIJUPADA</t>
        </is>
      </c>
      <c r="D489" t="inlineStr">
        <is>
          <t>26-May-2025 06:00 PM</t>
        </is>
      </c>
      <c r="E489" t="inlineStr">
        <is>
          <t>8,60,500</t>
        </is>
      </c>
      <c r="F489" t="inlineStr">
        <is>
          <t>Work including garbage collection and separation from every house (residential and commercial), road and drain cleaning, and cleaning of community sanitation complex in all the villages of Gram Panchayat balaheda</t>
        </is>
      </c>
      <c r="G489" t="inlineStr">
        <is>
          <t>Gram Panchayat balaheda</t>
        </is>
      </c>
    </row>
    <row r="490">
      <c r="A490" s="1" t="n">
        <v>488</v>
      </c>
      <c r="B490">
        <f>HYPERLINK("https://eproc.rajasthan.gov.in/nicgep/app?component=%24DirectLink&amp;page=FrontEndViewTender&amp;service=direct&amp;session=T&amp;sp=SoU8ncolqXEjn4s9jF9P7gQ%3D%3D", "MATERIAL SUPPLY FOR MGNREGA RD AND PR YEAR 2025-26")</f>
        <v/>
      </c>
      <c r="C490" t="inlineStr">
        <is>
          <t>Panchayati Raj Department||Secretary and Commissioner||CEO-BHILWARA||BDO-AASIND</t>
        </is>
      </c>
      <c r="D490" t="inlineStr">
        <is>
          <t>26-May-2025 06:00 PM</t>
        </is>
      </c>
      <c r="E490" t="inlineStr">
        <is>
          <t>1,00,00,000</t>
        </is>
      </c>
      <c r="F490" t="inlineStr">
        <is>
          <t>MATERIAL SUPPLY FOR MGNREGA RD AND PR YEAR 2025-26</t>
        </is>
      </c>
      <c r="G490" t="inlineStr">
        <is>
          <t>gp</t>
        </is>
      </c>
    </row>
    <row r="491">
      <c r="A491" s="1" t="n">
        <v>489</v>
      </c>
      <c r="B491">
        <f>HYPERLINK("https://eproc.rajasthan.gov.in/nicgep/app?component=%24DirectLink&amp;page=FrontEndViewTender&amp;service=direct&amp;session=T&amp;sp=SQgWTC5TG%2B7vk9PVwleXi%2FA%3D%3D", "RATE CONTRACT FOR SUPPLY OF CONSTRUCTION MATERIAL FOR THE FINANCIAL YEAR 2025-26 IN GRAM PANCHAYAT BAPINI PANCHAYAT SAMITI PHALODI DIST. PHALODI")</f>
        <v/>
      </c>
      <c r="C491" t="inlineStr">
        <is>
          <t>Panchayati Raj Department||Secretary and Commissioner||CEO-JODHPUR||BDO-PHALODI</t>
        </is>
      </c>
      <c r="D491" t="inlineStr">
        <is>
          <t>02-Jun-2025 06:00 PM</t>
        </is>
      </c>
      <c r="E491" t="inlineStr">
        <is>
          <t>49,00,000</t>
        </is>
      </c>
      <c r="F491" t="inlineStr">
        <is>
          <t>RATE CONTRACT FOR SUPPLY OF CONSTRUCTION MATERIAL FOR THE FINANCIAL YEAR 2025-26 IN GRAM PANCHAYAT BAPINI PANCHAYAT SAMITI PHALODI DIST. PHALODI</t>
        </is>
      </c>
      <c r="G491" t="inlineStr">
        <is>
          <t>PS Phalodi</t>
        </is>
      </c>
    </row>
    <row r="492">
      <c r="A492" s="1" t="n">
        <v>490</v>
      </c>
      <c r="B492">
        <f>HYPERLINK("https://eproc.rajasthan.gov.in/nicgep/app?component=%24DirectLink&amp;page=FrontEndViewTender&amp;service=direct&amp;session=T&amp;sp=Sd1TTvyjZDDFFFyg4owktlw%3D%3D", "Supply of Construction Materials and Service of Equipments (Financial Year 2025-26) for Gram Panchayat Gavaradi.")</f>
        <v/>
      </c>
      <c r="C492" t="inlineStr">
        <is>
          <t>Panchayati Raj Department||Secretary and Commissioner||CEO-RAJSAMAND||BDO-RAILMAGARA</t>
        </is>
      </c>
      <c r="D492" t="inlineStr">
        <is>
          <t>26-May-2025 06:00 PM</t>
        </is>
      </c>
      <c r="E492" t="inlineStr">
        <is>
          <t>50,00,000</t>
        </is>
      </c>
      <c r="F492" t="inlineStr">
        <is>
          <t>Supply of Construction Materials and Service of Equipments (Financial Year 2025-26) for Gram Panchayat Gavaradi.</t>
        </is>
      </c>
      <c r="G492" t="inlineStr">
        <is>
          <t>GRAM PANCHAYAT GAVARADI</t>
        </is>
      </c>
    </row>
    <row r="493">
      <c r="A493" s="1" t="n">
        <v>491</v>
      </c>
      <c r="B493">
        <f>HYPERLINK("https://eproc.rajasthan.gov.in/nicgep/app?component=%24DirectLink&amp;page=FrontEndViewTender&amp;service=direct&amp;session=T&amp;sp=Sjbj4NRy7lVngdwggAXnp8Q%3D%3D", "SAMUDAYIK BHAWAN NIRMAN BHOMIYA BABA KE PASS GULLANA UNDER MLA LAD")</f>
        <v/>
      </c>
      <c r="C493" t="inlineStr">
        <is>
          <t>Panchayati Raj Department||Secretary and Commissioner||CEO-DAUSA||BDO-BASWA</t>
        </is>
      </c>
      <c r="D493" t="inlineStr">
        <is>
          <t>27-May-2025 05:00 PM</t>
        </is>
      </c>
      <c r="E493" t="inlineStr">
        <is>
          <t>8,00,000</t>
        </is>
      </c>
      <c r="F493" t="inlineStr">
        <is>
          <t>SAMUDAYIK BHAWAN NIRMAN BHOMIYA BABA KE PASS GULLANA UNDER MLA LAD</t>
        </is>
      </c>
      <c r="G493" t="inlineStr">
        <is>
          <t>PS BASWA DAUSA</t>
        </is>
      </c>
    </row>
    <row r="494">
      <c r="A494" s="1" t="n">
        <v>492</v>
      </c>
      <c r="B494">
        <f>HYPERLINK("https://eproc.rajasthan.gov.in/nicgep/app?component=%24DirectLink&amp;page=FrontEndViewTender&amp;service=direct&amp;session=T&amp;sp=Sjiey6AR3%2FBaGMil%2BJCxh0Q%3D%3D", "Supply Of Various Construction Materials In Gram Panchayat DHEENDHWA BICHALA For MG Nrega and")</f>
        <v/>
      </c>
      <c r="C494" t="inlineStr">
        <is>
          <t>Panchayati Raj Department||Secretary and Commissioner||CEO-JHUNJHUNU||BDO-PILANI</t>
        </is>
      </c>
      <c r="D494" t="inlineStr">
        <is>
          <t>02-Jun-2025 09:00 AM</t>
        </is>
      </c>
      <c r="E494" t="inlineStr">
        <is>
          <t>80,00,000</t>
        </is>
      </c>
      <c r="F494" t="inlineStr">
        <is>
          <t>Supply Of Various Construction Materials In Gram Panchayat DHEENDHWA BICHALA For MG Nrega and Rural Development and Panchayati raj Departments Schemes for Financial Year 2025-26</t>
        </is>
      </c>
      <c r="G494" t="inlineStr">
        <is>
          <t>DHEENDHWA BICHALA</t>
        </is>
      </c>
    </row>
    <row r="495">
      <c r="A495" s="1" t="n">
        <v>493</v>
      </c>
      <c r="B495">
        <f>HYPERLINK("https://eproc.rajasthan.gov.in/nicgep/app?component=%24DirectLink&amp;page=FrontEndViewTender&amp;service=direct&amp;session=T&amp;sp=S%2BrqHZNjRw%2BSQdHDjw8LIoA%3D%3D", "SBM/Chitiwas/2025-26")</f>
        <v/>
      </c>
      <c r="C495" t="inlineStr">
        <is>
          <t>Panchayati Raj Department||Secretary and Commissioner||CEO-AJMER||BDO-SAWAR</t>
        </is>
      </c>
      <c r="D495" t="inlineStr">
        <is>
          <t>26-May-2025 06:00 PM</t>
        </is>
      </c>
      <c r="E495" t="inlineStr">
        <is>
          <t>NA</t>
        </is>
      </c>
      <c r="F495" t="inlineStr">
        <is>
          <t>SBM/Chitiwas/2025-26</t>
        </is>
      </c>
      <c r="G495" t="inlineStr">
        <is>
          <t>Chitiwas</t>
        </is>
      </c>
    </row>
    <row r="496">
      <c r="A496" s="1" t="n">
        <v>494</v>
      </c>
      <c r="B496">
        <f>HYPERLINK("https://eproc.rajasthan.gov.in/nicgep/app?component=%24DirectLink&amp;page=FrontEndViewTender&amp;service=direct&amp;session=T&amp;sp=SCrnlOTaLfhGGacMAUqV7Gw%3D%3D", "Rate contract for supply of material on all construction works conducted under Mahatma Gandhi NREGA scheme and various schemes of Rural Development and Panchayati Raj Department, Gram Panchayat Basna")</f>
        <v/>
      </c>
      <c r="C496" t="inlineStr">
        <is>
          <t>Panchayati Raj Department||Secretary and Commissioner||CEO- JAIPUR||BDO-JAMUVARAMGAH</t>
        </is>
      </c>
      <c r="D496" t="inlineStr">
        <is>
          <t>28-May-2025 05:00 PM</t>
        </is>
      </c>
      <c r="E496" t="inlineStr">
        <is>
          <t>60,00,000</t>
        </is>
      </c>
      <c r="F496" t="inlineStr">
        <is>
          <t>Rate contract for supply of material on all construction works conducted under Mahatma Gandhi NREGA scheme and various schemes of Rural Development and Panchayati Raj Department, Gram Panchayat Basna</t>
        </is>
      </c>
      <c r="G496" t="inlineStr">
        <is>
          <t>Gram Panchayat Basna</t>
        </is>
      </c>
    </row>
    <row r="497">
      <c r="A497" s="1" t="n">
        <v>495</v>
      </c>
      <c r="B497">
        <f>HYPERLINK("https://eproc.rajasthan.gov.in/nicgep/app?component=%24DirectLink&amp;page=FrontEndViewTender&amp;service=direct&amp;session=T&amp;sp=SKYq%2F2EgZ0cvRXmDuoLsWoA%3D%3D", "Tubewell Nirman kary shamshan bhumi ke pass basda bhoja")</f>
        <v/>
      </c>
      <c r="C497" t="inlineStr">
        <is>
          <t>Panchayati Raj Department||Secretary and Commissioner||CEO- JALORE||BDO- RANIWARA</t>
        </is>
      </c>
      <c r="D497" t="inlineStr">
        <is>
          <t>25-May-2025 09:00 AM</t>
        </is>
      </c>
      <c r="E497" t="inlineStr">
        <is>
          <t>10,42,000</t>
        </is>
      </c>
      <c r="F497" t="inlineStr">
        <is>
          <t>Tubewell Nirman kary shamshan bhumi ke pass basda bhoja</t>
        </is>
      </c>
      <c r="G497" t="inlineStr">
        <is>
          <t>chitrodi</t>
        </is>
      </c>
    </row>
    <row r="498">
      <c r="A498" s="1" t="n">
        <v>496</v>
      </c>
      <c r="B498">
        <f>HYPERLINK("https://eproc.rajasthan.gov.in/nicgep/app?component=%24DirectLink&amp;page=FrontEndViewTender&amp;service=direct&amp;session=T&amp;sp=SRnU3v0muQMTVlu7mmFvO9Q%3D%3D", "SBM/Nayagaonmeena/2025-26")</f>
        <v/>
      </c>
      <c r="C498" t="inlineStr">
        <is>
          <t>Panchayati Raj Department||Secretary and Commissioner||CEO-AJMER||BDO-SAWAR</t>
        </is>
      </c>
      <c r="D498" t="inlineStr">
        <is>
          <t>26-May-2025 06:00 PM</t>
        </is>
      </c>
      <c r="E498" t="inlineStr">
        <is>
          <t>NA</t>
        </is>
      </c>
      <c r="F498" t="inlineStr">
        <is>
          <t>SBM/Nayagaonmeena/2025-26</t>
        </is>
      </c>
      <c r="G498" t="inlineStr">
        <is>
          <t>Nayagaon Meena</t>
        </is>
      </c>
    </row>
    <row r="499">
      <c r="A499" s="1" t="n">
        <v>497</v>
      </c>
      <c r="B499">
        <f>HYPERLINK("https://eproc.rajasthan.gov.in/nicgep/app?component=%24DirectLink&amp;page=FrontEndViewTender&amp;service=direct&amp;session=T&amp;sp=SQ9%2BqaClAPrXdZUyi2o%2Bc6g%3D%3D", "MATERIAL SUPPLY TENDER GP PALOT")</f>
        <v/>
      </c>
      <c r="C499" t="inlineStr">
        <is>
          <t>Panchayati Raj Department||Secretary and Commissioner||CEO-NAGORE||BDO-DIDWANA</t>
        </is>
      </c>
      <c r="D499" t="inlineStr">
        <is>
          <t>26-May-2025 06:00 PM</t>
        </is>
      </c>
      <c r="E499" t="inlineStr">
        <is>
          <t>1,00,00,000</t>
        </is>
      </c>
      <c r="F499" t="inlineStr">
        <is>
          <t>Material and Equipment supply under MGNREGA RD and PRD Schemes in GP PALOT</t>
        </is>
      </c>
      <c r="G499" t="inlineStr">
        <is>
          <t>GP PALOT</t>
        </is>
      </c>
    </row>
    <row r="500">
      <c r="A500" s="1" t="n">
        <v>498</v>
      </c>
      <c r="B500">
        <f>HYPERLINK("https://eproc.rajasthan.gov.in/nicgep/app?component=%24DirectLink&amp;page=FrontEndViewTender&amp;service=direct&amp;session=T&amp;sp=SxZPkfaM3ETQ%2BR3paH%2BZxLg%3D%3D", "DHARATAL KO UCHA UTHAKAR KICHAD NIPTANE HETU C C BLOCK SADAK NIRMAN CHHAPARI SE KHAKHDATI DAMAR SADAK KE PASS DEV JI KI AUR CHHAPARI5 (SEE ATTACHED TENDER DOCS AND SHEDULE)")</f>
        <v/>
      </c>
      <c r="C500" t="inlineStr">
        <is>
          <t>Panchayati Raj Department||Secretary and Commissioner||CEO- JAIPUR||BDO-SAMBHAR</t>
        </is>
      </c>
      <c r="D500" t="inlineStr">
        <is>
          <t>26-May-2025 10:00 AM</t>
        </is>
      </c>
      <c r="E500" t="inlineStr">
        <is>
          <t>10,00,000</t>
        </is>
      </c>
      <c r="F500" t="inlineStr">
        <is>
          <t>DHARATAL KO UCHA UTHAKAR KICHAD NIPTANE HETU C C BLOCK SADAK NIRMAN CHHAPARI SE KHAKHDATI DAMAR SADAK KE PASS DEV JI KI AUR CHHAPARI5 (SEE ATTACHED TENDER DOCS AND SHEDULE)</t>
        </is>
      </c>
      <c r="G500" t="inlineStr">
        <is>
          <t>GP KORSEENA</t>
        </is>
      </c>
    </row>
    <row r="501">
      <c r="A501" s="1" t="n">
        <v>499</v>
      </c>
      <c r="B501">
        <f>HYPERLINK("https://eproc.rajasthan.gov.in/nicgep/app?component=%24DirectLink&amp;page=FrontEndViewTender&amp;service=direct&amp;session=T&amp;sp=S%2FI%2B9QyOODBg1zBQCEt%2BD9A%3D%3D", "Cleaning AND Sanitation work")</f>
        <v/>
      </c>
      <c r="C501" t="inlineStr">
        <is>
          <t>Panchayati Raj Department||Secretary and Commissioner||CEO- GANGANAGAR||BDO-SADULSHAHAR</t>
        </is>
      </c>
      <c r="D501" t="inlineStr">
        <is>
          <t>26-May-2025 05:00 PM</t>
        </is>
      </c>
      <c r="E501" t="inlineStr">
        <is>
          <t>4,27,963</t>
        </is>
      </c>
      <c r="F501" t="inlineStr">
        <is>
          <t>Cleaning AND Sanitation work</t>
        </is>
      </c>
      <c r="G501" t="inlineStr">
        <is>
          <t>KILLAWALI</t>
        </is>
      </c>
    </row>
    <row r="502">
      <c r="A502" s="1" t="n">
        <v>500</v>
      </c>
      <c r="B502">
        <f>HYPERLINK("https://eproc.rajasthan.gov.in/nicgep/app?component=%24DirectLink&amp;page=FrontEndViewTender&amp;service=direct&amp;session=T&amp;sp=S%2BjHXdIrrLsDuureAlDoreg%3D%3D", "Maharaja shree gajesingh shikshan sansthan v mukhya sadak ke bhich CC block kary")</f>
        <v/>
      </c>
      <c r="C502" t="inlineStr">
        <is>
          <t>Panchayati Raj Department||Secretary and Commissioner||CEO-JODHPUR||BDO-ONSIYAN</t>
        </is>
      </c>
      <c r="D502" t="inlineStr">
        <is>
          <t>22-May-2025 02:00 PM</t>
        </is>
      </c>
      <c r="E502" t="inlineStr">
        <is>
          <t>6,00,000</t>
        </is>
      </c>
      <c r="F502" t="inlineStr">
        <is>
          <t>Maharaja shree gajesingh shikshan sansthan v mukhya sadak ke bhich CC block kary</t>
        </is>
      </c>
      <c r="G502" t="inlineStr">
        <is>
          <t>Bhairusagar</t>
        </is>
      </c>
    </row>
    <row r="503">
      <c r="A503" s="1" t="n">
        <v>501</v>
      </c>
      <c r="B503">
        <f>HYPERLINK("https://eproc.rajasthan.gov.in/nicgep/app?component=%24DirectLink&amp;page=FrontEndViewTender&amp;service=direct&amp;session=T&amp;sp=S58qnXKy6DPwdpg8DRXz7BA%3D%3D", "Cleaning AND Sanitation work")</f>
        <v/>
      </c>
      <c r="C503" t="inlineStr">
        <is>
          <t>Panchayati Raj Department||Secretary and Commissioner||CEO- GANGANAGAR||BDO-SADULSHAHAR</t>
        </is>
      </c>
      <c r="D503" t="inlineStr">
        <is>
          <t>26-May-2025 05:00 PM</t>
        </is>
      </c>
      <c r="E503" t="inlineStr">
        <is>
          <t>8,82,311</t>
        </is>
      </c>
      <c r="F503" t="inlineStr">
        <is>
          <t>Cleaning AND Sanitation work</t>
        </is>
      </c>
      <c r="G503" t="inlineStr">
        <is>
          <t>BAHRAMPURA BOADALA</t>
        </is>
      </c>
    </row>
    <row r="504">
      <c r="A504" s="1" t="n">
        <v>502</v>
      </c>
      <c r="B504">
        <f>HYPERLINK("https://eproc.rajasthan.gov.in/nicgep/app?component=%24DirectLink&amp;page=FrontEndViewTender&amp;service=direct&amp;session=T&amp;sp=Sl9RkYjPbms%2F2WPVwVEOM1w%3D%3D", "Panchayat Samiti KPatan ke adhinasth gram panchayato me ghar ghar avm vyvsayik prathisthano se kachara sangrahan avm prathakakran Gaon ki sadak avm nali safai karyat thatha samudayik swacchta parisar ki safai karya GP Soonagar")</f>
        <v/>
      </c>
      <c r="C504" t="inlineStr">
        <is>
          <t>Panchayati Raj Department||Secretary and Commissioner||CEO-BUNDI||BDO-KESHORAIPATAN</t>
        </is>
      </c>
      <c r="D504" t="inlineStr">
        <is>
          <t>26-May-2025 04:00 PM</t>
        </is>
      </c>
      <c r="E504" t="inlineStr">
        <is>
          <t>9,98,000</t>
        </is>
      </c>
      <c r="F504" t="inlineStr">
        <is>
          <t>Panchayat Samiti KPatan ke adhinasth gram panchayato me ghar ghar avm vyvsayik prathisthano se kachara sangrahan avm prathakakran Gaon ki sadak avm nali safai karyat thatha samudayik swacchta parisar ki safai karya GP Soonagar</t>
        </is>
      </c>
      <c r="G504" t="inlineStr">
        <is>
          <t>Gp Soonagar</t>
        </is>
      </c>
    </row>
    <row r="505">
      <c r="A505" s="1" t="n">
        <v>503</v>
      </c>
      <c r="B505">
        <f>HYPERLINK("https://eproc.rajasthan.gov.in/nicgep/app?component=%24DirectLink&amp;page=FrontEndViewTender&amp;service=direct&amp;session=T&amp;sp=SRVtGuWYPFmJwF8hm9dSKfw%3D%3D", "SBM CLEANING AND SANITATION WORKS AT GP Chapanwali")</f>
        <v/>
      </c>
      <c r="C505" t="inlineStr">
        <is>
          <t>Panchayati Raj Department||Secretary and Commissioner||CEO- GANGANAGAR||BDO-SADULSHAHAR</t>
        </is>
      </c>
      <c r="D505" t="inlineStr">
        <is>
          <t>26-May-2025 05:00 PM</t>
        </is>
      </c>
      <c r="E505" t="inlineStr">
        <is>
          <t>8,87,994</t>
        </is>
      </c>
      <c r="F505" t="inlineStr">
        <is>
          <t>SBM CLEANING AND SANITATION WORKS AT GP Chapanwali</t>
        </is>
      </c>
      <c r="G505" t="inlineStr">
        <is>
          <t>GP chapanwali</t>
        </is>
      </c>
    </row>
    <row r="506">
      <c r="A506" s="1" t="n">
        <v>504</v>
      </c>
      <c r="B506">
        <f>HYPERLINK("https://eproc.rajasthan.gov.in/nicgep/app?component=%24DirectLink&amp;page=FrontEndViewTender&amp;service=direct&amp;session=T&amp;sp=SZtrQ8ILaSm49m9Kbqwl1kw%3D%3D", "Cleaning AND Sanitation work")</f>
        <v/>
      </c>
      <c r="C506" t="inlineStr">
        <is>
          <t>Panchayati Raj Department||Secretary and Commissioner||CEO- GANGANAGAR||BDO-SADULSHAHAR</t>
        </is>
      </c>
      <c r="D506" t="inlineStr">
        <is>
          <t>26-May-2025 05:00 PM</t>
        </is>
      </c>
      <c r="E506" t="inlineStr">
        <is>
          <t>9,90,616</t>
        </is>
      </c>
      <c r="F506" t="inlineStr">
        <is>
          <t>Cleaning AND Sanitation work</t>
        </is>
      </c>
      <c r="G506" t="inlineStr">
        <is>
          <t>NARAYANGARH</t>
        </is>
      </c>
    </row>
    <row r="507">
      <c r="A507" s="1" t="n">
        <v>505</v>
      </c>
      <c r="B507">
        <f>HYPERLINK("https://eproc.rajasthan.gov.in/nicgep/app?component=%24DirectLink&amp;page=FrontEndViewTender&amp;service=direct&amp;session=T&amp;sp=SvCqK%2Fy16%2BI8CuApx8F%2Bmjw%3D%3D", "Rajiv Gandhi Seva Kendro Par Suraksha Karya 26 Akushal Karmik Service Work Panchayt Samiti Bassi Jaipur Fy 2025-26")</f>
        <v/>
      </c>
      <c r="C507" t="inlineStr">
        <is>
          <t>Panchayati Raj Department||Secretary and Commissioner||CEO- JAIPUR||BDO-BASSI</t>
        </is>
      </c>
      <c r="D507" t="inlineStr">
        <is>
          <t>26-May-2025 02:00 PM</t>
        </is>
      </c>
      <c r="E507" t="inlineStr">
        <is>
          <t>26,00,000</t>
        </is>
      </c>
      <c r="F507" t="inlineStr">
        <is>
          <t>Rajiv Gandhi Seva Kendro Par Suraksha Karya 26 Akushal Karmik Service Work Panchayt Samiti Bassi Jaipur Fy 2025-26</t>
        </is>
      </c>
      <c r="G507" t="inlineStr">
        <is>
          <t>All Gram Panchayat Ps Bassi</t>
        </is>
      </c>
    </row>
    <row r="508">
      <c r="A508" s="1" t="n">
        <v>506</v>
      </c>
      <c r="B508">
        <f>HYPERLINK("https://eproc.rajasthan.gov.in/nicgep/app?component=%24DirectLink&amp;page=FrontEndViewTender&amp;service=direct&amp;session=T&amp;sp=SJUJPFmC9%2BOpegk2%2BYqU9iQ%3D%3D", "SBM CLEANING AND SANITATION WORKS AT GP Dungarsinghpura")</f>
        <v/>
      </c>
      <c r="C508" t="inlineStr">
        <is>
          <t>Panchayati Raj Department||Secretary and Commissioner||CEO- GANGANAGAR||BDO-SADULSHAHAR</t>
        </is>
      </c>
      <c r="D508" t="inlineStr">
        <is>
          <t>26-May-2025 05:00 PM</t>
        </is>
      </c>
      <c r="E508" t="inlineStr">
        <is>
          <t>9,83,573</t>
        </is>
      </c>
      <c r="F508" t="inlineStr">
        <is>
          <t>SBM CLEANING AND SANITATION WORKS AT GP Dungarsinghpura</t>
        </is>
      </c>
      <c r="G508" t="inlineStr">
        <is>
          <t>GP Dungarsinghpura</t>
        </is>
      </c>
    </row>
    <row r="509">
      <c r="A509" s="1" t="n">
        <v>507</v>
      </c>
      <c r="B509">
        <f>HYPERLINK("https://eproc.rajasthan.gov.in/nicgep/app?component=%24DirectLink&amp;page=FrontEndViewTender&amp;service=direct&amp;session=T&amp;sp=SkdviGdLIUWwxs%2FXxEQTnOg%3D%3D", "Cleaning AND Sanitation work")</f>
        <v/>
      </c>
      <c r="C509" t="inlineStr">
        <is>
          <t>Panchayati Raj Department||Secretary and Commissioner||CEO- GANGANAGAR||BDO-SADULSHAHAR</t>
        </is>
      </c>
      <c r="D509" t="inlineStr">
        <is>
          <t>26-May-2025 05:00 PM</t>
        </is>
      </c>
      <c r="E509" t="inlineStr">
        <is>
          <t>7,30,299</t>
        </is>
      </c>
      <c r="F509" t="inlineStr">
        <is>
          <t>Cleaning AND Sanitation work</t>
        </is>
      </c>
      <c r="G509" t="inlineStr">
        <is>
          <t>KARADWALA</t>
        </is>
      </c>
    </row>
    <row r="510">
      <c r="A510" s="1" t="n">
        <v>508</v>
      </c>
      <c r="B510">
        <f>HYPERLINK("https://eproc.rajasthan.gov.in/nicgep/app?component=%24DirectLink&amp;page=FrontEndViewTender&amp;service=direct&amp;session=T&amp;sp=S9TEvUSIY1XuHn%2FwSEv6KAQ%3D%3D", "METRIYAL TENDER FOR GRAM PANCHAYAT SARVADI")</f>
        <v/>
      </c>
      <c r="C510" t="inlineStr">
        <is>
          <t>Panchayati Raj Department||Secretary and Commissioner||CEO-BADMER||BDO-SAMDARI</t>
        </is>
      </c>
      <c r="D510" t="inlineStr">
        <is>
          <t>29-May-2025 06:00 PM</t>
        </is>
      </c>
      <c r="E510" t="inlineStr">
        <is>
          <t>60,00,000</t>
        </is>
      </c>
      <c r="F510" t="inlineStr">
        <is>
          <t>METRIYAL TENDER FOR GRAM PANCHAYAT SARVADI</t>
        </is>
      </c>
      <c r="G510" t="inlineStr">
        <is>
          <t>GRAM PANCHAYAT SARVADI</t>
        </is>
      </c>
    </row>
    <row r="511">
      <c r="A511" s="1" t="n">
        <v>509</v>
      </c>
      <c r="B511">
        <f>HYPERLINK("https://eproc.rajasthan.gov.in/nicgep/app?component=%24DirectLink&amp;page=FrontEndViewTender&amp;service=direct&amp;session=T&amp;sp=SRfTPz%2B%2FRgJUgk89GU%2BmlMQ%3D%3D", "Cleaning AND Sanitation worK")</f>
        <v/>
      </c>
      <c r="C511" t="inlineStr">
        <is>
          <t>Panchayati Raj Department||Secretary and Commissioner||CEO- GANGANAGAR||BDO-SADULSHAHAR</t>
        </is>
      </c>
      <c r="D511" t="inlineStr">
        <is>
          <t>26-May-2025 05:00 PM</t>
        </is>
      </c>
      <c r="E511" t="inlineStr">
        <is>
          <t>9,89,035</t>
        </is>
      </c>
      <c r="F511" t="inlineStr">
        <is>
          <t>Cleaning AND Sanitation work</t>
        </is>
      </c>
      <c r="G511" t="inlineStr">
        <is>
          <t>BUDHARWALI</t>
        </is>
      </c>
    </row>
    <row r="512">
      <c r="A512" s="1" t="n">
        <v>510</v>
      </c>
      <c r="B512">
        <f>HYPERLINK("https://eproc.rajasthan.gov.in/nicgep/app?component=%24DirectLink&amp;page=FrontEndViewTender&amp;service=direct&amp;session=T&amp;sp=SKmncUqXuWii4tLhzGFeJQw%3D%3D", "Cleaning AND Sanitation work")</f>
        <v/>
      </c>
      <c r="C512" t="inlineStr">
        <is>
          <t>Panchayati Raj Department||Secretary and Commissioner||CEO- GANGANAGAR||BDO-SADULSHAHAR</t>
        </is>
      </c>
      <c r="D512" t="inlineStr">
        <is>
          <t>26-May-2025 05:00 PM</t>
        </is>
      </c>
      <c r="E512" t="inlineStr">
        <is>
          <t>9,89,965</t>
        </is>
      </c>
      <c r="F512" t="inlineStr">
        <is>
          <t>Cleaning AND Sanitation work</t>
        </is>
      </c>
      <c r="G512" t="inlineStr">
        <is>
          <t>CHAKMAHARAJKA</t>
        </is>
      </c>
    </row>
    <row r="513">
      <c r="A513" s="1" t="n">
        <v>511</v>
      </c>
      <c r="B513">
        <f>HYPERLINK("https://eproc.rajasthan.gov.in/nicgep/app?component=%24DirectLink&amp;page=FrontEndViewTender&amp;service=direct&amp;session=T&amp;sp=SmGmPa142aC1fUHoojK55nQ%3D%3D", "Work including garbage collection and separation from every house (residential and commercial), road and drain cleaning, and cleaning of community sanitation complex in all the villages of Gram Panchayat alipur")</f>
        <v/>
      </c>
      <c r="C513" t="inlineStr">
        <is>
          <t>Panchayati Raj Department||Secretary and Commissioner||CEO-DAUSA||BDO-BAIJUPADA</t>
        </is>
      </c>
      <c r="D513" t="inlineStr">
        <is>
          <t>26-May-2025 05:00 PM</t>
        </is>
      </c>
      <c r="E513" t="inlineStr">
        <is>
          <t>5,08,900</t>
        </is>
      </c>
      <c r="F513" t="inlineStr">
        <is>
          <t>Work including garbage collection and separation from every house (residential and commercial), road and drain cleaning, and cleaning of community sanitation complex in all the villages of Gram Panchayat alipur</t>
        </is>
      </c>
      <c r="G513" t="inlineStr">
        <is>
          <t>Gram Panchayat alipur</t>
        </is>
      </c>
    </row>
    <row r="514">
      <c r="A514" s="1" t="n">
        <v>512</v>
      </c>
      <c r="B514">
        <f>HYPERLINK("https://eproc.rajasthan.gov.in/nicgep/app?component=%24DirectLink&amp;page=FrontEndViewTender&amp;service=direct&amp;session=T&amp;sp=Sou%2B1gd4uaWN6La5Oc1s%2BhQ%3D%3D", "Panchayat Samiti KPatan ke adhinasth gram panchayato me ghar ghar avm vyvsayik prathisthano se kachara sangrahan avm prathakakran Gaon ki sadak avm nali safai karyat thatha samudayik swacchta parisar ki safai karya GP Sumerganjmandi")</f>
        <v/>
      </c>
      <c r="C514" t="inlineStr">
        <is>
          <t>Panchayati Raj Department||Secretary and Commissioner||CEO-BUNDI||BDO-KESHORAIPATAN</t>
        </is>
      </c>
      <c r="D514" t="inlineStr">
        <is>
          <t>26-May-2025 04:00 PM</t>
        </is>
      </c>
      <c r="E514" t="inlineStr">
        <is>
          <t>9,92,000</t>
        </is>
      </c>
      <c r="F514" t="inlineStr">
        <is>
          <t>Panchayat Samiti KPatan ke adhinasth gram panchayato me ghar ghar avm vyvsayik prathisthano se kachara sangrahan avm prathakakran Gaon ki sadak avm nali safai karyat thatha samudayik swacchta parisar ki safai karya GP Sumerganjmandi</t>
        </is>
      </c>
      <c r="G514" t="inlineStr">
        <is>
          <t>Gp sumerganjmandi</t>
        </is>
      </c>
    </row>
    <row r="515">
      <c r="A515" s="1" t="n">
        <v>513</v>
      </c>
      <c r="B515">
        <f>HYPERLINK("https://eproc.rajasthan.gov.in/nicgep/app?component=%24DirectLink&amp;page=FrontEndViewTender&amp;service=direct&amp;session=T&amp;sp=S46reDBKpLko2YOsm71Sdtw%3D%3D", "RATE CONTRACT")</f>
        <v/>
      </c>
      <c r="C515" t="inlineStr">
        <is>
          <t>Panchayati Raj Department||Secretary and Commissioner||CEO- GANGANAGAR||BDO-GANGANAGAR</t>
        </is>
      </c>
      <c r="D515" t="inlineStr">
        <is>
          <t>27-May-2025 05:00 PM</t>
        </is>
      </c>
      <c r="E515" t="inlineStr">
        <is>
          <t>49,90,000</t>
        </is>
      </c>
      <c r="F515" t="inlineStr">
        <is>
          <t>MATERIAL AND INSTURMENT</t>
        </is>
      </c>
      <c r="G515" t="inlineStr">
        <is>
          <t>18 ML</t>
        </is>
      </c>
    </row>
    <row r="516">
      <c r="A516" s="1" t="n">
        <v>514</v>
      </c>
      <c r="B516">
        <f>HYPERLINK("https://eproc.rajasthan.gov.in/nicgep/app?component=%24DirectLink&amp;page=FrontEndViewTender&amp;service=direct&amp;session=T&amp;sp=SLnY%2BPdDbBvhyW4foiMkvBw%3D%3D", "Panchayat Samiti KPatan ke adhinasth gram panchayato me ghar ghar avm vyvsayik prathisthano se kachara sangrahan avm prathakakran Gaon ki sadak avm nali safai karyat thatha samudayik swacchta parisar ki safai karya GP Skhawada")</f>
        <v/>
      </c>
      <c r="C516" t="inlineStr">
        <is>
          <t>Panchayati Raj Department||Secretary and Commissioner||CEO-BUNDI||BDO-KESHORAIPATAN</t>
        </is>
      </c>
      <c r="D516" t="inlineStr">
        <is>
          <t>26-May-2025 04:00 PM</t>
        </is>
      </c>
      <c r="E516" t="inlineStr">
        <is>
          <t>8,11,000</t>
        </is>
      </c>
      <c r="F516" t="inlineStr">
        <is>
          <t>Panchayat Samiti KPatan ke adhinasth gram panchayato me ghar ghar avm vyvsayik prathisthano se kachara sangrahan avm prathakakran Gaon ki sadak avm nali safai karyat thatha samudayik swacchta parisar ki safai karya GP Skhawada</t>
        </is>
      </c>
      <c r="G516" t="inlineStr">
        <is>
          <t>Gp Sakhawada</t>
        </is>
      </c>
    </row>
    <row r="517">
      <c r="A517" s="1" t="n">
        <v>515</v>
      </c>
      <c r="B517">
        <f>HYPERLINK("https://eproc.rajasthan.gov.in/nicgep/app?component=%24DirectLink&amp;page=FrontEndViewTender&amp;service=direct&amp;session=T&amp;sp=S7iKMwfrCaxYSi94nfwlqFw%3D%3D", "Panchayat Samiti KPatan ke adhinasth gram panchayato me ghar ghar avm vyvsayik prathisthano se kachara sangrahan avm prathakakran Gaon ki sadak avm nali safai karyat thatha samudayik swacchta parisar ki safai karya GP Rebarpura")</f>
        <v/>
      </c>
      <c r="C517" t="inlineStr">
        <is>
          <t>Panchayati Raj Department||Secretary and Commissioner||CEO-BUNDI||BDO-KESHORAIPATAN</t>
        </is>
      </c>
      <c r="D517" t="inlineStr">
        <is>
          <t>26-May-2025 04:00 PM</t>
        </is>
      </c>
      <c r="E517" t="inlineStr">
        <is>
          <t>9,82,000</t>
        </is>
      </c>
      <c r="F517" t="inlineStr">
        <is>
          <t>Panchayat Samiti KPatan ke adhinasth gram panchayato me ghar ghar avm vyvsayik prathisthano se kachara sangrahan avm prathakakran Gaon ki sadak avm nali safai karyat thatha samudayik swacchta parisar ki safai karya GP Rebarpura</t>
        </is>
      </c>
      <c r="G517" t="inlineStr">
        <is>
          <t>Gp Rebarpura</t>
        </is>
      </c>
    </row>
    <row r="518">
      <c r="A518" s="1" t="n">
        <v>516</v>
      </c>
      <c r="B518">
        <f>HYPERLINK("https://eproc.rajasthan.gov.in/nicgep/app?component=%24DirectLink&amp;page=FrontEndViewTender&amp;service=direct&amp;session=T&amp;sp=SgdJuQMq2J7Pyyvbx1clxew%3D%3D", "Panchayat Samiti KPatan ke adhinasth gram panchayato me ghar ghar avm vyvsayik prathisthano se kachara sangrahan avm prathakakran Gaon ki sadak avm nali safai karyat thatha samudayik swacchta parisar ki safai karya GP Radi")</f>
        <v/>
      </c>
      <c r="C518" t="inlineStr">
        <is>
          <t>Panchayati Raj Department||Secretary and Commissioner||CEO-BUNDI||BDO-KESHORAIPATAN</t>
        </is>
      </c>
      <c r="D518" t="inlineStr">
        <is>
          <t>26-May-2025 04:00 PM</t>
        </is>
      </c>
      <c r="E518" t="inlineStr">
        <is>
          <t>8,74,000</t>
        </is>
      </c>
      <c r="F518" t="inlineStr">
        <is>
          <t>Panchayat Samiti KPatan ke adhinasth gram panchayato me ghar ghar avm vyvsayik prathisthano se kachara sangrahan avm prathakakran Gaon ki sadak avm nali safai karyat thatha samudayik swacchta parisar ki safai karya GP Radi</t>
        </is>
      </c>
      <c r="G518" t="inlineStr">
        <is>
          <t>Gp Radi</t>
        </is>
      </c>
    </row>
    <row r="519">
      <c r="A519" s="1" t="n">
        <v>517</v>
      </c>
      <c r="B519">
        <f>HYPERLINK("https://eproc.rajasthan.gov.in/nicgep/app?component=%24DirectLink&amp;page=FrontEndViewTender&amp;service=direct&amp;session=T&amp;sp=S7DS4uVkVAtU%2B%2FJ75a%2Be%2B1g%3D%3D", "Panchayat Samiti KPatan ke adhinasth gram panchayato me ghar ghar avm vyvsayik prathisthano se kachara sangrahan avm prathakakran Gaon ki sadak avm nali safai karyat thatha samudayik swacchta parisar ki safai karya GP Sarsala")</f>
        <v/>
      </c>
      <c r="C519" t="inlineStr">
        <is>
          <t>Panchayati Raj Department||Secretary and Commissioner||CEO-BUNDI||BDO-KESHORAIPATAN</t>
        </is>
      </c>
      <c r="D519" t="inlineStr">
        <is>
          <t>26-May-2025 04:00 PM</t>
        </is>
      </c>
      <c r="E519" t="inlineStr">
        <is>
          <t>9,03,000</t>
        </is>
      </c>
      <c r="F519" t="inlineStr">
        <is>
          <t>Panchayat Samiti KPatan ke adhinasth gram panchayato me ghar ghar avm vyvsayik prathisthano se kachara sangrahan avm prathakakran Gaon ki sadak avm nali safai karyat thatha samudayik swacchta parisar ki safai karya GP Sarsala</t>
        </is>
      </c>
      <c r="G519" t="inlineStr">
        <is>
          <t>Gp Sarsala</t>
        </is>
      </c>
    </row>
    <row r="520">
      <c r="A520" s="1" t="n">
        <v>518</v>
      </c>
      <c r="B520">
        <f>HYPERLINK("https://eproc.rajasthan.gov.in/nicgep/app?component=%24DirectLink&amp;page=FrontEndViewTender&amp;service=direct&amp;session=T&amp;sp=SVpsRzHnZnWmK%2BnoxvxOE3Q%3D%3D", "Panchayat Samiti KPatan ke adhinasth gram panchayato me ghar ghar avm vyvsayik prathisthano se kachara sangrahan avm prathakakran Gaon ki sadak avm nali safai karyat thatha samudayik swacchta parisar ki safai karya GP Roteda")</f>
        <v/>
      </c>
      <c r="C520" t="inlineStr">
        <is>
          <t>Panchayati Raj Department||Secretary and Commissioner||CEO-BUNDI||BDO-KESHORAIPATAN</t>
        </is>
      </c>
      <c r="D520" t="inlineStr">
        <is>
          <t>26-May-2025 04:00 PM</t>
        </is>
      </c>
      <c r="E520" t="inlineStr">
        <is>
          <t>8,81,000</t>
        </is>
      </c>
      <c r="F520" t="inlineStr">
        <is>
          <t>Panchayat Samiti KPatan ke adhinasth gram panchayato me ghar ghar avm vyvsayik prathisthano se kachara sangrahan avm prathakakran Gaon ki sadak avm nali safai karyat thatha samudayik swacchta parisar ki safai karya GP Roteda</t>
        </is>
      </c>
      <c r="G520" t="inlineStr">
        <is>
          <t>Gp Roteda</t>
        </is>
      </c>
    </row>
    <row r="521">
      <c r="A521" s="1" t="n">
        <v>519</v>
      </c>
      <c r="B521">
        <f>HYPERLINK("https://eproc.rajasthan.gov.in/nicgep/app?component=%24DirectLink&amp;page=FrontEndViewTender&amp;service=direct&amp;session=T&amp;sp=Sr%2BPhccZ1q4%2BuzedOmf1SlA%3D%3D", "Panchayat Samiti KPatan ke adhinasth gram panchayato me ghar ghar avm vyvsayik prathisthano se kachara sangrahan avm prathakakran Gaon ki sadak avm nali safai karyat thatha samudayik swacchta parisar ki safai karya GP Pholai")</f>
        <v/>
      </c>
      <c r="C521" t="inlineStr">
        <is>
          <t>Panchayati Raj Department||Secretary and Commissioner||CEO-BUNDI||BDO-KESHORAIPATAN</t>
        </is>
      </c>
      <c r="D521" t="inlineStr">
        <is>
          <t>26-May-2025 04:00 PM</t>
        </is>
      </c>
      <c r="E521" t="inlineStr">
        <is>
          <t>9,75,000</t>
        </is>
      </c>
      <c r="F521" t="inlineStr">
        <is>
          <t>Panchayat Samiti KPatan ke adhinasth gram panchayato me ghar ghar avm vyvsayik prathisthano se kachara sangrahan avm prathakakran Gaon ki sadak avm nali safai karyat thatha samudayik swacchta parisar ki safai karya GP Pholai</t>
        </is>
      </c>
      <c r="G521" t="inlineStr">
        <is>
          <t>Gp Pholai</t>
        </is>
      </c>
    </row>
    <row r="522">
      <c r="A522" s="1" t="n">
        <v>520</v>
      </c>
      <c r="B522">
        <f>HYPERLINK("https://eproc.rajasthan.gov.in/nicgep/app?component=%24DirectLink&amp;page=FrontEndViewTender&amp;service=direct&amp;session=T&amp;sp=SpxAd5VPN20DoY1Gx6VMoWg%3D%3D", "Panchayat Samiti KPatan ke adhinasth gram panchayato me ghar ghar avm vyvsayik prathisthano se kachara sangrahan avm prathakakran Gaon ki sadak avm nali safai karyat thatha samudayik swacchta parisar ki safai karya GP Papadi")</f>
        <v/>
      </c>
      <c r="C522" t="inlineStr">
        <is>
          <t>Panchayati Raj Department||Secretary and Commissioner||CEO-BUNDI||BDO-KESHORAIPATAN</t>
        </is>
      </c>
      <c r="D522" t="inlineStr">
        <is>
          <t>26-May-2025 04:00 PM</t>
        </is>
      </c>
      <c r="E522" t="inlineStr">
        <is>
          <t>8,18,000</t>
        </is>
      </c>
      <c r="F522" t="inlineStr">
        <is>
          <t>Panchayat Samiti KPatan ke adhinasth gram panchayato me ghar ghar avm vyvsayik prathisthano se kachara sangrahan avm prathakakran Gaon ki sadak avm nali safai karyat thatha samudayik swacchta parisar ki safai karya GP Papadi</t>
        </is>
      </c>
      <c r="G522" t="inlineStr">
        <is>
          <t>Gp Papadi</t>
        </is>
      </c>
    </row>
    <row r="523">
      <c r="A523" s="1" t="n">
        <v>521</v>
      </c>
      <c r="B523">
        <f>HYPERLINK("https://eproc.rajasthan.gov.in/nicgep/app?component=%24DirectLink&amp;page=FrontEndViewTender&amp;service=direct&amp;session=T&amp;sp=SPGkIlrr3zaXTGd4dzG93qA%3D%3D", "Panchayat Samiti KPatan ke adhinasth gram panchayato me ghar ghar avm vyvsayik prathisthano se kachara sangrahan avm prathakakran Gaon ki sadak avm nali safai karyat thatha samudayik swacchta parisar ki safai karya GP Notara Dharawan")</f>
        <v/>
      </c>
      <c r="C523" t="inlineStr">
        <is>
          <t>Panchayati Raj Department||Secretary and Commissioner||CEO-BUNDI||BDO-KESHORAIPATAN</t>
        </is>
      </c>
      <c r="D523" t="inlineStr">
        <is>
          <t>26-May-2025 04:00 PM</t>
        </is>
      </c>
      <c r="E523" t="inlineStr">
        <is>
          <t>8,21,000</t>
        </is>
      </c>
      <c r="F523" t="inlineStr">
        <is>
          <t>Panchayat Samiti KPatan ke adhinasth gram panchayato me ghar ghar avm vyvsayik prathisthano se kachara sangrahan avm prathakakran Gaon ki sadak avm nali safai karyat thatha samudayik swacchta parisar ki safai karya GP Notara Dharawan</t>
        </is>
      </c>
      <c r="G523" t="inlineStr">
        <is>
          <t>Gp Notara Dharawan</t>
        </is>
      </c>
    </row>
    <row r="524">
      <c r="A524" s="1" t="n">
        <v>522</v>
      </c>
      <c r="B524">
        <f>HYPERLINK("https://eproc.rajasthan.gov.in/nicgep/app?component=%24DirectLink&amp;page=FrontEndViewTender&amp;service=direct&amp;session=T&amp;sp=SF1EqtyBhDTJgEI2pC1QO7g%3D%3D", "Panchayat Samiti KPatan ke adhinasth gram panchayato me ghar ghar avm vyvsayik prathisthano se kachara sangrahan avm prathakakran Gaon ki sadak avm nali safai karyat thatha samudayik swacchta parisar ki safai karya GP Ajanda")</f>
        <v/>
      </c>
      <c r="C524" t="inlineStr">
        <is>
          <t>Panchayati Raj Department||Secretary and Commissioner||CEO-BUNDI||BDO-KESHORAIPATAN</t>
        </is>
      </c>
      <c r="D524" t="inlineStr">
        <is>
          <t>26-May-2025 04:00 PM</t>
        </is>
      </c>
      <c r="E524" t="inlineStr">
        <is>
          <t>9,45,000</t>
        </is>
      </c>
      <c r="F524" t="inlineStr">
        <is>
          <t>Panchayat Samiti KPatan ke adhinasth gram panchayato me ghar ghar avm vyvsayik prathisthano se kachara sangrahan avm prathakakran Gaon ki sadak avm nali safai karyat thatha samudayik swacchta parisar ki safai karya GP Ajanda</t>
        </is>
      </c>
      <c r="G524" t="inlineStr">
        <is>
          <t>GP Ajanda</t>
        </is>
      </c>
    </row>
    <row r="525">
      <c r="A525" s="1" t="n">
        <v>523</v>
      </c>
      <c r="B525">
        <f>HYPERLINK("https://eproc.rajasthan.gov.in/nicgep/app?component=%24DirectLink&amp;page=FrontEndViewTender&amp;service=direct&amp;session=T&amp;sp=Scks0SQaTxoajhqx3ggjXcQ%3D%3D", "SUPPLY OF CONSTRUCTION MATERIAL DHARAMSINGHWALA")</f>
        <v/>
      </c>
      <c r="C525" t="inlineStr">
        <is>
          <t>Panchayati Raj Department||Secretary and Commissioner||CEO- GANGANAGAR||BDO-SADULSHAHAR</t>
        </is>
      </c>
      <c r="D525" t="inlineStr">
        <is>
          <t>26-May-2025 05:00 PM</t>
        </is>
      </c>
      <c r="E525" t="inlineStr">
        <is>
          <t>49,90,000</t>
        </is>
      </c>
      <c r="F525" t="inlineStr">
        <is>
          <t>SUPPLY OF CONSTRUCTION MATERIAL DHARAMSINGHWALA</t>
        </is>
      </c>
      <c r="G525" t="inlineStr">
        <is>
          <t>GP DHARAMSINGHWALA</t>
        </is>
      </c>
    </row>
    <row r="526">
      <c r="A526" s="1" t="n">
        <v>524</v>
      </c>
      <c r="B526">
        <f>HYPERLINK("https://eproc.rajasthan.gov.in/nicgep/app?component=%24DirectLink&amp;page=FrontEndViewTender&amp;service=direct&amp;session=T&amp;sp=Sg3TtIrCfdsgwp3J387x0RQ%3D%3D", "RATE CONTRACT")</f>
        <v/>
      </c>
      <c r="C526" t="inlineStr">
        <is>
          <t>Panchayati Raj Department||Secretary and Commissioner||CEO- GANGANAGAR||BDO-GANGANAGAR</t>
        </is>
      </c>
      <c r="D526" t="inlineStr">
        <is>
          <t>27-May-2025 05:00 PM</t>
        </is>
      </c>
      <c r="E526" t="inlineStr">
        <is>
          <t>49,90,000</t>
        </is>
      </c>
      <c r="F526" t="inlineStr">
        <is>
          <t>MATERIAL AND INSTURMENT</t>
        </is>
      </c>
      <c r="G526" t="inlineStr">
        <is>
          <t>18 GG</t>
        </is>
      </c>
    </row>
    <row r="527">
      <c r="A527" s="1" t="n">
        <v>525</v>
      </c>
      <c r="B527">
        <f>HYPERLINK("https://eproc.rajasthan.gov.in/nicgep/app?component=%24DirectLink&amp;page=FrontEndViewTender&amp;service=direct&amp;session=T&amp;sp=S1xL6%2By6AWNRtW1Ixzw1DMQ%3D%3D", "Panchayat Samiti KPatan ke adhinasth gram panchayato me ghar ghar avm vyvsayik prathisthano se kachara sangrahan avm prathakakran Gaon ki sadak avm nali safai karyat thatha samudayik swacchta parisar ki safai karya GP Arnetha")</f>
        <v/>
      </c>
      <c r="C527" t="inlineStr">
        <is>
          <t>Panchayati Raj Department||Secretary and Commissioner||CEO-BUNDI||BDO-KESHORAIPATAN</t>
        </is>
      </c>
      <c r="D527" t="inlineStr">
        <is>
          <t>26-May-2025 04:00 PM</t>
        </is>
      </c>
      <c r="E527" t="inlineStr">
        <is>
          <t>8,03,000</t>
        </is>
      </c>
      <c r="F527" t="inlineStr">
        <is>
          <t>Panchayat Samiti KPatan ke adhinasth gram panchayato me ghar ghar avm vyvsayik prathisthano se kachara sangrahan avm prathakakran Gaon ki sadak avm nali safai karyat thatha samudayik swacchta parisar ki safai karya GP Arnetha</t>
        </is>
      </c>
      <c r="G527" t="inlineStr">
        <is>
          <t>Gp Arnetha</t>
        </is>
      </c>
    </row>
    <row r="528">
      <c r="A528" s="1" t="n">
        <v>526</v>
      </c>
      <c r="B528">
        <f>HYPERLINK("https://eproc.rajasthan.gov.in/nicgep/app?component=%24DirectLink&amp;page=FrontEndViewTender&amp;service=direct&amp;session=T&amp;sp=SqZZ7yoCzcsVZmESNQpSm%2BA%3D%3D", "RATE CONTRACT")</f>
        <v/>
      </c>
      <c r="C528" t="inlineStr">
        <is>
          <t>Panchayati Raj Department||Secretary and Commissioner||CEO- GANGANAGAR||BDO-GANGANAGAR</t>
        </is>
      </c>
      <c r="D528" t="inlineStr">
        <is>
          <t>27-May-2025 05:00 PM</t>
        </is>
      </c>
      <c r="E528" t="inlineStr">
        <is>
          <t>49,90,000</t>
        </is>
      </c>
      <c r="F528" t="inlineStr">
        <is>
          <t>MATERIAL AND INSTURMENT</t>
        </is>
      </c>
      <c r="G528" t="inlineStr">
        <is>
          <t>18 Z</t>
        </is>
      </c>
    </row>
    <row r="529">
      <c r="A529" s="1" t="n">
        <v>527</v>
      </c>
      <c r="B529">
        <f>HYPERLINK("https://eproc.rajasthan.gov.in/nicgep/app?component=%24DirectLink&amp;page=FrontEndViewTender&amp;service=direct&amp;session=T&amp;sp=SZPmURA3ITpNkt8zTHQkDxg%3D%3D", "Panchayat Samiti KPatan ke adhinasth gram panchayato me ghar ghar avm vyvsayik prathisthano se kachara sangrahan avm prathakakran Gaon ki sadak avm nali safai karyat thatha samudayik swacchta parisar ki safai karya GP gendolikhurd")</f>
        <v/>
      </c>
      <c r="C529" t="inlineStr">
        <is>
          <t>Panchayati Raj Department||Secretary and Commissioner||CEO-BUNDI||BDO-KESHORAIPATAN</t>
        </is>
      </c>
      <c r="D529" t="inlineStr">
        <is>
          <t>26-May-2025 04:00 PM</t>
        </is>
      </c>
      <c r="E529" t="inlineStr">
        <is>
          <t>9,97,000</t>
        </is>
      </c>
      <c r="F529" t="inlineStr">
        <is>
          <t>Panchayat Samiti KPatan ke adhinasth gram panchayato me ghar ghar avm vyvsayik prathisthano se kachara sangrahan avm prathakakran Gaon ki sadak avm nali safai karyat thatha samudayik swacchta parisar ki safai karya GP gendolikhurd</t>
        </is>
      </c>
      <c r="G529" t="inlineStr">
        <is>
          <t>gp gendoli khurd</t>
        </is>
      </c>
    </row>
    <row r="530">
      <c r="A530" s="1" t="n">
        <v>528</v>
      </c>
      <c r="B530">
        <f>HYPERLINK("https://eproc.rajasthan.gov.in/nicgep/app?component=%24DirectLink&amp;page=FrontEndViewTender&amp;service=direct&amp;session=T&amp;sp=Sf1xOc5DnXiSp1HYRfa9p3A%3D%3D", "Supply of Misc. building Material Mammadkhera")</f>
        <v/>
      </c>
      <c r="C530" t="inlineStr">
        <is>
          <t>Panchayati Raj Department||Secretary and Commissioner||CEO- GANGANAGAR||BDO-SADULSHAHAR</t>
        </is>
      </c>
      <c r="D530" t="inlineStr">
        <is>
          <t>26-May-2025 05:00 PM</t>
        </is>
      </c>
      <c r="E530" t="inlineStr">
        <is>
          <t>49,90,000</t>
        </is>
      </c>
      <c r="F530" t="inlineStr">
        <is>
          <t>Supply of Misc. building Material Mammadkhera</t>
        </is>
      </c>
      <c r="G530" t="inlineStr">
        <is>
          <t>GP Mammadkhera</t>
        </is>
      </c>
    </row>
    <row r="531">
      <c r="A531" s="1" t="n">
        <v>529</v>
      </c>
      <c r="B531">
        <f>HYPERLINK("https://eproc.rajasthan.gov.in/nicgep/app?component=%24DirectLink&amp;page=FrontEndViewTender&amp;service=direct&amp;session=T&amp;sp=SIARviQiHH%2BiiWS65xNV%2Btw%3D%3D", "Cleaning AND Sanitation work")</f>
        <v/>
      </c>
      <c r="C531" t="inlineStr">
        <is>
          <t>Panchayati Raj Department||Secretary and Commissioner||CEO- GANGANAGAR||BDO-SADULSHAHAR</t>
        </is>
      </c>
      <c r="D531" t="inlineStr">
        <is>
          <t>26-May-2025 05:00 PM</t>
        </is>
      </c>
      <c r="E531" t="inlineStr">
        <is>
          <t>7,91,540</t>
        </is>
      </c>
      <c r="F531" t="inlineStr">
        <is>
          <t>Cleaning AND Sanitation work</t>
        </is>
      </c>
      <c r="G531" t="inlineStr">
        <is>
          <t>KHATSAJWAR</t>
        </is>
      </c>
    </row>
    <row r="532">
      <c r="A532" s="1" t="n">
        <v>530</v>
      </c>
      <c r="B532">
        <f>HYPERLINK("https://eproc.rajasthan.gov.in/nicgep/app?component=%24DirectLink&amp;page=FrontEndViewTender&amp;service=direct&amp;session=T&amp;sp=SXrpz3lHnP%2B%2BLQSgGE5065Q%3D%3D", "Panchayat Samiti KPatan ke adhinasth gram panchayato me ghar ghar avm vyvsayik prathisthano se kachara sangrahan avm prathakakran Gaon ki sadak avm nali safai karyat thatha samudayik swacchta parisar ki safai karya GP Gohata")</f>
        <v/>
      </c>
      <c r="C532" t="inlineStr">
        <is>
          <t>Panchayati Raj Department||Secretary and Commissioner||CEO-BUNDI||BDO-KESHORAIPATAN</t>
        </is>
      </c>
      <c r="D532" t="inlineStr">
        <is>
          <t>26-May-2025 04:00 PM</t>
        </is>
      </c>
      <c r="E532" t="inlineStr">
        <is>
          <t>7,19,000</t>
        </is>
      </c>
      <c r="F532" t="inlineStr">
        <is>
          <t>Panchayat Samiti KPatan ke adhinasth gram panchayato me ghar ghar avm vyvsayik prathisthano se kachara sangrahan avm prathakakran Gaon ki sadak avm nali safai karyat thatha samudayik swacchta parisar ki safai karya GP Gohata</t>
        </is>
      </c>
      <c r="G532" t="inlineStr">
        <is>
          <t>Gp gohata</t>
        </is>
      </c>
    </row>
    <row r="533">
      <c r="A533" s="1" t="n">
        <v>531</v>
      </c>
      <c r="B533">
        <f>HYPERLINK("https://eproc.rajasthan.gov.in/nicgep/app?component=%24DirectLink&amp;page=FrontEndViewTender&amp;service=direct&amp;session=T&amp;sp=S8PoaYBvn63RGB2VCwZrFWQ%3D%3D", "1 SUPPLY OF CONST. MATER. AND EQUIP. FOR YR 2025-26 AS PER BSR AT PS GARHI GP ADOR")</f>
        <v/>
      </c>
      <c r="C533" t="inlineStr">
        <is>
          <t>Panchayati Raj Department||Secretary and Commissioner||CEO-BANSWARA||BDO-GADHI</t>
        </is>
      </c>
      <c r="D533" t="inlineStr">
        <is>
          <t>29-May-2025 06:00 PM</t>
        </is>
      </c>
      <c r="E533" t="inlineStr">
        <is>
          <t>75,00,000</t>
        </is>
      </c>
      <c r="F533" t="inlineStr">
        <is>
          <t>1 SUPPLY OF CONST. MATER. AND EQUIP. FOR YR 2025-26 AS PER BSR AT PS GARHI GP ADOR</t>
        </is>
      </c>
      <c r="G533" t="inlineStr">
        <is>
          <t>GARHI</t>
        </is>
      </c>
    </row>
    <row r="534">
      <c r="A534" s="1" t="n">
        <v>532</v>
      </c>
      <c r="B534">
        <f>HYPERLINK("https://eproc.rajasthan.gov.in/nicgep/app?component=%24DirectLink&amp;page=FrontEndViewTender&amp;service=direct&amp;session=T&amp;sp=SveHDDG%2BBNSBVz3YtCb7Diw%3D%3D", "SBM CLEANING AND SANITATION WORKS AT GP")</f>
        <v/>
      </c>
      <c r="C534" t="inlineStr">
        <is>
          <t>Panchayati Raj Department||Secretary and Commissioner||CEO- GANGANAGAR||BDO-SADULSHAHAR</t>
        </is>
      </c>
      <c r="D534" t="inlineStr">
        <is>
          <t>26-May-2025 05:00 PM</t>
        </is>
      </c>
      <c r="E534" t="inlineStr">
        <is>
          <t>9,23,898</t>
        </is>
      </c>
      <c r="F534" t="inlineStr">
        <is>
          <t>SBM CLEANING AND SANITATION WORKS AT GP Rotanwali</t>
        </is>
      </c>
      <c r="G534" t="inlineStr">
        <is>
          <t>GP Rotanwali</t>
        </is>
      </c>
    </row>
    <row r="535">
      <c r="A535" s="1" t="n">
        <v>533</v>
      </c>
      <c r="B535">
        <f>HYPERLINK("https://eproc.rajasthan.gov.in/nicgep/app?component=%24DirectLink&amp;page=FrontEndViewTender&amp;service=direct&amp;session=T&amp;sp=SM6d%2F53P8n62NraPbkcPhcQ%3D%3D", "Panchayat Samiti KPatan ke adhinasth gram panchayato me ghar ghar avm vyvsayik prathisthano se kachara sangrahan avm prathakakran Gaon ki sadak avm nali safai karyat thatha samudayik swacchta parisar ki safai karya GP Babai")</f>
        <v/>
      </c>
      <c r="C535" t="inlineStr">
        <is>
          <t>Panchayati Raj Department||Secretary and Commissioner||CEO-BUNDI||BDO-KESHORAIPATAN</t>
        </is>
      </c>
      <c r="D535" t="inlineStr">
        <is>
          <t>26-May-2025 04:00 PM</t>
        </is>
      </c>
      <c r="E535" t="inlineStr">
        <is>
          <t>9,94,000</t>
        </is>
      </c>
      <c r="F535" t="inlineStr">
        <is>
          <t>Panchayat Samiti KPatan ke adhinasth gram panchayato me ghar ghar avm vyvsayik prathisthano se kachara sangrahan avm prathakakran Gaon ki sadak avm nali safai karyat thatha samudayik swacchta parisar ki safai karya GP Babai</t>
        </is>
      </c>
      <c r="G535" t="inlineStr">
        <is>
          <t>Gp Babai</t>
        </is>
      </c>
    </row>
    <row r="536">
      <c r="A536" s="1" t="n">
        <v>534</v>
      </c>
      <c r="B536">
        <f>HYPERLINK("https://eproc.rajasthan.gov.in/nicgep/app?component=%24DirectLink&amp;page=FrontEndViewTender&amp;service=direct&amp;session=T&amp;sp=Sg528bFynIujBOWACUugdxg%3D%3D", "SBM CLEANING AND SANITATION WORKS AT GP Panniwali")</f>
        <v/>
      </c>
      <c r="C536" t="inlineStr">
        <is>
          <t>Panchayati Raj Department||Secretary and Commissioner||CEO- GANGANAGAR||BDO-SADULSHAHAR</t>
        </is>
      </c>
      <c r="D536" t="inlineStr">
        <is>
          <t>26-May-2025 05:00 PM</t>
        </is>
      </c>
      <c r="E536" t="inlineStr">
        <is>
          <t>9,32,471</t>
        </is>
      </c>
      <c r="F536" t="inlineStr">
        <is>
          <t>SBM CLEANING AND SANITATION WORKS AT GP Panniwali</t>
        </is>
      </c>
      <c r="G536" t="inlineStr">
        <is>
          <t>GP Panniwali</t>
        </is>
      </c>
    </row>
    <row r="537">
      <c r="A537" s="1" t="n">
        <v>535</v>
      </c>
      <c r="B537">
        <f>HYPERLINK("https://eproc.rajasthan.gov.in/nicgep/app?component=%24DirectLink&amp;page=FrontEndViewTender&amp;service=direct&amp;session=T&amp;sp=S1fJTP3JKHVTnBVURXpKrjw%3D%3D", "Cleaning AND Sanitation work")</f>
        <v/>
      </c>
      <c r="C537" t="inlineStr">
        <is>
          <t>Panchayati Raj Department||Secretary and Commissioner||CEO- GANGANAGAR||BDO-SADULSHAHAR</t>
        </is>
      </c>
      <c r="D537" t="inlineStr">
        <is>
          <t>26-May-2025 05:00 PM</t>
        </is>
      </c>
      <c r="E537" t="inlineStr">
        <is>
          <t>9,28,281</t>
        </is>
      </c>
      <c r="F537" t="inlineStr">
        <is>
          <t>Cleaning AND Sanitation work</t>
        </is>
      </c>
      <c r="G537" t="inlineStr">
        <is>
          <t>BHAGSAR</t>
        </is>
      </c>
    </row>
    <row r="538">
      <c r="A538" s="1" t="n">
        <v>536</v>
      </c>
      <c r="B538">
        <f>HYPERLINK("https://eproc.rajasthan.gov.in/nicgep/app?component=%24DirectLink&amp;page=FrontEndViewTender&amp;service=direct&amp;session=T&amp;sp=SigGYCyWHIm3I9GXIkgTqdg%3D%3D", "Cleaning AND Sanitation work")</f>
        <v/>
      </c>
      <c r="C538" t="inlineStr">
        <is>
          <t>Panchayati Raj Department||Secretary and Commissioner||CEO- GANGANAGAR||BDO-SADULSHAHAR</t>
        </is>
      </c>
      <c r="D538" t="inlineStr">
        <is>
          <t>26-May-2025 05:00 PM</t>
        </is>
      </c>
      <c r="E538" t="inlineStr">
        <is>
          <t>9,90,696</t>
        </is>
      </c>
      <c r="F538" t="inlineStr">
        <is>
          <t>Cleaning AND Sanitation work</t>
        </is>
      </c>
      <c r="G538" t="inlineStr">
        <is>
          <t>TAKHTHAJARA BAWARIAN</t>
        </is>
      </c>
    </row>
    <row r="539">
      <c r="A539" s="1" t="n">
        <v>537</v>
      </c>
      <c r="B539">
        <f>HYPERLINK("https://eproc.rajasthan.gov.in/nicgep/app?component=%24DirectLink&amp;page=FrontEndViewTender&amp;service=direct&amp;session=T&amp;sp=SsELvHjzQzAGyFu4dkpJ17w%3D%3D", "Panchayat Samiti KPatan ke adhinasth gram panchayato me ghar ghar avm vyvsayik prathisthano se kachara sangrahan avm prathakakran Gaon ki sadak avm nali safai karyat thatha samudayik swacchta parisar ki safai karya GP Balkasa")</f>
        <v/>
      </c>
      <c r="C539" t="inlineStr">
        <is>
          <t>Panchayati Raj Department||Secretary and Commissioner||CEO-BUNDI||BDO-KESHORAIPATAN</t>
        </is>
      </c>
      <c r="D539" t="inlineStr">
        <is>
          <t>26-May-2025 04:00 PM</t>
        </is>
      </c>
      <c r="E539" t="inlineStr">
        <is>
          <t>7,93,000</t>
        </is>
      </c>
      <c r="F539" t="inlineStr">
        <is>
          <t>Panchayat Samiti KPatan ke adhinasth gram panchayato me ghar ghar avm vyvsayik prathisthano se kachara sangrahan avm prathakakran Gaon ki sadak avm nali safai karyat thatha samudayik swacchta parisar ki safai karya GP Balkasa</t>
        </is>
      </c>
      <c r="G539" t="inlineStr">
        <is>
          <t>Gp Balkasa</t>
        </is>
      </c>
    </row>
    <row r="540">
      <c r="A540" s="1" t="n">
        <v>538</v>
      </c>
      <c r="B540">
        <f>HYPERLINK("https://eproc.rajasthan.gov.in/nicgep/app?component=%24DirectLink&amp;page=FrontEndViewTender&amp;service=direct&amp;session=T&amp;sp=S1V9FdPay4tq23aWq5t6xrA%3D%3D", "SUPPLY OF CONSTRUCTION MATERIAL BHAGSAR")</f>
        <v/>
      </c>
      <c r="C540" t="inlineStr">
        <is>
          <t>Panchayati Raj Department||Secretary and Commissioner||CEO- GANGANAGAR||BDO-SADULSHAHAR</t>
        </is>
      </c>
      <c r="D540" t="inlineStr">
        <is>
          <t>26-May-2025 05:00 PM</t>
        </is>
      </c>
      <c r="E540" t="inlineStr">
        <is>
          <t>49,90,000</t>
        </is>
      </c>
      <c r="F540" t="inlineStr">
        <is>
          <t>SUPPLY OF CONSTRUCTION MATERIAL BHAGSAR</t>
        </is>
      </c>
      <c r="G540" t="inlineStr">
        <is>
          <t>GP BHAGSAR</t>
        </is>
      </c>
    </row>
    <row r="541">
      <c r="A541" s="1" t="n">
        <v>539</v>
      </c>
      <c r="B541">
        <f>HYPERLINK("https://eproc.rajasthan.gov.in/nicgep/app?component=%24DirectLink&amp;page=FrontEndViewTender&amp;service=direct&amp;session=T&amp;sp=SIqgX8J80eVMc3iV2pVNsFQ%3D%3D", "Panchayat Samiti KPatan ke adhinasth gram panchayato me ghar ghar avm vyvsayik prathisthano se kachara sangrahan avm prathakakran Gaon ki sadak avm nali safai karyat thatha samudayik swacchta parisar ki safai karya GP Balod")</f>
        <v/>
      </c>
      <c r="C541" t="inlineStr">
        <is>
          <t>Panchayati Raj Department||Secretary and Commissioner||CEO-BUNDI||BDO-KESHORAIPATAN</t>
        </is>
      </c>
      <c r="D541" t="inlineStr">
        <is>
          <t>26-May-2025 04:00 PM</t>
        </is>
      </c>
      <c r="E541" t="inlineStr">
        <is>
          <t>9,64,000</t>
        </is>
      </c>
      <c r="F541" t="inlineStr">
        <is>
          <t>Panchayat Samiti KPatan ke adhinasth gram panchayato me ghar ghar avm vyvsayik prathisthano se kachara sangrahan avm prathakakran Gaon ki sadak avm nali safai karyat thatha samudayik swacchta parisar ki safai karya GP Balod</t>
        </is>
      </c>
      <c r="G541" t="inlineStr">
        <is>
          <t>Gp Balod</t>
        </is>
      </c>
    </row>
    <row r="542">
      <c r="A542" s="1" t="n">
        <v>540</v>
      </c>
      <c r="B542">
        <f>HYPERLINK("https://eproc.rajasthan.gov.in/nicgep/app?component=%24DirectLink&amp;page=FrontEndViewTender&amp;service=direct&amp;session=T&amp;sp=SxkzPcDjXGWtVtrK7Ni7PrA%3D%3D", "Panchayat Samiti KPatan ke adhinasth gram panchayato me ghar ghar avm vyvsayik prathisthano se kachara sangrahan avm prathakakran Gaon ki sadak avm nali safai karyat thatha samudayik swacchta parisar ki safai karya GP Bhiya")</f>
        <v/>
      </c>
      <c r="C542" t="inlineStr">
        <is>
          <t>Panchayati Raj Department||Secretary and Commissioner||CEO-BUNDI||BDO-KESHORAIPATAN</t>
        </is>
      </c>
      <c r="D542" t="inlineStr">
        <is>
          <t>26-May-2025 04:00 PM</t>
        </is>
      </c>
      <c r="E542" t="inlineStr">
        <is>
          <t>7,97,000</t>
        </is>
      </c>
      <c r="F542" t="inlineStr">
        <is>
          <t>Panchayat Samiti KPatan ke adhinasth gram panchayato me ghar ghar avm vyvsayik prathisthano se kachara sangrahan avm prathakakran Gaon ki sadak avm nali safai karyat thatha samudayik swacchta parisar ki safai karya GP Bhiya</t>
        </is>
      </c>
      <c r="G542" t="inlineStr">
        <is>
          <t>Gp bhiya</t>
        </is>
      </c>
    </row>
    <row r="543">
      <c r="A543" s="1" t="n">
        <v>541</v>
      </c>
      <c r="B543">
        <f>HYPERLINK("https://eproc.rajasthan.gov.in/nicgep/app?component=%24DirectLink&amp;page=FrontEndViewTender&amp;service=direct&amp;session=T&amp;sp=SGnjva3f4p5ZQRoNpmuyWdQ%3D%3D", "Panchayat Samiti KPatan ke adhinasth gram panchayato me ghar ghar avm vyvsayik prathisthano se kachara sangrahan avm prathakakran Gaon ki sadak avm nali safai karyat thatha samudayik swacchta parisar ki safai karya GP Balwan")</f>
        <v/>
      </c>
      <c r="C543" t="inlineStr">
        <is>
          <t>Panchayati Raj Department||Secretary and Commissioner||CEO-BUNDI||BDO-KESHORAIPATAN</t>
        </is>
      </c>
      <c r="D543" t="inlineStr">
        <is>
          <t>26-May-2025 04:00 PM</t>
        </is>
      </c>
      <c r="E543" t="inlineStr">
        <is>
          <t>9,09,000</t>
        </is>
      </c>
      <c r="F543" t="inlineStr">
        <is>
          <t>Panchayat Samiti KPatan ke adhinasth gram panchayato me ghar ghar avm vyvsayik prathisthano se kachara sangrahan avm prathakakran Gaon ki sadak avm nali safai karyat thatha samudayik swacchta parisar ki safai karya GP Balwan</t>
        </is>
      </c>
      <c r="G543" t="inlineStr">
        <is>
          <t>gp Balwan</t>
        </is>
      </c>
    </row>
    <row r="544">
      <c r="A544" s="1" t="n">
        <v>542</v>
      </c>
      <c r="B544">
        <f>HYPERLINK("https://eproc.rajasthan.gov.in/nicgep/app?component=%24DirectLink&amp;page=FrontEndViewTender&amp;service=direct&amp;session=T&amp;sp=Sh84VQaU2K3MoRwiLuVRI7Q%3D%3D", "Cleaning AND Sanitation work")</f>
        <v/>
      </c>
      <c r="C544" t="inlineStr">
        <is>
          <t>Panchayati Raj Department||Secretary and Commissioner||CEO- GANGANAGAR||BDO-SADULSHAHAR</t>
        </is>
      </c>
      <c r="D544" t="inlineStr">
        <is>
          <t>26-May-2025 05:00 PM</t>
        </is>
      </c>
      <c r="E544" t="inlineStr">
        <is>
          <t>9,26,066</t>
        </is>
      </c>
      <c r="F544" t="inlineStr">
        <is>
          <t>Cleaning AND Sanitation work</t>
        </is>
      </c>
      <c r="G544" t="inlineStr">
        <is>
          <t>CHAKKERA</t>
        </is>
      </c>
    </row>
    <row r="545">
      <c r="A545" s="1" t="n">
        <v>543</v>
      </c>
      <c r="B545">
        <f>HYPERLINK("https://eproc.rajasthan.gov.in/nicgep/app?component=%24DirectLink&amp;page=FrontEndViewTender&amp;service=direct&amp;session=T&amp;sp=SipAuE5dK2jnvO1ZoAs4Vug%3D%3D", "Panchayat Samiti KPatan ke adhinasth gram panchayato me ghar ghar avm vyvsayik prathisthano se kachara sangrahan avm prathakakran Gaon ki sadak avm nali safai karyat thatha samudayik swacchta parisar ki safai karya GP Gudali")</f>
        <v/>
      </c>
      <c r="C545" t="inlineStr">
        <is>
          <t>Panchayati Raj Department||Secretary and Commissioner||CEO-BUNDI||BDO-KESHORAIPATAN</t>
        </is>
      </c>
      <c r="D545" t="inlineStr">
        <is>
          <t>26-May-2025 04:00 PM</t>
        </is>
      </c>
      <c r="E545" t="inlineStr">
        <is>
          <t>8,22,000</t>
        </is>
      </c>
      <c r="F545" t="inlineStr">
        <is>
          <t>Panchayat Samiti KPatan ke adhinasth gram panchayato me ghar ghar avm vyvsayik prathisthano se kachara sangrahan avm prathakakran Gaon ki sadak avm nali safai karyat thatha samudayik swacchta parisar ki safai karya GP Gudali</t>
        </is>
      </c>
      <c r="G545" t="inlineStr">
        <is>
          <t>Gp Gudali</t>
        </is>
      </c>
    </row>
    <row r="546">
      <c r="A546" s="1" t="n">
        <v>544</v>
      </c>
      <c r="B546">
        <f>HYPERLINK("https://eproc.rajasthan.gov.in/nicgep/app?component=%24DirectLink&amp;page=FrontEndViewTender&amp;service=direct&amp;session=T&amp;sp=SFK8%2Ft0E69tbLicFA1DkB%2BQ%3D%3D", "Cleaning AND Sanitation work")</f>
        <v/>
      </c>
      <c r="C546" t="inlineStr">
        <is>
          <t>Panchayati Raj Department||Secretary and Commissioner||CEO- GANGANAGAR||BDO-SADULSHAHAR</t>
        </is>
      </c>
      <c r="D546" t="inlineStr">
        <is>
          <t>26-May-2025 05:00 PM</t>
        </is>
      </c>
      <c r="E546" t="inlineStr">
        <is>
          <t>8,09,011</t>
        </is>
      </c>
      <c r="F546" t="inlineStr">
        <is>
          <t>Cleaning AND Sanitation work</t>
        </is>
      </c>
      <c r="G546" t="inlineStr">
        <is>
          <t>HAKAMABAD</t>
        </is>
      </c>
    </row>
    <row r="547">
      <c r="A547" s="1" t="n">
        <v>545</v>
      </c>
      <c r="B547">
        <f>HYPERLINK("https://eproc.rajasthan.gov.in/nicgep/app?component=%24DirectLink&amp;page=FrontEndViewTender&amp;service=direct&amp;session=T&amp;sp=S%2FN4RJq4%2B0SPiqPFXVjma8A%3D%3D", "SUPPLY OF CONSTRUCTION MATERIAL BAHRAMPURABODLA")</f>
        <v/>
      </c>
      <c r="C547" t="inlineStr">
        <is>
          <t>Panchayati Raj Department||Secretary and Commissioner||CEO- GANGANAGAR||BDO-SADULSHAHAR</t>
        </is>
      </c>
      <c r="D547" t="inlineStr">
        <is>
          <t>26-May-2025 05:00 PM</t>
        </is>
      </c>
      <c r="E547" t="inlineStr">
        <is>
          <t>49,90,000</t>
        </is>
      </c>
      <c r="F547" t="inlineStr">
        <is>
          <t>SUPPLY OF CONSTRUCTION MATERIAL BAHRAMPURABODLA</t>
        </is>
      </c>
      <c r="G547" t="inlineStr">
        <is>
          <t>GP BAHRAMPURABODLA</t>
        </is>
      </c>
    </row>
    <row r="548">
      <c r="A548" s="1" t="n">
        <v>546</v>
      </c>
      <c r="B548">
        <f>HYPERLINK("https://eproc.rajasthan.gov.in/nicgep/app?component=%24DirectLink&amp;page=FrontEndViewTender&amp;service=direct&amp;session=T&amp;sp=S4OEuRQdAfn5zxqnjZt6BVA%3D%3D", "Panchayat Samiti KPatan ke adhinasth gram panchayato me ghar ghar avm vyvsayik prathisthano se kachara sangrahan avm prathakakran Gaon ki sadak avm nali safai karyat thatha samudayik swacchta parisar ki safai karya GP Baswada")</f>
        <v/>
      </c>
      <c r="C548" t="inlineStr">
        <is>
          <t>Panchayati Raj Department||Secretary and Commissioner||CEO-BUNDI||BDO-KESHORAIPATAN</t>
        </is>
      </c>
      <c r="D548" t="inlineStr">
        <is>
          <t>26-May-2025 04:00 PM</t>
        </is>
      </c>
      <c r="E548" t="inlineStr">
        <is>
          <t>7,50,000</t>
        </is>
      </c>
      <c r="F548" t="inlineStr">
        <is>
          <t>Panchayat Samiti KPatan ke adhinasth gram panchayato me ghar ghar avm vyvsayik prathisthano se kachara sangrahan avm prathakakran Gaon ki sadak avm nali safai karyat thatha samudayik swacchta parisar ki safai karya GP Baswada</t>
        </is>
      </c>
      <c r="G548" t="inlineStr">
        <is>
          <t>Gp Baswada</t>
        </is>
      </c>
    </row>
    <row r="549">
      <c r="A549" s="1" t="n">
        <v>547</v>
      </c>
      <c r="B549">
        <f>HYPERLINK("https://eproc.rajasthan.gov.in/nicgep/app?component=%24DirectLink&amp;page=FrontEndViewTender&amp;service=direct&amp;session=T&amp;sp=S0HSMcwT8Io27%2FPRhIBeE7A%3D%3D", "Work including garbage collection and separation from every house (residential and commercial), road and drain cleaning, and cleaning of community sanitation complex in all the villages of Gram Panchayat lotwada")</f>
        <v/>
      </c>
      <c r="C549" t="inlineStr">
        <is>
          <t>Panchayati Raj Department||Secretary and Commissioner||CEO-DAUSA||BDO-BAIJUPADA</t>
        </is>
      </c>
      <c r="D549" t="inlineStr">
        <is>
          <t>26-May-2025 05:00 PM</t>
        </is>
      </c>
      <c r="E549" t="inlineStr">
        <is>
          <t>4,29,000</t>
        </is>
      </c>
      <c r="F549" t="inlineStr">
        <is>
          <t>Work including garbage collection and separation from every house (residential and commercial), road and drain cleaning, and cleaning of community sanitation complex in all the villages of Gram Panchayat lotwada</t>
        </is>
      </c>
      <c r="G549" t="inlineStr">
        <is>
          <t>Gram Panchayat lotwada</t>
        </is>
      </c>
    </row>
    <row r="550">
      <c r="A550" s="1" t="n">
        <v>548</v>
      </c>
      <c r="B550">
        <f>HYPERLINK("https://eproc.rajasthan.gov.in/nicgep/app?component=%24DirectLink&amp;page=FrontEndViewTender&amp;service=direct&amp;session=T&amp;sp=SXwYIaFixzBrExutVznxDLQ%3D%3D", "Panchayat Samiti KPatan ke adhinasth gram panchayato me ghar ghar avm vyvsayik prathisthano se kachara sangrahan avm prathakakran Gaon ki sadak avm nali safai karyat thatha samudayik swacchta parisar ki safai karya GP Dolatpura")</f>
        <v/>
      </c>
      <c r="C550" t="inlineStr">
        <is>
          <t>Panchayati Raj Department||Secretary and Commissioner||CEO-BUNDI||BDO-KESHORAIPATAN</t>
        </is>
      </c>
      <c r="D550" t="inlineStr">
        <is>
          <t>26-May-2025 04:00 PM</t>
        </is>
      </c>
      <c r="E550" t="inlineStr">
        <is>
          <t>9,92,000</t>
        </is>
      </c>
      <c r="F550" t="inlineStr">
        <is>
          <t>Panchayat Samiti KPatan ke adhinasth gram panchayato me ghar ghar avm vyvsayik prathisthano se kachara sangrahan avm prathakakran Gaon ki sadak avm nali safai karyat thatha samudayik swacchta parisar ki safai karya GP Dolatpura</t>
        </is>
      </c>
      <c r="G550" t="inlineStr">
        <is>
          <t>Gp Dolatpura</t>
        </is>
      </c>
    </row>
    <row r="551">
      <c r="A551" s="1" t="n">
        <v>549</v>
      </c>
      <c r="B551">
        <f>HYPERLINK("https://eproc.rajasthan.gov.in/nicgep/app?component=%24DirectLink&amp;page=FrontEndViewTender&amp;service=direct&amp;session=T&amp;sp=SIaKYIVnhUuv7JHTeB3yHcw%3D%3D", "Cleaning AND Sanitation work")</f>
        <v/>
      </c>
      <c r="C551" t="inlineStr">
        <is>
          <t>Panchayati Raj Department||Secretary and Commissioner||CEO- GANGANAGAR||BDO-SADULSHAHAR</t>
        </is>
      </c>
      <c r="D551" t="inlineStr">
        <is>
          <t>26-May-2025 05:00 PM</t>
        </is>
      </c>
      <c r="E551" t="inlineStr">
        <is>
          <t>9,91,706</t>
        </is>
      </c>
      <c r="F551" t="inlineStr">
        <is>
          <t>Cleaning AND Sanitation work</t>
        </is>
      </c>
      <c r="G551" t="inlineStr">
        <is>
          <t>15 SPM</t>
        </is>
      </c>
    </row>
    <row r="552">
      <c r="A552" s="1" t="n">
        <v>550</v>
      </c>
      <c r="B552">
        <f>HYPERLINK("https://eproc.rajasthan.gov.in/nicgep/app?component=%24DirectLink&amp;page=FrontEndViewTender&amp;service=direct&amp;session=T&amp;sp=SBi5L2y3cBtspxK9dsJS6zg%3D%3D", "Work including garbage collection and separation from every house (residential and commercial), road and drain cleaning, and cleaning of community sanitation complex in all the villages of Gram Panchayat meenapada")</f>
        <v/>
      </c>
      <c r="C552" t="inlineStr">
        <is>
          <t>Panchayati Raj Department||Secretary and Commissioner||CEO-DAUSA||BDO-BAIJUPADA</t>
        </is>
      </c>
      <c r="D552" t="inlineStr">
        <is>
          <t>26-May-2025 05:00 PM</t>
        </is>
      </c>
      <c r="E552" t="inlineStr">
        <is>
          <t>3,22,000</t>
        </is>
      </c>
      <c r="F552" t="inlineStr">
        <is>
          <t>Work including garbage collection and separation from every house (residential and commercial), road and drain cleaning, and cleaning of community sanitation complex in all the villages of Gram Panchayat meenapada</t>
        </is>
      </c>
      <c r="G552" t="inlineStr">
        <is>
          <t>Gram Panchayat meenapada</t>
        </is>
      </c>
    </row>
    <row r="553">
      <c r="A553" s="1" t="n">
        <v>551</v>
      </c>
      <c r="B553">
        <f>HYPERLINK("https://eproc.rajasthan.gov.in/nicgep/app?component=%24DirectLink&amp;page=FrontEndViewTender&amp;service=direct&amp;session=T&amp;sp=SBFk7bPRZ7%2FipJ56Vpq0PvA%3D%3D", "Cleaning AND Sanitation work")</f>
        <v/>
      </c>
      <c r="C553" t="inlineStr">
        <is>
          <t>Panchayati Raj Department||Secretary and Commissioner||CEO- GANGANAGAR||BDO-SADULSHAHAR</t>
        </is>
      </c>
      <c r="D553" t="inlineStr">
        <is>
          <t>26-May-2025 05:00 PM</t>
        </is>
      </c>
      <c r="E553" t="inlineStr">
        <is>
          <t>9,90,927</t>
        </is>
      </c>
      <c r="F553" t="inlineStr">
        <is>
          <t>Cleaning AND Sanitation work</t>
        </is>
      </c>
      <c r="G553" t="inlineStr">
        <is>
          <t>BANWALI CLEANING</t>
        </is>
      </c>
    </row>
    <row r="554">
      <c r="A554" s="1" t="n">
        <v>552</v>
      </c>
      <c r="B554">
        <f>HYPERLINK("https://eproc.rajasthan.gov.in/nicgep/app?component=%24DirectLink&amp;page=FrontEndViewTender&amp;service=direct&amp;session=T&amp;sp=S3jWV4cx9h%2BWgzfBZjpLnxQ%3D%3D", "Supply of Misc. building Material Dungarsinghpura")</f>
        <v/>
      </c>
      <c r="C554" t="inlineStr">
        <is>
          <t>Panchayati Raj Department||Secretary and Commissioner||CEO- GANGANAGAR||BDO-SADULSHAHAR</t>
        </is>
      </c>
      <c r="D554" t="inlineStr">
        <is>
          <t>26-May-2025 05:00 PM</t>
        </is>
      </c>
      <c r="E554" t="inlineStr">
        <is>
          <t>49,90,000</t>
        </is>
      </c>
      <c r="F554" t="inlineStr">
        <is>
          <t>Supply of Misc. building Material Dungarsinghpura</t>
        </is>
      </c>
      <c r="G554" t="inlineStr">
        <is>
          <t>GP Dungarsinghpura</t>
        </is>
      </c>
    </row>
    <row r="555">
      <c r="A555" s="1" t="n">
        <v>553</v>
      </c>
      <c r="B555">
        <f>HYPERLINK("https://eproc.rajasthan.gov.in/nicgep/app?component=%24DirectLink&amp;page=FrontEndViewTender&amp;service=direct&amp;session=T&amp;sp=SwQajrrrcsgk1qDbaeW1WOg%3D%3D", "Supply of Misc. building Material 15 SPM")</f>
        <v/>
      </c>
      <c r="C555" t="inlineStr">
        <is>
          <t>Panchayati Raj Department||Secretary and Commissioner||CEO- GANGANAGAR||BDO-SADULSHAHAR</t>
        </is>
      </c>
      <c r="D555" t="inlineStr">
        <is>
          <t>26-May-2025 05:00 PM</t>
        </is>
      </c>
      <c r="E555" t="inlineStr">
        <is>
          <t>49,90,000</t>
        </is>
      </c>
      <c r="F555" t="inlineStr">
        <is>
          <t>Supply of Misc. building Material 15 SPM</t>
        </is>
      </c>
      <c r="G555" t="inlineStr">
        <is>
          <t>GP 15 SPM</t>
        </is>
      </c>
    </row>
    <row r="556">
      <c r="A556" s="1" t="n">
        <v>554</v>
      </c>
      <c r="B556">
        <f>HYPERLINK("https://eproc.rajasthan.gov.in/nicgep/app?component=%24DirectLink&amp;page=FrontEndViewTender&amp;service=direct&amp;session=T&amp;sp=ShnCaUsbAFQp9lRB6V1VGJQ%3D%3D", "Supply of Misc. building Material Takhranwali")</f>
        <v/>
      </c>
      <c r="C556" t="inlineStr">
        <is>
          <t>Panchayati Raj Department||Secretary and Commissioner||CEO- GANGANAGAR||BDO-SADULSHAHAR</t>
        </is>
      </c>
      <c r="D556" t="inlineStr">
        <is>
          <t>26-May-2025 05:00 PM</t>
        </is>
      </c>
      <c r="E556" t="inlineStr">
        <is>
          <t>49,90,000</t>
        </is>
      </c>
      <c r="F556" t="inlineStr">
        <is>
          <t>Supply of Misc. building Material Takhranwali</t>
        </is>
      </c>
      <c r="G556" t="inlineStr">
        <is>
          <t>GP Takhranwali</t>
        </is>
      </c>
    </row>
    <row r="557">
      <c r="A557" s="1" t="n">
        <v>555</v>
      </c>
      <c r="B557">
        <f>HYPERLINK("https://eproc.rajasthan.gov.in/nicgep/app?component=%24DirectLink&amp;page=FrontEndViewTender&amp;service=direct&amp;session=T&amp;sp=SXkz%2BeqF70u5MEiFEgUwvwg%3D%3D", "SUPPLY OF CONSTRUCTION MATERIAL hakmabaad")</f>
        <v/>
      </c>
      <c r="C557" t="inlineStr">
        <is>
          <t>Panchayati Raj Department||Secretary and Commissioner||CEO- GANGANAGAR||BDO-SADULSHAHAR</t>
        </is>
      </c>
      <c r="D557" t="inlineStr">
        <is>
          <t>26-May-2025 05:00 PM</t>
        </is>
      </c>
      <c r="E557" t="inlineStr">
        <is>
          <t>49,90,000</t>
        </is>
      </c>
      <c r="F557" t="inlineStr">
        <is>
          <t>SUPPLY OF CONSTRUCTION MATERIAL hakmabaad</t>
        </is>
      </c>
      <c r="G557" t="inlineStr">
        <is>
          <t>GP HAKMABAAD</t>
        </is>
      </c>
    </row>
    <row r="558">
      <c r="A558" s="1" t="n">
        <v>556</v>
      </c>
      <c r="B558">
        <f>HYPERLINK("https://eproc.rajasthan.gov.in/nicgep/app?component=%24DirectLink&amp;page=FrontEndViewTender&amp;service=direct&amp;session=T&amp;sp=SjCVv5w4X%2Bk567lrEV%2BOiMQ%3D%3D", "Panchayat Samiti KPatan ke adhinasth gram panchayato me ghar ghar avm vyvsayik prathisthano se kachara sangrahan avm prathakakran Gaon ki sadak avm nali safai karyat thatha samudayik swacchta parisar ki safai karya GP Ghat ka barana")</f>
        <v/>
      </c>
      <c r="C558" t="inlineStr">
        <is>
          <t>Panchayati Raj Department||Secretary and Commissioner||CEO-BUNDI||BDO-KESHORAIPATAN</t>
        </is>
      </c>
      <c r="D558" t="inlineStr">
        <is>
          <t>26-May-2025 04:00 PM</t>
        </is>
      </c>
      <c r="E558" t="inlineStr">
        <is>
          <t>8,00,000</t>
        </is>
      </c>
      <c r="F558" t="inlineStr">
        <is>
          <t>Panchayat Samiti KPatan ke adhinasth gram panchayato me ghar ghar avm vyvsayik prathisthano se kachara sangrahan avm prathakakran Gaon ki sadak avm nali safai karyat thatha samudayik swacchta parisar ki safai karya GP Ghat ka barana</t>
        </is>
      </c>
      <c r="G558" t="inlineStr">
        <is>
          <t>Gp ghat ka barana</t>
        </is>
      </c>
    </row>
    <row r="559">
      <c r="A559" s="1" t="n">
        <v>557</v>
      </c>
      <c r="B559">
        <f>HYPERLINK("https://eproc.rajasthan.gov.in/nicgep/app?component=%24DirectLink&amp;page=FrontEndViewTender&amp;service=direct&amp;session=T&amp;sp=SvW9PPbFSkHK1ZMS9X9FSvA%3D%3D", "Supply of Misc. building Material Panniwali")</f>
        <v/>
      </c>
      <c r="C559" t="inlineStr">
        <is>
          <t>Panchayati Raj Department||Secretary and Commissioner||CEO- GANGANAGAR||BDO-SADULSHAHAR</t>
        </is>
      </c>
      <c r="D559" t="inlineStr">
        <is>
          <t>26-May-2025 10:00 AM</t>
        </is>
      </c>
      <c r="E559" t="inlineStr">
        <is>
          <t>49,90,000</t>
        </is>
      </c>
      <c r="F559" t="inlineStr">
        <is>
          <t>Supply of Misc. building Material Panniwali</t>
        </is>
      </c>
      <c r="G559" t="inlineStr">
        <is>
          <t>GP Panniwali</t>
        </is>
      </c>
    </row>
    <row r="560">
      <c r="A560" s="1" t="n">
        <v>558</v>
      </c>
      <c r="B560">
        <f>HYPERLINK("https://eproc.rajasthan.gov.in/nicgep/app?component=%24DirectLink&amp;page=FrontEndViewTender&amp;service=direct&amp;session=T&amp;sp=SFf%2F9a%2FrpuMyyE9Rko%2FYOoA%3D%3D", "Panchayat Samiti KPatan ke adhinasth gram panchayato me ghar ghar avm vyvsayik prathisthano se kachara sangrahan avm prathakakran Gaon ki sadak avm nali safai karyat thatha samudayik swacchta parisar ki safai karya GP Utrana")</f>
        <v/>
      </c>
      <c r="C560" t="inlineStr">
        <is>
          <t>Panchayati Raj Department||Secretary and Commissioner||CEO-BUNDI||BDO-KESHORAIPATAN</t>
        </is>
      </c>
      <c r="D560" t="inlineStr">
        <is>
          <t>26-May-2025 04:00 PM</t>
        </is>
      </c>
      <c r="E560" t="inlineStr">
        <is>
          <t>9,45,000</t>
        </is>
      </c>
      <c r="F560" t="inlineStr">
        <is>
          <t>Panchayat Samiti KPatan ke adhinasth gram panchayato me ghar ghar avm vyvsayik prathisthano se kachara sangrahan avm prathakakran Gaon ki sadak avm nali safai karyat thatha samudayik swacchta parisar ki safai karya GP Utrana</t>
        </is>
      </c>
      <c r="G560" t="inlineStr">
        <is>
          <t>GP Utrana</t>
        </is>
      </c>
    </row>
    <row r="561">
      <c r="A561" s="1" t="n">
        <v>559</v>
      </c>
      <c r="B561">
        <f>HYPERLINK("https://eproc.rajasthan.gov.in/nicgep/app?component=%24DirectLink&amp;page=FrontEndViewTender&amp;service=direct&amp;session=T&amp;sp=SZOxV%2BcFPDw1Gjjp%2Fv4vK8A%3D%3D", "Panchayat Samiti KPatan ke adhinasth gram panchayato me ghar ghar avm vyvsayik prathisthano se kachara sangrahan avm prathakakran Gaon ki sadak avm nali safai karyat thatha samudayik swacchta parisar ki safai karya GP Badakhera")</f>
        <v/>
      </c>
      <c r="C561" t="inlineStr">
        <is>
          <t>Panchayati Raj Department||Secretary and Commissioner||CEO-BUNDI||BDO-KESHORAIPATAN</t>
        </is>
      </c>
      <c r="D561" t="inlineStr">
        <is>
          <t>26-May-2025 04:00 PM</t>
        </is>
      </c>
      <c r="E561" t="inlineStr">
        <is>
          <t>9,36,000</t>
        </is>
      </c>
      <c r="F561" t="inlineStr">
        <is>
          <t>Panchayat Samiti KPatan ke adhinasth gram panchayato me ghar ghar avm vyvsayik prathisthano se kachara sangrahan avm prathakakran Gaon ki sadak avm nali safai karyat thatha samudayik swacchta parisar ki safai karya GP Badakhera</t>
        </is>
      </c>
      <c r="G561" t="inlineStr">
        <is>
          <t>Gp Badakhera</t>
        </is>
      </c>
    </row>
    <row r="562">
      <c r="A562" s="1" t="n">
        <v>560</v>
      </c>
      <c r="B562">
        <f>HYPERLINK("https://eproc.rajasthan.gov.in/nicgep/app?component=%24DirectLink&amp;page=FrontEndViewTender&amp;service=direct&amp;session=T&amp;sp=Sw%2FumOOWOC7jdczEZmAkHmA%3D%3D", "Panchayat Samiti KPatan ke adhinasth gram panchayato me ghar ghar avm vyvsayik prathisthano se kachara sangrahan avm prathakakran Gaon ki sadak avm nali safai karyat thatha samudayik swacchta parisar ki safai karya GP chardana")</f>
        <v/>
      </c>
      <c r="C562" t="inlineStr">
        <is>
          <t>Panchayati Raj Department||Secretary and Commissioner||CEO-BUNDI||BDO-KESHORAIPATAN</t>
        </is>
      </c>
      <c r="D562" t="inlineStr">
        <is>
          <t>26-May-2025 04:00 PM</t>
        </is>
      </c>
      <c r="E562" t="inlineStr">
        <is>
          <t>8,10,000</t>
        </is>
      </c>
      <c r="F562" t="inlineStr">
        <is>
          <t>Panchayat Samiti KPatan ke adhinasth gram panchayato me ghar ghar avm vyvsayik prathisthano se kachara sangrahan avm prathakakran Gaon ki sadak avm nali safai karyat thatha samudayik swacchta parisar ki safai karya GP chardana</t>
        </is>
      </c>
      <c r="G562" t="inlineStr">
        <is>
          <t>gp chardana</t>
        </is>
      </c>
    </row>
    <row r="563">
      <c r="A563" s="1" t="n">
        <v>561</v>
      </c>
      <c r="B563">
        <f>HYPERLINK("https://eproc.rajasthan.gov.in/nicgep/app?component=%24DirectLink&amp;page=FrontEndViewTender&amp;service=direct&amp;session=T&amp;sp=SUFTE8uzyZLyMzOxKHEm1vw%3D%3D", "Panchayat Samiti KPatan ke adhinasth gram panchayato me ghar ghar avm vyvsayik prathisthano se kachara sangrahan avm prathakakran Gaon ki sadak avm nali safai karyat thatha samudayik swacchta parisar ki safai karya GP chitawa")</f>
        <v/>
      </c>
      <c r="C563" t="inlineStr">
        <is>
          <t>Panchayati Raj Department||Secretary and Commissioner||CEO-BUNDI||BDO-KESHORAIPATAN</t>
        </is>
      </c>
      <c r="D563" t="inlineStr">
        <is>
          <t>26-May-2025 04:00 PM</t>
        </is>
      </c>
      <c r="E563" t="inlineStr">
        <is>
          <t>9,10,000</t>
        </is>
      </c>
      <c r="F563" t="inlineStr">
        <is>
          <t>Panchayat Samiti KPatan ke adhinasth gram panchayato me ghar ghar avm vyvsayik prathisthano se kachara sangrahan avm prathakakran Gaon ki sadak avm nali safai karyat thatha samudayik swacchta parisar ki safai karya GP chitawa</t>
        </is>
      </c>
      <c r="G563" t="inlineStr">
        <is>
          <t>Gp Chitawa</t>
        </is>
      </c>
    </row>
    <row r="564">
      <c r="A564" s="1" t="n">
        <v>562</v>
      </c>
      <c r="B564">
        <f>HYPERLINK("https://eproc.rajasthan.gov.in/nicgep/app?component=%24DirectLink&amp;page=FrontEndViewTender&amp;service=direct&amp;session=T&amp;sp=ShLtxtJiVGv4vQBc3Xyfl0w%3D%3D", "SUPPLY OF CONSTRUCTION MATERIAL CHHAPAWALI")</f>
        <v/>
      </c>
      <c r="C564" t="inlineStr">
        <is>
          <t>Panchayati Raj Department||Secretary and Commissioner||CEO- GANGANAGAR||BDO-SADULSHAHAR</t>
        </is>
      </c>
      <c r="D564" t="inlineStr">
        <is>
          <t>26-May-2025 05:00 PM</t>
        </is>
      </c>
      <c r="E564" t="inlineStr">
        <is>
          <t>49,90,000</t>
        </is>
      </c>
      <c r="F564" t="inlineStr">
        <is>
          <t>SUPPLY OF CONSTRUCTION MATERIAL CHHAPAWALI</t>
        </is>
      </c>
      <c r="G564" t="inlineStr">
        <is>
          <t>GP CHHAPAWALI</t>
        </is>
      </c>
    </row>
    <row r="565">
      <c r="A565" s="1" t="n">
        <v>563</v>
      </c>
      <c r="B565">
        <f>HYPERLINK("https://eproc.rajasthan.gov.in/nicgep/app?component=%24DirectLink&amp;page=FrontEndViewTender&amp;service=direct&amp;session=T&amp;sp=SKLZ01NaiUPdhhhc5FrDLjg%3D%3D", "Panchayat Samiti KPatan ke adhinasth gram panchayato me ghar ghar avm vyvsayik prathisthano se kachara sangrahan avm prathakakran Gaon ki sadak avm nali safai karyat thatha samudayik swacchta parisar ki safai karya GP chanda khurd")</f>
        <v/>
      </c>
      <c r="C565" t="inlineStr">
        <is>
          <t>Panchayati Raj Department||Secretary and Commissioner||CEO-BUNDI||BDO-KESHORAIPATAN</t>
        </is>
      </c>
      <c r="D565" t="inlineStr">
        <is>
          <t>26-May-2025 04:00 PM</t>
        </is>
      </c>
      <c r="E565" t="inlineStr">
        <is>
          <t>9,52,000</t>
        </is>
      </c>
      <c r="F565" t="inlineStr">
        <is>
          <t>Panchayat Samiti KPatan ke adhinasth gram panchayato me ghar ghar avm vyvsayik prathisthano se kachara sangrahan avm prathakakran Gaon ki sadak avm nali safai karyat thatha samudayik swacchta parisar ki safai karya GP chanda khurd</t>
        </is>
      </c>
      <c r="G565" t="inlineStr">
        <is>
          <t>gp chanda khrud</t>
        </is>
      </c>
    </row>
    <row r="566">
      <c r="A566" s="1" t="n">
        <v>564</v>
      </c>
      <c r="B566">
        <f>HYPERLINK("https://eproc.rajasthan.gov.in/nicgep/app?component=%24DirectLink&amp;page=FrontEndViewTender&amp;service=direct&amp;session=T&amp;sp=StRWqlt%2F3wnSw0KIjlY7VeQ%3D%3D", "Supply of Misc. building Material Sardarpurajiven")</f>
        <v/>
      </c>
      <c r="C566" t="inlineStr">
        <is>
          <t>Panchayati Raj Department||Secretary and Commissioner||CEO- GANGANAGAR||BDO-SADULSHAHAR</t>
        </is>
      </c>
      <c r="D566" t="inlineStr">
        <is>
          <t>26-May-2025 05:00 PM</t>
        </is>
      </c>
      <c r="E566" t="inlineStr">
        <is>
          <t>49,90,000</t>
        </is>
      </c>
      <c r="F566" t="inlineStr">
        <is>
          <t>Supply of Misc. building Material Sardarpurajiven</t>
        </is>
      </c>
      <c r="G566" t="inlineStr">
        <is>
          <t>GP Sardarpurajiven</t>
        </is>
      </c>
    </row>
    <row r="567">
      <c r="A567" s="1" t="n">
        <v>565</v>
      </c>
      <c r="B567">
        <f>HYPERLINK("https://eproc.rajasthan.gov.in/nicgep/app?component=%24DirectLink&amp;page=FrontEndViewTender&amp;service=direct&amp;session=T&amp;sp=SE9FQRV3aVIxlQvoJfNN3oQ%3D%3D", "Panchayat Samiti KPatan ke adhinasth gram panchayato me ghar ghar avm vyvsayik prathisthano se kachara sangrahan avm prathakakran Gaon ki sadak avm nali safai karyat thatha samudayik swacchta parisar ki safai karya GP Chari")</f>
        <v/>
      </c>
      <c r="C567" t="inlineStr">
        <is>
          <t>Panchayati Raj Department||Secretary and Commissioner||CEO-BUNDI||BDO-KESHORAIPATAN</t>
        </is>
      </c>
      <c r="D567" t="inlineStr">
        <is>
          <t>26-May-2025 04:00 PM</t>
        </is>
      </c>
      <c r="E567" t="inlineStr">
        <is>
          <t>8,68,000</t>
        </is>
      </c>
      <c r="F567" t="inlineStr">
        <is>
          <t>Panchayat Samiti KPatan ke adhinasth gram panchayato me ghar ghar avm vyvsayik prathisthano se kachara sangrahan avm prathakakran Gaon ki sadak avm nali safai karyat thatha samudayik swacchta parisar ki safai karya GP Chari</t>
        </is>
      </c>
      <c r="G567" t="inlineStr">
        <is>
          <t>Gp chari</t>
        </is>
      </c>
    </row>
    <row r="568">
      <c r="A568" s="1" t="n">
        <v>566</v>
      </c>
      <c r="B568">
        <f>HYPERLINK("https://eproc.rajasthan.gov.in/nicgep/app?component=%24DirectLink&amp;page=FrontEndViewTender&amp;service=direct&amp;session=T&amp;sp=SUT5ykzqoJJrccxzB5Vk6oQ%3D%3D", "RATE CONTRACT")</f>
        <v/>
      </c>
      <c r="C568" t="inlineStr">
        <is>
          <t>Panchayati Raj Department||Secretary and Commissioner||CEO- GANGANAGAR||BDO-GANGANAGAR</t>
        </is>
      </c>
      <c r="D568" t="inlineStr">
        <is>
          <t>27-May-2025 05:00 PM</t>
        </is>
      </c>
      <c r="E568" t="inlineStr">
        <is>
          <t>49,90,000</t>
        </is>
      </c>
      <c r="F568" t="inlineStr">
        <is>
          <t>MATERIAL AND INSTURMENT</t>
        </is>
      </c>
      <c r="G568" t="inlineStr">
        <is>
          <t>3 C CHHOTI</t>
        </is>
      </c>
    </row>
    <row r="569">
      <c r="A569" s="1" t="n">
        <v>567</v>
      </c>
      <c r="B569">
        <f>HYPERLINK("https://eproc.rajasthan.gov.in/nicgep/app?component=%24DirectLink&amp;page=FrontEndViewTender&amp;service=direct&amp;session=T&amp;sp=SN9VC9MMOAdomMCDIuomPdw%3D%3D", "Panchayat Samiti KPatan ke adhinasth gram panchayato me ghar ghar avm vyvsayik prathisthano se kachara sangrahan avm prathakakran Gaon ki sadak avm nali safai karyat thatha samudayik swacchta parisar ki safai karya GP Bordakachiyan")</f>
        <v/>
      </c>
      <c r="C569" t="inlineStr">
        <is>
          <t>Panchayati Raj Department||Secretary and Commissioner||CEO-BUNDI||BDO-KESHORAIPATAN</t>
        </is>
      </c>
      <c r="D569" t="inlineStr">
        <is>
          <t>26-May-2025 04:00 PM</t>
        </is>
      </c>
      <c r="E569" t="inlineStr">
        <is>
          <t>9,74,000</t>
        </is>
      </c>
      <c r="F569" t="inlineStr">
        <is>
          <t>Panchayat Samiti KPatan ke adhinasth gram panchayato me ghar ghar avm vyvsayik prathisthano se kachara sangrahan avm prathakakran Gaon ki sadak avm nali safai karyat thatha samudayik swacchta parisar ki safai karya GP Bordakachiyan</t>
        </is>
      </c>
      <c r="G569" t="inlineStr">
        <is>
          <t>Gp Borda kachiyan</t>
        </is>
      </c>
    </row>
    <row r="570">
      <c r="A570" s="1" t="n">
        <v>568</v>
      </c>
      <c r="B570">
        <f>HYPERLINK("https://eproc.rajasthan.gov.in/nicgep/app?component=%24DirectLink&amp;page=FrontEndViewTender&amp;service=direct&amp;session=T&amp;sp=S3m%2BXWozP%2BcBH%2Fzfm%2FGU5Qw%3D%3D", "Panchayat Samiti KPatan ke adhinasth gram panchayato me ghar ghar avm vyvsayik prathisthano se kachara sangrahan avm prathakakran Gaon ki sadak avm nali safai karyat thatha samudayik swacchta parisar ki safai karya GP Deikheda")</f>
        <v/>
      </c>
      <c r="C570" t="inlineStr">
        <is>
          <t>Panchayati Raj Department||Secretary and Commissioner||CEO-BUNDI||BDO-KESHORAIPATAN</t>
        </is>
      </c>
      <c r="D570" t="inlineStr">
        <is>
          <t>26-May-2025 04:00 PM</t>
        </is>
      </c>
      <c r="E570" t="inlineStr">
        <is>
          <t>8,39,000</t>
        </is>
      </c>
      <c r="F570" t="inlineStr">
        <is>
          <t>Panchayat Samiti KPatan ke adhinasth gram panchayato me ghar ghar avm vyvsayik prathisthano se kachara sangrahan avm prathakakran Gaon ki sadak avm nali safai karyat thatha samudayik swacchta parisar ki safai karya GP Deikheda</t>
        </is>
      </c>
      <c r="G570" t="inlineStr">
        <is>
          <t>Gp Deikheda</t>
        </is>
      </c>
    </row>
    <row r="571">
      <c r="A571" s="1" t="n">
        <v>569</v>
      </c>
      <c r="B571">
        <f>HYPERLINK("https://eproc.rajasthan.gov.in/nicgep/app?component=%24DirectLink&amp;page=FrontEndViewTender&amp;service=direct&amp;session=T&amp;sp=SUkf3ToF8HsqEnhBMKcfysA%3D%3D", "SUPPLY OF CONSTRUCTION MATERIAL FOR GP NARAYANGARH")</f>
        <v/>
      </c>
      <c r="C571" t="inlineStr">
        <is>
          <t>Panchayati Raj Department||Secretary and Commissioner||CEO- GANGANAGAR||BDO-SADULSHAHAR</t>
        </is>
      </c>
      <c r="D571" t="inlineStr">
        <is>
          <t>26-May-2025 05:00 PM</t>
        </is>
      </c>
      <c r="E571" t="inlineStr">
        <is>
          <t>49,90,000</t>
        </is>
      </c>
      <c r="F571" t="inlineStr">
        <is>
          <t>SUPPLY OF CONSTRUCTION MATERIAL FOR GP NARAYANGARH</t>
        </is>
      </c>
      <c r="G571" t="inlineStr">
        <is>
          <t>GP NARAYANGARH</t>
        </is>
      </c>
    </row>
    <row r="572">
      <c r="A572" s="1" t="n">
        <v>570</v>
      </c>
      <c r="B572">
        <f>HYPERLINK("https://eproc.rajasthan.gov.in/nicgep/app?component=%24DirectLink&amp;page=FrontEndViewTender&amp;service=direct&amp;session=T&amp;sp=SXAWdOeC1xz0bDYrmrnbjTg%3D%3D", "SUPPLY OF CONSTRUCTION MATERIAL CHAKKERA")</f>
        <v/>
      </c>
      <c r="C572" t="inlineStr">
        <is>
          <t>Panchayati Raj Department||Secretary and Commissioner||CEO- GANGANAGAR||BDO-SADULSHAHAR</t>
        </is>
      </c>
      <c r="D572" t="inlineStr">
        <is>
          <t>26-May-2025 05:00 PM</t>
        </is>
      </c>
      <c r="E572" t="inlineStr">
        <is>
          <t>49,90,000</t>
        </is>
      </c>
      <c r="F572" t="inlineStr">
        <is>
          <t>SUPPLY OF CONSTRUCTION MATERIAL CHAKKERA</t>
        </is>
      </c>
      <c r="G572" t="inlineStr">
        <is>
          <t>GP CHAKKERA</t>
        </is>
      </c>
    </row>
    <row r="573">
      <c r="A573" s="1" t="n">
        <v>571</v>
      </c>
      <c r="B573">
        <f>HYPERLINK("https://eproc.rajasthan.gov.in/nicgep/app?component=%24DirectLink&amp;page=FrontEndViewTender&amp;service=direct&amp;session=T&amp;sp=SEASQYiZHG8rheWdR11eP8A%3D%3D", "SUPPLY OF CONSTRUCTION MATERIAL KILANWALI")</f>
        <v/>
      </c>
      <c r="C573" t="inlineStr">
        <is>
          <t>Panchayati Raj Department||Secretary and Commissioner||CEO- GANGANAGAR||BDO-SADULSHAHAR</t>
        </is>
      </c>
      <c r="D573" t="inlineStr">
        <is>
          <t>26-May-2025 05:00 PM</t>
        </is>
      </c>
      <c r="E573" t="inlineStr">
        <is>
          <t>49,90,000</t>
        </is>
      </c>
      <c r="F573" t="inlineStr">
        <is>
          <t>SUPPLY OF CONSTRUCTION MATERIAL KILANWALI</t>
        </is>
      </c>
      <c r="G573" t="inlineStr">
        <is>
          <t>GP KILANWALI</t>
        </is>
      </c>
    </row>
    <row r="574">
      <c r="A574" s="1" t="n">
        <v>572</v>
      </c>
      <c r="B574">
        <f>HYPERLINK("https://eproc.rajasthan.gov.in/nicgep/app?component=%24DirectLink&amp;page=FrontEndViewTender&amp;service=direct&amp;session=T&amp;sp=SmY1490WDylWg9RH5DBnG%2FA%3D%3D", "SUPPLY OF CONSTRUCTION MATERIAL BUDHARWALI")</f>
        <v/>
      </c>
      <c r="C574" t="inlineStr">
        <is>
          <t>Panchayati Raj Department||Secretary and Commissioner||CEO- GANGANAGAR||BDO-SADULSHAHAR</t>
        </is>
      </c>
      <c r="D574" t="inlineStr">
        <is>
          <t>26-May-2025 05:00 PM</t>
        </is>
      </c>
      <c r="E574" t="inlineStr">
        <is>
          <t>49,90,000</t>
        </is>
      </c>
      <c r="F574" t="inlineStr">
        <is>
          <t>SUPPLY OF CONSTRUCTION MATERIAL BUDHARWALI</t>
        </is>
      </c>
      <c r="G574" t="inlineStr">
        <is>
          <t>GP BUDHARWALI</t>
        </is>
      </c>
    </row>
    <row r="575">
      <c r="A575" s="1" t="n">
        <v>573</v>
      </c>
      <c r="B575">
        <f>HYPERLINK("https://eproc.rajasthan.gov.in/nicgep/app?component=%24DirectLink&amp;page=FrontEndViewTender&amp;service=direct&amp;session=T&amp;sp=SPQ%2FOOuTxQs8PXP4qzAFlUg%3D%3D", "RATE CONTRACT")</f>
        <v/>
      </c>
      <c r="C575" t="inlineStr">
        <is>
          <t>Panchayati Raj Department||Secretary and Commissioner||CEO- GANGANAGAR||BDO-GANGANAGAR</t>
        </is>
      </c>
      <c r="D575" t="inlineStr">
        <is>
          <t>27-May-2025 05:00 PM</t>
        </is>
      </c>
      <c r="E575" t="inlineStr">
        <is>
          <t>49,90,000</t>
        </is>
      </c>
      <c r="F575" t="inlineStr">
        <is>
          <t>MATERIAL AND INSTURMENT</t>
        </is>
      </c>
      <c r="G575" t="inlineStr">
        <is>
          <t>21 GG</t>
        </is>
      </c>
    </row>
    <row r="576">
      <c r="A576" s="1" t="n">
        <v>574</v>
      </c>
      <c r="B576">
        <f>HYPERLINK("https://eproc.rajasthan.gov.in/nicgep/app?component=%24DirectLink&amp;page=FrontEndViewTender&amp;service=direct&amp;session=T&amp;sp=S4B6qtXE14F3LFLisxpewPw%3D%3D", "Panchayat Samiti KPatan ke adhinasth gram panchayato me ghar ghar avm vyvsayik prathisthano se kachara sangrahan avm prathakakran Gaon ki sadak avm nali safai karyat thatha samudayik swacchta parisar ki safai karya GP Gudha")</f>
        <v/>
      </c>
      <c r="C576" t="inlineStr">
        <is>
          <t>Panchayati Raj Department||Secretary and Commissioner||CEO-BUNDI||BDO-KESHORAIPATAN</t>
        </is>
      </c>
      <c r="D576" t="inlineStr">
        <is>
          <t>26-May-2025 04:00 PM</t>
        </is>
      </c>
      <c r="E576" t="inlineStr">
        <is>
          <t>9,76,000</t>
        </is>
      </c>
      <c r="F576" t="inlineStr">
        <is>
          <t>Panchayat Samiti KPatan ke adhinasth gram panchayato me ghar ghar avm vyvsayik prathisthano se kachara sangrahan avm prathakakran Gaon ki sadak avm nali safai karyat thatha samudayik swacchta parisar ki safai karya GP Gudha</t>
        </is>
      </c>
      <c r="G576" t="inlineStr">
        <is>
          <t>Gp Gudha</t>
        </is>
      </c>
    </row>
    <row r="577">
      <c r="A577" s="1" t="n">
        <v>575</v>
      </c>
      <c r="B577">
        <f>HYPERLINK("https://eproc.rajasthan.gov.in/nicgep/app?component=%24DirectLink&amp;page=FrontEndViewTender&amp;service=direct&amp;session=T&amp;sp=Sy09BZF7Wisz%2F%2Bw5ZZBW%2F3Q%3D%3D", "RATE CONTRACT")</f>
        <v/>
      </c>
      <c r="C577" t="inlineStr">
        <is>
          <t>Panchayati Raj Department||Secretary and Commissioner||CEO- GANGANAGAR||BDO-GANGANAGAR</t>
        </is>
      </c>
      <c r="D577" t="inlineStr">
        <is>
          <t>27-May-2025 05:00 PM</t>
        </is>
      </c>
      <c r="E577" t="inlineStr">
        <is>
          <t>49,90,000</t>
        </is>
      </c>
      <c r="F577" t="inlineStr">
        <is>
          <t>MATERIAL AND INSTURMENT</t>
        </is>
      </c>
      <c r="G577" t="inlineStr">
        <is>
          <t>11 Q BAKHTANA</t>
        </is>
      </c>
    </row>
    <row r="578">
      <c r="A578" s="1" t="n">
        <v>576</v>
      </c>
      <c r="B578">
        <f>HYPERLINK("https://eproc.rajasthan.gov.in/nicgep/app?component=%24DirectLink&amp;page=FrontEndViewTender&amp;service=direct&amp;session=T&amp;sp=S3WRG16Nre2HYYGiUNEULQA%3D%3D", "RATE CONTRACT")</f>
        <v/>
      </c>
      <c r="C578" t="inlineStr">
        <is>
          <t>Panchayati Raj Department||Secretary and Commissioner||CEO- GANGANAGAR||BDO-GANGANAGAR</t>
        </is>
      </c>
      <c r="D578" t="inlineStr">
        <is>
          <t>27-May-2025 05:00 PM</t>
        </is>
      </c>
      <c r="E578" t="inlineStr">
        <is>
          <t>49,90,000</t>
        </is>
      </c>
      <c r="F578" t="inlineStr">
        <is>
          <t>MATERIAL AND INSTURMENT</t>
        </is>
      </c>
      <c r="G578" t="inlineStr">
        <is>
          <t>12 LNP SINGHAWALI</t>
        </is>
      </c>
    </row>
    <row r="579">
      <c r="A579" s="1" t="n">
        <v>577</v>
      </c>
      <c r="B579">
        <f>HYPERLINK("https://eproc.rajasthan.gov.in/nicgep/app?component=%24DirectLink&amp;page=FrontEndViewTender&amp;service=direct&amp;session=T&amp;sp=S9qnRIpFVJVMeQ0o%2Fc7zldw%3D%3D", "RATE CONTRACT")</f>
        <v/>
      </c>
      <c r="C579" t="inlineStr">
        <is>
          <t>Panchayati Raj Department||Secretary and Commissioner||CEO- GANGANAGAR||BDO-GANGANAGAR</t>
        </is>
      </c>
      <c r="D579" t="inlineStr">
        <is>
          <t>27-May-2025 05:00 PM</t>
        </is>
      </c>
      <c r="E579" t="inlineStr">
        <is>
          <t>49,90,000</t>
        </is>
      </c>
      <c r="F579" t="inlineStr">
        <is>
          <t>MATERIAL AND INSTURMENT</t>
        </is>
      </c>
      <c r="G579" t="inlineStr">
        <is>
          <t>27 GG</t>
        </is>
      </c>
    </row>
    <row r="580">
      <c r="A580" s="1" t="n">
        <v>578</v>
      </c>
      <c r="B580">
        <f>HYPERLINK("https://eproc.rajasthan.gov.in/nicgep/app?component=%24DirectLink&amp;page=FrontEndViewTender&amp;service=direct&amp;session=T&amp;sp=SJjC6sOLX1XA5zEYSXFvaHA%3D%3D", "RATE CONTRACT")</f>
        <v/>
      </c>
      <c r="C580" t="inlineStr">
        <is>
          <t>Panchayati Raj Department||Secretary and Commissioner||CEO- GANGANAGAR||BDO-GANGANAGAR</t>
        </is>
      </c>
      <c r="D580" t="inlineStr">
        <is>
          <t>27-May-2025 05:00 PM</t>
        </is>
      </c>
      <c r="E580" t="inlineStr">
        <is>
          <t>49,90,000</t>
        </is>
      </c>
      <c r="F580" t="inlineStr">
        <is>
          <t>MATERIAL AND INSTURMENT</t>
        </is>
      </c>
      <c r="G580" t="inlineStr">
        <is>
          <t>13 G CHHOTTI</t>
        </is>
      </c>
    </row>
    <row r="581">
      <c r="A581" s="1" t="n">
        <v>579</v>
      </c>
      <c r="B581">
        <f>HYPERLINK("https://eproc.rajasthan.gov.in/nicgep/app?component=%24DirectLink&amp;page=FrontEndViewTender&amp;service=direct&amp;session=T&amp;sp=S1%2BN79jzMHBmCAS6TKNQNLg%3D%3D", "SUPPLY OF CONSTRUCTION MATERIAL KARADWALA")</f>
        <v/>
      </c>
      <c r="C581" t="inlineStr">
        <is>
          <t>Panchayati Raj Department||Secretary and Commissioner||CEO- GANGANAGAR||BDO-SADULSHAHAR</t>
        </is>
      </c>
      <c r="D581" t="inlineStr">
        <is>
          <t>26-May-2025 05:00 PM</t>
        </is>
      </c>
      <c r="E581" t="inlineStr">
        <is>
          <t>49,90,000</t>
        </is>
      </c>
      <c r="F581" t="inlineStr">
        <is>
          <t>SUPPLY OF CONSTRUCTION MATERIAL KARADWALA</t>
        </is>
      </c>
      <c r="G581" t="inlineStr">
        <is>
          <t>GP KARDWALA</t>
        </is>
      </c>
    </row>
    <row r="582">
      <c r="A582" s="1" t="n">
        <v>580</v>
      </c>
      <c r="B582">
        <f>HYPERLINK("https://eproc.rajasthan.gov.in/nicgep/app?component=%24DirectLink&amp;page=FrontEndViewTender&amp;service=direct&amp;session=T&amp;sp=SXwPNSQZ5ngtRaeobIqk6Xg%3D%3D", "Panchayat Samiti KPatan ke adhinasth gram panchayato me ghar ghar avm vyvsayik prathisthano se kachara sangrahan avm prathakakran Gaon ki sadak avm nali safai karyat thatha samudayik swacchta parisar ki safai karya GP Mohanpura")</f>
        <v/>
      </c>
      <c r="C582" t="inlineStr">
        <is>
          <t>Panchayati Raj Department||Secretary and Commissioner||CEO-BUNDI||BDO-KESHORAIPATAN</t>
        </is>
      </c>
      <c r="D582" t="inlineStr">
        <is>
          <t>26-May-2025 04:00 PM</t>
        </is>
      </c>
      <c r="E582" t="inlineStr">
        <is>
          <t>9,82,000</t>
        </is>
      </c>
      <c r="F582" t="inlineStr">
        <is>
          <t>Panchayat Samiti KPatan ke adhinasth gram panchayato me ghar ghar avm vyvsayik prathisthano se kachara sangrahan avm prathakakran Gaon ki sadak avm nali safai karyat thatha samudayik swacchta parisar ki safai karya GP Mohanpura</t>
        </is>
      </c>
      <c r="G582" t="inlineStr">
        <is>
          <t>Gp Mohanpura</t>
        </is>
      </c>
    </row>
    <row r="583">
      <c r="A583" s="1" t="n">
        <v>581</v>
      </c>
      <c r="B583">
        <f>HYPERLINK("https://eproc.rajasthan.gov.in/nicgep/app?component=%24DirectLink&amp;page=FrontEndViewTender&amp;service=direct&amp;session=T&amp;sp=SOFxpQlbEFnS40VKqlFhR%2BA%3D%3D", "Panchayat Samiti KPatan ke adhinasth gram panchayato me ghar ghar avm vyvsayik prathisthano se kachara sangrahan avm prathakakran Gaon ki sadak avm nali safai karyat thatha samudayik swacchta parisar ki safai karya GP jaloda")</f>
        <v/>
      </c>
      <c r="C583" t="inlineStr">
        <is>
          <t>Panchayati Raj Department||Secretary and Commissioner||CEO-BUNDI||BDO-KESHORAIPATAN</t>
        </is>
      </c>
      <c r="D583" t="inlineStr">
        <is>
          <t>26-May-2025 04:00 PM</t>
        </is>
      </c>
      <c r="E583" t="inlineStr">
        <is>
          <t>8,35,000</t>
        </is>
      </c>
      <c r="F583" t="inlineStr">
        <is>
          <t>Panchayat Samiti KPatan ke adhinasth gram panchayato me ghar ghar avm vyvsayik prathisthano se kachara sangrahan avm prathakakran Gaon ki sadak avm nali safai karyat thatha samudayik swacchta parisar ki safai karya GP jaloda</t>
        </is>
      </c>
      <c r="G583" t="inlineStr">
        <is>
          <t>Gp Jaloda</t>
        </is>
      </c>
    </row>
    <row r="584">
      <c r="A584" s="1" t="n">
        <v>582</v>
      </c>
      <c r="B584">
        <f>HYPERLINK("https://eproc.rajasthan.gov.in/nicgep/app?component=%24DirectLink&amp;page=FrontEndViewTender&amp;service=direct&amp;session=T&amp;sp=SjWLfriFabiPWOzqIj2SH3w%3D%3D", "Panchayat Samiti KPatan ke adhinasth gram panchayato me ghar ghar avm vyvsayik prathisthano se kachara sangrahan avm prathakakran Gaon ki sadak avm nali safai karyat thatha samudayik swacchta parisar ki safai karya GP jaisthal")</f>
        <v/>
      </c>
      <c r="C584" t="inlineStr">
        <is>
          <t>Panchayati Raj Department||Secretary and Commissioner||CEO-BUNDI||BDO-KESHORAIPATAN</t>
        </is>
      </c>
      <c r="D584" t="inlineStr">
        <is>
          <t>26-May-2025 04:00 PM</t>
        </is>
      </c>
      <c r="E584" t="inlineStr">
        <is>
          <t>9,93,000</t>
        </is>
      </c>
      <c r="F584" t="inlineStr">
        <is>
          <t>Panchayat Samiti KPatan ke adhinasth gram panchayato me ghar ghar avm vyvsayik prathisthano se kachara sangrahan avm prathakakran Gaon ki sadak avm nali safai karyat thatha samudayik swacchta parisar ki safai karya GP jaisthal</t>
        </is>
      </c>
      <c r="G584" t="inlineStr">
        <is>
          <t>Gp Jaisthal</t>
        </is>
      </c>
    </row>
    <row r="585">
      <c r="A585" s="1" t="n">
        <v>583</v>
      </c>
      <c r="B585">
        <f>HYPERLINK("https://eproc.rajasthan.gov.in/nicgep/app?component=%24DirectLink&amp;page=FrontEndViewTender&amp;service=direct&amp;session=T&amp;sp=SFTPLKsib6H4e9IS9nIKzRg%3D%3D", "Cleaning AND Sanitation work")</f>
        <v/>
      </c>
      <c r="C585" t="inlineStr">
        <is>
          <t>Panchayati Raj Department||Secretary and Commissioner||CEO- GANGANAGAR||BDO-SADULSHAHAR</t>
        </is>
      </c>
      <c r="D585" t="inlineStr">
        <is>
          <t>26-May-2025 05:00 PM</t>
        </is>
      </c>
      <c r="E585" t="inlineStr">
        <is>
          <t>9,97,005</t>
        </is>
      </c>
      <c r="F585" t="inlineStr">
        <is>
          <t>Cleaning AND Sanitation work</t>
        </is>
      </c>
      <c r="G585" t="inlineStr">
        <is>
          <t>KHERUWALA</t>
        </is>
      </c>
    </row>
    <row r="586">
      <c r="A586" s="1" t="n">
        <v>584</v>
      </c>
      <c r="B586">
        <f>HYPERLINK("https://eproc.rajasthan.gov.in/nicgep/app?component=%24DirectLink&amp;page=FrontEndViewTender&amp;service=direct&amp;session=T&amp;sp=S0fXwNbvE3GGYBRDGwFUmKA%3D%3D", "GRAM BAMANTUKDA ME HANUMAN MANDIR KE PAAS ADHURE PADE SAMUDAYIK BHAWAN BHAWAN VISTAR GRAM PANCHAYAT BAMANTUKDA")</f>
        <v/>
      </c>
      <c r="C586" t="inlineStr">
        <is>
          <t>Panchayati Raj Department||Secretary and Commissioner||CEO-RAJSAMAND||BDO-RAJSAMAND</t>
        </is>
      </c>
      <c r="D586" t="inlineStr">
        <is>
          <t>26-May-2025 10:00 AM</t>
        </is>
      </c>
      <c r="E586" t="inlineStr">
        <is>
          <t>10,00,000</t>
        </is>
      </c>
      <c r="F586" t="inlineStr">
        <is>
          <t>GRAM BAMANTUKDA ME HANUMAN MANDIR KE PAAS ADHURE PADE SAMUDAYIK BHAWAN BHAWAN VISTAR GRAM PANCHAYAT BAMANTUKDA</t>
        </is>
      </c>
      <c r="G586" t="inlineStr">
        <is>
          <t>GRAM PANCHAYAT BAMANTUKDA</t>
        </is>
      </c>
    </row>
    <row r="587">
      <c r="A587" s="1" t="n">
        <v>585</v>
      </c>
      <c r="B587">
        <f>HYPERLINK("https://eproc.rajasthan.gov.in/nicgep/app?component=%24DirectLink&amp;page=FrontEndViewTender&amp;service=direct&amp;session=T&amp;sp=S9UX9VDxz45XtkniRY2I%2F%2FA%3D%3D", "SUPPLY OF CONSTRUCTION MATERIAL FOR GP GADARKHERA")</f>
        <v/>
      </c>
      <c r="C587" t="inlineStr">
        <is>
          <t>Panchayati Raj Department||Secretary and Commissioner||CEO- GANGANAGAR||BDO-SADULSHAHAR</t>
        </is>
      </c>
      <c r="D587" t="inlineStr">
        <is>
          <t>26-May-2025 05:00 PM</t>
        </is>
      </c>
      <c r="E587" t="inlineStr">
        <is>
          <t>49,90,000</t>
        </is>
      </c>
      <c r="F587" t="inlineStr">
        <is>
          <t>SUPPLY OF CONSTRUCTION MATERIAL FOR GP GADARKHERA</t>
        </is>
      </c>
      <c r="G587" t="inlineStr">
        <is>
          <t>GP GADARKHERA</t>
        </is>
      </c>
    </row>
    <row r="588">
      <c r="A588" s="1" t="n">
        <v>586</v>
      </c>
      <c r="B588">
        <f>HYPERLINK("https://eproc.rajasthan.gov.in/nicgep/app?component=%24DirectLink&amp;page=FrontEndViewTender&amp;service=direct&amp;session=T&amp;sp=SIAYGb1xVJ6N2n%2BZdT6Uu1g%3D%3D", "SBM CLEANING AND SANITATION WORKS AT GP Takhranwali")</f>
        <v/>
      </c>
      <c r="C588" t="inlineStr">
        <is>
          <t>Panchayati Raj Department||Secretary and Commissioner||CEO- GANGANAGAR||BDO-SADULSHAHAR</t>
        </is>
      </c>
      <c r="D588" t="inlineStr">
        <is>
          <t>26-May-2025 05:00 PM</t>
        </is>
      </c>
      <c r="E588" t="inlineStr">
        <is>
          <t>9,74,566</t>
        </is>
      </c>
      <c r="F588" t="inlineStr">
        <is>
          <t>SBM CLEANING AND SANITATION WORKS AT GP Takhranwali</t>
        </is>
      </c>
      <c r="G588" t="inlineStr">
        <is>
          <t>GP Takhranwali</t>
        </is>
      </c>
    </row>
    <row r="589">
      <c r="A589" s="1" t="n">
        <v>587</v>
      </c>
      <c r="B589">
        <f>HYPERLINK("https://eproc.rajasthan.gov.in/nicgep/app?component=%24DirectLink&amp;page=FrontEndViewTender&amp;service=direct&amp;session=T&amp;sp=SMplCYhL7unvUM%2Fquq%2FJhMA%3D%3D", "SUPPLY OF CONSTRUCTION MATERIAL FOR GP NOORPURA")</f>
        <v/>
      </c>
      <c r="C589" t="inlineStr">
        <is>
          <t>Panchayati Raj Department||Secretary and Commissioner||CEO- GANGANAGAR||BDO-SADULSHAHAR</t>
        </is>
      </c>
      <c r="D589" t="inlineStr">
        <is>
          <t>26-May-2025 05:00 PM</t>
        </is>
      </c>
      <c r="E589" t="inlineStr">
        <is>
          <t>49,90,000</t>
        </is>
      </c>
      <c r="F589" t="inlineStr">
        <is>
          <t>SUPPLY OF CONSTRUCTION MATERIAL FOR GP NOORPURA</t>
        </is>
      </c>
      <c r="G589" t="inlineStr">
        <is>
          <t>GP NOORPURA</t>
        </is>
      </c>
    </row>
    <row r="590">
      <c r="A590" s="1" t="n">
        <v>588</v>
      </c>
      <c r="B590">
        <f>HYPERLINK("https://eproc.rajasthan.gov.in/nicgep/app?component=%24DirectLink&amp;page=FrontEndViewTender&amp;service=direct&amp;session=T&amp;sp=SykzFxOD1tS0%2B1vEwb3bs%2BQ%3D%3D", "Cleaning AND Sanitation work")</f>
        <v/>
      </c>
      <c r="C590" t="inlineStr">
        <is>
          <t>Panchayati Raj Department||Secretary and Commissioner||CEO- GANGANAGAR||BDO-SADULSHAHAR</t>
        </is>
      </c>
      <c r="D590" t="inlineStr">
        <is>
          <t>26-May-2025 05:00 PM</t>
        </is>
      </c>
      <c r="E590" t="inlineStr">
        <is>
          <t>8,32,470</t>
        </is>
      </c>
      <c r="F590" t="inlineStr">
        <is>
          <t>Cleaning AND Sanitation work</t>
        </is>
      </c>
      <c r="G590" t="inlineStr">
        <is>
          <t>GADDARKHERA</t>
        </is>
      </c>
    </row>
    <row r="591">
      <c r="A591" s="1" t="n">
        <v>589</v>
      </c>
      <c r="B591">
        <f>HYPERLINK("https://eproc.rajasthan.gov.in/nicgep/app?component=%24DirectLink&amp;page=FrontEndViewTender&amp;service=direct&amp;session=T&amp;sp=SpJ0VA%2BGlCaBVJO1dnlDJLw%3D%3D", "CHAR DEEWARI NIRMAN WORK UPS DHANI KHIJURIYA WALI GRAM PANCHAYAT TATERA")</f>
        <v/>
      </c>
      <c r="C591" t="inlineStr">
        <is>
          <t>Panchayati Raj Department||Secretary and Commissioner||CEO-SIKAR||BDO-AJEET GARH</t>
        </is>
      </c>
      <c r="D591" t="inlineStr">
        <is>
          <t>23-May-2025 06:00 PM</t>
        </is>
      </c>
      <c r="E591" t="inlineStr">
        <is>
          <t>10,00,000</t>
        </is>
      </c>
      <c r="F591" t="inlineStr">
        <is>
          <t>CHAR DEEWARI NIRMAN WORK UPS DHANI KHIJURIYA WALI GRAM PANCHAYAT TATERA</t>
        </is>
      </c>
      <c r="G591" t="inlineStr">
        <is>
          <t>GP TATERA</t>
        </is>
      </c>
    </row>
    <row r="592">
      <c r="A592" s="1" t="n">
        <v>590</v>
      </c>
      <c r="B592">
        <f>HYPERLINK("https://eproc.rajasthan.gov.in/nicgep/app?component=%24DirectLink&amp;page=FrontEndViewTender&amp;service=direct&amp;session=T&amp;sp=SYe1Nv39i9PVylkPb8KqTOg%3D%3D", "Cleaning AND Sanitation work")</f>
        <v/>
      </c>
      <c r="C592" t="inlineStr">
        <is>
          <t>Panchayati Raj Department||Secretary and Commissioner||CEO- GANGANAGAR||BDO-SADULSHAHAR</t>
        </is>
      </c>
      <c r="D592" t="inlineStr">
        <is>
          <t>26-May-2025 05:00 PM</t>
        </is>
      </c>
      <c r="E592" t="inlineStr">
        <is>
          <t>8,62,385</t>
        </is>
      </c>
      <c r="F592" t="inlineStr">
        <is>
          <t>Cleaning AND Sanitation work</t>
        </is>
      </c>
      <c r="G592" t="inlineStr">
        <is>
          <t>ALIPURA</t>
        </is>
      </c>
    </row>
    <row r="593">
      <c r="A593" s="1" t="n">
        <v>591</v>
      </c>
      <c r="B593">
        <f>HYPERLINK("https://eproc.rajasthan.gov.in/nicgep/app?component=%24DirectLink&amp;page=FrontEndViewTender&amp;service=direct&amp;session=T&amp;sp=SeqWfWPPoT74rikR4REBTXA%3D%3D", "SBM CLEANING AND SANITATION WORKS AT GP sardarpurajiven")</f>
        <v/>
      </c>
      <c r="C593" t="inlineStr">
        <is>
          <t>Panchayati Raj Department||Secretary and Commissioner||CEO- GANGANAGAR||BDO-SADULSHAHAR</t>
        </is>
      </c>
      <c r="D593" t="inlineStr">
        <is>
          <t>26-May-2025 05:00 PM</t>
        </is>
      </c>
      <c r="E593" t="inlineStr">
        <is>
          <t>9,88,466</t>
        </is>
      </c>
      <c r="F593" t="inlineStr">
        <is>
          <t>SBM CLEANING AND SANITATION WORKS AT GP sardarpurajiven</t>
        </is>
      </c>
      <c r="G593" t="inlineStr">
        <is>
          <t>GP Sardarpurajiven</t>
        </is>
      </c>
    </row>
    <row r="594">
      <c r="A594" s="1" t="n">
        <v>592</v>
      </c>
      <c r="B594">
        <f>HYPERLINK("https://eproc.rajasthan.gov.in/nicgep/app?component=%24DirectLink&amp;page=FrontEndViewTender&amp;service=direct&amp;session=T&amp;sp=S9ePsRQCT7rjZ2k81CrWydA%3D%3D", "Panchayat Samiti KPatan ke adhinasth gram panchayato me ghar ghar avm vyvsayik prathisthano se kachara sangrahan avm prathakakran Gaon ki sadak avm nali safai karyat thatha samudayik swacchta parisar ki safai karya GP Hingoniya")</f>
        <v/>
      </c>
      <c r="C594" t="inlineStr">
        <is>
          <t>Panchayati Raj Department||Secretary and Commissioner||CEO-BUNDI||BDO-KESHORAIPATAN</t>
        </is>
      </c>
      <c r="D594" t="inlineStr">
        <is>
          <t>26-May-2025 04:00 PM</t>
        </is>
      </c>
      <c r="E594" t="inlineStr">
        <is>
          <t>9,70,000</t>
        </is>
      </c>
      <c r="F594" t="inlineStr">
        <is>
          <t>Panchayat Samiti KPatan ke adhinasth gram panchayato me ghar ghar avm vyvsayik prathisthano se kachara sangrahan avm prathakakran Gaon ki sadak avm nali safai karyat thatha samudayik swacchta parisar ki safai karya GP Hingoniya</t>
        </is>
      </c>
      <c r="G594" t="inlineStr">
        <is>
          <t>Gp Hingoniya</t>
        </is>
      </c>
    </row>
    <row r="595">
      <c r="A595" s="1" t="n">
        <v>593</v>
      </c>
      <c r="B595">
        <f>HYPERLINK("https://eproc.rajasthan.gov.in/nicgep/app?component=%24DirectLink&amp;page=FrontEndViewTender&amp;service=direct&amp;session=T&amp;sp=Sb6mbFqvjM5hZ43WJw8F6Fg%3D%3D", "Panchayat Samiti KPatan ke adhinasth gram panchayato me ghar ghar avm vyvsayik prathisthano se kachara sangrahan avm prathakakran Gaon ki sadak avm nali safai karyat thatha samudayik swacchta parisar ki safai karya GP Laban")</f>
        <v/>
      </c>
      <c r="C595" t="inlineStr">
        <is>
          <t>Panchayati Raj Department||Secretary and Commissioner||CEO-BUNDI||BDO-KESHORAIPATAN</t>
        </is>
      </c>
      <c r="D595" t="inlineStr">
        <is>
          <t>26-May-2025 04:00 PM</t>
        </is>
      </c>
      <c r="E595" t="inlineStr">
        <is>
          <t>9,82,000</t>
        </is>
      </c>
      <c r="F595" t="inlineStr">
        <is>
          <t>Panchayat Samiti KPatan ke adhinasth gram panchayato me ghar ghar avm vyvsayik prathisthano se kachara sangrahan avm prathakakran Gaon ki sadak avm nali safai karyat thatha samudayik swacchta parisar ki safai karya GP Laban</t>
        </is>
      </c>
      <c r="G595" t="inlineStr">
        <is>
          <t>Gp Laban</t>
        </is>
      </c>
    </row>
    <row r="596">
      <c r="A596" s="1" t="n">
        <v>594</v>
      </c>
      <c r="B596">
        <f>HYPERLINK("https://eproc.rajasthan.gov.in/nicgep/app?component=%24DirectLink&amp;page=FrontEndViewTender&amp;service=direct&amp;session=T&amp;sp=SVzNx7tuoEwB55G2AdE9bdw%3D%3D", "SBM CLEANING AND SANITATION WORKS AT GP Mammadkhera")</f>
        <v/>
      </c>
      <c r="C596" t="inlineStr">
        <is>
          <t>Panchayati Raj Department||Secretary and Commissioner||CEO- GANGANAGAR||BDO-SADULSHAHAR</t>
        </is>
      </c>
      <c r="D596" t="inlineStr">
        <is>
          <t>26-May-2025 05:00 PM</t>
        </is>
      </c>
      <c r="E596" t="inlineStr">
        <is>
          <t>9,34,871</t>
        </is>
      </c>
      <c r="F596" t="inlineStr">
        <is>
          <t>SBM CLEANING AND SANITATION WORKS AT GP Mammadkhera</t>
        </is>
      </c>
      <c r="G596" t="inlineStr">
        <is>
          <t>GP Mammadkhera</t>
        </is>
      </c>
    </row>
    <row r="597">
      <c r="A597" s="1" t="n">
        <v>595</v>
      </c>
      <c r="B597">
        <f>HYPERLINK("https://eproc.rajasthan.gov.in/nicgep/app?component=%24DirectLink&amp;page=FrontEndViewTender&amp;service=direct&amp;session=T&amp;sp=SuBynZTKwWh9%2B3nGfJ05GEg%3D%3D", "Cleaning AND Sanitation work")</f>
        <v/>
      </c>
      <c r="C597" t="inlineStr">
        <is>
          <t>Panchayati Raj Department||Secretary and Commissioner||CEO- GANGANAGAR||BDO-SADULSHAHAR</t>
        </is>
      </c>
      <c r="D597" t="inlineStr">
        <is>
          <t>26-May-2025 05:00 PM</t>
        </is>
      </c>
      <c r="E597" t="inlineStr">
        <is>
          <t>9,97,033</t>
        </is>
      </c>
      <c r="F597" t="inlineStr">
        <is>
          <t>Cleaning AND Sanitation work</t>
        </is>
      </c>
      <c r="G597" t="inlineStr">
        <is>
          <t>MANNIWALI</t>
        </is>
      </c>
    </row>
    <row r="598">
      <c r="A598" s="1" t="n">
        <v>596</v>
      </c>
      <c r="B598">
        <f>HYPERLINK("https://eproc.rajasthan.gov.in/nicgep/app?component=%24DirectLink&amp;page=FrontEndViewTender&amp;service=direct&amp;session=T&amp;sp=S90mjB9nVp7LeA0Loypc92w%3D%3D", "SUPPLY OF CONSTRUCTION MATERIAL ROTAWALI")</f>
        <v/>
      </c>
      <c r="C598" t="inlineStr">
        <is>
          <t>Panchayati Raj Department||Secretary and Commissioner||CEO- GANGANAGAR||BDO-SADULSHAHAR</t>
        </is>
      </c>
      <c r="D598" t="inlineStr">
        <is>
          <t>26-May-2025 05:00 PM</t>
        </is>
      </c>
      <c r="E598" t="inlineStr">
        <is>
          <t>49,90,000</t>
        </is>
      </c>
      <c r="F598" t="inlineStr">
        <is>
          <t>SUPPLY OF CONSTRUCTION MATERIAL ROTAWALI</t>
        </is>
      </c>
      <c r="G598" t="inlineStr">
        <is>
          <t>GP ROTAALI</t>
        </is>
      </c>
    </row>
    <row r="599">
      <c r="A599" s="1" t="n">
        <v>597</v>
      </c>
      <c r="B599">
        <f>HYPERLINK("https://eproc.rajasthan.gov.in/nicgep/app?component=%24DirectLink&amp;page=FrontEndViewTender&amp;service=direct&amp;session=T&amp;sp=SzXDKOYV6HE1hSTb%2BhMpbmw%3D%3D", "Panchayat Samiti KPatan ke adhinasth gram panchayato me ghar ghar avm vyvsayik prathisthano se kachara sangrahan avm prathakakran Gaon ki sadak avm nali safai karyat thatha samudayik swacchta parisar ki safai karya GP karwala")</f>
        <v/>
      </c>
      <c r="C599" t="inlineStr">
        <is>
          <t>Panchayati Raj Department||Secretary and Commissioner||CEO-BUNDI||BDO-KESHORAIPATAN</t>
        </is>
      </c>
      <c r="D599" t="inlineStr">
        <is>
          <t>26-May-2025 04:00 PM</t>
        </is>
      </c>
      <c r="E599" t="inlineStr">
        <is>
          <t>7,38,000</t>
        </is>
      </c>
      <c r="F599" t="inlineStr">
        <is>
          <t>Panchayat Samiti KPatan ke adhinasth gram panchayato me ghar ghar avm vyvsayik prathisthano se kachara sangrahan avm prathakakran Gaon ki sadak avm nali safai karyat thatha samudayik swacchta parisar ki safai karya GP karwala</t>
        </is>
      </c>
      <c r="G599" t="inlineStr">
        <is>
          <t>gp karwala</t>
        </is>
      </c>
    </row>
    <row r="600">
      <c r="A600" s="1" t="n">
        <v>598</v>
      </c>
      <c r="B600">
        <f>HYPERLINK("https://eproc.rajasthan.gov.in/nicgep/app?component=%24DirectLink&amp;page=FrontEndViewTender&amp;service=direct&amp;session=T&amp;sp=SbJ3mRydm9vmMku4D%2FOXt0w%3D%3D", "SUPPLY OF CONSTRUCTION MATERIAL TAKHATHAJARA")</f>
        <v/>
      </c>
      <c r="C600" t="inlineStr">
        <is>
          <t>Panchayati Raj Department||Secretary and Commissioner||CEO- GANGANAGAR||BDO-SADULSHAHAR</t>
        </is>
      </c>
      <c r="D600" t="inlineStr">
        <is>
          <t>26-May-2025 05:00 PM</t>
        </is>
      </c>
      <c r="E600" t="inlineStr">
        <is>
          <t>49,90,000</t>
        </is>
      </c>
      <c r="F600" t="inlineStr">
        <is>
          <t>SUPPLY OF CONSTRUCTION MATERIAL TAKHATHAJARA</t>
        </is>
      </c>
      <c r="G600" t="inlineStr">
        <is>
          <t>GP TAKHATHAJRA</t>
        </is>
      </c>
    </row>
    <row r="601">
      <c r="A601" s="1" t="n">
        <v>599</v>
      </c>
      <c r="B601">
        <f>HYPERLINK("https://eproc.rajasthan.gov.in/nicgep/app?component=%24DirectLink&amp;page=FrontEndViewTender&amp;service=direct&amp;session=T&amp;sp=SZsNe%2FN8XYP6H8FlqT%2FonYA%3D%3D", "Panchayat Samiti KPatan ke adhinasth gram panchayato me ghar ghar avm vyvsayik prathisthano se kachara sangrahan avm prathakakran Gaon ki sadak avm nali safai karyat thatha samudayik swacchta parisar ki safai karya GP Makhida")</f>
        <v/>
      </c>
      <c r="C601" t="inlineStr">
        <is>
          <t>Panchayati Raj Department||Secretary and Commissioner||CEO-BUNDI||BDO-KESHORAIPATAN</t>
        </is>
      </c>
      <c r="D601" t="inlineStr">
        <is>
          <t>26-May-2025 04:00 PM</t>
        </is>
      </c>
      <c r="E601" t="inlineStr">
        <is>
          <t>9,63,000</t>
        </is>
      </c>
      <c r="F601" t="inlineStr">
        <is>
          <t>Panchayat Samiti KPatan ke adhinasth gram panchayato me ghar ghar avm vyvsayik prathisthano se kachara sangrahan avm prathakakran Gaon ki sadak avm nali safai karyat thatha samudayik swacchta parisar ki safai karya GP Makhida</t>
        </is>
      </c>
      <c r="G601" t="inlineStr">
        <is>
          <t>Gp Makhida</t>
        </is>
      </c>
    </row>
    <row r="602">
      <c r="A602" s="1" t="n">
        <v>600</v>
      </c>
      <c r="B602">
        <f>HYPERLINK("https://eproc.rajasthan.gov.in/nicgep/app?component=%24DirectLink&amp;page=FrontEndViewTender&amp;service=direct&amp;session=T&amp;sp=S5sC7FTsClkkcb9I2kK6iyw%3D%3D", "Panchayat Samiti KPatan ke adhinasth gram panchayato me ghar ghar avm vyvsayik prathisthano se kachara sangrahan avm prathakakran Gaon ki sadak avm nali safai karyat thatha samudayik swacchta parisar ki safai karya GP Mayaza")</f>
        <v/>
      </c>
      <c r="C602" t="inlineStr">
        <is>
          <t>Panchayati Raj Department||Secretary and Commissioner||CEO-BUNDI||BDO-KESHORAIPATAN</t>
        </is>
      </c>
      <c r="D602" t="inlineStr">
        <is>
          <t>26-May-2025 04:00 PM</t>
        </is>
      </c>
      <c r="E602" t="inlineStr">
        <is>
          <t>9,28,000</t>
        </is>
      </c>
      <c r="F602" t="inlineStr">
        <is>
          <t>Panchayat Samiti KPatan ke adhinasth gram panchayato me ghar ghar avm vyvsayik prathisthano se kachara sangrahan avm prathakakran Gaon ki sadak avm nali safai karyat thatha samudayik swacchta parisar ki safai karya GP Mayaza</t>
        </is>
      </c>
      <c r="G602" t="inlineStr">
        <is>
          <t>gp Mayaza</t>
        </is>
      </c>
    </row>
    <row r="603">
      <c r="A603" s="1" t="n">
        <v>601</v>
      </c>
      <c r="B603">
        <f>HYPERLINK("https://eproc.rajasthan.gov.in/nicgep/app?component=%24DirectLink&amp;page=FrontEndViewTender&amp;service=direct&amp;session=T&amp;sp=SZlmcjijxGLtceyr3Lis2cw%3D%3D", "Panchayat Samiti KPatan ke adhinasth gram panchayato me ghar ghar avm vyvsayik prathisthano se kachara sangrahan avm prathakakran Gaon ki sadak avm nali safai karyat thatha samudayik swacchta parisar ki safai karya GP Madhorajpura")</f>
        <v/>
      </c>
      <c r="C603" t="inlineStr">
        <is>
          <t>Panchayati Raj Department||Secretary and Commissioner||CEO-BUNDI||BDO-KESHORAIPATAN</t>
        </is>
      </c>
      <c r="D603" t="inlineStr">
        <is>
          <t>26-May-2025 04:00 PM</t>
        </is>
      </c>
      <c r="E603" t="inlineStr">
        <is>
          <t>9,73,000</t>
        </is>
      </c>
      <c r="F603" t="inlineStr">
        <is>
          <t>Panchayat Samiti KPatan ke adhinasth gram panchayato me ghar ghar avm vyvsayik prathisthano se kachara sangrahan avm prathakakran Gaon ki sadak avm nali safai karyat thatha samudayik swacchta parisar ki safai karya GP Madhorajpura</t>
        </is>
      </c>
      <c r="G603" t="inlineStr">
        <is>
          <t>Gp Madhorajpura</t>
        </is>
      </c>
    </row>
    <row r="604">
      <c r="A604" s="1" t="n">
        <v>602</v>
      </c>
      <c r="B604">
        <f>HYPERLINK("https://eproc.rajasthan.gov.in/nicgep/app?component=%24DirectLink&amp;page=FrontEndViewTender&amp;service=direct&amp;session=T&amp;sp=ST%2FjDViXG2wL9lZCWMMiZ4A%3D%3D", "SUPPLY OF CONSTRUCTION MATERIAL CHAKMAHARJKA")</f>
        <v/>
      </c>
      <c r="C604" t="inlineStr">
        <is>
          <t>Panchayati Raj Department||Secretary and Commissioner||CEO- GANGANAGAR||BDO-SADULSHAHAR</t>
        </is>
      </c>
      <c r="D604" t="inlineStr">
        <is>
          <t>26-May-2025 05:00 PM</t>
        </is>
      </c>
      <c r="E604" t="inlineStr">
        <is>
          <t>49,90,000</t>
        </is>
      </c>
      <c r="F604" t="inlineStr">
        <is>
          <t>SUPPLY OF CONSTRUCTION MATERIAL CHAKMAHARJKA</t>
        </is>
      </c>
      <c r="G604" t="inlineStr">
        <is>
          <t>GP CHAKMAHRJKA</t>
        </is>
      </c>
    </row>
    <row r="605">
      <c r="A605" s="1" t="n">
        <v>603</v>
      </c>
      <c r="B605">
        <f>HYPERLINK("https://eproc.rajasthan.gov.in/nicgep/app?component=%24DirectLink&amp;page=FrontEndViewTender&amp;service=direct&amp;session=T&amp;sp=SDDnESll3tv4owUhnTzYHTg%3D%3D", "SUPPLY OF CONSTRUCTION MATERIAL FOR GP ALIPURA")</f>
        <v/>
      </c>
      <c r="C605" t="inlineStr">
        <is>
          <t>Panchayati Raj Department||Secretary and Commissioner||CEO- GANGANAGAR||BDO-SADULSHAHAR</t>
        </is>
      </c>
      <c r="D605" t="inlineStr">
        <is>
          <t>26-May-2025 05:00 PM</t>
        </is>
      </c>
      <c r="E605" t="inlineStr">
        <is>
          <t>49,90,000</t>
        </is>
      </c>
      <c r="F605" t="inlineStr">
        <is>
          <t>SUPPLY OF CONSTRUCTION MATERIAL FOR GP ALIPURA</t>
        </is>
      </c>
      <c r="G605" t="inlineStr">
        <is>
          <t>ALIPURA</t>
        </is>
      </c>
    </row>
    <row r="606">
      <c r="A606" s="1" t="n">
        <v>604</v>
      </c>
      <c r="B606">
        <f>HYPERLINK("https://eproc.rajasthan.gov.in/nicgep/app?component=%24DirectLink&amp;page=FrontEndViewTender&amp;service=direct&amp;session=T&amp;sp=SzjlUQwQyCchMe1ZMF5%2FQqA%3D%3D", "Panchayat Samiti KPatan ke adhinasth gram panchayato me ghar ghar avm vyvsayik prathisthano se kachara sangrahan avm prathakakran Gaon ki sadak avm nali safai karyat thatha samudayik swacchta parisar ki safai karya GP Kharayta")</f>
        <v/>
      </c>
      <c r="C606" t="inlineStr">
        <is>
          <t>Panchayati Raj Department||Secretary and Commissioner||CEO-BUNDI||BDO-KESHORAIPATAN</t>
        </is>
      </c>
      <c r="D606" t="inlineStr">
        <is>
          <t>26-May-2025 04:00 PM</t>
        </is>
      </c>
      <c r="E606" t="inlineStr">
        <is>
          <t>7,71,000</t>
        </is>
      </c>
      <c r="F606" t="inlineStr">
        <is>
          <t>Panchayat Samiti KPatan ke adhinasth gram panchayato me ghar ghar avm vyvsayik prathisthano se kachara sangrahan avm prathakakran Gaon ki sadak avm nali safai karyat thatha samudayik swacchta parisar ki safai karya GP Kharayta</t>
        </is>
      </c>
      <c r="G606" t="inlineStr">
        <is>
          <t>gp kharayta</t>
        </is>
      </c>
    </row>
    <row r="607">
      <c r="A607" s="1" t="n">
        <v>605</v>
      </c>
      <c r="B607">
        <f>HYPERLINK("https://eproc.rajasthan.gov.in/nicgep/app?component=%24DirectLink&amp;page=FrontEndViewTender&amp;service=direct&amp;session=T&amp;sp=S28JChH%2FpdMlc6CaqqyecLA%3D%3D", "SBM CLEANING AND SANITATION WORKS AT GP Dharmsinghwala")</f>
        <v/>
      </c>
      <c r="C607" t="inlineStr">
        <is>
          <t>Panchayati Raj Department||Secretary and Commissioner||CEO- GANGANAGAR||BDO-SADULSHAHAR</t>
        </is>
      </c>
      <c r="D607" t="inlineStr">
        <is>
          <t>26-May-2025 05:00 PM</t>
        </is>
      </c>
      <c r="E607" t="inlineStr">
        <is>
          <t>9,95,245</t>
        </is>
      </c>
      <c r="F607" t="inlineStr">
        <is>
          <t>SBM CLEANING AND SANITATION WORKS AT GP Dharmsinghwala</t>
        </is>
      </c>
      <c r="G607" t="inlineStr">
        <is>
          <t>GP Dharmsinghwala</t>
        </is>
      </c>
    </row>
    <row r="608">
      <c r="A608" s="1" t="n">
        <v>606</v>
      </c>
      <c r="B608">
        <f>HYPERLINK("https://eproc.rajasthan.gov.in/nicgep/app?component=%24DirectLink&amp;page=FrontEndViewTender&amp;service=direct&amp;session=T&amp;sp=S1EgJm%2BSstA0sKumFGLlFTw%3D%3D", "Panchayat Samiti KPatan ke adhinasth gram panchayato me ghar ghar avm vyvsayik prathisthano se kachara sangrahan avm prathakakran Gaon ki sadak avm nali safai karyat thatha samudayik swacchta parisar ki safai karya GP karwala ki jho")</f>
        <v/>
      </c>
      <c r="C608" t="inlineStr">
        <is>
          <t>Panchayati Raj Department||Secretary and Commissioner||CEO-BUNDI||BDO-KESHORAIPATAN</t>
        </is>
      </c>
      <c r="D608" t="inlineStr">
        <is>
          <t>26-May-2025 04:00 PM</t>
        </is>
      </c>
      <c r="E608" t="inlineStr">
        <is>
          <t>9,78,000</t>
        </is>
      </c>
      <c r="F608" t="inlineStr">
        <is>
          <t>Panchayat Samiti KPatan ke adhinasth gram panchayato me ghar ghar avm vyvsayik prathisthano se kachara sangrahan avm prathakakran Gaon ki sadak avm nali safai karyat thatha samudayik swacchta parisar ki safai karya GP karwala ki jho</t>
        </is>
      </c>
      <c r="G608" t="inlineStr">
        <is>
          <t>gp karwala ki jho</t>
        </is>
      </c>
    </row>
    <row r="609">
      <c r="A609" s="1" t="n">
        <v>607</v>
      </c>
      <c r="B609">
        <f>HYPERLINK("https://eproc.rajasthan.gov.in/nicgep/app?component=%24DirectLink&amp;page=FrontEndViewTender&amp;service=direct&amp;session=T&amp;sp=S%2F7VACP%2BbUw%2BKH8vE5FhMMA%3D%3D", "MATERIAL AND INSTURMENT")</f>
        <v/>
      </c>
      <c r="C609" t="inlineStr">
        <is>
          <t>Panchayati Raj Department||Secretary and Commissioner||CEO- GANGANAGAR||BDO-GANGANAGAR</t>
        </is>
      </c>
      <c r="D609" t="inlineStr">
        <is>
          <t>27-May-2025 05:00 PM</t>
        </is>
      </c>
      <c r="E609" t="inlineStr">
        <is>
          <t>49,90,000</t>
        </is>
      </c>
      <c r="F609" t="inlineStr">
        <is>
          <t>MATERIAL AND INSTURMENT RATE CONTRACT</t>
        </is>
      </c>
      <c r="G609" t="inlineStr">
        <is>
          <t>11 LNP</t>
        </is>
      </c>
    </row>
    <row r="610">
      <c r="A610" s="1" t="n">
        <v>608</v>
      </c>
      <c r="B610">
        <f>HYPERLINK("https://eproc.rajasthan.gov.in/nicgep/app?component=%24DirectLink&amp;page=FrontEndViewTender&amp;service=direct&amp;session=T&amp;sp=SGbHcHuDiUiSE%2Fm2bA9%2Fhww%3D%3D", "Panchayat Samiti KPatan ke adhinasth gram panchayato me ghar ghar avm vyvsayik prathisthano se kachara sangrahan avm prathakakran Gaon ki sadak avm nali safai karyat thatha samudayik swacchta parisar ki safai karya GP Lesarda")</f>
        <v/>
      </c>
      <c r="C610" t="inlineStr">
        <is>
          <t>Panchayati Raj Department||Secretary and Commissioner||CEO-BUNDI||BDO-KESHORAIPATAN</t>
        </is>
      </c>
      <c r="D610" t="inlineStr">
        <is>
          <t>26-May-2025 04:00 PM</t>
        </is>
      </c>
      <c r="E610" t="inlineStr">
        <is>
          <t>9,84,000</t>
        </is>
      </c>
      <c r="F610" t="inlineStr">
        <is>
          <t>Panchayat Samiti KPatan ke adhinasth gram panchayato me ghar ghar avm vyvsayik prathisthano se kachara sangrahan avm prathakakran Gaon ki sadak avm nali safai karyat thatha samudayik swacchta parisar ki safai karya GP Lesarda</t>
        </is>
      </c>
      <c r="G610" t="inlineStr">
        <is>
          <t>Gp Lesarda</t>
        </is>
      </c>
    </row>
    <row r="611">
      <c r="A611" s="1" t="n">
        <v>609</v>
      </c>
      <c r="B611">
        <f>HYPERLINK("https://eproc.rajasthan.gov.in/nicgep/app?component=%24DirectLink&amp;page=FrontEndViewTender&amp;service=direct&amp;session=T&amp;sp=SAwxkeNF8l3JRuLV6%2F2cAPA%3D%3D", "RATE CONTRACT")</f>
        <v/>
      </c>
      <c r="C611" t="inlineStr">
        <is>
          <t>Panchayati Raj Department||Secretary and Commissioner||CEO- GANGANAGAR||BDO-GANGANAGAR</t>
        </is>
      </c>
      <c r="D611" t="inlineStr">
        <is>
          <t>27-May-2025 05:00 PM</t>
        </is>
      </c>
      <c r="E611" t="inlineStr">
        <is>
          <t>49,90,000</t>
        </is>
      </c>
      <c r="F611" t="inlineStr">
        <is>
          <t>MATERIAL AND INSTURMENT</t>
        </is>
      </c>
      <c r="G611" t="inlineStr">
        <is>
          <t>10Z</t>
        </is>
      </c>
    </row>
    <row r="612">
      <c r="A612" s="1" t="n">
        <v>610</v>
      </c>
      <c r="B612">
        <f>HYPERLINK("https://eproc.rajasthan.gov.in/nicgep/app?component=%24DirectLink&amp;page=FrontEndViewTender&amp;service=direct&amp;session=T&amp;sp=S2g0t%2Bg%2FXA50vjxFDwVOTww%3D%3D", "SUPPLY OF CONSTRUCTION MATERIAL KHATSAJWAR")</f>
        <v/>
      </c>
      <c r="C612" t="inlineStr">
        <is>
          <t>Panchayati Raj Department||Secretary and Commissioner||CEO- GANGANAGAR||BDO-SADULSHAHAR</t>
        </is>
      </c>
      <c r="D612" t="inlineStr">
        <is>
          <t>26-May-2025 05:00 PM</t>
        </is>
      </c>
      <c r="E612" t="inlineStr">
        <is>
          <t>49,90,000</t>
        </is>
      </c>
      <c r="F612" t="inlineStr">
        <is>
          <t>SUPPLY OF CONSTRUCTION MATERIAL KHATSAJWAR</t>
        </is>
      </c>
      <c r="G612" t="inlineStr">
        <is>
          <t>GP KHATSAJWAR</t>
        </is>
      </c>
    </row>
    <row r="613">
      <c r="A613" s="1" t="n">
        <v>611</v>
      </c>
      <c r="B613">
        <f>HYPERLINK("https://eproc.rajasthan.gov.in/nicgep/app?component=%24DirectLink&amp;page=FrontEndViewTender&amp;service=direct&amp;session=T&amp;sp=SAF63RkKmRHFQYKPZlMwmDQ%3D%3D", "Panchayat Samiti KPatan ke adhinasth gram panchayato me ghar ghar avm vyvsayik prathisthano se kachara sangrahan avm prathakakran Gaon ki sadak avm nali safai karyat thatha samudayik swacchta parisar ki safai karya GP jhaliji ka barana")</f>
        <v/>
      </c>
      <c r="C613" t="inlineStr">
        <is>
          <t>Panchayati Raj Department||Secretary and Commissioner||CEO-BUNDI||BDO-KESHORAIPATAN</t>
        </is>
      </c>
      <c r="D613" t="inlineStr">
        <is>
          <t>26-May-2025 04:00 PM</t>
        </is>
      </c>
      <c r="E613" t="inlineStr">
        <is>
          <t>9,03,000</t>
        </is>
      </c>
      <c r="F613" t="inlineStr">
        <is>
          <t>Panchayat Samiti KPatan ke adhinasth gram panchayato me ghar ghar avm vyvsayik prathisthano se kachara sangrahan avm prathakakran Gaon ki sadak avm nali safai karyat thatha samudayik swacchta parisar ki safai karya GP jhaliji ka barana</t>
        </is>
      </c>
      <c r="G613" t="inlineStr">
        <is>
          <t>Gp jhailiji ka barana</t>
        </is>
      </c>
    </row>
    <row r="614">
      <c r="A614" s="1" t="n">
        <v>612</v>
      </c>
      <c r="B614">
        <f>HYPERLINK("https://eproc.rajasthan.gov.in/nicgep/app?component=%24DirectLink&amp;page=FrontEndViewTender&amp;service=direct&amp;session=T&amp;sp=SrnSPW7PcColqCJgIXYzEKQ%3D%3D", "Cleaning AND Sanitation work")</f>
        <v/>
      </c>
      <c r="C614" t="inlineStr">
        <is>
          <t>Panchayati Raj Department||Secretary and Commissioner||CEO- GANGANAGAR||BDO-SADULSHAHAR</t>
        </is>
      </c>
      <c r="D614" t="inlineStr">
        <is>
          <t>26-May-2025 05:00 PM</t>
        </is>
      </c>
      <c r="E614" t="inlineStr">
        <is>
          <t>9,28,281</t>
        </is>
      </c>
      <c r="F614" t="inlineStr">
        <is>
          <t>Cleaning AND Sanitation work</t>
        </is>
      </c>
      <c r="G614" t="inlineStr">
        <is>
          <t>NURPURA</t>
        </is>
      </c>
    </row>
    <row r="615">
      <c r="A615" s="1" t="n">
        <v>613</v>
      </c>
      <c r="B615">
        <f>HYPERLINK("https://eproc.rajasthan.gov.in/nicgep/app?component=%24DirectLink&amp;page=FrontEndViewTender&amp;service=direct&amp;session=T&amp;sp=S3Em0iI3fE1U1%2B5AKPDLtIA%3D%3D", "Panchayat Samiti KPatan ke adhinasth gram panchayato me ghar ghar avm vyvsayik prathisthano se kachara sangrahan avm prathakakran Gaon ki sadak avm nali safai karyat thatha samudayik swacchta parisar ki safai karya GP Nawalpura")</f>
        <v/>
      </c>
      <c r="C615" t="inlineStr">
        <is>
          <t>Panchayati Raj Department||Secretary and Commissioner||CEO-BUNDI||BDO-KESHORAIPATAN</t>
        </is>
      </c>
      <c r="D615" t="inlineStr">
        <is>
          <t>26-May-2025 04:00 PM</t>
        </is>
      </c>
      <c r="E615" t="inlineStr">
        <is>
          <t>9,54,000</t>
        </is>
      </c>
      <c r="F615" t="inlineStr">
        <is>
          <t>Panchayat Samiti KPatan ke adhinasth gram panchayato me ghar ghar avm vyvsayik prathisthano se kachara sangrahan avm prathakakran Gaon ki sadak avm nali safai karyat thatha samudayik swacchta parisar ki safai karya GP Nawalpura</t>
        </is>
      </c>
      <c r="G615" t="inlineStr">
        <is>
          <t>Gp Nawalpura</t>
        </is>
      </c>
    </row>
    <row r="616">
      <c r="A616" s="1" t="n">
        <v>614</v>
      </c>
      <c r="B616">
        <f>HYPERLINK("https://eproc.rajasthan.gov.in/nicgep/app?component=%24DirectLink&amp;page=FrontEndViewTender&amp;service=direct&amp;session=T&amp;sp=SGvEadqrxah5jnTxD0L8ZFw%3D%3D", "RATE CONTRACT FOR WORK INCLUDING DOOR TO DOOR (RESIDENTIAL AND COMMERCIAL) GARBAGE COLLECTION AND SEPARATION AND ROAD, DRAIN AND CSC CLEANING ALL VILLAGE OF GRAM PANCHAYAT KOCHHOR PS PALSANA DIST SIKAR (RAJ)")</f>
        <v/>
      </c>
      <c r="C616" t="inlineStr">
        <is>
          <t>Panchayati Raj Department||Secretary and Commissioner||CEO-SIKAR||BDO-PALSANA</t>
        </is>
      </c>
      <c r="D616" t="inlineStr">
        <is>
          <t>26-May-2025 06:00 PM</t>
        </is>
      </c>
      <c r="E616" t="inlineStr">
        <is>
          <t>8,00,000</t>
        </is>
      </c>
      <c r="F616" t="inlineStr">
        <is>
          <t>RATE CONTRACT FOR WORK INCLUDING DOOR TO DOOR (RESIDENTIAL AND COMMERCIAL) GARBAGE COLLECTION AND SEPARATION AND ROAD, DRAIN AND CSC CLEANING ALL VILLAGE OF GRAM PANCHAYAT KOCHHOR PS PALSANA DIST SIKAR (RAJ)</t>
        </is>
      </c>
      <c r="G616" t="inlineStr">
        <is>
          <t>GRAM PANCHAYAT KOCHHOR</t>
        </is>
      </c>
    </row>
    <row r="617">
      <c r="A617" s="1" t="n">
        <v>615</v>
      </c>
      <c r="B617">
        <f>HYPERLINK("https://eproc.rajasthan.gov.in/nicgep/app?component=%24DirectLink&amp;page=FrontEndViewTender&amp;service=direct&amp;session=T&amp;sp=SHDMUVt%2F3A42P3a6UCwsdew%3D%3D", "Rate contract For Supply of Construction Material and Providing Equipments for MGNREGA and Rural Development and Panchayati Raj departments various schemes at Gram Panchayat Khatwa Panchayat Samiti Lalsot Dist Dausa For FY 2025-26")</f>
        <v/>
      </c>
      <c r="C617" t="inlineStr">
        <is>
          <t>Panchayati Raj Department||Secretary and Commissioner||CEO-DAUSA||BDO-LALSOT</t>
        </is>
      </c>
      <c r="D617" t="inlineStr">
        <is>
          <t>26-May-2025 10:00 AM</t>
        </is>
      </c>
      <c r="E617" t="inlineStr">
        <is>
          <t>50,00,000</t>
        </is>
      </c>
      <c r="F617" t="inlineStr">
        <is>
          <t>Rate contract For Supply of Construction Material and Providing Equipments for MGNREGA and Rural Development and Panchayati Raj departments various schemes at Gram Panchayat Khatwa Panchayat Samiti Lalsot Dist Dausa For FY 2025-26</t>
        </is>
      </c>
      <c r="G617" t="inlineStr">
        <is>
          <t>Gram Panchayat Khatwa</t>
        </is>
      </c>
    </row>
    <row r="618">
      <c r="A618" s="1" t="n">
        <v>616</v>
      </c>
      <c r="B618">
        <f>HYPERLINK("https://eproc.rajasthan.gov.in/nicgep/app?component=%24DirectLink&amp;page=FrontEndViewTender&amp;service=direct&amp;session=T&amp;sp=SZyWVjs68E3ucj25%2FaoUB7g%3D%3D", "Garbage collection from household (residential and commercial) and segregation, sanitation work of Roads, Drainage and CSC in all villages of Gram Panchayat Parsa ka Bass")</f>
        <v/>
      </c>
      <c r="C618" t="inlineStr">
        <is>
          <t>Panchayati Raj Department||Secretary and Commissioner||CEO-ALWAR||BDO-MALA KHERA</t>
        </is>
      </c>
      <c r="D618" t="inlineStr">
        <is>
          <t>29-May-2025 06:00 PM</t>
        </is>
      </c>
      <c r="E618" t="inlineStr">
        <is>
          <t>7,00,000</t>
        </is>
      </c>
      <c r="F618" t="inlineStr">
        <is>
          <t>Garbage collection from household (residential and commercial) and segregation, sanitation work of Roads, Drainage and CSC in all villages of Gram Panchayat Parsa ka Bass</t>
        </is>
      </c>
      <c r="G618" t="inlineStr">
        <is>
          <t>all villages of gram panchayat Parsa ka baas</t>
        </is>
      </c>
    </row>
    <row r="619">
      <c r="A619" s="1" t="n">
        <v>617</v>
      </c>
      <c r="B619">
        <f>HYPERLINK("https://eproc.rajasthan.gov.in/nicgep/app?component=%24DirectLink&amp;page=FrontEndViewTender&amp;service=direct&amp;session=T&amp;sp=Snf8iQfZxRBNQCC9eyQ2f9A%3D%3D", "supply of construction metarial and providing equipment in NREGA and other RDPR scheme at G.P MAGARA P S FATEHGARH Financial year 2025-26")</f>
        <v/>
      </c>
      <c r="C619" t="inlineStr">
        <is>
          <t>Panchayati Raj Department||Secretary and Commissioner||CEO- JAISALMER||BDO-FATEH GARH</t>
        </is>
      </c>
      <c r="D619" t="inlineStr">
        <is>
          <t>26-May-2025 04:00 PM</t>
        </is>
      </c>
      <c r="E619" t="inlineStr">
        <is>
          <t>1,00,00,000</t>
        </is>
      </c>
      <c r="F619" t="inlineStr">
        <is>
          <t>supply of construction metarial and providing equipment in NREGA and other RDPR scheme at G.P MAGARA P S FATEHGARH Financial year 2025-26</t>
        </is>
      </c>
      <c r="G619" t="inlineStr">
        <is>
          <t>SARPANCH GRAM PANCHAYAT MAGARA P S FATEHGARH</t>
        </is>
      </c>
    </row>
    <row r="620">
      <c r="A620" s="1" t="n">
        <v>618</v>
      </c>
      <c r="B620">
        <f>HYPERLINK("https://eproc.rajasthan.gov.in/nicgep/app?component=%24DirectLink&amp;page=FrontEndViewTender&amp;service=direct&amp;session=T&amp;sp=S2Q3VYv6MHNbkypaVJXVnBQ%3D%3D", "MNREGA TENDER")</f>
        <v/>
      </c>
      <c r="C620" t="inlineStr">
        <is>
          <t>Panchayati Raj Department||Secretary and Commissioner||CEO-PALI||BDO-SUMERPUR</t>
        </is>
      </c>
      <c r="D620" t="inlineStr">
        <is>
          <t>24-May-2025 05:00 PM</t>
        </is>
      </c>
      <c r="E620" t="inlineStr">
        <is>
          <t>45,00,000</t>
        </is>
      </c>
      <c r="F620" t="inlineStr">
        <is>
          <t>MNREGA TENDER FOR FY 2025-26 FOR GP KORTA</t>
        </is>
      </c>
      <c r="G620" t="inlineStr">
        <is>
          <t>GP KORTA</t>
        </is>
      </c>
    </row>
    <row r="621">
      <c r="A621" s="1" t="n">
        <v>619</v>
      </c>
      <c r="B621">
        <f>HYPERLINK("https://eproc.rajasthan.gov.in/nicgep/app?component=%24DirectLink&amp;page=FrontEndViewTender&amp;service=direct&amp;session=T&amp;sp=S7N7hcPqD2zE2InqhkKpQGg%3D%3D", "Work/BBpur/SB4Diwari/NIT/02/30")</f>
        <v/>
      </c>
      <c r="C621" t="inlineStr">
        <is>
          <t>Panchayati Raj Department||Secretary and Commissioner||CEO-SIKAR||BDO-FETHEPUR</t>
        </is>
      </c>
      <c r="D621" t="inlineStr">
        <is>
          <t>22-May-2025 06:00 PM</t>
        </is>
      </c>
      <c r="E621" t="inlineStr">
        <is>
          <t>8,99,952</t>
        </is>
      </c>
      <c r="F621" t="inlineStr">
        <is>
          <t>Work/BBpur/Sarve Samaj Shamshan Bhumi ki 4 Dewari/NIT/02/30 GP BBpur PS FTR</t>
        </is>
      </c>
      <c r="G621" t="inlineStr">
        <is>
          <t>GP BIBIPUR CHHOTA PS FTR</t>
        </is>
      </c>
    </row>
    <row r="622">
      <c r="A622" s="1" t="n">
        <v>620</v>
      </c>
      <c r="B622">
        <f>HYPERLINK("https://eproc.rajasthan.gov.in/nicgep/app?component=%24DirectLink&amp;page=FrontEndViewTender&amp;service=direct&amp;session=T&amp;sp=SuQTvIgB5ClrpvZndXuyrZQ%3D%3D", "RAUPRAVI aashanada me do kaksha may baramda nirman kary")</f>
        <v/>
      </c>
      <c r="C622" t="inlineStr">
        <is>
          <t>Panchayati Raj Department||Secretary and Commissioner||CEO-JODHPUR||BDO-ONSIYAN</t>
        </is>
      </c>
      <c r="D622" t="inlineStr">
        <is>
          <t>22-May-2025 02:00 PM</t>
        </is>
      </c>
      <c r="E622" t="inlineStr">
        <is>
          <t>10,00,000</t>
        </is>
      </c>
      <c r="F622" t="inlineStr">
        <is>
          <t>RAUPRAVI aashanada me do kaksha may baramda nirman kary</t>
        </is>
      </c>
      <c r="G622" t="inlineStr">
        <is>
          <t>Osian</t>
        </is>
      </c>
    </row>
    <row r="623">
      <c r="A623" s="1" t="n">
        <v>621</v>
      </c>
      <c r="B623">
        <f>HYPERLINK("https://eproc.rajasthan.gov.in/nicgep/app?component=%24DirectLink&amp;page=FrontEndViewTender&amp;service=direct&amp;session=T&amp;sp=SqNlwUXnn9Q0UPuBXCH4Uew%3D%3D", "MAHILA SNANAGHAR NIRMAN KARY MOHI GRAM PANCHAYAT MOHI")</f>
        <v/>
      </c>
      <c r="C623" t="inlineStr">
        <is>
          <t>Panchayati Raj Department||Secretary and Commissioner||CEO-RAJSAMAND||BDO-RAJSAMAND</t>
        </is>
      </c>
      <c r="D623" t="inlineStr">
        <is>
          <t>24-May-2025 06:00 PM</t>
        </is>
      </c>
      <c r="E623" t="inlineStr">
        <is>
          <t>6,91,000</t>
        </is>
      </c>
      <c r="F623" t="inlineStr">
        <is>
          <t>MAHILA SNANAGHAR NIRMAN KARY MOHI GRAM PANCHAYAT MOHI</t>
        </is>
      </c>
      <c r="G623" t="inlineStr">
        <is>
          <t>GRAM PANCHAYAT MOHI</t>
        </is>
      </c>
    </row>
    <row r="624">
      <c r="A624" s="1" t="n">
        <v>622</v>
      </c>
      <c r="B624">
        <f>HYPERLINK("https://eproc.rajasthan.gov.in/nicgep/app?component=%24DirectLink&amp;page=FrontEndViewTender&amp;service=direct&amp;session=T&amp;sp=Sjbn0Yp%2FDuTagEDZV9hXgtw%3D%3D", "Supply of Construction Material RDPR Scheme MNREGA, SFC , FFC and other scheme for Financial Year 2025-26 in Gram Panchyat Chann PS Khandar")</f>
        <v/>
      </c>
      <c r="C624" t="inlineStr">
        <is>
          <t>Panchayati Raj Department||Secretary and Commissioner||CEO-S.MADHOPUR||BDO-KHANDAR</t>
        </is>
      </c>
      <c r="D624" t="inlineStr">
        <is>
          <t>27-May-2025 06:00 PM</t>
        </is>
      </c>
      <c r="E624" t="inlineStr">
        <is>
          <t>50,00,000</t>
        </is>
      </c>
      <c r="F624" t="inlineStr">
        <is>
          <t>Supply of Construction Material RDPR Scheme MNREGA, SFC , FFC and other scheme for Financial Year 2025-26 in Gram Panchyat Chann PS Khandar</t>
        </is>
      </c>
      <c r="G624" t="inlineStr">
        <is>
          <t>GRAM PANCHYAT CHANN</t>
        </is>
      </c>
    </row>
    <row r="625">
      <c r="A625" s="1" t="n">
        <v>623</v>
      </c>
      <c r="B625">
        <f>HYPERLINK("https://eproc.rajasthan.gov.in/nicgep/app?component=%24DirectLink&amp;page=FrontEndViewTender&amp;service=direct&amp;session=T&amp;sp=Su38QVJkVm5ghntlme5LP0w%3D%3D", "SHIV MANDIR SE PURAN KE MAKAN KI AUR NALA NIRMAN KARYA RAIKARANPURA")</f>
        <v/>
      </c>
      <c r="C625" t="inlineStr">
        <is>
          <t>Panchayati Raj Department||Secretary and Commissioner||CEO- JAIPUR||BDO-KOTPUTALI</t>
        </is>
      </c>
      <c r="D625" t="inlineStr">
        <is>
          <t>23-May-2025 11:00 AM</t>
        </is>
      </c>
      <c r="E625" t="inlineStr">
        <is>
          <t>9,99,000</t>
        </is>
      </c>
      <c r="F625" t="inlineStr">
        <is>
          <t>SHIV MANDIR SE PURAN KE MAKAN KI AUR NALA NIRMAN KARYA RAIKARANPURA</t>
        </is>
      </c>
      <c r="G625" t="inlineStr">
        <is>
          <t>RAIKARANPURA</t>
        </is>
      </c>
    </row>
    <row r="626">
      <c r="A626" s="1" t="n">
        <v>624</v>
      </c>
      <c r="B626">
        <f>HYPERLINK("https://eproc.rajasthan.gov.in/nicgep/app?component=%24DirectLink&amp;page=FrontEndViewTender&amp;service=direct&amp;session=T&amp;sp=SCjE9NYYuOYafBiUMmkL1Ww%3D%3D", "Rate contract For Supply of Construction Material and Providing Equipments for NREGA, RD and PR Schemes at Gram Panchayat Titarwara Kalan Panchayat Samiti DAUSA Dist Dausa For FY 2025-26 up to 31 March 2026")</f>
        <v/>
      </c>
      <c r="C626" t="inlineStr">
        <is>
          <t>Panchayati Raj Department||Secretary and Commissioner||CEO-DAUSA||BDO-DAUSA</t>
        </is>
      </c>
      <c r="D626" t="inlineStr">
        <is>
          <t>28-May-2025 09:30 AM</t>
        </is>
      </c>
      <c r="E626" t="inlineStr">
        <is>
          <t>60,00,000</t>
        </is>
      </c>
      <c r="F626" t="inlineStr">
        <is>
          <t>Rate contract For Supply of Construction Material and Providing Equipments for NREGA, RD and PR Schemes at Gram Panchayat Titarwara Kalan Panchayat Samiti DAUSA Dist Dausa For FY 2025-26 up to 31 March 2026</t>
        </is>
      </c>
      <c r="G626" t="inlineStr">
        <is>
          <t>Titarwara Kalan</t>
        </is>
      </c>
    </row>
    <row r="627">
      <c r="A627" s="1" t="n">
        <v>625</v>
      </c>
      <c r="B627">
        <f>HYPERLINK("https://eproc.rajasthan.gov.in/nicgep/app?component=%24DirectLink&amp;page=FrontEndViewTender&amp;service=direct&amp;session=T&amp;sp=SmQ%2F0OzuWU5EkJ%2F234MW42A%3D%3D", "NREGA BUILDING MATERIAL SUPPLY RATE CONTRACT TENDER FOR GP NIMBA KI DHANI 2025-26")</f>
        <v/>
      </c>
      <c r="C627" t="inlineStr">
        <is>
          <t>Panchayati Raj Department||Secretary and Commissioner||CEO-BADMER||BDO-GIDA</t>
        </is>
      </c>
      <c r="D627" t="inlineStr">
        <is>
          <t>26-May-2025 06:00 PM</t>
        </is>
      </c>
      <c r="E627" t="inlineStr">
        <is>
          <t>NA</t>
        </is>
      </c>
      <c r="F627" t="inlineStr">
        <is>
          <t>NREGA BUILDING MATERIAL SUPPLY RATE CONTRACT TENDER FOR GP NIMBA KI DHANI 2025-26</t>
        </is>
      </c>
      <c r="G627" t="inlineStr">
        <is>
          <t>NIMBA KI DHANI</t>
        </is>
      </c>
    </row>
    <row r="628">
      <c r="A628" s="1" t="n">
        <v>626</v>
      </c>
      <c r="B628">
        <f>HYPERLINK("https://eproc.rajasthan.gov.in/nicgep/app?component=%24DirectLink&amp;page=FrontEndViewTender&amp;service=direct&amp;session=T&amp;sp=SEpbceJYPcfwPEvlPEnn1hA%3D%3D", "NREGA BUILDING MATERIAL SUPPLY RATE CONTRACT 2025-26")</f>
        <v/>
      </c>
      <c r="C628" t="inlineStr">
        <is>
          <t>Panchayati Raj Department||Secretary and Commissioner||CEO-BADMER||BDO-GIDA</t>
        </is>
      </c>
      <c r="D628" t="inlineStr">
        <is>
          <t>26-May-2025 06:00 PM</t>
        </is>
      </c>
      <c r="E628" t="inlineStr">
        <is>
          <t>NA</t>
        </is>
      </c>
      <c r="F628" t="inlineStr">
        <is>
          <t>NREGA BUILDING MATERIAL SUPPLY RATE CONTRACT 2025-26 GP KESUMBLA BHATIYAN</t>
        </is>
      </c>
      <c r="G628" t="inlineStr">
        <is>
          <t>KESUMBLA</t>
        </is>
      </c>
    </row>
    <row r="629">
      <c r="A629" s="1" t="n">
        <v>627</v>
      </c>
      <c r="B629">
        <f>HYPERLINK("https://eproc.rajasthan.gov.in/nicgep/app?component=%24DirectLink&amp;page=FrontEndViewTender&amp;service=direct&amp;session=T&amp;sp=SkGETWasMdn1wXM8nDNBcMw%3D%3D", "Garbage collection from household (residential and commercial) and segregation, sanitation work of Roads, Drainage and CSC in all villages of Gram Panchayat Prithvipura")</f>
        <v/>
      </c>
      <c r="C629" t="inlineStr">
        <is>
          <t>Panchayati Raj Department||Secretary and Commissioner||CEO-ALWAR||BDO-MALA KHERA</t>
        </is>
      </c>
      <c r="D629" t="inlineStr">
        <is>
          <t>29-May-2025 06:00 PM</t>
        </is>
      </c>
      <c r="E629" t="inlineStr">
        <is>
          <t>10,00,000</t>
        </is>
      </c>
      <c r="F629" t="inlineStr">
        <is>
          <t>Garbage collection from household (residential and commercial) and segregation, sanitation work of Roads, Drainage and CSC in all villages of Gram Panchayat Prithvipura</t>
        </is>
      </c>
      <c r="G629" t="inlineStr">
        <is>
          <t>all villages in GP Prithvipura</t>
        </is>
      </c>
    </row>
    <row r="630">
      <c r="A630" s="1" t="n">
        <v>628</v>
      </c>
      <c r="B630">
        <f>HYPERLINK("https://eproc.rajasthan.gov.in/nicgep/app?component=%24DirectLink&amp;page=FrontEndViewTender&amp;service=direct&amp;session=T&amp;sp=SeuPCUQS61sICDekNIFclAQ%3D%3D", "RATE CONTRACT FOR SUPPLY OF CONSTRUCTION MATERIAL FOR THE FINANCIAL YEAR 2025-26 IN GRAM PANCHAYAT KOCHHOR PANCHAYAT SAMITI PALSANA")</f>
        <v/>
      </c>
      <c r="C630" t="inlineStr">
        <is>
          <t>Panchayati Raj Department||Secretary and Commissioner||CEO-SIKAR||BDO-PALSANA</t>
        </is>
      </c>
      <c r="D630" t="inlineStr">
        <is>
          <t>26-May-2025 06:00 PM</t>
        </is>
      </c>
      <c r="E630" t="inlineStr">
        <is>
          <t>60,00,000</t>
        </is>
      </c>
      <c r="F630" t="inlineStr">
        <is>
          <t>RATE CONTRACT FOR SUPPLY OF CONSTRUCTION MATERIAL FOR THE FINANCIAL YEAR 2025-26 IN GRAM PANCHAYAT KOCHHOR PANCHAYAT SAMITI PALSANA</t>
        </is>
      </c>
      <c r="G630" t="inlineStr">
        <is>
          <t>GRAM PANCHAYAT KOCHHOR</t>
        </is>
      </c>
    </row>
    <row r="631">
      <c r="A631" s="1" t="n">
        <v>629</v>
      </c>
      <c r="B631">
        <f>HYPERLINK("https://eproc.rajasthan.gov.in/nicgep/app?component=%24DirectLink&amp;page=FrontEndViewTender&amp;service=direct&amp;session=T&amp;sp=Sc%2F0NcEJkL%2FiGHT80lnwMhQ%3D%3D", "GP JHIRI MATERIAL SUPPLY UNDER PS SARMATHURA")</f>
        <v/>
      </c>
      <c r="C631" t="inlineStr">
        <is>
          <t>Panchayati Raj Department||Secretary and Commissioner||CEO-DHOLPUR||BDO-SARMATHURA</t>
        </is>
      </c>
      <c r="D631" t="inlineStr">
        <is>
          <t>26-May-2025 06:00 PM</t>
        </is>
      </c>
      <c r="E631" t="inlineStr">
        <is>
          <t>50,00,000</t>
        </is>
      </c>
      <c r="F631" t="inlineStr">
        <is>
          <t>GP JHIRI MATERIAL SUPPLY UNDER PS SARMATHURA</t>
        </is>
      </c>
      <c r="G631" t="inlineStr">
        <is>
          <t>GP JHIRI</t>
        </is>
      </c>
    </row>
    <row r="632">
      <c r="A632" s="1" t="n">
        <v>630</v>
      </c>
      <c r="B632">
        <f>HYPERLINK("https://eproc.rajasthan.gov.in/nicgep/app?component=%24DirectLink&amp;page=FrontEndViewTender&amp;service=direct&amp;session=T&amp;sp=S%2FQkC9TSvi9Vgywd9IqQH7w%3D%3D", "Supply of Various Material at Gram Panchayat BHAWLAS, Panchayat Samiti Mandal 2025-26 (Yearly Rate Contract)")</f>
        <v/>
      </c>
      <c r="C632" t="inlineStr">
        <is>
          <t>Panchayati Raj Department||Secretary and Commissioner||CEO-BHILWARA||BDO-MANDAL</t>
        </is>
      </c>
      <c r="D632" t="inlineStr">
        <is>
          <t>30-May-2025 06:00 PM</t>
        </is>
      </c>
      <c r="E632" t="inlineStr">
        <is>
          <t>80,00,000</t>
        </is>
      </c>
      <c r="F632" t="inlineStr">
        <is>
          <t>Supply of Various Material at Gram Panchayat BHAWLAS, Panchayat Samiti Mandal 2025-26 (Yearly Rate Contract)</t>
        </is>
      </c>
      <c r="G632" t="inlineStr">
        <is>
          <t>GP BHAWLAS PS MANDAL</t>
        </is>
      </c>
    </row>
    <row r="633">
      <c r="A633" s="1" t="n">
        <v>631</v>
      </c>
      <c r="B633">
        <f>HYPERLINK("https://eproc.rajasthan.gov.in/nicgep/app?component=%24DirectLink&amp;page=FrontEndViewTender&amp;service=direct&amp;session=T&amp;sp=S1HVcHH9JOZqWKwQDTWoQFQ%3D%3D", "GP BAROLI MATERIAL SUPPLY UNDER PS SARMATHURA")</f>
        <v/>
      </c>
      <c r="C633" t="inlineStr">
        <is>
          <t>Panchayati Raj Department||Secretary and Commissioner||CEO-DHOLPUR||BDO-SARMATHURA</t>
        </is>
      </c>
      <c r="D633" t="inlineStr">
        <is>
          <t>26-May-2025 06:00 PM</t>
        </is>
      </c>
      <c r="E633" t="inlineStr">
        <is>
          <t>50,00,000</t>
        </is>
      </c>
      <c r="F633" t="inlineStr">
        <is>
          <t>GP BAROLI MATERIAL SUPPLY UNDER PS SARMATHURA</t>
        </is>
      </c>
      <c r="G633" t="inlineStr">
        <is>
          <t>GP BAROLI</t>
        </is>
      </c>
    </row>
    <row r="634">
      <c r="A634" s="1" t="n">
        <v>632</v>
      </c>
      <c r="B634">
        <f>HYPERLINK("https://eproc.rajasthan.gov.in/nicgep/app?component=%24DirectLink&amp;page=FrontEndViewTender&amp;service=direct&amp;session=T&amp;sp=SNn058q8Qv5ZNzHjPHnmJWQ%3D%3D", "Supply of Various Material at Gram Panchayat BHAGWANPURA, Panchayat Samiti Mandal 2025-26 (Yearly Rate Contract)")</f>
        <v/>
      </c>
      <c r="C634" t="inlineStr">
        <is>
          <t>Panchayati Raj Department||Secretary and Commissioner||CEO-BHILWARA||BDO-MANDAL</t>
        </is>
      </c>
      <c r="D634" t="inlineStr">
        <is>
          <t>30-May-2025 06:00 PM</t>
        </is>
      </c>
      <c r="E634" t="inlineStr">
        <is>
          <t>80,00,000</t>
        </is>
      </c>
      <c r="F634" t="inlineStr">
        <is>
          <t>Supply of Various Material at Gram Panchayat BHAGWANPURA, Panchayat Samiti Mandal 2025-26 (Yearly Rate Contract)</t>
        </is>
      </c>
      <c r="G634" t="inlineStr">
        <is>
          <t>GP BHAGWANPURA PS MANDAL</t>
        </is>
      </c>
    </row>
    <row r="635">
      <c r="A635" s="1" t="n">
        <v>633</v>
      </c>
      <c r="B635">
        <f>HYPERLINK("https://eproc.rajasthan.gov.in/nicgep/app?component=%24DirectLink&amp;page=FrontEndViewTender&amp;service=direct&amp;session=T&amp;sp=SkRhdn%2BJGcEoElfMdBWVesQ%3D%3D", "rajkiy uchcha madhyamik vidhyalay badrana me sabha kaksh nirman kary")</f>
        <v/>
      </c>
      <c r="C635" t="inlineStr">
        <is>
          <t>Panchayati Raj Department||Secretary and Commissioner||CEO-UDAIPUR||BDO-JHADOL</t>
        </is>
      </c>
      <c r="D635" t="inlineStr">
        <is>
          <t>25-May-2025 06:00 PM</t>
        </is>
      </c>
      <c r="E635" t="inlineStr">
        <is>
          <t>19,58,000</t>
        </is>
      </c>
      <c r="F635" t="inlineStr">
        <is>
          <t>rajkiy uchcha madhyamik vidhyalay badrana me sabha kaksh nirman kary</t>
        </is>
      </c>
      <c r="G635" t="inlineStr">
        <is>
          <t>rajkiy uchcha madhyamik vidhyalay badrana me sabha</t>
        </is>
      </c>
    </row>
    <row r="636">
      <c r="A636" s="1" t="n">
        <v>634</v>
      </c>
      <c r="B636">
        <f>HYPERLINK("https://eproc.rajasthan.gov.in/nicgep/app?component=%24DirectLink&amp;page=FrontEndViewTender&amp;service=direct&amp;session=T&amp;sp=SL2jG0bv08u%2BmF1efDcjg%2Bg%3D%3D", "SUPPLY OF CONSTRUCION MATERAIL FOR NREGA AND OTHER SCHEME IN FY 2025-26 IN GP NINDOLA")</f>
        <v/>
      </c>
      <c r="C636" t="inlineStr">
        <is>
          <t>Panchayati Raj Department||Secretary and Commissioner||CEO- JAIPUR||BDO-GOVINDGARH</t>
        </is>
      </c>
      <c r="D636" t="inlineStr">
        <is>
          <t>04-Jun-2025 10:00 AM</t>
        </is>
      </c>
      <c r="E636" t="inlineStr">
        <is>
          <t>60,00,000</t>
        </is>
      </c>
      <c r="F636" t="inlineStr">
        <is>
          <t>SUPPLY OF CONSTRUCION MATERAIL FOR NREGA AND OTHER SCHEME IN FY 2025-26 IN GP NINDOLA</t>
        </is>
      </c>
      <c r="G636" t="inlineStr">
        <is>
          <t>Gram panchayat HQ</t>
        </is>
      </c>
    </row>
    <row r="637">
      <c r="A637" s="1" t="n">
        <v>635</v>
      </c>
      <c r="B637">
        <f>HYPERLINK("https://eproc.rajasthan.gov.in/nicgep/app?component=%24DirectLink&amp;page=FrontEndViewTender&amp;service=direct&amp;session=T&amp;sp=SqQ6FgGHHofmTuRK2cQmbNQ%3D%3D", "Garbage collection and Cleaning Street-Drain at GP 18SPD PS Piligangan")</f>
        <v/>
      </c>
      <c r="C637" t="inlineStr">
        <is>
          <t>Panchayati Raj Department||Secretary and Commissioner||CEO- HANUMANGARH||BDO-PILIBANGA</t>
        </is>
      </c>
      <c r="D637" t="inlineStr">
        <is>
          <t>22-May-2025 06:00 PM</t>
        </is>
      </c>
      <c r="E637" t="inlineStr">
        <is>
          <t>6,50,000</t>
        </is>
      </c>
      <c r="F637" t="inlineStr">
        <is>
          <t>Garbage collection and Cleaning Street-Drain at GP 18SPD PS Piligangan</t>
        </is>
      </c>
      <c r="G637" t="inlineStr">
        <is>
          <t>GP 18SPD</t>
        </is>
      </c>
    </row>
    <row r="638">
      <c r="A638" s="1" t="n">
        <v>636</v>
      </c>
      <c r="B638">
        <f>HYPERLINK("https://eproc.rajasthan.gov.in/nicgep/app?component=%24DirectLink&amp;page=FrontEndViewTender&amp;service=direct&amp;session=T&amp;sp=ST1DKM57NtPBLR6Zbqw9%2BEA%3D%3D", "Supply of Construction in Gram Panchayat Didwara in Panchayat Samiti Malarana Doongar Under MNREGA, RD And OTHER Scheme for the year 2025-26")</f>
        <v/>
      </c>
      <c r="C638" t="inlineStr">
        <is>
          <t>Panchayati Raj Department||Secretary and Commissioner||CEO-S.MADHOPUR||BDO-MALARANA DUNGAR</t>
        </is>
      </c>
      <c r="D638" t="inlineStr">
        <is>
          <t>26-May-2025 06:00 PM</t>
        </is>
      </c>
      <c r="E638" t="inlineStr">
        <is>
          <t>50,00,000</t>
        </is>
      </c>
      <c r="F638" t="inlineStr">
        <is>
          <t>Supply of Construction in Gram Panchayat Didwara in Panchayat Samiti Malarana Doongar Under MNREGA, RD And OTHER Scheme for the year 2025-26</t>
        </is>
      </c>
      <c r="G638" t="inlineStr">
        <is>
          <t>GP DIDWARA</t>
        </is>
      </c>
    </row>
    <row r="639">
      <c r="A639" s="1" t="n">
        <v>637</v>
      </c>
      <c r="B639">
        <f>HYPERLINK("https://eproc.rajasthan.gov.in/nicgep/app?component=%24DirectLink&amp;page=FrontEndViewTender&amp;service=direct&amp;session=T&amp;sp=S%2Fm7o3VmaUAkajvopqn7%2BoQ%3D%3D", "SANITATION WORK FY 2025-26 GP 8 KYD")</f>
        <v/>
      </c>
      <c r="C639" t="inlineStr">
        <is>
          <t>Panchayati Raj Department||Secretary and Commissioner||CEO-BIKANER||BDO-KHAJUWALA</t>
        </is>
      </c>
      <c r="D639" t="inlineStr">
        <is>
          <t>22-May-2025 06:00 PM</t>
        </is>
      </c>
      <c r="E639" t="inlineStr">
        <is>
          <t>9,65,000</t>
        </is>
      </c>
      <c r="F639" t="inlineStr">
        <is>
          <t>Collection and segregation from every house (residential and commercial) in all villages, collection and segregation from group, road and sanitation work of the area Gram Panchayat 8 KYD</t>
        </is>
      </c>
      <c r="G639" t="inlineStr">
        <is>
          <t>GP 8 KYD</t>
        </is>
      </c>
    </row>
    <row r="640">
      <c r="A640" s="1" t="n">
        <v>638</v>
      </c>
      <c r="B640">
        <f>HYPERLINK("https://eproc.rajasthan.gov.in/nicgep/app?component=%24DirectLink&amp;page=FrontEndViewTender&amp;service=direct&amp;session=T&amp;sp=SMBBHREIHF67LCFj4GYo7Ng%3D%3D", "SANITATION WORK FY 2025-26 GP 7 PHM")</f>
        <v/>
      </c>
      <c r="C640" t="inlineStr">
        <is>
          <t>Panchayati Raj Department||Secretary and Commissioner||CEO-BIKANER||BDO-KHAJUWALA</t>
        </is>
      </c>
      <c r="D640" t="inlineStr">
        <is>
          <t>22-May-2025 06:00 PM</t>
        </is>
      </c>
      <c r="E640" t="inlineStr">
        <is>
          <t>9,52,000</t>
        </is>
      </c>
      <c r="F640" t="inlineStr">
        <is>
          <t>Collection and segregation from every house (residential and commercial) in all villages, collection and segregation from group, road and sanitation work of the area Gram Panchayat 7 PHM</t>
        </is>
      </c>
      <c r="G640" t="inlineStr">
        <is>
          <t>GP 7 PHM</t>
        </is>
      </c>
    </row>
    <row r="641">
      <c r="A641" s="1" t="n">
        <v>639</v>
      </c>
      <c r="B641">
        <f>HYPERLINK("https://eproc.rajasthan.gov.in/nicgep/app?component=%24DirectLink&amp;page=FrontEndViewTender&amp;service=direct&amp;session=T&amp;sp=SEBcZcXx5xeKDoi1S%2FvOzEg%3D%3D", "Garbage collection and Cleaning Street-Drain at GP 7STB PS Piligangan")</f>
        <v/>
      </c>
      <c r="C641" t="inlineStr">
        <is>
          <t>Panchayati Raj Department||Secretary and Commissioner||CEO- HANUMANGARH||BDO-PILIBANGA</t>
        </is>
      </c>
      <c r="D641" t="inlineStr">
        <is>
          <t>22-May-2025 06:00 PM</t>
        </is>
      </c>
      <c r="E641" t="inlineStr">
        <is>
          <t>4,00,000</t>
        </is>
      </c>
      <c r="F641" t="inlineStr">
        <is>
          <t>Garbage collection and Cleaning Street-Drain at GP 7STB PS Piligangan</t>
        </is>
      </c>
      <c r="G641" t="inlineStr">
        <is>
          <t>GP 7STB</t>
        </is>
      </c>
    </row>
    <row r="642">
      <c r="A642" s="1" t="n">
        <v>640</v>
      </c>
      <c r="B642">
        <f>HYPERLINK("https://eproc.rajasthan.gov.in/nicgep/app?component=%24DirectLink&amp;page=FrontEndViewTender&amp;service=direct&amp;session=T&amp;sp=SVAvQuuPvcHvn2NZ5YOFfeQ%3D%3D", "SANITATION WORK FY 2025-26 GP 10 GM")</f>
        <v/>
      </c>
      <c r="C642" t="inlineStr">
        <is>
          <t>Panchayati Raj Department||Secretary and Commissioner||CEO-BIKANER||BDO-KHAJUWALA</t>
        </is>
      </c>
      <c r="D642" t="inlineStr">
        <is>
          <t>22-May-2025 06:00 PM</t>
        </is>
      </c>
      <c r="E642" t="inlineStr">
        <is>
          <t>9,76,000</t>
        </is>
      </c>
      <c r="F642" t="inlineStr">
        <is>
          <t>Collection and segregation from every house (residential and commercial) in all villages, collection and segregation from group, road and sanitation work of the area Gram Panchayat 10 GM</t>
        </is>
      </c>
      <c r="G642" t="inlineStr">
        <is>
          <t>GP 10 GM</t>
        </is>
      </c>
    </row>
    <row r="643">
      <c r="A643" s="1" t="n">
        <v>641</v>
      </c>
      <c r="B643">
        <f>HYPERLINK("https://eproc.rajasthan.gov.in/nicgep/app?component=%24DirectLink&amp;page=FrontEndViewTender&amp;service=direct&amp;session=T&amp;sp=S2WrvLISYeHCT16CcfXK1xQ%3D%3D", "SANITATION WORK FY 2025-26 GP MADHODIGGI")</f>
        <v/>
      </c>
      <c r="C643" t="inlineStr">
        <is>
          <t>Panchayati Raj Department||Secretary and Commissioner||CEO-BIKANER||BDO-KHAJUWALA</t>
        </is>
      </c>
      <c r="D643" t="inlineStr">
        <is>
          <t>22-May-2025 06:00 PM</t>
        </is>
      </c>
      <c r="E643" t="inlineStr">
        <is>
          <t>9,92,000</t>
        </is>
      </c>
      <c r="F643" t="inlineStr">
        <is>
          <t>Collection and segregation from every house (residential and commercial) in all villages, collection and segregation from group, road and sanitation work of the area Gram Panchayat MADHODIGGI</t>
        </is>
      </c>
      <c r="G643" t="inlineStr">
        <is>
          <t>GP MADHODIGGI</t>
        </is>
      </c>
    </row>
    <row r="644">
      <c r="A644" s="1" t="n">
        <v>642</v>
      </c>
      <c r="B644">
        <f>HYPERLINK("https://eproc.rajasthan.gov.in/nicgep/app?component=%24DirectLink&amp;page=FrontEndViewTender&amp;service=direct&amp;session=T&amp;sp=ShIWPT9RIAWNrO5iCuSIMSg%3D%3D", "SUPPLY OF CONSTRUCION MATERAIL FOR NREGA AND OTHER SCHEME IN FY 2025-26 IN GP KANWARPURA")</f>
        <v/>
      </c>
      <c r="C644" t="inlineStr">
        <is>
          <t>Panchayati Raj Department||Secretary and Commissioner||CEO- JAIPUR||BDO-GOVINDGARH</t>
        </is>
      </c>
      <c r="D644" t="inlineStr">
        <is>
          <t>04-Jun-2025 10:00 AM</t>
        </is>
      </c>
      <c r="E644" t="inlineStr">
        <is>
          <t>60,00,000</t>
        </is>
      </c>
      <c r="F644" t="inlineStr">
        <is>
          <t>SUPPLY OF CONSTRUCION MATERAIL FOR NREGA AND OTHER SCHEME IN FY 2025-26 IN GP KANWARPURA</t>
        </is>
      </c>
      <c r="G644" t="inlineStr">
        <is>
          <t>Gram panchayat HQ</t>
        </is>
      </c>
    </row>
    <row r="645">
      <c r="A645" s="1" t="n">
        <v>643</v>
      </c>
      <c r="B645">
        <f>HYPERLINK("https://eproc.rajasthan.gov.in/nicgep/app?component=%24DirectLink&amp;page=FrontEndViewTender&amp;service=direct&amp;session=T&amp;sp=SXy6Xv0B7jg6Yl8FnFTGKzw%3D%3D", "SANITATION WORK FY 2025-26 GP ANANDGARH")</f>
        <v/>
      </c>
      <c r="C645" t="inlineStr">
        <is>
          <t>Panchayati Raj Department||Secretary and Commissioner||CEO-BIKANER||BDO-KHAJUWALA</t>
        </is>
      </c>
      <c r="D645" t="inlineStr">
        <is>
          <t>22-May-2025 06:00 PM</t>
        </is>
      </c>
      <c r="E645" t="inlineStr">
        <is>
          <t>9,71,000</t>
        </is>
      </c>
      <c r="F645" t="inlineStr">
        <is>
          <t>Collection and segregation from every house (residential and commercial) in all villages, collection and segregation from group, road and sanitation work of the area Gram Panchayat ANANDGARH</t>
        </is>
      </c>
      <c r="G645" t="inlineStr">
        <is>
          <t>GP ANANDGARH</t>
        </is>
      </c>
    </row>
    <row r="646">
      <c r="A646" s="1" t="n">
        <v>644</v>
      </c>
      <c r="B646">
        <f>HYPERLINK("https://eproc.rajasthan.gov.in/nicgep/app?component=%24DirectLink&amp;page=FrontEndViewTender&amp;service=direct&amp;session=T&amp;sp=S0RAN%2F%2Bsz%2B41tGrxNk%2BqeWw%3D%3D", "rajosisbm25")</f>
        <v/>
      </c>
      <c r="C646" t="inlineStr">
        <is>
          <t>Panchayati Raj Department||Secretary and Commissioner||CEO-AJMER||BDO-SRI NAGAR</t>
        </is>
      </c>
      <c r="D646" t="inlineStr">
        <is>
          <t>26-May-2025 10:00 AM</t>
        </is>
      </c>
      <c r="E646" t="inlineStr">
        <is>
          <t>15,13,893</t>
        </is>
      </c>
      <c r="F646" t="inlineStr">
        <is>
          <t>sbm work in gp rajosi</t>
        </is>
      </c>
      <c r="G646" t="inlineStr">
        <is>
          <t>GP RAJOSI</t>
        </is>
      </c>
    </row>
    <row r="647">
      <c r="A647" s="1" t="n">
        <v>645</v>
      </c>
      <c r="B647">
        <f>HYPERLINK("https://eproc.rajasthan.gov.in/nicgep/app?component=%24DirectLink&amp;page=FrontEndViewTender&amp;service=direct&amp;session=T&amp;sp=Smr2UQKDNBlhhXqjFUpgtLw%3D%3D", "SANITATION WORK FY 2025-26 GP 2 KWM")</f>
        <v/>
      </c>
      <c r="C647" t="inlineStr">
        <is>
          <t>Panchayati Raj Department||Secretary and Commissioner||CEO-BIKANER||BDO-KHAJUWALA</t>
        </is>
      </c>
      <c r="D647" t="inlineStr">
        <is>
          <t>22-May-2025 06:00 PM</t>
        </is>
      </c>
      <c r="E647" t="inlineStr">
        <is>
          <t>9,08,000</t>
        </is>
      </c>
      <c r="F647" t="inlineStr">
        <is>
          <t>Collection and segregation from every house (residential and commercial) in all villages, collection and segregation from group, road and sanitation work of the area Gram Panchayat 2 KWM</t>
        </is>
      </c>
      <c r="G647" t="inlineStr">
        <is>
          <t>GP 2 KWM</t>
        </is>
      </c>
    </row>
    <row r="648">
      <c r="A648" s="1" t="n">
        <v>646</v>
      </c>
      <c r="B648">
        <f>HYPERLINK("https://eproc.rajasthan.gov.in/nicgep/app?component=%24DirectLink&amp;page=FrontEndViewTender&amp;service=direct&amp;session=T&amp;sp=SWNKw1mjlre3n57LBnNCyEA%3D%3D", "SANITATION WORK FY 2025-26 GP 14 BD")</f>
        <v/>
      </c>
      <c r="C648" t="inlineStr">
        <is>
          <t>Panchayati Raj Department||Secretary and Commissioner||CEO-BIKANER||BDO-KHAJUWALA</t>
        </is>
      </c>
      <c r="D648" t="inlineStr">
        <is>
          <t>22-May-2025 06:00 PM</t>
        </is>
      </c>
      <c r="E648" t="inlineStr">
        <is>
          <t>9,92,000</t>
        </is>
      </c>
      <c r="F648" t="inlineStr">
        <is>
          <t>Collection and segregation from every house (residential and commercial) in allvillages, collection and segregation fromgroup, road and sanitation work of the area Gram Panchayat 14 BD</t>
        </is>
      </c>
      <c r="G648" t="inlineStr">
        <is>
          <t>GP 14 BD</t>
        </is>
      </c>
    </row>
    <row r="649">
      <c r="A649" s="1" t="n">
        <v>647</v>
      </c>
      <c r="B649">
        <f>HYPERLINK("https://eproc.rajasthan.gov.in/nicgep/app?component=%24DirectLink&amp;page=FrontEndViewTender&amp;service=direct&amp;session=T&amp;sp=Sq5MJj5%2BFJaEUk07H7X6ynQ%3D%3D", "Garbage collection and Cleaning Street-Drain at GP 6BHM Dhorewala PS Piligangan")</f>
        <v/>
      </c>
      <c r="C649" t="inlineStr">
        <is>
          <t>Panchayati Raj Department||Secretary and Commissioner||CEO- HANUMANGARH||BDO-PILIBANGA</t>
        </is>
      </c>
      <c r="D649" t="inlineStr">
        <is>
          <t>22-May-2025 06:00 PM</t>
        </is>
      </c>
      <c r="E649" t="inlineStr">
        <is>
          <t>10,00,000</t>
        </is>
      </c>
      <c r="F649" t="inlineStr">
        <is>
          <t>Garbage collection and Cleaning Street-Drain at GP 6BHM Dhorewala PS Piligangan</t>
        </is>
      </c>
      <c r="G649" t="inlineStr">
        <is>
          <t>GP 6BHM Dhorewala</t>
        </is>
      </c>
    </row>
    <row r="650">
      <c r="A650" s="1" t="n">
        <v>648</v>
      </c>
      <c r="B650">
        <f>HYPERLINK("https://eproc.rajasthan.gov.in/nicgep/app?component=%24DirectLink&amp;page=FrontEndViewTender&amp;service=direct&amp;session=T&amp;sp=Sf7s%2F9sR7kPfciHo%2BB6b20A%3D%3D", "rajkiy prathamik vidhyalay khakharakheda me 1 kaksha kaksh nirman")</f>
        <v/>
      </c>
      <c r="C650" t="inlineStr">
        <is>
          <t>Panchayati Raj Department||Secretary and Commissioner||CEO-UDAIPUR||BDO-JHADOL</t>
        </is>
      </c>
      <c r="D650" t="inlineStr">
        <is>
          <t>25-May-2025 06:00 PM</t>
        </is>
      </c>
      <c r="E650" t="inlineStr">
        <is>
          <t>9,77,000</t>
        </is>
      </c>
      <c r="F650" t="inlineStr">
        <is>
          <t>rajkiy prathamik vidhyalay khakharakheda me 1 kaksha kaksh nirman</t>
        </is>
      </c>
      <c r="G650" t="inlineStr">
        <is>
          <t>rajkiy prathamik vidhyalay khakharakheda me 1 kaks</t>
        </is>
      </c>
    </row>
    <row r="651">
      <c r="A651" s="1" t="n">
        <v>649</v>
      </c>
      <c r="B651">
        <f>HYPERLINK("https://eproc.rajasthan.gov.in/nicgep/app?component=%24DirectLink&amp;page=FrontEndViewTender&amp;service=direct&amp;session=T&amp;sp=S1DYuQwOd6ogk84369pZH1g%3D%3D", "rajkiy balika uchcha prathamik vidhyalay badrana me 2 kaksha kaksh nirman kary")</f>
        <v/>
      </c>
      <c r="C651" t="inlineStr">
        <is>
          <t>Panchayati Raj Department||Secretary and Commissioner||CEO-UDAIPUR||BDO-JHADOL</t>
        </is>
      </c>
      <c r="D651" t="inlineStr">
        <is>
          <t>25-May-2025 06:00 PM</t>
        </is>
      </c>
      <c r="E651" t="inlineStr">
        <is>
          <t>18,13,000</t>
        </is>
      </c>
      <c r="F651" t="inlineStr">
        <is>
          <t>rajkiy balika uchcha prathamik vidhyalay badrana me 2 kaksha kaksh nirman kary</t>
        </is>
      </c>
      <c r="G651" t="inlineStr">
        <is>
          <t>rajkiy balika uchcha prathamik vidhyalay badrana m</t>
        </is>
      </c>
    </row>
    <row r="652">
      <c r="A652" s="1" t="n">
        <v>650</v>
      </c>
      <c r="B652">
        <f>HYPERLINK("https://eproc.rajasthan.gov.in/nicgep/app?component=%24DirectLink&amp;page=FrontEndViewTender&amp;service=direct&amp;session=T&amp;sp=S6AlLxbeHG2wh1jPYgnCivA%3D%3D", "rajkiy uchcha prathamik vidhyalay Amarpura me 1 kaksha kaksh nirman kary")</f>
        <v/>
      </c>
      <c r="C652" t="inlineStr">
        <is>
          <t>Panchayati Raj Department||Secretary and Commissioner||CEO-UDAIPUR||BDO-JHADOL</t>
        </is>
      </c>
      <c r="D652" t="inlineStr">
        <is>
          <t>25-May-2025 06:00 PM</t>
        </is>
      </c>
      <c r="E652" t="inlineStr">
        <is>
          <t>9,77,000</t>
        </is>
      </c>
      <c r="F652" t="inlineStr">
        <is>
          <t>rajkiy uchcha prathamik vidhyalay Amarpura me 1 kaksha kaksh nirman kary</t>
        </is>
      </c>
      <c r="G652" t="inlineStr">
        <is>
          <t>rajkiy uchcha prathamik vidhyalay Amarpura me 1 ka</t>
        </is>
      </c>
    </row>
    <row r="653">
      <c r="A653" s="1" t="n">
        <v>651</v>
      </c>
      <c r="B653">
        <f>HYPERLINK("https://eproc.rajasthan.gov.in/nicgep/app?component=%24DirectLink&amp;page=FrontEndViewTender&amp;service=direct&amp;session=T&amp;sp=S%2FMMquDLvKb1GnzrZnfK0vQ%3D%3D", "SANITATION WORK FY 2025-26 GP 17 KYD")</f>
        <v/>
      </c>
      <c r="C653" t="inlineStr">
        <is>
          <t>Panchayati Raj Department||Secretary and Commissioner||CEO-BIKANER||BDO-KHAJUWALA</t>
        </is>
      </c>
      <c r="D653" t="inlineStr">
        <is>
          <t>22-May-2025 06:00 PM</t>
        </is>
      </c>
      <c r="E653" t="inlineStr">
        <is>
          <t>9,50,000</t>
        </is>
      </c>
      <c r="F653" t="inlineStr">
        <is>
          <t>Collection and segregation from every house (residential and commercial) in all villages, collection and segregation from group, road and sanitation work of the area Gram Panchayat 17 KYD</t>
        </is>
      </c>
      <c r="G653" t="inlineStr">
        <is>
          <t>GP 17 KYD</t>
        </is>
      </c>
    </row>
    <row r="654">
      <c r="A654" s="1" t="n">
        <v>652</v>
      </c>
      <c r="B654">
        <f>HYPERLINK("https://eproc.rajasthan.gov.in/nicgep/app?component=%24DirectLink&amp;page=FrontEndViewTender&amp;service=direct&amp;session=T&amp;sp=SeRTbZPXROAwgoXApc9YIJQ%3D%3D", "COLLECTION OF WASTE FROM HOME AND BUSSINES UNIT, CLEANING OF ROADS AND SEWARAGE LINE, CLAENING OF CSC IN SBM-G SCHEME FY 2025-26 AT GRAM PANCHAYAT MANDHALA")</f>
        <v/>
      </c>
      <c r="C654" t="inlineStr">
        <is>
          <t>Panchayati Raj Department||Secretary and Commissioner||CEO- JAISALMER||BDO-SAM</t>
        </is>
      </c>
      <c r="D654" t="inlineStr">
        <is>
          <t>26-May-2025 06:00 PM</t>
        </is>
      </c>
      <c r="E654" t="inlineStr">
        <is>
          <t>3,90,000</t>
        </is>
      </c>
      <c r="F654" t="inlineStr">
        <is>
          <t>COLLECTION OF WASTE FROM HOME AND BUSSINES UNIT, CLEANING OF ROADS AND SEWARAGE LINE, CLAENING OF CSC IN SBM-G SCHEME FY 2025-26 AT GRAM PANCHAYAT MANDHALA</t>
        </is>
      </c>
      <c r="G654" t="inlineStr">
        <is>
          <t>JAISALMER</t>
        </is>
      </c>
    </row>
    <row r="655">
      <c r="A655" s="1" t="n">
        <v>653</v>
      </c>
      <c r="B655">
        <f>HYPERLINK("https://eproc.rajasthan.gov.in/nicgep/app?component=%24DirectLink&amp;page=FrontEndViewTender&amp;service=direct&amp;session=T&amp;sp=SDlcRyO7G4D9kyBNPIJXLvg%3D%3D", "GP BADARIYA MATERIAL SUPPLY UNDER PS SARMATHURA")</f>
        <v/>
      </c>
      <c r="C655" t="inlineStr">
        <is>
          <t>Panchayati Raj Department||Secretary and Commissioner||CEO-DHOLPUR||BDO-SARMATHURA</t>
        </is>
      </c>
      <c r="D655" t="inlineStr">
        <is>
          <t>26-May-2025 06:00 PM</t>
        </is>
      </c>
      <c r="E655" t="inlineStr">
        <is>
          <t>50,00,000</t>
        </is>
      </c>
      <c r="F655" t="inlineStr">
        <is>
          <t>GP BADARIYA MATERIAL SUPPLY UNDER PS SARMATHURA</t>
        </is>
      </c>
      <c r="G655" t="inlineStr">
        <is>
          <t>GP BADARIYA</t>
        </is>
      </c>
    </row>
    <row r="656">
      <c r="A656" s="1" t="n">
        <v>654</v>
      </c>
      <c r="B656">
        <f>HYPERLINK("https://eproc.rajasthan.gov.in/nicgep/app?component=%24DirectLink&amp;page=FrontEndViewTender&amp;service=direct&amp;session=T&amp;sp=SyEPfANulvVM2HVDFJ76YtQ%3D%3D", "Garbage collection and Cleaning Street-Drain at GP Dabliwas Molvi PS Piligangan")</f>
        <v/>
      </c>
      <c r="C656" t="inlineStr">
        <is>
          <t>Panchayati Raj Department||Secretary and Commissioner||CEO- HANUMANGARH||BDO-PILIBANGA</t>
        </is>
      </c>
      <c r="D656" t="inlineStr">
        <is>
          <t>22-May-2025 06:00 PM</t>
        </is>
      </c>
      <c r="E656" t="inlineStr">
        <is>
          <t>10,00,000</t>
        </is>
      </c>
      <c r="F656" t="inlineStr">
        <is>
          <t>Garbage collection and Cleaning Street-Drain at GP Dabliwas Molvi PS Piligangan</t>
        </is>
      </c>
      <c r="G656" t="inlineStr">
        <is>
          <t>GP Dabliwas Molvi</t>
        </is>
      </c>
    </row>
    <row r="657">
      <c r="A657" s="1" t="n">
        <v>655</v>
      </c>
      <c r="B657">
        <f>HYPERLINK("https://eproc.rajasthan.gov.in/nicgep/app?component=%24DirectLink&amp;page=FrontEndViewTender&amp;service=direct&amp;session=T&amp;sp=SrFVs8rinkPrx7uLO%2B9h24g%3D%3D", "Garbage collection and Cleaning Street-Drain at GP Amarpura Rathan PS Piligangan")</f>
        <v/>
      </c>
      <c r="C657" t="inlineStr">
        <is>
          <t>Panchayati Raj Department||Secretary and Commissioner||CEO- HANUMANGARH||BDO-PILIBANGA</t>
        </is>
      </c>
      <c r="D657" t="inlineStr">
        <is>
          <t>22-May-2025 06:00 PM</t>
        </is>
      </c>
      <c r="E657" t="inlineStr">
        <is>
          <t>9,70,000</t>
        </is>
      </c>
      <c r="F657" t="inlineStr">
        <is>
          <t>Garbage collection and Cleaning Street-Drain at GP Amarpura Rathan PS Piligangan</t>
        </is>
      </c>
      <c r="G657" t="inlineStr">
        <is>
          <t>GP Amarpura Rathan</t>
        </is>
      </c>
    </row>
    <row r="658">
      <c r="A658" s="1" t="n">
        <v>656</v>
      </c>
      <c r="B658">
        <f>HYPERLINK("https://eproc.rajasthan.gov.in/nicgep/app?component=%24DirectLink&amp;page=FrontEndViewTender&amp;service=direct&amp;session=T&amp;sp=SKxZS1XsvXAx0iTmepHHFhw%3D%3D", "SUPPLY OF CONSTRUCION MATERAIL FOR NREGA AND OTHER SCHEME IN FY 2025-26 IN GP KANPURA")</f>
        <v/>
      </c>
      <c r="C658" t="inlineStr">
        <is>
          <t>Panchayati Raj Department||Secretary and Commissioner||CEO- JAIPUR||BDO-GOVINDGARH</t>
        </is>
      </c>
      <c r="D658" t="inlineStr">
        <is>
          <t>04-Jun-2025 10:00 AM</t>
        </is>
      </c>
      <c r="E658" t="inlineStr">
        <is>
          <t>90,00,000</t>
        </is>
      </c>
      <c r="F658" t="inlineStr">
        <is>
          <t>SUPPLY OF CONSTRUCION MATERAIL FOR NREGA AND OTHER SCHEME IN FY 2025-26 IN GP KANPURA</t>
        </is>
      </c>
      <c r="G658" t="inlineStr">
        <is>
          <t>Gram panchayat HQ</t>
        </is>
      </c>
    </row>
    <row r="659">
      <c r="A659" s="1" t="n">
        <v>657</v>
      </c>
      <c r="B659">
        <f>HYPERLINK("https://eproc.rajasthan.gov.in/nicgep/app?component=%24DirectLink&amp;page=FrontEndViewTender&amp;service=direct&amp;session=T&amp;sp=SzIgzp6HChwhVjFkKD96PHQ%3D%3D", "Garbage collection and Cleaning Street-Drain at GP Jhakranwali PS Piligangan")</f>
        <v/>
      </c>
      <c r="C659" t="inlineStr">
        <is>
          <t>Panchayati Raj Department||Secretary and Commissioner||CEO- HANUMANGARH||BDO-PILIBANGA</t>
        </is>
      </c>
      <c r="D659" t="inlineStr">
        <is>
          <t>22-May-2025 06:00 PM</t>
        </is>
      </c>
      <c r="E659" t="inlineStr">
        <is>
          <t>10,00,000</t>
        </is>
      </c>
      <c r="F659" t="inlineStr">
        <is>
          <t>Garbage collection and Cleaning Street-Drain at GP Jhakranwali PS Piligangan</t>
        </is>
      </c>
      <c r="G659" t="inlineStr">
        <is>
          <t>GP Jhakranwali</t>
        </is>
      </c>
    </row>
    <row r="660">
      <c r="A660" s="1" t="n">
        <v>658</v>
      </c>
      <c r="B660">
        <f>HYPERLINK("https://eproc.rajasthan.gov.in/nicgep/app?component=%24DirectLink&amp;page=FrontEndViewTender&amp;service=direct&amp;session=T&amp;sp=SMgp8RR6WxK0qPNf3FPtIOw%3D%3D", "Garbage collection and Cleaning Street-Drain at GP Dablibas Kutab PS Piligangan")</f>
        <v/>
      </c>
      <c r="C660" t="inlineStr">
        <is>
          <t>Panchayati Raj Department||Secretary and Commissioner||CEO- HANUMANGARH||BDO-PILIBANGA</t>
        </is>
      </c>
      <c r="D660" t="inlineStr">
        <is>
          <t>22-May-2025 06:00 PM</t>
        </is>
      </c>
      <c r="E660" t="inlineStr">
        <is>
          <t>10,00,000</t>
        </is>
      </c>
      <c r="F660" t="inlineStr">
        <is>
          <t>Garbage collection and Cleaning Street-Drain at GP Dablibas Kutab PS Piligangan</t>
        </is>
      </c>
      <c r="G660" t="inlineStr">
        <is>
          <t>GP Dablibas Kutab</t>
        </is>
      </c>
    </row>
    <row r="661">
      <c r="A661" s="1" t="n">
        <v>659</v>
      </c>
      <c r="B661">
        <f>HYPERLINK("https://eproc.rajasthan.gov.in/nicgep/app?component=%24DirectLink&amp;page=FrontEndViewTender&amp;service=direct&amp;session=T&amp;sp=SKK%2FmggP9bUudDeAWAD7pHg%3D%3D", "SUPPLY OF CONSTRUCION MATERAIL FOR NREGA AND OTHER SCHEME IN FY 2025-26 IN GP NARSINGHPURA")</f>
        <v/>
      </c>
      <c r="C661" t="inlineStr">
        <is>
          <t>Panchayati Raj Department||Secretary and Commissioner||CEO- JAIPUR||BDO-GOVINDGARH</t>
        </is>
      </c>
      <c r="D661" t="inlineStr">
        <is>
          <t>04-Jun-2025 10:00 AM</t>
        </is>
      </c>
      <c r="E661" t="inlineStr">
        <is>
          <t>50,00,000</t>
        </is>
      </c>
      <c r="F661" t="inlineStr">
        <is>
          <t>SUPPLY OF CONSTRUCION MATERAIL FOR NREGA AND OTHER SCHEME IN FY 2025-26 IN GP NARSINGHPURA</t>
        </is>
      </c>
      <c r="G661" t="inlineStr">
        <is>
          <t>Gram panchayat HQ</t>
        </is>
      </c>
    </row>
    <row r="662">
      <c r="A662" s="1" t="n">
        <v>660</v>
      </c>
      <c r="B662">
        <f>HYPERLINK("https://eproc.rajasthan.gov.in/nicgep/app?component=%24DirectLink&amp;page=FrontEndViewTender&amp;service=direct&amp;session=T&amp;sp=SG6dnVuI7NmT9Kok3j2AtmQ%3D%3D", "COLLECTION OF WASTE FROM HOME AND BUSSINES UNIT, CLEANING OF ROADS AND SEWARAGE LINE, CLAENING OF CSC IN SBM-G SCHEME FY 2025-26 AT GRAM PANCHAYAT HARNAU")</f>
        <v/>
      </c>
      <c r="C662" t="inlineStr">
        <is>
          <t>Panchayati Raj Department||Secretary and Commissioner||CEO- JAISALMER||BDO-SAM</t>
        </is>
      </c>
      <c r="D662" t="inlineStr">
        <is>
          <t>26-May-2025 06:00 PM</t>
        </is>
      </c>
      <c r="E662" t="inlineStr">
        <is>
          <t>8,02,000</t>
        </is>
      </c>
      <c r="F662" t="inlineStr">
        <is>
          <t>COLLECTION OF WASTE FROM HOME AND BUSSINES UNIT, CLEANING OF ROADS AND SEWARAGE LINE, CLAENING OF CSC IN SBM-G SCHEME FY 2025-26 AT GRAM PANCHAYAT HARNAU</t>
        </is>
      </c>
      <c r="G662" t="inlineStr">
        <is>
          <t>JAISALMER</t>
        </is>
      </c>
    </row>
    <row r="663">
      <c r="A663" s="1" t="n">
        <v>661</v>
      </c>
      <c r="B663">
        <f>HYPERLINK("https://eproc.rajasthan.gov.in/nicgep/app?component=%24DirectLink&amp;page=FrontEndViewTender&amp;service=direct&amp;session=T&amp;sp=SKZPPMoMhRnULkQ7SzJsWAQ%3D%3D", "SANITATION WORK FY 2025-26 GP SIYASAR CHOGAN")</f>
        <v/>
      </c>
      <c r="C663" t="inlineStr">
        <is>
          <t>Panchayati Raj Department||Secretary and Commissioner||CEO-BIKANER||BDO-KHAJUWALA</t>
        </is>
      </c>
      <c r="D663" t="inlineStr">
        <is>
          <t>22-May-2025 06:00 PM</t>
        </is>
      </c>
      <c r="E663" t="inlineStr">
        <is>
          <t>9,98,000</t>
        </is>
      </c>
      <c r="F663" t="inlineStr">
        <is>
          <t>Collection and segregation from every house (residential and commercial) in all villages, collection and segregation from group, road and sanitation work of the area Gram Panchayat SIYASAR CHOGAN</t>
        </is>
      </c>
      <c r="G663" t="inlineStr">
        <is>
          <t>GP SIYASAR CHOGAN</t>
        </is>
      </c>
    </row>
    <row r="664">
      <c r="A664" s="1" t="n">
        <v>662</v>
      </c>
      <c r="B664">
        <f>HYPERLINK("https://eproc.rajasthan.gov.in/nicgep/app?component=%24DirectLink&amp;page=FrontEndViewTender&amp;service=direct&amp;session=T&amp;sp=SBuj%2BPJPXOOFpzAJSwVnZmA%3D%3D", "gram burheda me panchayat bhavan library")</f>
        <v/>
      </c>
      <c r="C664" t="inlineStr">
        <is>
          <t>Panchayati Raj Department||Secretary and Commissioner||CEO-ALWAR||BDO-TIJARA</t>
        </is>
      </c>
      <c r="D664" t="inlineStr">
        <is>
          <t>22-May-2025 05:00 PM</t>
        </is>
      </c>
      <c r="E664" t="inlineStr">
        <is>
          <t>10,00,000</t>
        </is>
      </c>
      <c r="F664" t="inlineStr">
        <is>
          <t>gram burheda me panchayat bhavan library</t>
        </is>
      </c>
      <c r="G664" t="inlineStr">
        <is>
          <t>gram burheda me panchayat bhavan library</t>
        </is>
      </c>
    </row>
    <row r="665">
      <c r="A665" s="1" t="n">
        <v>663</v>
      </c>
      <c r="B665">
        <f>HYPERLINK("https://eproc.rajasthan.gov.in/nicgep/app?component=%24DirectLink&amp;page=FrontEndViewTender&amp;service=direct&amp;session=T&amp;sp=SLvlXkhLowWIO4AMoL5IxAA%3D%3D", "Apuran shamshanghat ki chardiwari may tinshed vah chabutra nirman karya jodha")</f>
        <v/>
      </c>
      <c r="C665" t="inlineStr">
        <is>
          <t>Panchayati Raj Department||Secretary and Commissioner||CEO- JAISALMER||BDO-JAISALMER</t>
        </is>
      </c>
      <c r="D665" t="inlineStr">
        <is>
          <t>22-May-2025 06:00 PM</t>
        </is>
      </c>
      <c r="E665" t="inlineStr">
        <is>
          <t>10,00,000</t>
        </is>
      </c>
      <c r="F665" t="inlineStr">
        <is>
          <t>Apuran shamshanghat ki chardiwari may tinshed vah chabutra nirman karya jodha</t>
        </is>
      </c>
      <c r="G665" t="inlineStr">
        <is>
          <t>GRAM PANCHAYAT DABLA</t>
        </is>
      </c>
    </row>
    <row r="666">
      <c r="A666" s="1" t="n">
        <v>664</v>
      </c>
      <c r="B666">
        <f>HYPERLINK("https://eproc.rajasthan.gov.in/nicgep/app?component=%24DirectLink&amp;page=FrontEndViewTender&amp;service=direct&amp;session=T&amp;sp=S6JChe7xDc4b7wqML%2FXZX%2BQ%3D%3D", "Apuran shamshanghat ki chardiwari may tinshed vah chabutra nirman karya akal")</f>
        <v/>
      </c>
      <c r="C666" t="inlineStr">
        <is>
          <t>Panchayati Raj Department||Secretary and Commissioner||CEO- JAISALMER||BDO-JAISALMER</t>
        </is>
      </c>
      <c r="D666" t="inlineStr">
        <is>
          <t>22-May-2025 06:00 PM</t>
        </is>
      </c>
      <c r="E666" t="inlineStr">
        <is>
          <t>10,00,000</t>
        </is>
      </c>
      <c r="F666" t="inlineStr">
        <is>
          <t>Apuran shamshanghat ki chardiwari may tinshed vah chabutra nirman karya akal</t>
        </is>
      </c>
      <c r="G666" t="inlineStr">
        <is>
          <t>GRAM PANCHAYAT DABLA</t>
        </is>
      </c>
    </row>
    <row r="667">
      <c r="A667" s="1" t="n">
        <v>665</v>
      </c>
      <c r="B667">
        <f>HYPERLINK("https://eproc.rajasthan.gov.in/nicgep/app?component=%24DirectLink&amp;page=FrontEndViewTender&amp;service=direct&amp;session=T&amp;sp=SXyMG8AJGR0GFX6bug4eqEw%3D%3D", "Garbage collection and Cleaning Street-Drain at GP Dabliwas Midharohi PS Piligangan")</f>
        <v/>
      </c>
      <c r="C667" t="inlineStr">
        <is>
          <t>Panchayati Raj Department||Secretary and Commissioner||CEO- HANUMANGARH||BDO-PILIBANGA</t>
        </is>
      </c>
      <c r="D667" t="inlineStr">
        <is>
          <t>22-May-2025 06:00 PM</t>
        </is>
      </c>
      <c r="E667" t="inlineStr">
        <is>
          <t>9,00,000</t>
        </is>
      </c>
      <c r="F667" t="inlineStr">
        <is>
          <t>Garbage collection and Cleaning Street-Drain at GP Dabliwas Midharohi PS Piligangan</t>
        </is>
      </c>
      <c r="G667" t="inlineStr">
        <is>
          <t>GP Dabliwas Midharohi</t>
        </is>
      </c>
    </row>
    <row r="668">
      <c r="A668" s="1" t="n">
        <v>666</v>
      </c>
      <c r="B668">
        <f>HYPERLINK("https://eproc.rajasthan.gov.in/nicgep/app?component=%24DirectLink&amp;page=FrontEndViewTender&amp;service=direct&amp;session=T&amp;sp=S45G7XaHi0EXII48RrrtmqQ%3D%3D", "SUPPLY OF CONSTRUCTION MATERIAL AND PROVIDING EQUIPMENT IN GP AAMLI PS UNIYARA")</f>
        <v/>
      </c>
      <c r="C668" t="inlineStr">
        <is>
          <t>Panchayati Raj Department||Secretary and Commissioner||CEO-TONK||BDO-UNIYARA</t>
        </is>
      </c>
      <c r="D668" t="inlineStr">
        <is>
          <t>26-May-2025 06:00 PM</t>
        </is>
      </c>
      <c r="E668" t="inlineStr">
        <is>
          <t>40,00,000</t>
        </is>
      </c>
      <c r="F668" t="inlineStr">
        <is>
          <t>V</t>
        </is>
      </c>
      <c r="G668" t="inlineStr">
        <is>
          <t>GP AAMLI</t>
        </is>
      </c>
    </row>
    <row r="669">
      <c r="A669" s="1" t="n">
        <v>667</v>
      </c>
      <c r="B669">
        <f>HYPERLINK("https://eproc.rajasthan.gov.in/nicgep/app?component=%24DirectLink&amp;page=FrontEndViewTender&amp;service=direct&amp;session=T&amp;sp=SvH%2F0figgr0tTTbFB7A2ESQ%3D%3D", "GP NADANPUR MATERIAL SUPPLY UNDER PS SARMATHURA")</f>
        <v/>
      </c>
      <c r="C669" t="inlineStr">
        <is>
          <t>Panchayati Raj Department||Secretary and Commissioner||CEO-DHOLPUR||BDO-SARMATHURA</t>
        </is>
      </c>
      <c r="D669" t="inlineStr">
        <is>
          <t>26-May-2025 06:00 PM</t>
        </is>
      </c>
      <c r="E669" t="inlineStr">
        <is>
          <t>50,00,000</t>
        </is>
      </c>
      <c r="F669" t="inlineStr">
        <is>
          <t>GP NADANPUR MATERIAL SUPPLY UNDER PS SARMATHURA</t>
        </is>
      </c>
      <c r="G669" t="inlineStr">
        <is>
          <t>GP NADANPUR</t>
        </is>
      </c>
    </row>
    <row r="670">
      <c r="A670" s="1" t="n">
        <v>668</v>
      </c>
      <c r="B670">
        <f>HYPERLINK("https://eproc.rajasthan.gov.in/nicgep/app?component=%24DirectLink&amp;page=FrontEndViewTender&amp;service=direct&amp;session=T&amp;sp=SBJ33KFZEfDoDZs3%2FVatgUA%3D%3D", "Garbage collection and Cleaning Street-Drain at GP Prempura PS Piligangan")</f>
        <v/>
      </c>
      <c r="C670" t="inlineStr">
        <is>
          <t>Panchayati Raj Department||Secretary and Commissioner||CEO- HANUMANGARH||BDO-PILIBANGA</t>
        </is>
      </c>
      <c r="D670" t="inlineStr">
        <is>
          <t>22-May-2025 06:00 PM</t>
        </is>
      </c>
      <c r="E670" t="inlineStr">
        <is>
          <t>8,00,000</t>
        </is>
      </c>
      <c r="F670" t="inlineStr">
        <is>
          <t>Garbage collection and Cleaning Street-Drain at GP Prempura PS Piligangan</t>
        </is>
      </c>
      <c r="G670" t="inlineStr">
        <is>
          <t>GP Prempura</t>
        </is>
      </c>
    </row>
    <row r="671">
      <c r="A671" s="1" t="n">
        <v>669</v>
      </c>
      <c r="B671">
        <f>HYPERLINK("https://eproc.rajasthan.gov.in/nicgep/app?component=%24DirectLink&amp;page=FrontEndViewTender&amp;service=direct&amp;session=T&amp;sp=SK3HxBz9o0uKwIvnCkpY9FQ%3D%3D", "Garbage collection and Cleaning Street-Drain at GP Longwala PS Piligangan")</f>
        <v/>
      </c>
      <c r="C671" t="inlineStr">
        <is>
          <t>Panchayati Raj Department||Secretary and Commissioner||CEO- HANUMANGARH||BDO-PILIBANGA</t>
        </is>
      </c>
      <c r="D671" t="inlineStr">
        <is>
          <t>22-May-2025 06:00 PM</t>
        </is>
      </c>
      <c r="E671" t="inlineStr">
        <is>
          <t>6,10,000</t>
        </is>
      </c>
      <c r="F671" t="inlineStr">
        <is>
          <t>Garbage collection and Cleaning Street-Drain at GP Longwala PS Piligangan</t>
        </is>
      </c>
      <c r="G671" t="inlineStr">
        <is>
          <t>GP Longwala</t>
        </is>
      </c>
    </row>
    <row r="672">
      <c r="A672" s="1" t="n">
        <v>670</v>
      </c>
      <c r="B672">
        <f>HYPERLINK("https://eproc.rajasthan.gov.in/nicgep/app?component=%24DirectLink&amp;page=FrontEndViewTender&amp;service=direct&amp;session=T&amp;sp=S0mtNUjk5M8HWYDDNtw3axw%3D%3D", "Supply of Various Material at Gram Panchayat CHANKHER, Panchayat Samiti Mandal 2025-26 (Yearly Rate Contract)")</f>
        <v/>
      </c>
      <c r="C672" t="inlineStr">
        <is>
          <t>Panchayati Raj Department||Secretary and Commissioner||CEO-BHILWARA||BDO-MANDAL</t>
        </is>
      </c>
      <c r="D672" t="inlineStr">
        <is>
          <t>30-May-2025 06:00 PM</t>
        </is>
      </c>
      <c r="E672" t="inlineStr">
        <is>
          <t>80,00,000</t>
        </is>
      </c>
      <c r="F672" t="inlineStr">
        <is>
          <t>Supply of Various Material at Gram Panchayat CHANKHER, Panchayat Samiti Mandal 2025-26 (Yearly Rate Contract)</t>
        </is>
      </c>
      <c r="G672" t="inlineStr">
        <is>
          <t>GP CHANKHER PS MANDAL</t>
        </is>
      </c>
    </row>
    <row r="673">
      <c r="A673" s="1" t="n">
        <v>671</v>
      </c>
      <c r="B673">
        <f>HYPERLINK("https://eproc.rajasthan.gov.in/nicgep/app?component=%24DirectLink&amp;page=FrontEndViewTender&amp;service=direct&amp;session=T&amp;sp=SfW5wSBahhVuQsTDBlLrMqQ%3D%3D", "COLLECTION OF WASTE FROM HOME AND BUSSINES UNIT, CLEANING OF ROADS AND SEWARAGE LINE, CLAENING OF CSC IN SBM-G SCHEME FY 2025-26 AT GRAM PANCHAYAT KOLUTALA")</f>
        <v/>
      </c>
      <c r="C673" t="inlineStr">
        <is>
          <t>Panchayati Raj Department||Secretary and Commissioner||CEO- JAISALMER||BDO-SAM</t>
        </is>
      </c>
      <c r="D673" t="inlineStr">
        <is>
          <t>26-May-2025 06:00 PM</t>
        </is>
      </c>
      <c r="E673" t="inlineStr">
        <is>
          <t>10,62,000</t>
        </is>
      </c>
      <c r="F673" t="inlineStr">
        <is>
          <t>COLLECTION OF WASTE FROM HOME AND BUSSINES UNIT, CLEANING OF ROADS AND SEWARAGE LINE, CLAENING OF CSC IN SBM-G SCHEME FY 2025-26 AT GRAM PANCHAYAT KOLUTALA</t>
        </is>
      </c>
      <c r="G673" t="inlineStr">
        <is>
          <t>JAISALMER</t>
        </is>
      </c>
    </row>
    <row r="674">
      <c r="A674" s="1" t="n">
        <v>672</v>
      </c>
      <c r="B674">
        <f>HYPERLINK("https://eproc.rajasthan.gov.in/nicgep/app?component=%24DirectLink&amp;page=FrontEndViewTender&amp;service=direct&amp;session=T&amp;sp=Sm8xg6ZNzlRVXXIgBGQZYgg%3D%3D", "COLLECTION OF WASTE FROM HOME AND BUSSINES UNIT, CLEANING OF ROADS AND SEWARAGE LINE, CLAENING OF CSC IN SBM-G SCHEME FY 2025-26 AT GRAM PANCHAYAT ADBALA")</f>
        <v/>
      </c>
      <c r="C674" t="inlineStr">
        <is>
          <t>Panchayati Raj Department||Secretary and Commissioner||CEO- JAISALMER||BDO-SAM</t>
        </is>
      </c>
      <c r="D674" t="inlineStr">
        <is>
          <t>26-May-2025 06:00 PM</t>
        </is>
      </c>
      <c r="E674" t="inlineStr">
        <is>
          <t>11,91,000</t>
        </is>
      </c>
      <c r="F674" t="inlineStr">
        <is>
          <t>COLLECTION OF WASTE FROM HOME AND BUSSINES UNIT, CLEANING OF ROADS AND SEWARAGE LINE, CLAENING OF CSC IN SBM-G SCHEME FY 2025-26 AT GRAM PANCHAYAT ADBALA</t>
        </is>
      </c>
      <c r="G674" t="inlineStr">
        <is>
          <t>JAISALMER</t>
        </is>
      </c>
    </row>
    <row r="675">
      <c r="A675" s="1" t="n">
        <v>673</v>
      </c>
      <c r="B675">
        <f>HYPERLINK("https://eproc.rajasthan.gov.in/nicgep/app?component=%24DirectLink&amp;page=FrontEndViewTender&amp;service=direct&amp;session=T&amp;sp=SYPHX7uXJ1xUXtKtXyHgpBQ%3D%3D", "COLLECTION OF WASTE FROM HOME AND BUSSINES UNIT, CLEANING OF ROADS AND SEWARAGE LINE, CLAENING OF CSC IN SBM-G SCHEME FY 2025-26 AT GRAM PANCHAYAT KOTRI")</f>
        <v/>
      </c>
      <c r="C675" t="inlineStr">
        <is>
          <t>Panchayati Raj Department||Secretary and Commissioner||CEO- JAISALMER||BDO-SAM</t>
        </is>
      </c>
      <c r="D675" t="inlineStr">
        <is>
          <t>26-May-2025 06:00 PM</t>
        </is>
      </c>
      <c r="E675" t="inlineStr">
        <is>
          <t>12,73,000</t>
        </is>
      </c>
      <c r="F675" t="inlineStr">
        <is>
          <t>COLLECTION OF WASTE FROM HOME AND BUSSINES UNIT, CLEANING OF ROADS AND SEWARAGE LINE, CLAENING OF CSC IN SBM-G SCHEME FY 2025-26 AT GRAM PANCHAYAT KOTRI</t>
        </is>
      </c>
      <c r="G675" t="inlineStr">
        <is>
          <t>JAISALMER</t>
        </is>
      </c>
    </row>
    <row r="676">
      <c r="A676" s="1" t="n">
        <v>674</v>
      </c>
      <c r="B676">
        <f>HYPERLINK("https://eproc.rajasthan.gov.in/nicgep/app?component=%24DirectLink&amp;page=FrontEndViewTender&amp;service=direct&amp;session=T&amp;sp=S2bo8goeKj%2Bu7gxdqVC73og%3D%3D", "material supply in gp bajor")</f>
        <v/>
      </c>
      <c r="C676" t="inlineStr">
        <is>
          <t>Panchayati Raj Department||Secretary and Commissioner||CEO-SIKAR||BDO-PIPARALI</t>
        </is>
      </c>
      <c r="D676" t="inlineStr">
        <is>
          <t>27-May-2025 06:00 PM</t>
        </is>
      </c>
      <c r="E676" t="inlineStr">
        <is>
          <t>50,00,000</t>
        </is>
      </c>
      <c r="F676" t="inlineStr">
        <is>
          <t>material supply in gp bajor and villages in year 2025-26</t>
        </is>
      </c>
      <c r="G676" t="inlineStr">
        <is>
          <t>gp bajor</t>
        </is>
      </c>
    </row>
    <row r="677">
      <c r="A677" s="1" t="n">
        <v>675</v>
      </c>
      <c r="B677">
        <f>HYPERLINK("https://eproc.rajasthan.gov.in/nicgep/app?component=%24DirectLink&amp;page=FrontEndViewTender&amp;service=direct&amp;session=T&amp;sp=S1C%2F6DMD9gTuUZ%2BL2js1Rsg%3D%3D", "RATE CONTRACT FOR WORK INCLUDING DOOR TO DOOR (RESIDENTIAL AND COMMERCIAL) GARBAGE COLLECTION AND SEPARATION AND ROAD, DRAIN AND CSC CLEANING ALL VILLAGE OF GRAM PANCHAYAT MADNI PS PALSANA DIST SIKAR (RAJ)")</f>
        <v/>
      </c>
      <c r="C677" t="inlineStr">
        <is>
          <t>Panchayati Raj Department||Secretary and Commissioner||CEO-SIKAR||BDO-PALSANA</t>
        </is>
      </c>
      <c r="D677" t="inlineStr">
        <is>
          <t>26-May-2025 06:00 PM</t>
        </is>
      </c>
      <c r="E677" t="inlineStr">
        <is>
          <t>7,00,000</t>
        </is>
      </c>
      <c r="F677" t="inlineStr">
        <is>
          <t>RATE CONTRACT FOR WORK INCLUDING DOOR TO DOOR (RESIDENTIAL AND COMMERCIAL) GARBAGE COLLECTION AND SEPARATION AND ROAD, DRAIN AND CSC CLEANING ALL VILLAGE OF GRAM PANCHAYAT MADNI PS PALSANA DIST SIKAR (RAJ)</t>
        </is>
      </c>
      <c r="G677" t="inlineStr">
        <is>
          <t>GRAM PANCHAYAT MADNI</t>
        </is>
      </c>
    </row>
    <row r="678">
      <c r="A678" s="1" t="n">
        <v>676</v>
      </c>
      <c r="B678">
        <f>HYPERLINK("https://eproc.rajasthan.gov.in/nicgep/app?component=%24DirectLink&amp;page=FrontEndViewTender&amp;service=direct&amp;session=T&amp;sp=SK21kOcDAE3iQLq%2FFZvjdhQ%3D%3D", "Supply of Various Material at Gram Panchayat BHADU, Panchayat Samiti Mandal 2025-26 (Yearly Rate Contract)")</f>
        <v/>
      </c>
      <c r="C678" t="inlineStr">
        <is>
          <t>Panchayati Raj Department||Secretary and Commissioner||CEO-BHILWARA||BDO-MANDAL</t>
        </is>
      </c>
      <c r="D678" t="inlineStr">
        <is>
          <t>30-May-2025 06:00 PM</t>
        </is>
      </c>
      <c r="E678" t="inlineStr">
        <is>
          <t>80,00,000</t>
        </is>
      </c>
      <c r="F678" t="inlineStr">
        <is>
          <t>Supply of Various Material at Gram Panchayat BHADU, Panchayat Samiti Mandal 2025-26 (Yearly Rate Contract)</t>
        </is>
      </c>
      <c r="G678" t="inlineStr">
        <is>
          <t>GP BHADU PS MANDAL</t>
        </is>
      </c>
    </row>
    <row r="679">
      <c r="A679" s="1" t="n">
        <v>677</v>
      </c>
      <c r="B679">
        <f>HYPERLINK("https://eproc.rajasthan.gov.in/nicgep/app?component=%24DirectLink&amp;page=FrontEndViewTender&amp;service=direct&amp;session=T&amp;sp=SZe9rssPMsEmiLuDuNUfg0A%3D%3D", "Garbage collection from household (residential and commercial) and segregation, sanitation work of Roads, Drainage and CSC in all villages of Gram Panchayat khedli saiyad")</f>
        <v/>
      </c>
      <c r="C679" t="inlineStr">
        <is>
          <t>Panchayati Raj Department||Secretary and Commissioner||CEO-ALWAR||BDO-MALA KHERA</t>
        </is>
      </c>
      <c r="D679" t="inlineStr">
        <is>
          <t>29-May-2025 06:00 PM</t>
        </is>
      </c>
      <c r="E679" t="inlineStr">
        <is>
          <t>5,00,000</t>
        </is>
      </c>
      <c r="F679" t="inlineStr">
        <is>
          <t>Garbage collection from household (residential and commercial) and segregation, sanitation work of Roads, Drainage and CSC in all villages of Gram Panchayat khedli saiyad</t>
        </is>
      </c>
      <c r="G679" t="inlineStr">
        <is>
          <t>all villages of GP khedli saiyad</t>
        </is>
      </c>
    </row>
    <row r="680">
      <c r="A680" s="1" t="n">
        <v>678</v>
      </c>
      <c r="B680">
        <f>HYPERLINK("https://eproc.rajasthan.gov.in/nicgep/app?component=%24DirectLink&amp;page=FrontEndViewTender&amp;service=direct&amp;session=T&amp;sp=SlJhlHWKfExs%2Bq5kxqeRlWg%3D%3D", "Supply of Various Material at Gram Panchayat BAVLAS, Panchayat Samiti Mandal 2025-26 (Yearly Rate Contract)")</f>
        <v/>
      </c>
      <c r="C680" t="inlineStr">
        <is>
          <t>Panchayati Raj Department||Secretary and Commissioner||CEO-BHILWARA||BDO-MANDAL</t>
        </is>
      </c>
      <c r="D680" t="inlineStr">
        <is>
          <t>30-May-2025 06:00 PM</t>
        </is>
      </c>
      <c r="E680" t="inlineStr">
        <is>
          <t>90,00,000</t>
        </is>
      </c>
      <c r="F680" t="inlineStr">
        <is>
          <t>Supply of Various Material at Gram Panchayat BAVLAS, Panchayat Samiti Mandal 2025-26 (Yearly Rate Contract)</t>
        </is>
      </c>
      <c r="G680" t="inlineStr">
        <is>
          <t>GP BAVLAS PS MANDAL</t>
        </is>
      </c>
    </row>
    <row r="681">
      <c r="A681" s="1" t="n">
        <v>679</v>
      </c>
      <c r="B681">
        <f>HYPERLINK("https://eproc.rajasthan.gov.in/nicgep/app?component=%24DirectLink&amp;page=FrontEndViewTender&amp;service=direct&amp;session=T&amp;sp=SLmZNOgLHpYZgnC2ZijVBEA%3D%3D", "SUPPLY OF CONSTRUCION MATERAIL FOR NREGA AND OTHER SCHEME IN FY 2025-26 IN GP SINGOD KHURD")</f>
        <v/>
      </c>
      <c r="C681" t="inlineStr">
        <is>
          <t>Panchayati Raj Department||Secretary and Commissioner||CEO- JAIPUR||BDO-GOVINDGARH</t>
        </is>
      </c>
      <c r="D681" t="inlineStr">
        <is>
          <t>04-Jun-2025 10:00 AM</t>
        </is>
      </c>
      <c r="E681" t="inlineStr">
        <is>
          <t>50,00,000</t>
        </is>
      </c>
      <c r="F681" t="inlineStr">
        <is>
          <t>SUPPLY OF CONSTRUCION MATERAIL FOR NREGA AND OTHER SCHEME IN FY 2025-26 IN GP SINGOD KHURD</t>
        </is>
      </c>
      <c r="G681" t="inlineStr">
        <is>
          <t>Gram panchayat HQ</t>
        </is>
      </c>
    </row>
    <row r="682">
      <c r="A682" s="1" t="n">
        <v>680</v>
      </c>
      <c r="B682">
        <f>HYPERLINK("https://eproc.rajasthan.gov.in/nicgep/app?component=%24DirectLink&amp;page=FrontEndViewTender&amp;service=direct&amp;session=T&amp;sp=SlRqFks9%2B7p1OJbumyrgYqg%3D%3D", "SUPPLY OF CONSTRUCION MATERAIL FOR NREGA AND OTHER SCHEME IN FY 2025-26 IN GP VIMALPURA")</f>
        <v/>
      </c>
      <c r="C682" t="inlineStr">
        <is>
          <t>Panchayati Raj Department||Secretary and Commissioner||CEO- JAIPUR||BDO-GOVINDGARH</t>
        </is>
      </c>
      <c r="D682" t="inlineStr">
        <is>
          <t>04-Jun-2025 10:00 AM</t>
        </is>
      </c>
      <c r="E682" t="inlineStr">
        <is>
          <t>70,00,000</t>
        </is>
      </c>
      <c r="F682" t="inlineStr">
        <is>
          <t>SUPPLY OF CONSTRUCION MATERAIL FOR NREGA AND OTHER SCHEME IN FY 2025-26 IN GP VIMALPURA</t>
        </is>
      </c>
      <c r="G682" t="inlineStr">
        <is>
          <t>Gram panchayat HQ</t>
        </is>
      </c>
    </row>
    <row r="683">
      <c r="A683" s="1" t="n">
        <v>681</v>
      </c>
      <c r="B683">
        <f>HYPERLINK("https://eproc.rajasthan.gov.in/nicgep/app?component=%24DirectLink&amp;page=FrontEndViewTender&amp;service=direct&amp;session=T&amp;sp=S%2B%2FpT8yj1x9Hlc5VRAgO8xw%3D%3D", "COLLECTION OF WASTE FROM HOME AND BUSSINES UNIT, CLEANING OF ROADS AND SEWARAGE LINE, CLAENING OF CSC IN SBM-G SCHEME FY 2025-26 AT GRAM PANCHAYAT NETSI")</f>
        <v/>
      </c>
      <c r="C683" t="inlineStr">
        <is>
          <t>Panchayati Raj Department||Secretary and Commissioner||CEO- JAISALMER||BDO-SAM</t>
        </is>
      </c>
      <c r="D683" t="inlineStr">
        <is>
          <t>26-May-2025 06:00 PM</t>
        </is>
      </c>
      <c r="E683" t="inlineStr">
        <is>
          <t>10,68,000</t>
        </is>
      </c>
      <c r="F683" t="inlineStr">
        <is>
          <t>COLLECTION OF WASTE FROM HOME AND BUSSINES UNIT, CLEANING OF ROADS AND SEWARAGE LINE, CLAENING OF CSC IN SBM-G SCHEME FY 2025-26 AT GRAM PANCHAYAT NETSI</t>
        </is>
      </c>
      <c r="G683" t="inlineStr">
        <is>
          <t>JAISALMER</t>
        </is>
      </c>
    </row>
    <row r="684">
      <c r="A684" s="1" t="n">
        <v>682</v>
      </c>
      <c r="B684">
        <f>HYPERLINK("https://eproc.rajasthan.gov.in/nicgep/app?component=%24DirectLink&amp;page=FrontEndViewTender&amp;service=direct&amp;session=T&amp;sp=SqQfml3oPOrRRhdb4huBDMg%3D%3D", "SUPPLY OF CONSTRUCION MATERAIL FOR NREGA AND OTHER SCHEME IN FY 2025-26 IN GP UDAPURIYA")</f>
        <v/>
      </c>
      <c r="C684" t="inlineStr">
        <is>
          <t>Panchayati Raj Department||Secretary and Commissioner||CEO- JAIPUR||BDO-GOVINDGARH</t>
        </is>
      </c>
      <c r="D684" t="inlineStr">
        <is>
          <t>04-Jun-2025 10:00 AM</t>
        </is>
      </c>
      <c r="E684" t="inlineStr">
        <is>
          <t>80,00,000</t>
        </is>
      </c>
      <c r="F684" t="inlineStr">
        <is>
          <t>SUPPLY OF CONSTRUCION MATERAIL FOR NREGA AND OTHER SCHEME IN FY 2025-26 IN GP UDAPURIYA</t>
        </is>
      </c>
      <c r="G684" t="inlineStr">
        <is>
          <t>Gram panchayat HQ</t>
        </is>
      </c>
    </row>
    <row r="685">
      <c r="A685" s="1" t="n">
        <v>683</v>
      </c>
      <c r="B685">
        <f>HYPERLINK("https://eproc.rajasthan.gov.in/nicgep/app?component=%24DirectLink&amp;page=FrontEndViewTender&amp;service=direct&amp;session=T&amp;sp=SyKG8XZlfBcWJ7ssOFYp4Eg%3D%3D", "COLLECTION OF WASTE FROM HOME AND BUSSINES UNIT, CLEANING OF ROADS AND SEWARAGE LINE, CLAENING OF CSC IN SBM-G SCHEME FY 2025-26 AT GRAM PANCHAYAT SAGARO KI BASTI")</f>
        <v/>
      </c>
      <c r="C685" t="inlineStr">
        <is>
          <t>Panchayati Raj Department||Secretary and Commissioner||CEO- JAISALMER||BDO-SAM</t>
        </is>
      </c>
      <c r="D685" t="inlineStr">
        <is>
          <t>26-May-2025 06:00 PM</t>
        </is>
      </c>
      <c r="E685" t="inlineStr">
        <is>
          <t>17,68,000</t>
        </is>
      </c>
      <c r="F685" t="inlineStr">
        <is>
          <t>COLLECTION OF WASTE FROM HOME AND BUSSINES UNIT, CLEANING OF ROADS AND SEWARAGE LINE, CLAENING OF CSC IN SBM-G SCHEME FY 2025-26 AT GRAM PANCHAYAT SAGARO KI BASTI</t>
        </is>
      </c>
      <c r="G685" t="inlineStr">
        <is>
          <t>JAISALMER</t>
        </is>
      </c>
    </row>
    <row r="686">
      <c r="A686" s="1" t="n">
        <v>684</v>
      </c>
      <c r="B686">
        <f>HYPERLINK("https://eproc.rajasthan.gov.in/nicgep/app?component=%24DirectLink&amp;page=FrontEndViewTender&amp;service=direct&amp;session=T&amp;sp=S4mheQC29Ar%2FxecyNtktCCg%3D%3D", "SUPPLY OF CONSTRUCION MATERAIL FOR NREGA AND OTHER SCHEME IN FY 2025-26 IN GP TIGARIYA")</f>
        <v/>
      </c>
      <c r="C686" t="inlineStr">
        <is>
          <t>Panchayati Raj Department||Secretary and Commissioner||CEO- JAIPUR||BDO-GOVINDGARH</t>
        </is>
      </c>
      <c r="D686" t="inlineStr">
        <is>
          <t>04-Jun-2025 10:00 AM</t>
        </is>
      </c>
      <c r="E686" t="inlineStr">
        <is>
          <t>50,00,000</t>
        </is>
      </c>
      <c r="F686" t="inlineStr">
        <is>
          <t>SUPPLY OF CONSTRUCION MATERAIL FOR NREGA AND OTHER SCHEME IN FY 2025-26 IN GP TIGARIYA</t>
        </is>
      </c>
      <c r="G686" t="inlineStr">
        <is>
          <t>Gram panchayat HQ</t>
        </is>
      </c>
    </row>
    <row r="687">
      <c r="A687" s="1" t="n">
        <v>685</v>
      </c>
      <c r="B687">
        <f>HYPERLINK("https://eproc.rajasthan.gov.in/nicgep/app?component=%24DirectLink&amp;page=FrontEndViewTender&amp;service=direct&amp;session=T&amp;sp=SOikWW8v2%2Bv3tYZkqpacp6g%3D%3D", "LOHARWARASBM25")</f>
        <v/>
      </c>
      <c r="C687" t="inlineStr">
        <is>
          <t>Panchayati Raj Department||Secretary and Commissioner||CEO-AJMER||BDO-SRI NAGAR</t>
        </is>
      </c>
      <c r="D687" t="inlineStr">
        <is>
          <t>26-May-2025 10:00 AM</t>
        </is>
      </c>
      <c r="E687" t="inlineStr">
        <is>
          <t>12,05,811</t>
        </is>
      </c>
      <c r="F687" t="inlineStr">
        <is>
          <t>SBM WORK IN GP LOHARWARA</t>
        </is>
      </c>
      <c r="G687" t="inlineStr">
        <is>
          <t>GP LOHARWARA</t>
        </is>
      </c>
    </row>
    <row r="688">
      <c r="A688" s="1" t="n">
        <v>686</v>
      </c>
      <c r="B688">
        <f>HYPERLINK("https://eproc.rajasthan.gov.in/nicgep/app?component=%24DirectLink&amp;page=FrontEndViewTender&amp;service=direct&amp;session=T&amp;sp=S8dA54YTUgvkcl%2FqHuOjG2Q%3D%3D", "Supply of Various Material at Gram Panchayat ALMAS, Panchayat Samiti Mandal 2025-26 (Yearly Rate Contract)")</f>
        <v/>
      </c>
      <c r="C688" t="inlineStr">
        <is>
          <t>Panchayati Raj Department||Secretary and Commissioner||CEO-BHILWARA||BDO-MANDAL</t>
        </is>
      </c>
      <c r="D688" t="inlineStr">
        <is>
          <t>30-May-2025 06:00 PM</t>
        </is>
      </c>
      <c r="E688" t="inlineStr">
        <is>
          <t>1,00,00,000</t>
        </is>
      </c>
      <c r="F688" t="inlineStr">
        <is>
          <t>Supply of Various Material at Gram Panchayat ALMAS, Panchayat Samiti Mandal 2025-26 (Yearly Rate Contract)</t>
        </is>
      </c>
      <c r="G688" t="inlineStr">
        <is>
          <t>GP ALMAS PS MANDAL</t>
        </is>
      </c>
    </row>
    <row r="689">
      <c r="A689" s="1" t="n">
        <v>687</v>
      </c>
      <c r="B689">
        <f>HYPERLINK("https://eproc.rajasthan.gov.in/nicgep/app?component=%24DirectLink&amp;page=FrontEndViewTender&amp;service=direct&amp;session=T&amp;sp=SKFQ8mJENQoYAlMM2mihjeA%3D%3D", "SUPPLY OF CONSTRUCION MATERAIL FOR NREGA AND OTHER SCHEME IN FY 2025-26 IN GP VIJAYSINGHPURA")</f>
        <v/>
      </c>
      <c r="C689" t="inlineStr">
        <is>
          <t>Panchayati Raj Department||Secretary and Commissioner||CEO- JAIPUR||BDO-GOVINDGARH</t>
        </is>
      </c>
      <c r="D689" t="inlineStr">
        <is>
          <t>04-Jun-2025 10:00 AM</t>
        </is>
      </c>
      <c r="E689" t="inlineStr">
        <is>
          <t>85,00,000</t>
        </is>
      </c>
      <c r="F689" t="inlineStr">
        <is>
          <t>SUPPLY OF CONSTRUCION MATERAIL FOR NREGA AND OTHER SCHEME IN FY 2025-26 IN GP VIJAYSINGHPURA</t>
        </is>
      </c>
      <c r="G689" t="inlineStr">
        <is>
          <t>Gram panchayat HQ</t>
        </is>
      </c>
    </row>
    <row r="690">
      <c r="A690" s="1" t="n">
        <v>688</v>
      </c>
      <c r="B690">
        <f>HYPERLINK("https://eproc.rajasthan.gov.in/nicgep/app?component=%24DirectLink&amp;page=FrontEndViewTender&amp;service=direct&amp;session=T&amp;sp=SScaPqJSqhUqIHUmkdvwD0Q%3D%3D", "Supply of Construction Material RDPR Scheme MNREGA, SFC , FFC and other scheme for Financial Year 2025-26 in Gram Panchyat PALI PS Khandar")</f>
        <v/>
      </c>
      <c r="C690" t="inlineStr">
        <is>
          <t>Panchayati Raj Department||Secretary and Commissioner||CEO-S.MADHOPUR||BDO-KHANDAR</t>
        </is>
      </c>
      <c r="D690" t="inlineStr">
        <is>
          <t>28-May-2025 06:00 PM</t>
        </is>
      </c>
      <c r="E690" t="inlineStr">
        <is>
          <t>40,00,000</t>
        </is>
      </c>
      <c r="F690" t="inlineStr">
        <is>
          <t>Supply of Construction Material RDPR Scheme MNREGA, SFC , FFC and other scheme for Financial Year 2025-26 in Gram Panchyat PALI PS Khandar</t>
        </is>
      </c>
      <c r="G690" t="inlineStr">
        <is>
          <t>GRAM PANCHYAT PALI</t>
        </is>
      </c>
    </row>
    <row r="691">
      <c r="A691" s="1" t="n">
        <v>689</v>
      </c>
      <c r="B691">
        <f>HYPERLINK("https://eproc.rajasthan.gov.in/nicgep/app?component=%24DirectLink&amp;page=FrontEndViewTender&amp;service=direct&amp;session=T&amp;sp=S5CxsYi%2F6bXS2UqNq93yp6A%3D%3D", "SUPPLY OF CONSTRUCION MATERAIL FOR NREGA AND OTHER SCHEME IN FY 2025-26 IN GP TANKARDA")</f>
        <v/>
      </c>
      <c r="C691" t="inlineStr">
        <is>
          <t>Panchayati Raj Department||Secretary and Commissioner||CEO- JAIPUR||BDO-GOVINDGARH</t>
        </is>
      </c>
      <c r="D691" t="inlineStr">
        <is>
          <t>04-Jun-2025 10:00 AM</t>
        </is>
      </c>
      <c r="E691" t="inlineStr">
        <is>
          <t>90,00,000</t>
        </is>
      </c>
      <c r="F691" t="inlineStr">
        <is>
          <t>SUPPLY OF CONSTRUCION MATERAIL FOR NREGA AND OTHER SCHEME IN FY 2025-26 IN GP TANKARDA</t>
        </is>
      </c>
      <c r="G691" t="inlineStr">
        <is>
          <t>Gram panchayat HQ</t>
        </is>
      </c>
    </row>
    <row r="692">
      <c r="A692" s="1" t="n">
        <v>690</v>
      </c>
      <c r="B692">
        <f>HYPERLINK("https://eproc.rajasthan.gov.in/nicgep/app?component=%24DirectLink&amp;page=FrontEndViewTender&amp;service=direct&amp;session=T&amp;sp=SJewdUQUwiXfemXRIVa3o4Q%3D%3D", "cleaning and sanitation work for gp JHIRI")</f>
        <v/>
      </c>
      <c r="C692" t="inlineStr">
        <is>
          <t>Panchayati Raj Department||Secretary and Commissioner||CEO-DHOLPUR||BDO-SARMATHURA</t>
        </is>
      </c>
      <c r="D692" t="inlineStr">
        <is>
          <t>23-May-2025 06:00 PM</t>
        </is>
      </c>
      <c r="E692" t="inlineStr">
        <is>
          <t>8,83,965</t>
        </is>
      </c>
      <c r="F692" t="inlineStr">
        <is>
          <t>cleaning and sanitation work for gp JHIRI</t>
        </is>
      </c>
      <c r="G692" t="inlineStr">
        <is>
          <t>PS SARMATHURA</t>
        </is>
      </c>
    </row>
    <row r="693">
      <c r="A693" s="1" t="n">
        <v>691</v>
      </c>
      <c r="B693">
        <f>HYPERLINK("https://eproc.rajasthan.gov.in/nicgep/app?component=%24DirectLink&amp;page=FrontEndViewTender&amp;service=direct&amp;session=T&amp;sp=SSh6fiYUUDvEP7yInypyuiw%3D%3D", "SUPPLY OF CONSTRUCION MATERAIL FOR NREGA AND OTHER SCHEME IN FY 2025-26 IN GP SINGOD KALA")</f>
        <v/>
      </c>
      <c r="C693" t="inlineStr">
        <is>
          <t>Panchayati Raj Department||Secretary and Commissioner||CEO- JAIPUR||BDO-GOVINDGARH</t>
        </is>
      </c>
      <c r="D693" t="inlineStr">
        <is>
          <t>04-Jun-2025 10:00 AM</t>
        </is>
      </c>
      <c r="E693" t="inlineStr">
        <is>
          <t>60,00,000</t>
        </is>
      </c>
      <c r="F693" t="inlineStr">
        <is>
          <t>SUPPLY OF CONSTRUCION MATERAIL FOR NREGA AND OTHER SCHEME IN FY 2025-26 IN GP SINGOD KALA</t>
        </is>
      </c>
      <c r="G693" t="inlineStr">
        <is>
          <t>Gram panchayat HQ</t>
        </is>
      </c>
    </row>
    <row r="694">
      <c r="A694" s="1" t="n">
        <v>692</v>
      </c>
      <c r="B694">
        <f>HYPERLINK("https://eproc.rajasthan.gov.in/nicgep/app?component=%24DirectLink&amp;page=FrontEndViewTender&amp;service=direct&amp;session=T&amp;sp=SP1ZTC3qTpZDX%2FLrdhSExiA%3D%3D", "Supply of Construction in Gram Panchayat karel in Panchayat Samiti Malarana Doongar Under MNREGA, RD And OTHER Scheme for the year 2025-26")</f>
        <v/>
      </c>
      <c r="C694" t="inlineStr">
        <is>
          <t>Panchayati Raj Department||Secretary and Commissioner||CEO-S.MADHOPUR||BDO-MALARANA DUNGAR</t>
        </is>
      </c>
      <c r="D694" t="inlineStr">
        <is>
          <t>26-May-2025 06:00 PM</t>
        </is>
      </c>
      <c r="E694" t="inlineStr">
        <is>
          <t>50,00,000</t>
        </is>
      </c>
      <c r="F694" t="inlineStr">
        <is>
          <t>Supply of Construction in Gram Panchayat karel in Panchayat Samiti Malarana Doongar Under MNREGA, RD And OTHER Scheme for the year 2025-26</t>
        </is>
      </c>
      <c r="G694" t="inlineStr">
        <is>
          <t>GP KAREL</t>
        </is>
      </c>
    </row>
    <row r="695">
      <c r="A695" s="1" t="n">
        <v>693</v>
      </c>
      <c r="B695">
        <f>HYPERLINK("https://eproc.rajasthan.gov.in/nicgep/app?component=%24DirectLink&amp;page=FrontEndViewTender&amp;service=direct&amp;session=T&amp;sp=SbTPFnxrCeiFsexR%2BCvi5mw%3D%3D", "Construction of 1 Class Room in Govt. Sr. Pre. School Bahi Ghatiya GP Daiya")</f>
        <v/>
      </c>
      <c r="C695" t="inlineStr">
        <is>
          <t>Panchayati Raj Department||Secretary and Commissioner||CEO-UDAIPUR||BDO-SALUMBAR</t>
        </is>
      </c>
      <c r="D695" t="inlineStr">
        <is>
          <t>26-May-2025 06:00 PM</t>
        </is>
      </c>
      <c r="E695" t="inlineStr">
        <is>
          <t>10,00,000</t>
        </is>
      </c>
      <c r="F695" t="inlineStr">
        <is>
          <t>Construction of 1 Class Room in Govt. Sr. Pre. School Bahi Ghatiya GP Daiya</t>
        </is>
      </c>
      <c r="G695" t="inlineStr">
        <is>
          <t>GP Daiya</t>
        </is>
      </c>
    </row>
    <row r="696">
      <c r="A696" s="1" t="n">
        <v>694</v>
      </c>
      <c r="B696">
        <f>HYPERLINK("https://eproc.rajasthan.gov.in/nicgep/app?component=%24DirectLink&amp;page=FrontEndViewTender&amp;service=direct&amp;session=T&amp;sp=SD27KbNzW7yqSRkHtJqfEHw%3D%3D", "Garbage collection and segregation, sanitation work of Roads, Drainage and CSC in all villages of Gram Panchayat Mohabbtpur")</f>
        <v/>
      </c>
      <c r="C696" t="inlineStr">
        <is>
          <t>Panchayati Raj Department||Secretary and Commissioner||CEO-ALWAR||BDO-MALA KHERA</t>
        </is>
      </c>
      <c r="D696" t="inlineStr">
        <is>
          <t>29-May-2025 06:00 PM</t>
        </is>
      </c>
      <c r="E696" t="inlineStr">
        <is>
          <t>10,00,000</t>
        </is>
      </c>
      <c r="F696" t="inlineStr">
        <is>
          <t>Garbage collection and segregation, sanitation work of Roads, Drainage and CSC in all villages of Gram Panchayat Mohabbtpur</t>
        </is>
      </c>
      <c r="G696" t="inlineStr">
        <is>
          <t>all villages of gram panchayat mohabbtpur</t>
        </is>
      </c>
    </row>
    <row r="697">
      <c r="A697" s="1" t="n">
        <v>695</v>
      </c>
      <c r="B697">
        <f>HYPERLINK("https://eproc.rajasthan.gov.in/nicgep/app?component=%24DirectLink&amp;page=FrontEndViewTender&amp;service=direct&amp;session=T&amp;sp=SoLixZyThvoBDOsNes5dO%2Fw%3D%3D", "COLLECTION OF WASTE FROM HOME AND BUSSINES UNIT, CLEANING OF ROADS AND SEWARAGE LINE, CLAENING OF CSC IN SBM-G SCHEME FY 2025-26 AT GRAM PANCHAYAT FALEDI")</f>
        <v/>
      </c>
      <c r="C697" t="inlineStr">
        <is>
          <t>Panchayati Raj Department||Secretary and Commissioner||CEO- JAISALMER||BDO-SAM</t>
        </is>
      </c>
      <c r="D697" t="inlineStr">
        <is>
          <t>26-May-2025 06:00 PM</t>
        </is>
      </c>
      <c r="E697" t="inlineStr">
        <is>
          <t>24,36,000</t>
        </is>
      </c>
      <c r="F697" t="inlineStr">
        <is>
          <t>COLLECTION OF WASTE FROM HOME AND BUSSINES UNIT, CLEANING OF ROADS AND SEWARAGE LINE, CLAENING OF CSC IN SBM-G SCHEME FY 2025-26 AT GRAM PANCHAYAT FALEDI</t>
        </is>
      </c>
      <c r="G697" t="inlineStr">
        <is>
          <t>JAISALMER</t>
        </is>
      </c>
    </row>
    <row r="698">
      <c r="A698" s="1" t="n">
        <v>696</v>
      </c>
      <c r="B698">
        <f>HYPERLINK("https://eproc.rajasthan.gov.in/nicgep/app?component=%24DirectLink&amp;page=FrontEndViewTender&amp;service=direct&amp;session=T&amp;sp=SvolAy29775673HpsMej2XA%3D%3D", "Supply of Construction Material in Gram Panchayat Khandewala In Panchayat Samiti Khandar under MNREGA and RD and Various Scheme for the Year 2025-26")</f>
        <v/>
      </c>
      <c r="C698" t="inlineStr">
        <is>
          <t>Panchayati Raj Department||Secretary and Commissioner||CEO-S.MADHOPUR||BDO-KHANDAR</t>
        </is>
      </c>
      <c r="D698" t="inlineStr">
        <is>
          <t>27-May-2025 06:00 PM</t>
        </is>
      </c>
      <c r="E698" t="inlineStr">
        <is>
          <t>60,00,000</t>
        </is>
      </c>
      <c r="F698" t="inlineStr">
        <is>
          <t>Supply of Construction Material in Gram Panchayat Khandewala In Panchayat Samiti Khandar under MNREGA and RD and Various Scheme for the Year 2025-26</t>
        </is>
      </c>
      <c r="G698" t="inlineStr">
        <is>
          <t>Khandewala</t>
        </is>
      </c>
    </row>
    <row r="699">
      <c r="A699" s="1" t="n">
        <v>697</v>
      </c>
      <c r="B699">
        <f>HYPERLINK("https://eproc.rajasthan.gov.in/nicgep/app?component=%24DirectLink&amp;page=FrontEndViewTender&amp;service=direct&amp;session=T&amp;sp=SH3epxf3klj%2B6BhfWr3Xn%2Fw%3D%3D", "jarwasasbmwork")</f>
        <v/>
      </c>
      <c r="C699" t="inlineStr">
        <is>
          <t>Panchayati Raj Department||Secretary and Commissioner||CEO-AJMER||BDO-SRI NAGAR</t>
        </is>
      </c>
      <c r="D699" t="inlineStr">
        <is>
          <t>26-May-2025 10:00 AM</t>
        </is>
      </c>
      <c r="E699" t="inlineStr">
        <is>
          <t>7,38,274</t>
        </is>
      </c>
      <c r="F699" t="inlineStr">
        <is>
          <t>sbm work in gp jarwasa</t>
        </is>
      </c>
      <c r="G699" t="inlineStr">
        <is>
          <t>GP JARWASA</t>
        </is>
      </c>
    </row>
    <row r="700">
      <c r="A700" s="1" t="n">
        <v>698</v>
      </c>
      <c r="B700">
        <f>HYPERLINK("https://eproc.rajasthan.gov.in/nicgep/app?component=%24DirectLink&amp;page=FrontEndViewTender&amp;service=direct&amp;session=T&amp;sp=S8qFBwnBYngw46Ry2mqAcFg%3D%3D", "SUPPLY OF CONSTRUCION MATERAIL FOR NREGA AND OTHER SCHEME IN FY 2025-26 IN GP SANDARSAR")</f>
        <v/>
      </c>
      <c r="C700" t="inlineStr">
        <is>
          <t>Panchayati Raj Department||Secretary and Commissioner||CEO- JAIPUR||BDO-GOVINDGARH</t>
        </is>
      </c>
      <c r="D700" t="inlineStr">
        <is>
          <t>04-Jun-2025 10:00 AM</t>
        </is>
      </c>
      <c r="E700" t="inlineStr">
        <is>
          <t>60,00,000</t>
        </is>
      </c>
      <c r="F700" t="inlineStr">
        <is>
          <t>SUPPLY OF CONSTRUCION MATERAIL FOR NREGA AND OTHER SCHEME IN FY 2025-26 IN GP SANDARSAR</t>
        </is>
      </c>
      <c r="G700" t="inlineStr">
        <is>
          <t>Gram panchayat HQ</t>
        </is>
      </c>
    </row>
    <row r="701">
      <c r="A701" s="1" t="n">
        <v>699</v>
      </c>
      <c r="B701">
        <f>HYPERLINK("https://eproc.rajasthan.gov.in/nicgep/app?component=%24DirectLink&amp;page=FrontEndViewTender&amp;service=direct&amp;session=T&amp;sp=SAMvnvaJ%2BcJ6TgNKq8fPKkw%3D%3D", "SUPPLY OF CONSTRUCION MATERAIL FOR NREGA AND OTHER SCHEME IN FY 2025-26 IN GP SAMOD")</f>
        <v/>
      </c>
      <c r="C701" t="inlineStr">
        <is>
          <t>Panchayati Raj Department||Secretary and Commissioner||CEO- JAIPUR||BDO-GOVINDGARH</t>
        </is>
      </c>
      <c r="D701" t="inlineStr">
        <is>
          <t>04-Jun-2025 10:00 AM</t>
        </is>
      </c>
      <c r="E701" t="inlineStr">
        <is>
          <t>95,00,000</t>
        </is>
      </c>
      <c r="F701" t="inlineStr">
        <is>
          <t>SUPPLY OF CONSTRUCION MATERAIL FOR NREGA AND OTHER SCHEME IN FY 2025-26 IN GP SAMOD</t>
        </is>
      </c>
      <c r="G701" t="inlineStr">
        <is>
          <t>Gram panchayat HQ</t>
        </is>
      </c>
    </row>
    <row r="702">
      <c r="A702" s="1" t="n">
        <v>700</v>
      </c>
      <c r="B702">
        <f>HYPERLINK("https://eproc.rajasthan.gov.in/nicgep/app?component=%24DirectLink&amp;page=FrontEndViewTender&amp;service=direct&amp;session=T&amp;sp=SP14VeEMaFva%2F89h54R9Ujw%3D%3D", "COLLECTION OF WASTE FROM HOME AND BUSSINES UNIT, CLEANING OF ROADS AND SEWARAGE LINE, CLAENING OF CSC IN SBM-G SCHEME FY 2025-26 AT GRAM PANCHAYAT BALIDAD KI BASTI")</f>
        <v/>
      </c>
      <c r="C702" t="inlineStr">
        <is>
          <t>Panchayati Raj Department||Secretary and Commissioner||CEO- JAISALMER||BDO-SAM</t>
        </is>
      </c>
      <c r="D702" t="inlineStr">
        <is>
          <t>26-May-2025 06:00 PM</t>
        </is>
      </c>
      <c r="E702" t="inlineStr">
        <is>
          <t>11,77,000</t>
        </is>
      </c>
      <c r="F702" t="inlineStr">
        <is>
          <t>COLLECTION OF WASTE FROM HOME AND BUSSINES UNIT, CLEANING OF ROADS AND SEWARAGE LINE, CLAENING OF CSC IN SBM-G SCHEME FY 2025-26 AT GRAM PANCHAYAT BALIDAD KI BASTI</t>
        </is>
      </c>
      <c r="G702" t="inlineStr">
        <is>
          <t>JAISALMER</t>
        </is>
      </c>
    </row>
    <row r="703">
      <c r="A703" s="1" t="n">
        <v>701</v>
      </c>
      <c r="B703">
        <f>HYPERLINK("https://eproc.rajasthan.gov.in/nicgep/app?component=%24DirectLink&amp;page=FrontEndViewTender&amp;service=direct&amp;session=T&amp;sp=SDgcc5Db8Hye3LoWCAc3SEw%3D%3D", "SUPPLY OF CONSTRUCION MATERAIL FOR NREGA AND OTHER SCHEME IN FY 2025-26 IN GP NIWANA")</f>
        <v/>
      </c>
      <c r="C703" t="inlineStr">
        <is>
          <t>Panchayati Raj Department||Secretary and Commissioner||CEO- JAIPUR||BDO-GOVINDGARH</t>
        </is>
      </c>
      <c r="D703" t="inlineStr">
        <is>
          <t>04-Jun-2025 10:00 AM</t>
        </is>
      </c>
      <c r="E703" t="inlineStr">
        <is>
          <t>60,00,000</t>
        </is>
      </c>
      <c r="F703" t="inlineStr">
        <is>
          <t>SUPPLY OF CONSTRUCION MATERAIL FOR NREGA AND OTHER SCHEME IN FY 2025-26 IN GP NIWANA</t>
        </is>
      </c>
      <c r="G703" t="inlineStr">
        <is>
          <t>Gram panchayat HQ</t>
        </is>
      </c>
    </row>
    <row r="704">
      <c r="A704" s="1" t="n">
        <v>702</v>
      </c>
      <c r="B704">
        <f>HYPERLINK("https://eproc.rajasthan.gov.in/nicgep/app?component=%24DirectLink&amp;page=FrontEndViewTender&amp;service=direct&amp;session=T&amp;sp=SiS%2BG3ILZIs6ZRDe6R0L7iA%3D%3D", "Work Including Garbage Collection and Separation from Households and Commercial Establishments Road and Drain Cleaning Cleaning and death animals gp salected palce despose of CSCs in all villages of Gram Panchayat LakhanpurE-NIT No. 03/2025-26 BDO Bo")</f>
        <v/>
      </c>
      <c r="C704" t="inlineStr">
        <is>
          <t>Panchayati Raj Department||Secretary and Commissioner||CEO-S.MADHOPUR||BDO-BOLI</t>
        </is>
      </c>
      <c r="D704" t="inlineStr">
        <is>
          <t>26-May-2025 06:00 PM</t>
        </is>
      </c>
      <c r="E704" t="inlineStr">
        <is>
          <t>11,95,000</t>
        </is>
      </c>
      <c r="F704" t="inlineStr">
        <is>
          <t>Work Including Garbage Collection and Separation from Households and Commercial Establishments Road and Drain Cleaning Cleaning and death animals gp salected palce despose of CSCs in all villages of Gram Panchayat LakhanpurE-NIT No. 03/2025-26 BDO Bo</t>
        </is>
      </c>
      <c r="G704" t="inlineStr">
        <is>
          <t>psbonli</t>
        </is>
      </c>
    </row>
    <row r="705">
      <c r="A705" s="1" t="n">
        <v>703</v>
      </c>
      <c r="B705">
        <f>HYPERLINK("https://eproc.rajasthan.gov.in/nicgep/app?component=%24DirectLink&amp;page=FrontEndViewTender&amp;service=direct&amp;session=T&amp;sp=SAwAiAzz9ouAa6B5U1ThI5w%3D%3D", "SUPPLY OF CONSTRUCION MATERAIL FOR NREGA AND OTHER SCHEME IN FY 2025-26 IN GP NANGAL BHARDA")</f>
        <v/>
      </c>
      <c r="C705" t="inlineStr">
        <is>
          <t>Panchayati Raj Department||Secretary and Commissioner||CEO- JAIPUR||BDO-GOVINDGARH</t>
        </is>
      </c>
      <c r="D705" t="inlineStr">
        <is>
          <t>04-Jun-2025 10:00 AM</t>
        </is>
      </c>
      <c r="E705" t="inlineStr">
        <is>
          <t>50,00,000</t>
        </is>
      </c>
      <c r="F705" t="inlineStr">
        <is>
          <t>SUPPLY OF CONSTRUCION MATERAIL FOR NREGA AND OTHER SCHEME IN FY 2025-26 IN GP NANGAL BHARDA</t>
        </is>
      </c>
      <c r="G705" t="inlineStr">
        <is>
          <t>Gram panchayat HQ</t>
        </is>
      </c>
    </row>
    <row r="706">
      <c r="A706" s="1" t="n">
        <v>704</v>
      </c>
      <c r="B706">
        <f>HYPERLINK("https://eproc.rajasthan.gov.in/nicgep/app?component=%24DirectLink&amp;page=FrontEndViewTender&amp;service=direct&amp;session=T&amp;sp=SyeI1spk8X7QdO05BcOz2ng%3D%3D", "Work Including Garbage Collection and Separation from Households and Commercial Establishments Road and Drain Cleaning Cleaning and death animals gp salected palce despose of CSCs in all villages of Gram Panchayat neemod rathod E-NIT No. 03/2025-26")</f>
        <v/>
      </c>
      <c r="C706" t="inlineStr">
        <is>
          <t>Panchayati Raj Department||Secretary and Commissioner||CEO-S.MADHOPUR||BDO-BOLI</t>
        </is>
      </c>
      <c r="D706" t="inlineStr">
        <is>
          <t>26-May-2025 06:00 PM</t>
        </is>
      </c>
      <c r="E706" t="inlineStr">
        <is>
          <t>7,85,000</t>
        </is>
      </c>
      <c r="F706" t="inlineStr">
        <is>
          <t>Work Including Garbage Collection and Separation from Households and Commercial Establishments Road and Drain Cleaning Cleaning and death animals gp salected palce despose of CSCs in all villages of Gram Panchayat neemod rathod E-NIT No. 03/2025-26</t>
        </is>
      </c>
      <c r="G706" t="inlineStr">
        <is>
          <t>ps bonli</t>
        </is>
      </c>
    </row>
    <row r="707">
      <c r="A707" s="1" t="n">
        <v>705</v>
      </c>
      <c r="B707">
        <f>HYPERLINK("https://eproc.rajasthan.gov.in/nicgep/app?component=%24DirectLink&amp;page=FrontEndViewTender&amp;service=direct&amp;session=T&amp;sp=StOODZhQ5htGgB4HLbbK8Lw%3D%3D", "6 SUPPLY OF CONST. MATER. AND EQUIP. FOR YR 2025-26 AS PER BSR AT PS BAGIDORA GP HAMIRPURABADA")</f>
        <v/>
      </c>
      <c r="C707" t="inlineStr">
        <is>
          <t>Panchayati Raj Department||Secretary and Commissioner||CEO-BANSWARA||BDO-BAGIDORA</t>
        </is>
      </c>
      <c r="D707" t="inlineStr">
        <is>
          <t>26-May-2025 06:00 PM</t>
        </is>
      </c>
      <c r="E707" t="inlineStr">
        <is>
          <t>50,00,000</t>
        </is>
      </c>
      <c r="F707" t="inlineStr">
        <is>
          <t>6 SUPPLY OF CONST. MATER. AND EQUIP. FOR YR 2025-26 AS PER BSR AT PS BAGIDORA GP HAMIRPURABADA</t>
        </is>
      </c>
      <c r="G707" t="inlineStr">
        <is>
          <t>BAGIDORA</t>
        </is>
      </c>
    </row>
    <row r="708">
      <c r="A708" s="1" t="n">
        <v>706</v>
      </c>
      <c r="B708">
        <f>HYPERLINK("https://eproc.rajasthan.gov.in/nicgep/app?component=%24DirectLink&amp;page=FrontEndViewTender&amp;service=direct&amp;session=T&amp;sp=Sv43Kz99g%2FnUhVNGidZtoxw%3D%3D", "SUPPLY OF CONSTRUCION MATERAIL FOR NREGA AND OTHER SCHEME IN FY 2025-26 IN GP NANGAL KOJU")</f>
        <v/>
      </c>
      <c r="C708" t="inlineStr">
        <is>
          <t>Panchayati Raj Department||Secretary and Commissioner||CEO- JAIPUR||BDO-GOVINDGARH</t>
        </is>
      </c>
      <c r="D708" t="inlineStr">
        <is>
          <t>04-Jun-2025 10:00 AM</t>
        </is>
      </c>
      <c r="E708" t="inlineStr">
        <is>
          <t>50,00,000</t>
        </is>
      </c>
      <c r="F708" t="inlineStr">
        <is>
          <t>SUPPLY OF CONSTRUCION MATERAIL FOR NREGA AND OTHER SCHEME IN FY 2025-26 IN GP NANGAL KOJU</t>
        </is>
      </c>
      <c r="G708" t="inlineStr">
        <is>
          <t>Gram panchayat HQ</t>
        </is>
      </c>
    </row>
    <row r="709">
      <c r="A709" s="1" t="n">
        <v>707</v>
      </c>
      <c r="B709">
        <f>HYPERLINK("https://eproc.rajasthan.gov.in/nicgep/app?component=%24DirectLink&amp;page=FrontEndViewTender&amp;service=direct&amp;session=T&amp;sp=SWitY%2B4IZy%2FgP6%2BIyGoneiA%3D%3D", "COLLECTION OF WASTE FROM HOME AND BUSSINES UNIT, CLEANING OF ROADS AND SEWARAGE LINE, CLAENING OF CSC IN SBM-G SCHEME FY 2025-26 AT GRAM PANCHAYAT KUCHRI")</f>
        <v/>
      </c>
      <c r="C709" t="inlineStr">
        <is>
          <t>Panchayati Raj Department||Secretary and Commissioner||CEO- JAISALMER||BDO-SAM</t>
        </is>
      </c>
      <c r="D709" t="inlineStr">
        <is>
          <t>26-May-2025 06:00 PM</t>
        </is>
      </c>
      <c r="E709" t="inlineStr">
        <is>
          <t>10,65,000</t>
        </is>
      </c>
      <c r="F709" t="inlineStr">
        <is>
          <t>COLLECTION OF WASTE FROM HOME AND BUSSINES UNIT, CLEANING OF ROADS AND SEWARAGE LINE, CLAENING OF CSC IN SBM-G SCHEME FY 2025-26 AT GRAM PANCHAYAT KUCHRI</t>
        </is>
      </c>
      <c r="G709" t="inlineStr">
        <is>
          <t>JAISALMER</t>
        </is>
      </c>
    </row>
    <row r="710">
      <c r="A710" s="1" t="n">
        <v>708</v>
      </c>
      <c r="B710">
        <f>HYPERLINK("https://eproc.rajasthan.gov.in/nicgep/app?component=%24DirectLink&amp;page=FrontEndViewTender&amp;service=direct&amp;session=T&amp;sp=Sod8XPftrMer%2BNotD0eK%2BwQ%3D%3D", "Work Including Garbage Collection and Separation from Households and Commercial Establishments Road and Drain Cleaning Cleaning and death animals gp salected palce despose of CSCs in all villages of Gram Panchayat Borda E-NIT No. 03/2025-26 BDO BONLI")</f>
        <v/>
      </c>
      <c r="C710" t="inlineStr">
        <is>
          <t>Panchayati Raj Department||Secretary and Commissioner||CEO-S.MADHOPUR||BDO-BOLI</t>
        </is>
      </c>
      <c r="D710" t="inlineStr">
        <is>
          <t>26-May-2025 06:00 PM</t>
        </is>
      </c>
      <c r="E710" t="inlineStr">
        <is>
          <t>6,52,000</t>
        </is>
      </c>
      <c r="F710" t="inlineStr">
        <is>
          <t>Work Including Garbage Collection and Separation from Households and Commercial Establishments Road and Drain Cleaning Cleaning and death animals gp salected palce despose of CSCs in all villages of Gram Panchayat Borda E-NIT No. 03/2025-26 BDO BONLI</t>
        </is>
      </c>
      <c r="G710" t="inlineStr">
        <is>
          <t>ps bonli</t>
        </is>
      </c>
    </row>
    <row r="711">
      <c r="A711" s="1" t="n">
        <v>709</v>
      </c>
      <c r="B711">
        <f>HYPERLINK("https://eproc.rajasthan.gov.in/nicgep/app?component=%24DirectLink&amp;page=FrontEndViewTender&amp;service=direct&amp;session=T&amp;sp=SPw70hRLw78T30Ml2XiyKkg%3D%3D", "5 SUPPLY OF CONST. MATER. AND EQUIP. FOR YR 2025-26 AS PER BSR AT PS BAGIDORA GP BUDWA")</f>
        <v/>
      </c>
      <c r="C711" t="inlineStr">
        <is>
          <t>Panchayati Raj Department||Secretary and Commissioner||CEO-BANSWARA||BDO-BAGIDORA</t>
        </is>
      </c>
      <c r="D711" t="inlineStr">
        <is>
          <t>26-May-2025 06:00 PM</t>
        </is>
      </c>
      <c r="E711" t="inlineStr">
        <is>
          <t>50,00,000</t>
        </is>
      </c>
      <c r="F711" t="inlineStr">
        <is>
          <t>5 SUPPLY OF CONST. MATER. AND EQUIP. FOR YR 2025-26 AS PER BSR AT PS BAGIDORA GP BUDWA</t>
        </is>
      </c>
      <c r="G711" t="inlineStr">
        <is>
          <t>BAGIDORA</t>
        </is>
      </c>
    </row>
    <row r="712">
      <c r="A712" s="1" t="n">
        <v>710</v>
      </c>
      <c r="B712">
        <f>HYPERLINK("https://eproc.rajasthan.gov.in/nicgep/app?component=%24DirectLink&amp;page=FrontEndViewTender&amp;service=direct&amp;session=T&amp;sp=SxfcpfYZznQJrEBwxAIRc%2Fg%3D%3D", "work panchayat samiti BONLI all ground and room and bathroom toilet clening and daily saaf safai atal seva kendra and quaters")</f>
        <v/>
      </c>
      <c r="C712" t="inlineStr">
        <is>
          <t>Panchayati Raj Department||Secretary and Commissioner||CEO-S.MADHOPUR||BDO-BOLI</t>
        </is>
      </c>
      <c r="D712" t="inlineStr">
        <is>
          <t>26-May-2025 06:00 PM</t>
        </is>
      </c>
      <c r="E712" t="inlineStr">
        <is>
          <t>99,000</t>
        </is>
      </c>
      <c r="F712" t="inlineStr">
        <is>
          <t>work panchayat samiti BONLI all ground and room and bathroom toilet clening and daily saaf safai atal seva kendra and quaters</t>
        </is>
      </c>
      <c r="G712" t="inlineStr">
        <is>
          <t>ps bonli</t>
        </is>
      </c>
    </row>
    <row r="713">
      <c r="A713" s="1" t="n">
        <v>711</v>
      </c>
      <c r="B713">
        <f>HYPERLINK("https://eproc.rajasthan.gov.in/nicgep/app?component=%24DirectLink&amp;page=FrontEndViewTender&amp;service=direct&amp;session=T&amp;sp=SpjQzkpcHnt2jSaysVV2QMQ%3D%3D", "Work Including Garbage Collection and Separation from Households and Commercial Establishments Road and Drain Cleaning Cleaning and death animals gp salected palce despose of CSCs in all villages of Gram Panchayat Galad kalan E-NIT No. 03/2025-26 BDO")</f>
        <v/>
      </c>
      <c r="C713" t="inlineStr">
        <is>
          <t>Panchayati Raj Department||Secretary and Commissioner||CEO-S.MADHOPUR||BDO-BOLI</t>
        </is>
      </c>
      <c r="D713" t="inlineStr">
        <is>
          <t>26-May-2025 06:00 PM</t>
        </is>
      </c>
      <c r="E713" t="inlineStr">
        <is>
          <t>8,66,000</t>
        </is>
      </c>
      <c r="F713" t="inlineStr">
        <is>
          <t>Work Including Garbage Collection and Separation from Households and Commercial Establishments Road and Drain Cleaning Cleaning and death animals gp salected palce despose of CSCs in all villages of Gram Panchayat Galad kalan E-NIT No. 03/2025-26 BDO</t>
        </is>
      </c>
      <c r="G713" t="inlineStr">
        <is>
          <t>ps bonli</t>
        </is>
      </c>
    </row>
    <row r="714">
      <c r="A714" s="1" t="n">
        <v>712</v>
      </c>
      <c r="B714">
        <f>HYPERLINK("https://eproc.rajasthan.gov.in/nicgep/app?component=%24DirectLink&amp;page=FrontEndViewTender&amp;service=direct&amp;session=T&amp;sp=SaX22VdVTCL1o3G2Cxh6ing%3D%3D", "4 SUPPLY OF CONST. MATER. AND EQUIP. FOR YR 2025-26 AS PER BSR AT PS BAGIDORA GP BODIGAMA")</f>
        <v/>
      </c>
      <c r="C714" t="inlineStr">
        <is>
          <t>Panchayati Raj Department||Secretary and Commissioner||CEO-BANSWARA||BDO-BAGIDORA</t>
        </is>
      </c>
      <c r="D714" t="inlineStr">
        <is>
          <t>26-May-2025 06:00 PM</t>
        </is>
      </c>
      <c r="E714" t="inlineStr">
        <is>
          <t>50,00,000</t>
        </is>
      </c>
      <c r="F714" t="inlineStr">
        <is>
          <t>4 SUPPLY OF CONST. MATER. AND EQUIP. FOR YR 2025-26 AS PER BSR AT PS BAGIDORA GP BODIGAMA</t>
        </is>
      </c>
      <c r="G714" t="inlineStr">
        <is>
          <t>BAGIDORA</t>
        </is>
      </c>
    </row>
    <row r="715">
      <c r="A715" s="1" t="n">
        <v>713</v>
      </c>
      <c r="B715">
        <f>HYPERLINK("https://eproc.rajasthan.gov.in/nicgep/app?component=%24DirectLink&amp;page=FrontEndViewTender&amp;service=direct&amp;session=T&amp;sp=SQjE%2B6WVXuhehEd%2FCvYRfBw%3D%3D", "3 SUPPLY OF CONST. MATER. AND EQUIP. FOR YR 2025-26 AS PER BSR AT PS BAGIDORA GP BARIGAMA")</f>
        <v/>
      </c>
      <c r="C715" t="inlineStr">
        <is>
          <t>Panchayati Raj Department||Secretary and Commissioner||CEO-BANSWARA||BDO-BAGIDORA</t>
        </is>
      </c>
      <c r="D715" t="inlineStr">
        <is>
          <t>26-May-2025 06:00 PM</t>
        </is>
      </c>
      <c r="E715" t="inlineStr">
        <is>
          <t>50,00,000</t>
        </is>
      </c>
      <c r="F715" t="inlineStr">
        <is>
          <t>3 SUPPLY OF CONST. MATER. AND EQUIP. FOR YR 2025-26 AS PER BSR AT PS BAGIDORA GP BARIGAMA</t>
        </is>
      </c>
      <c r="G715" t="inlineStr">
        <is>
          <t>BAGIDORA</t>
        </is>
      </c>
    </row>
    <row r="716">
      <c r="A716" s="1" t="n">
        <v>714</v>
      </c>
      <c r="B716">
        <f>HYPERLINK("https://eproc.rajasthan.gov.in/nicgep/app?component=%24DirectLink&amp;page=FrontEndViewTender&amp;service=direct&amp;session=T&amp;sp=SkLnjaURNK0Gou57qAqnt7g%3D%3D", "SUPPLY OF CONSTRUCION MATERAIL FOR NREGA AND OTHER SCHEME IN FY 2025-26 IN GP MORIJA")</f>
        <v/>
      </c>
      <c r="C716" t="inlineStr">
        <is>
          <t>Panchayati Raj Department||Secretary and Commissioner||CEO- JAIPUR||BDO-GOVINDGARH</t>
        </is>
      </c>
      <c r="D716" t="inlineStr">
        <is>
          <t>04-Jun-2025 10:00 AM</t>
        </is>
      </c>
      <c r="E716" t="inlineStr">
        <is>
          <t>95,00,000</t>
        </is>
      </c>
      <c r="F716" t="inlineStr">
        <is>
          <t>SUPPLY OF CONSTRUCION MATERAIL FOR NREGA AND OTHER SCHEME IN FY 2025-26 IN GP MORIJA</t>
        </is>
      </c>
      <c r="G716" t="inlineStr">
        <is>
          <t>Gram panchayat HQ</t>
        </is>
      </c>
    </row>
    <row r="717">
      <c r="A717" s="1" t="n">
        <v>715</v>
      </c>
      <c r="B717">
        <f>HYPERLINK("https://eproc.rajasthan.gov.in/nicgep/app?component=%24DirectLink&amp;page=FrontEndViewTender&amp;service=direct&amp;session=T&amp;sp=SBPrH8sqklZi4ZTPLdIevcA%3D%3D", "2 SUPPLY OF CONST. MATER. AND EQUIP. FOR YR 2025-26 AS PER BSR AT PS BAGIDORA GP BARI")</f>
        <v/>
      </c>
      <c r="C717" t="inlineStr">
        <is>
          <t>Panchayati Raj Department||Secretary and Commissioner||CEO-BANSWARA||BDO-BAGIDORA</t>
        </is>
      </c>
      <c r="D717" t="inlineStr">
        <is>
          <t>26-May-2025 06:00 PM</t>
        </is>
      </c>
      <c r="E717" t="inlineStr">
        <is>
          <t>50,00,000</t>
        </is>
      </c>
      <c r="F717" t="inlineStr">
        <is>
          <t>2 SUPPLY OF CONST. MATER. AND EQUIP. FOR YR 2025-26 AS PER BSR AT PS BAGIDORA GP BARI</t>
        </is>
      </c>
      <c r="G717" t="inlineStr">
        <is>
          <t>BAGIDORA</t>
        </is>
      </c>
    </row>
    <row r="718">
      <c r="A718" s="1" t="n">
        <v>716</v>
      </c>
      <c r="B718">
        <f>HYPERLINK("https://eproc.rajasthan.gov.in/nicgep/app?component=%24DirectLink&amp;page=FrontEndViewTender&amp;service=direct&amp;session=T&amp;sp=SZebeD7sw29jna1nrgssjRw%3D%3D", "SUPPLY OF CONSTRUCION MATERAIL FOR NREGA AND OTHER SCHEME IN FY 2025-26 IN GP NANGAL KALA")</f>
        <v/>
      </c>
      <c r="C718" t="inlineStr">
        <is>
          <t>Panchayati Raj Department||Secretary and Commissioner||CEO- JAIPUR||BDO-GOVINDGARH</t>
        </is>
      </c>
      <c r="D718" t="inlineStr">
        <is>
          <t>04-Jun-2025 10:00 AM</t>
        </is>
      </c>
      <c r="E718" t="inlineStr">
        <is>
          <t>50,00,000</t>
        </is>
      </c>
      <c r="F718" t="inlineStr">
        <is>
          <t>SUPPLY OF CONSTRUCION MATERAIL FOR NREGA AND OTHER SCHEME IN FY 2025-26 IN GP NANGAL KALA</t>
        </is>
      </c>
      <c r="G718" t="inlineStr">
        <is>
          <t>Gram panchayat HQ</t>
        </is>
      </c>
    </row>
    <row r="719">
      <c r="A719" s="1" t="n">
        <v>717</v>
      </c>
      <c r="B719">
        <f>HYPERLINK("https://eproc.rajasthan.gov.in/nicgep/app?component=%24DirectLink&amp;page=FrontEndViewTender&amp;service=direct&amp;session=T&amp;sp=Sz%2FumHZqAvRkRtVWmh7Bldw%3D%3D", "Work Including Garbage Collection and Separation from Households and Commercial Establishments Road and Drain Cleaning Cleaning and death animals gp salected palce despose of CSCs in all villages of Gram Panchayat Jastana E-NIT No. 03/2025-26")</f>
        <v/>
      </c>
      <c r="C719" t="inlineStr">
        <is>
          <t>Panchayati Raj Department||Secretary and Commissioner||CEO-S.MADHOPUR||BDO-BOLI</t>
        </is>
      </c>
      <c r="D719" t="inlineStr">
        <is>
          <t>26-May-2025 06:00 PM</t>
        </is>
      </c>
      <c r="E719" t="inlineStr">
        <is>
          <t>10,82,000</t>
        </is>
      </c>
      <c r="F719" t="inlineStr">
        <is>
          <t>Work Including Garbage Collection and Separation from Households and Commercial Establishments Road and Drain Cleaning Cleaning and death animals gp salected palce despose of CSCs in all villages of Gram Panchayat Jastana E-NIT No. 03/2025-26</t>
        </is>
      </c>
      <c r="G719" t="inlineStr">
        <is>
          <t>ps bonli</t>
        </is>
      </c>
    </row>
    <row r="720">
      <c r="A720" s="1" t="n">
        <v>718</v>
      </c>
      <c r="B720">
        <f>HYPERLINK("https://eproc.rajasthan.gov.in/nicgep/app?component=%24DirectLink&amp;page=FrontEndViewTender&amp;service=direct&amp;session=T&amp;sp=StC5d15v84oVj6IdWHYnUVg%3D%3D", "cleaning and sanitation work for gp DHONDH")</f>
        <v/>
      </c>
      <c r="C720" t="inlineStr">
        <is>
          <t>Panchayati Raj Department||Secretary and Commissioner||CEO-DHOLPUR||BDO-SARMATHURA</t>
        </is>
      </c>
      <c r="D720" t="inlineStr">
        <is>
          <t>23-May-2025 06:00 PM</t>
        </is>
      </c>
      <c r="E720" t="inlineStr">
        <is>
          <t>6,30,000</t>
        </is>
      </c>
      <c r="F720" t="inlineStr">
        <is>
          <t>cleaning and sanitation work for gp DHONDH</t>
        </is>
      </c>
      <c r="G720" t="inlineStr">
        <is>
          <t>PS SARMATHURA</t>
        </is>
      </c>
    </row>
    <row r="721">
      <c r="A721" s="1" t="n">
        <v>719</v>
      </c>
      <c r="B721">
        <f>HYPERLINK("https://eproc.rajasthan.gov.in/nicgep/app?component=%24DirectLink&amp;page=FrontEndViewTender&amp;service=direct&amp;session=T&amp;sp=S3WrGAhQGVK4%2F5eTbQJSDJg%3D%3D", "16 SUPPLY OF CONST. MATER. AND EQUIP. FOR YR 2025-26 AS PER BSR AT PS BAGIDORA GP VANELAPADA")</f>
        <v/>
      </c>
      <c r="C721" t="inlineStr">
        <is>
          <t>Panchayati Raj Department||Secretary and Commissioner||CEO-BANSWARA||BDO-BAGIDORA</t>
        </is>
      </c>
      <c r="D721" t="inlineStr">
        <is>
          <t>26-May-2025 06:00 PM</t>
        </is>
      </c>
      <c r="E721" t="inlineStr">
        <is>
          <t>50,00,000</t>
        </is>
      </c>
      <c r="F721" t="inlineStr">
        <is>
          <t>16 SUPPLY OF CONST. MATER. AND EQUIP. FOR YR 2025-26 AS PER BSR AT PS BAGIDORA GP VANELAPADA</t>
        </is>
      </c>
      <c r="G721" t="inlineStr">
        <is>
          <t>BAGIDORA</t>
        </is>
      </c>
    </row>
    <row r="722">
      <c r="A722" s="1" t="n">
        <v>720</v>
      </c>
      <c r="B722">
        <f>HYPERLINK("https://eproc.rajasthan.gov.in/nicgep/app?component=%24DirectLink&amp;page=FrontEndViewTender&amp;service=direct&amp;session=T&amp;sp=S42POdPNY%2BcqYnR6l6Ynv2g%3D%3D", "SUPPLY OF CONSTRUCION MATERAIL FOR NREGA AND OTHER SCHEME IN FY 2025-26 IN GP NANGAL GOVIND")</f>
        <v/>
      </c>
      <c r="C722" t="inlineStr">
        <is>
          <t>Panchayati Raj Department||Secretary and Commissioner||CEO- JAIPUR||BDO-GOVINDGARH</t>
        </is>
      </c>
      <c r="D722" t="inlineStr">
        <is>
          <t>04-Jun-2025 10:00 AM</t>
        </is>
      </c>
      <c r="E722" t="inlineStr">
        <is>
          <t>50,00,000</t>
        </is>
      </c>
      <c r="F722" t="inlineStr">
        <is>
          <t>SUPPLY OF CONSTRUCION MATERAIL FOR NREGA AND OTHER SCHEME IN FY 2025-26 IN GP NANGAL GOVIND</t>
        </is>
      </c>
      <c r="G722" t="inlineStr">
        <is>
          <t>Gram panchayat HQ</t>
        </is>
      </c>
    </row>
    <row r="723">
      <c r="A723" s="1" t="n">
        <v>721</v>
      </c>
      <c r="B723">
        <f>HYPERLINK("https://eproc.rajasthan.gov.in/nicgep/app?component=%24DirectLink&amp;page=FrontEndViewTender&amp;service=direct&amp;session=T&amp;sp=SIcX7UTIwWoIqv4FoMjNySA%3D%3D", "Work Including Garbage Collection and Separation from Households and Commercial Establishments Road and Drain Cleaning Cleaning and death animals gp salected palce despose of CSCs in all villages of Gram Panchayat Kodyai E-NIT No. 03/2025-26 BDO Bon")</f>
        <v/>
      </c>
      <c r="C723" t="inlineStr">
        <is>
          <t>Panchayati Raj Department||Secretary and Commissioner||CEO-S.MADHOPUR||BDO-BOLI</t>
        </is>
      </c>
      <c r="D723" t="inlineStr">
        <is>
          <t>26-May-2025 06:00 PM</t>
        </is>
      </c>
      <c r="E723" t="inlineStr">
        <is>
          <t>10,22,000</t>
        </is>
      </c>
      <c r="F723" t="inlineStr">
        <is>
          <t>Work Including Garbage Collection and Separation from Households and Commercial Establishments Road and Drain Cleaning Cleaning and death animals gp salected palce despose of CSCs in all villages of Gram Panchayat Kodyai E-NIT No. 03/2025-26 BDO Bon</t>
        </is>
      </c>
      <c r="G723" t="inlineStr">
        <is>
          <t>ps bonli</t>
        </is>
      </c>
    </row>
    <row r="724">
      <c r="A724" s="1" t="n">
        <v>722</v>
      </c>
      <c r="B724">
        <f>HYPERLINK("https://eproc.rajasthan.gov.in/nicgep/app?component=%24DirectLink&amp;page=FrontEndViewTender&amp;service=direct&amp;session=T&amp;sp=SSwtauJyFmViJw5BPE3fTIw%3D%3D", "SUPPLY OF CONSTRUCION MATERAIL FOR NREGA AND OTHER SCHEME IN FY 2025-26 IN GP MANDA BHINDA")</f>
        <v/>
      </c>
      <c r="C724" t="inlineStr">
        <is>
          <t>Panchayati Raj Department||Secretary and Commissioner||CEO- JAIPUR||BDO-GOVINDGARH</t>
        </is>
      </c>
      <c r="D724" t="inlineStr">
        <is>
          <t>04-Jun-2025 10:00 AM</t>
        </is>
      </c>
      <c r="E724" t="inlineStr">
        <is>
          <t>50,00,000</t>
        </is>
      </c>
      <c r="F724" t="inlineStr">
        <is>
          <t>SUPPLY OF CONSTRUCION MATERAIL FOR NREGA AND OTHER SCHEME IN FY 2025-26 IN GP MANDA BHINDA</t>
        </is>
      </c>
      <c r="G724" t="inlineStr">
        <is>
          <t>Gram panchayat HQ</t>
        </is>
      </c>
    </row>
    <row r="725">
      <c r="A725" s="1" t="n">
        <v>723</v>
      </c>
      <c r="B725">
        <f>HYPERLINK("https://eproc.rajasthan.gov.in/nicgep/app?component=%24DirectLink&amp;page=FrontEndViewTender&amp;service=direct&amp;session=T&amp;sp=Ss8ASZIHZPOpQloxnwlLRfw%3D%3D", "15 SUPPLY OF CONST. MATER. AND EQUIP. FOR YR 2025-26 AS PER BSR AT PS BAGIDORA GP UMMEDGARHI")</f>
        <v/>
      </c>
      <c r="C725" t="inlineStr">
        <is>
          <t>Panchayati Raj Department||Secretary and Commissioner||CEO-BANSWARA||BDO-BAGIDORA</t>
        </is>
      </c>
      <c r="D725" t="inlineStr">
        <is>
          <t>26-May-2025 06:00 PM</t>
        </is>
      </c>
      <c r="E725" t="inlineStr">
        <is>
          <t>50,00,000</t>
        </is>
      </c>
      <c r="F725" t="inlineStr">
        <is>
          <t>15 SUPPLY OF CONST. MATER. AND EQUIP. FOR YR 2025-26 AS PER BSR AT PS BAGIDORA GP UMMEDGARHI</t>
        </is>
      </c>
      <c r="G725" t="inlineStr">
        <is>
          <t>BAGIDORA</t>
        </is>
      </c>
    </row>
    <row r="726">
      <c r="A726" s="1" t="n">
        <v>724</v>
      </c>
      <c r="B726">
        <f>HYPERLINK("https://eproc.rajasthan.gov.in/nicgep/app?component=%24DirectLink&amp;page=FrontEndViewTender&amp;service=direct&amp;session=T&amp;sp=SvuFlhL4Ps9FKSD7MrvGnUA%3D%3D", "Work Including Garbage Collection and Separation from Households and Commercial Establishments Road and Drain Cleaning Cleaning and death animals gp salected palce despose of CSCs in all villages of Gram Panchayat Datool E-NIT No. 03/2025-26")</f>
        <v/>
      </c>
      <c r="C726" t="inlineStr">
        <is>
          <t>Panchayati Raj Department||Secretary and Commissioner||CEO-S.MADHOPUR||BDO-BOLI</t>
        </is>
      </c>
      <c r="D726" t="inlineStr">
        <is>
          <t>26-May-2025 06:00 PM</t>
        </is>
      </c>
      <c r="E726" t="inlineStr">
        <is>
          <t>8,30,000</t>
        </is>
      </c>
      <c r="F726" t="inlineStr">
        <is>
          <t>Work Including Garbage Collection and Separation from Households and Commercial Establishments Road and Drain Cleaning Cleaning and death animals gp salected palce despose of CSCs in all villages of Gram Panchayat Datool E-NIT No. 03/2025-26</t>
        </is>
      </c>
      <c r="G726" t="inlineStr">
        <is>
          <t>ps bonli</t>
        </is>
      </c>
    </row>
    <row r="727">
      <c r="A727" s="1" t="n">
        <v>725</v>
      </c>
      <c r="B727">
        <f>HYPERLINK("https://eproc.rajasthan.gov.in/nicgep/app?component=%24DirectLink&amp;page=FrontEndViewTender&amp;service=direct&amp;session=T&amp;sp=SwFEWOFPZ7bRasR1RHm5%2FMw%3D%3D", "cleaning and sanitation work for gp GOLARI")</f>
        <v/>
      </c>
      <c r="C727" t="inlineStr">
        <is>
          <t>Panchayati Raj Department||Secretary and Commissioner||CEO-DHOLPUR||BDO-SARMATHURA</t>
        </is>
      </c>
      <c r="D727" t="inlineStr">
        <is>
          <t>23-May-2025 06:00 PM</t>
        </is>
      </c>
      <c r="E727" t="inlineStr">
        <is>
          <t>5,83,000</t>
        </is>
      </c>
      <c r="F727" t="inlineStr">
        <is>
          <t>cleaning and sanitation work for gp GOLARI</t>
        </is>
      </c>
      <c r="G727" t="inlineStr">
        <is>
          <t>PS SARMATHURA</t>
        </is>
      </c>
    </row>
    <row r="728">
      <c r="A728" s="1" t="n">
        <v>726</v>
      </c>
      <c r="B728">
        <f>HYPERLINK("https://eproc.rajasthan.gov.in/nicgep/app?component=%24DirectLink&amp;page=FrontEndViewTender&amp;service=direct&amp;session=T&amp;sp=S%2FNndiKtV1ad4wE3VLhxN1w%3D%3D", "Const. of CC road from Koliya Gali to Public Samsan in Raira Kallan")</f>
        <v/>
      </c>
      <c r="C728" t="inlineStr">
        <is>
          <t>Panchayati Raj Department||Secretary and Commissioner||CEO-PALI||BDO-SOJAT</t>
        </is>
      </c>
      <c r="D728" t="inlineStr">
        <is>
          <t>24-May-2025 06:00 PM</t>
        </is>
      </c>
      <c r="E728" t="inlineStr">
        <is>
          <t>10,98,000</t>
        </is>
      </c>
      <c r="F728" t="inlineStr">
        <is>
          <t>Const. of CC road from Koliya Gali to Public Samsan in Raira Kallan</t>
        </is>
      </c>
      <c r="G728" t="inlineStr">
        <is>
          <t>raira kallan</t>
        </is>
      </c>
    </row>
    <row r="729">
      <c r="A729" s="1" t="n">
        <v>727</v>
      </c>
      <c r="B729">
        <f>HYPERLINK("https://eproc.rajasthan.gov.in/nicgep/app?component=%24DirectLink&amp;page=FrontEndViewTender&amp;service=direct&amp;session=T&amp;sp=SKLrJQP9dL57nPuNXnmp3Qg%3D%3D", "11 SUPPLY OF CONST. MATER. AND EQUIP. FOR YR 2025-26 AS PER BSR AT PS BAGIDORA GP MANGLIYADAIRA")</f>
        <v/>
      </c>
      <c r="C729" t="inlineStr">
        <is>
          <t>Panchayati Raj Department||Secretary and Commissioner||CEO-BANSWARA||BDO-BAGIDORA</t>
        </is>
      </c>
      <c r="D729" t="inlineStr">
        <is>
          <t>26-May-2025 06:00 PM</t>
        </is>
      </c>
      <c r="E729" t="inlineStr">
        <is>
          <t>50,00,000</t>
        </is>
      </c>
      <c r="F729" t="inlineStr">
        <is>
          <t>11 SUPPLY OF CONST. MATER. AND EQUIP. FOR YR 2025-26 AS PER BSR AT PS BAGIDORA GP MANGLIYADAIRA</t>
        </is>
      </c>
      <c r="G729" t="inlineStr">
        <is>
          <t>BAGIDORA</t>
        </is>
      </c>
    </row>
    <row r="730">
      <c r="A730" s="1" t="n">
        <v>728</v>
      </c>
      <c r="B730">
        <f>HYPERLINK("https://eproc.rajasthan.gov.in/nicgep/app?component=%24DirectLink&amp;page=FrontEndViewTender&amp;service=direct&amp;session=T&amp;sp=S7MeGwOtMF8s1OCc6Rzi%2BMw%3D%3D", "9 SUPPLY OF CONST. MATER. AND EQUIP. FOR YR 2025-26 AS PER BSR AT PS BAGIDORA GP KARJI")</f>
        <v/>
      </c>
      <c r="C730" t="inlineStr">
        <is>
          <t>Panchayati Raj Department||Secretary and Commissioner||CEO-BANSWARA||BDO-BAGIDORA</t>
        </is>
      </c>
      <c r="D730" t="inlineStr">
        <is>
          <t>26-May-2025 06:00 PM</t>
        </is>
      </c>
      <c r="E730" t="inlineStr">
        <is>
          <t>50,00,000</t>
        </is>
      </c>
      <c r="F730" t="inlineStr">
        <is>
          <t>9 SUPPLY OF CONST. MATER. AND EQUIP. FOR YR 2025-26 AS PER BSR AT PS BAGIDORA GP KARJI</t>
        </is>
      </c>
      <c r="G730" t="inlineStr">
        <is>
          <t>BAGIDORA</t>
        </is>
      </c>
    </row>
    <row r="731">
      <c r="A731" s="1" t="n">
        <v>729</v>
      </c>
      <c r="B731">
        <f>HYPERLINK("https://eproc.rajasthan.gov.in/nicgep/app?component=%24DirectLink&amp;page=FrontEndViewTender&amp;service=direct&amp;session=T&amp;sp=Sq7VUs3K%2F%2B6SavfVwDSzyVw%3D%3D", "SUPPLY OF CONSTRUCION MATERAIL FOR NREGA AND OTHER SCHEME IN FY 2025-26 IN GP KISHANPURA")</f>
        <v/>
      </c>
      <c r="C731" t="inlineStr">
        <is>
          <t>Panchayati Raj Department||Secretary and Commissioner||CEO- JAIPUR||BDO-GOVINDGARH</t>
        </is>
      </c>
      <c r="D731" t="inlineStr">
        <is>
          <t>04-Jun-2025 10:00 AM</t>
        </is>
      </c>
      <c r="E731" t="inlineStr">
        <is>
          <t>50,00,000</t>
        </is>
      </c>
      <c r="F731" t="inlineStr">
        <is>
          <t>SUPPLY OF CONSTRUCION MATERAIL FOR NREGA AND OTHER SCHEME IN FY 2025-26 IN GP KISHANPURA</t>
        </is>
      </c>
      <c r="G731" t="inlineStr">
        <is>
          <t>Gram panchayat HQ</t>
        </is>
      </c>
    </row>
    <row r="732">
      <c r="A732" s="1" t="n">
        <v>730</v>
      </c>
      <c r="B732">
        <f>HYPERLINK("https://eproc.rajasthan.gov.in/nicgep/app?component=%24DirectLink&amp;page=FrontEndViewTender&amp;service=direct&amp;session=T&amp;sp=SdcQxZL7Wpv7%2F9OnuVvp0yw%3D%3D", "SUPPLY OF CONSTRUCION MATERAIL FOR NREGA AND OTHER SCHEME IN FY 2025-26 IN GP JATAWALI")</f>
        <v/>
      </c>
      <c r="C732" t="inlineStr">
        <is>
          <t>Panchayati Raj Department||Secretary and Commissioner||CEO- JAIPUR||BDO-GOVINDGARH</t>
        </is>
      </c>
      <c r="D732" t="inlineStr">
        <is>
          <t>04-Jun-2025 10:00 AM</t>
        </is>
      </c>
      <c r="E732" t="inlineStr">
        <is>
          <t>85,00,000</t>
        </is>
      </c>
      <c r="F732" t="inlineStr">
        <is>
          <t>SUPPLY OF CONSTRUCION MATERAIL FOR NREGA AND OTHER SCHEME IN FY 2025-26 IN GP JATAWALI</t>
        </is>
      </c>
      <c r="G732" t="inlineStr">
        <is>
          <t>Gram panchayat HQ</t>
        </is>
      </c>
    </row>
    <row r="733">
      <c r="A733" s="1" t="n">
        <v>731</v>
      </c>
      <c r="B733">
        <f>HYPERLINK("https://eproc.rajasthan.gov.in/nicgep/app?component=%24DirectLink&amp;page=FrontEndViewTender&amp;service=direct&amp;session=T&amp;sp=Ss7k%2Fu7r5AD0lIjuJKXZq%2Fg%3D%3D", "material supply in gp malkeda")</f>
        <v/>
      </c>
      <c r="C733" t="inlineStr">
        <is>
          <t>Panchayati Raj Department||Secretary and Commissioner||CEO-SIKAR||BDO-PIPARALI</t>
        </is>
      </c>
      <c r="D733" t="inlineStr">
        <is>
          <t>27-May-2025 06:00 PM</t>
        </is>
      </c>
      <c r="E733" t="inlineStr">
        <is>
          <t>50,00,000</t>
        </is>
      </c>
      <c r="F733" t="inlineStr">
        <is>
          <t>material supply in gp malkeda and villages in year 2025-26</t>
        </is>
      </c>
      <c r="G733" t="inlineStr">
        <is>
          <t>gp malkeda</t>
        </is>
      </c>
    </row>
    <row r="734">
      <c r="A734" s="1" t="n">
        <v>732</v>
      </c>
      <c r="B734">
        <f>HYPERLINK("https://eproc.rajasthan.gov.in/nicgep/app?component=%24DirectLink&amp;page=FrontEndViewTender&amp;service=direct&amp;session=T&amp;sp=SnHYWFHAyivQ1uFk0EbOEQQ%3D%3D", "10 SUPPLY OF CONST. MATER. AND EQUIP. FOR YR 2025-26 AS PER BSR AT PS BAGIDORA GP KHOKHARWA")</f>
        <v/>
      </c>
      <c r="C734" t="inlineStr">
        <is>
          <t>Panchayati Raj Department||Secretary and Commissioner||CEO-BANSWARA||BDO-BAGIDORA</t>
        </is>
      </c>
      <c r="D734" t="inlineStr">
        <is>
          <t>26-May-2025 06:00 PM</t>
        </is>
      </c>
      <c r="E734" t="inlineStr">
        <is>
          <t>50,00,000</t>
        </is>
      </c>
      <c r="F734" t="inlineStr">
        <is>
          <t>10 SUPPLY OF CONST. MATER. AND EQUIP. FOR YR 2025-26 AS PER BSR AT PS BAGIDORA GP KHOKHARWA</t>
        </is>
      </c>
      <c r="G734" t="inlineStr">
        <is>
          <t>BAGIDORA</t>
        </is>
      </c>
    </row>
    <row r="735">
      <c r="A735" s="1" t="n">
        <v>733</v>
      </c>
      <c r="B735">
        <f>HYPERLINK("https://eproc.rajasthan.gov.in/nicgep/app?component=%24DirectLink&amp;page=FrontEndViewTender&amp;service=direct&amp;session=T&amp;sp=ScrM2G7nhczgEnBxhIqpbZg%3D%3D", "CHAR DIWARI NIRMAN KARYA SHAMSAN GHAT SITARAMPURA")</f>
        <v/>
      </c>
      <c r="C735" t="inlineStr">
        <is>
          <t>Panchayati Raj Department||Secretary and Commissioner||CEO- JAIPUR||BDO-MADHORAJ PURA</t>
        </is>
      </c>
      <c r="D735" t="inlineStr">
        <is>
          <t>21-May-2025 02:00 PM</t>
        </is>
      </c>
      <c r="E735" t="inlineStr">
        <is>
          <t>9,96,000</t>
        </is>
      </c>
      <c r="F735" t="inlineStr">
        <is>
          <t>CHAR DIWARI NIRMAN KARYA SHAMSAN GHAT SITARAMPURA</t>
        </is>
      </c>
      <c r="G735" t="inlineStr">
        <is>
          <t>gram panchayat</t>
        </is>
      </c>
    </row>
    <row r="736">
      <c r="A736" s="1" t="n">
        <v>734</v>
      </c>
      <c r="B736">
        <f>HYPERLINK("https://eproc.rajasthan.gov.in/nicgep/app?component=%24DirectLink&amp;page=FrontEndViewTender&amp;service=direct&amp;session=T&amp;sp=SRjIp%2FfSSNZxH0JZwRE%2B7JA%3D%3D", "Supply Of Civil Constriction Goods Under Mnrega and Other scheme for session 2025-26 Gram Panchayat Somka Panchayat Samiti Pahadi")</f>
        <v/>
      </c>
      <c r="C736" t="inlineStr">
        <is>
          <t>Panchayati Raj Department||Secretary and Commissioner||CEO-BHARATPUR||BDO-NAGAR</t>
        </is>
      </c>
      <c r="D736" t="inlineStr">
        <is>
          <t>02-Jun-2025 06:00 PM</t>
        </is>
      </c>
      <c r="E736" t="inlineStr">
        <is>
          <t>70,00,000</t>
        </is>
      </c>
      <c r="F736" t="inlineStr">
        <is>
          <t>Supply Of Civil Constriction Goods Under Mnrega and Other scheme for session 2025-26 Gram Panchayat Somka Panchayat Samiti Pahadi</t>
        </is>
      </c>
      <c r="G736" t="inlineStr">
        <is>
          <t>GP_SOMKA</t>
        </is>
      </c>
    </row>
    <row r="737">
      <c r="A737" s="1" t="n">
        <v>735</v>
      </c>
      <c r="B737">
        <f>HYPERLINK("https://eproc.rajasthan.gov.in/nicgep/app?component=%24DirectLink&amp;page=FrontEndViewTender&amp;service=direct&amp;session=T&amp;sp=SZaWSHjJ%2FM8swG%2BTyWIX3UQ%3D%3D", "Rate contract For Supply of Construction Material and Providing Equipments for NREGA, RD and PR Schemes at Gram Panchayat Jopada Panchayat Samiti DAUSA Dist Dausa For FY 2025-26 up to 31 March 2026")</f>
        <v/>
      </c>
      <c r="C737" t="inlineStr">
        <is>
          <t>Panchayati Raj Department||Secretary and Commissioner||CEO-DAUSA||BDO-DAUSA</t>
        </is>
      </c>
      <c r="D737" t="inlineStr">
        <is>
          <t>28-May-2025 09:30 AM</t>
        </is>
      </c>
      <c r="E737" t="inlineStr">
        <is>
          <t>70,00,000</t>
        </is>
      </c>
      <c r="F737" t="inlineStr">
        <is>
          <t>Rate contract For Supply of Construction Material and Providing Equipments for NREGA, RD and PR Schemes at Gram Panchayat Jopada Panchayat Samiti DAUSA Dist Dausa For FY 2025-26 up to 31 March 2026</t>
        </is>
      </c>
      <c r="G737" t="inlineStr">
        <is>
          <t>Jopada</t>
        </is>
      </c>
    </row>
    <row r="738">
      <c r="A738" s="1" t="n">
        <v>736</v>
      </c>
      <c r="B738">
        <f>HYPERLINK("https://eproc.rajasthan.gov.in/nicgep/app?component=%24DirectLink&amp;page=FrontEndViewTender&amp;service=direct&amp;session=T&amp;sp=SKUeBPbjZyqmcBE3ye%2B9O%2BA%3D%3D", "SUPPLY OF CONSTRUCION MATERAIL FOR NREGA AND OTHER SCHEME IN FY 2025-26 IN GP MAHARKALA")</f>
        <v/>
      </c>
      <c r="C738" t="inlineStr">
        <is>
          <t>Panchayati Raj Department||Secretary and Commissioner||CEO- JAIPUR||BDO-GOVINDGARH</t>
        </is>
      </c>
      <c r="D738" t="inlineStr">
        <is>
          <t>04-Jun-2025 10:00 AM</t>
        </is>
      </c>
      <c r="E738" t="inlineStr">
        <is>
          <t>91,00,000</t>
        </is>
      </c>
      <c r="F738" t="inlineStr">
        <is>
          <t>SUPPLY OF CONSTRUCION MATERAIL FOR NREGA AND OTHER SCHEME IN FY 2025-26 IN GP MAHARKALA</t>
        </is>
      </c>
      <c r="G738" t="inlineStr">
        <is>
          <t>Gram panchayat HQ</t>
        </is>
      </c>
    </row>
    <row r="739">
      <c r="A739" s="1" t="n">
        <v>737</v>
      </c>
      <c r="B739">
        <f>HYPERLINK("https://eproc.rajasthan.gov.in/nicgep/app?component=%24DirectLink&amp;page=FrontEndViewTender&amp;service=direct&amp;session=T&amp;sp=SRzvnZ78tgZqwreJ0%2B7qNvw%3D%3D", "Supply Of Civil Constriction Goods Under Mnrega and Other scheme for session 2025-26 Gram Panchayat Bodoli Dahar Panchayat Samiti Pahadi")</f>
        <v/>
      </c>
      <c r="C739" t="inlineStr">
        <is>
          <t>Panchayati Raj Department||Secretary and Commissioner||CEO-BHARATPUR||BDO-NAGAR</t>
        </is>
      </c>
      <c r="D739" t="inlineStr">
        <is>
          <t>02-Jun-2025 06:00 PM</t>
        </is>
      </c>
      <c r="E739" t="inlineStr">
        <is>
          <t>70,00,000</t>
        </is>
      </c>
      <c r="F739" t="inlineStr">
        <is>
          <t>Supply Of Civil Constriction Goods Under Mnrega and Other scheme for session 2025-26 Gram Panchayat Bodoli Dahar Panchayat Samiti Pahadi</t>
        </is>
      </c>
      <c r="G739" t="inlineStr">
        <is>
          <t>GP_BODOLI DAHAR</t>
        </is>
      </c>
    </row>
    <row r="740">
      <c r="A740" s="1" t="n">
        <v>738</v>
      </c>
      <c r="B740">
        <f>HYPERLINK("https://eproc.rajasthan.gov.in/nicgep/app?component=%24DirectLink&amp;page=FrontEndViewTender&amp;service=direct&amp;session=T&amp;sp=SUegdHFCbs0lwdH1wDNUSEQ%3D%3D", "SUPPLY OF CONSTRUCION MATERAIL FOR NREGA AND OTHER SCHEME IN FY 2025-26 IN GP MALIKPUR")</f>
        <v/>
      </c>
      <c r="C740" t="inlineStr">
        <is>
          <t>Panchayati Raj Department||Secretary and Commissioner||CEO- JAIPUR||BDO-GOVINDGARH</t>
        </is>
      </c>
      <c r="D740" t="inlineStr">
        <is>
          <t>04-Jun-2025 10:00 AM</t>
        </is>
      </c>
      <c r="E740" t="inlineStr">
        <is>
          <t>60,00,000</t>
        </is>
      </c>
      <c r="F740" t="inlineStr">
        <is>
          <t>SUPPLY OF CONSTRUCION MATERAIL FOR NREGA AND OTHER SCHEME IN FY 2025-26 IN GP MALIKPUR</t>
        </is>
      </c>
      <c r="G740" t="inlineStr">
        <is>
          <t>Gram panchayat HQ</t>
        </is>
      </c>
    </row>
    <row r="741">
      <c r="A741" s="1" t="n">
        <v>739</v>
      </c>
      <c r="B741">
        <f>HYPERLINK("https://eproc.rajasthan.gov.in/nicgep/app?component=%24DirectLink&amp;page=FrontEndViewTender&amp;service=direct&amp;session=T&amp;sp=SpmFqAnJLNtWpXt83XK%2BNeg%3D%3D", "Supply Of Civil Constriction Goods Under Mnrega and Other scheme for session 2025-26 Gram Panchayat Ladmka Panchayat Samiti Pahadi")</f>
        <v/>
      </c>
      <c r="C741" t="inlineStr">
        <is>
          <t>Panchayati Raj Department||Secretary and Commissioner||CEO-BHARATPUR||BDO-NAGAR</t>
        </is>
      </c>
      <c r="D741" t="inlineStr">
        <is>
          <t>02-Jun-2025 06:00 PM</t>
        </is>
      </c>
      <c r="E741" t="inlineStr">
        <is>
          <t>70,00,000</t>
        </is>
      </c>
      <c r="F741" t="inlineStr">
        <is>
          <t>Supply Of Civil Constriction Goods Under Mnrega and Other scheme for session 2025-26 Gram Panchayat Ladmka Panchayat Samiti Pahadi</t>
        </is>
      </c>
      <c r="G741" t="inlineStr">
        <is>
          <t>GP_LADMKA</t>
        </is>
      </c>
    </row>
    <row r="742">
      <c r="A742" s="1" t="n">
        <v>740</v>
      </c>
      <c r="B742">
        <f>HYPERLINK("https://eproc.rajasthan.gov.in/nicgep/app?component=%24DirectLink&amp;page=FrontEndViewTender&amp;service=direct&amp;session=T&amp;sp=SgJgPps1%2BBZ4vG%2BUphOi6mw%3D%3D", "Supply Of Civil Constriction Goods Under Mnrega and Other scheme for session 2025-26 Gram Panchayat Kathol Panchayat Samiti Pahadi")</f>
        <v/>
      </c>
      <c r="C742" t="inlineStr">
        <is>
          <t>Panchayati Raj Department||Secretary and Commissioner||CEO-BHARATPUR||BDO-NAGAR</t>
        </is>
      </c>
      <c r="D742" t="inlineStr">
        <is>
          <t>02-Jun-2025 06:00 PM</t>
        </is>
      </c>
      <c r="E742" t="inlineStr">
        <is>
          <t>70,00,000</t>
        </is>
      </c>
      <c r="F742" t="inlineStr">
        <is>
          <t>Supply Of Civil Constriction Goods Under Mnrega and Other scheme for session 2025-26 Gram Panchayat Kathol Panchayat Samiti Pahadi</t>
        </is>
      </c>
      <c r="G742" t="inlineStr">
        <is>
          <t>GP_KATHO</t>
        </is>
      </c>
    </row>
    <row r="743">
      <c r="A743" s="1" t="n">
        <v>741</v>
      </c>
      <c r="B743">
        <f>HYPERLINK("https://eproc.rajasthan.gov.in/nicgep/app?component=%24DirectLink&amp;page=FrontEndViewTender&amp;service=direct&amp;session=T&amp;sp=Sh9hu%2B5S8QEYqQDEgx%2FRDNQ%3D%3D", "Supply Of Civil Constriction Goods Under Mnrega and Other scheme for session 2025-26 Gram Panchayat Gangora Panchayat Samiti Pahadi")</f>
        <v/>
      </c>
      <c r="C743" t="inlineStr">
        <is>
          <t>Panchayati Raj Department||Secretary and Commissioner||CEO-BHARATPUR||BDO-NAGAR</t>
        </is>
      </c>
      <c r="D743" t="inlineStr">
        <is>
          <t>02-Jun-2025 06:00 PM</t>
        </is>
      </c>
      <c r="E743" t="inlineStr">
        <is>
          <t>70,00,000</t>
        </is>
      </c>
      <c r="F743" t="inlineStr">
        <is>
          <t>Supply Of Civil Constriction Goods Under Mnrega and Other scheme for session 2025-26 Gram Panchayat Gangora Panchayat Samiti Pahadi</t>
        </is>
      </c>
      <c r="G743" t="inlineStr">
        <is>
          <t>GP_GANGORA</t>
        </is>
      </c>
    </row>
    <row r="744">
      <c r="A744" s="1" t="n">
        <v>742</v>
      </c>
      <c r="B744">
        <f>HYPERLINK("https://eproc.rajasthan.gov.in/nicgep/app?component=%24DirectLink&amp;page=FrontEndViewTender&amp;service=direct&amp;session=T&amp;sp=S5U%2BZ1Km33zPbVjG%2BNOvusg%3D%3D", "14 SUPPLY OF CONST. MATER. AND EQUIP. FOR YR 2025-26 AS PER BSR AT PS BAGIDORA GP SOGPURA")</f>
        <v/>
      </c>
      <c r="C744" t="inlineStr">
        <is>
          <t>Panchayati Raj Department||Secretary and Commissioner||CEO-BANSWARA||BDO-BAGIDORA</t>
        </is>
      </c>
      <c r="D744" t="inlineStr">
        <is>
          <t>26-May-2025 06:00 PM</t>
        </is>
      </c>
      <c r="E744" t="inlineStr">
        <is>
          <t>50,00,000</t>
        </is>
      </c>
      <c r="F744" t="inlineStr">
        <is>
          <t>14 SUPPLY OF CONST. MATER. AND EQUIP. FOR YR 2025-26 AS PER BSR AT PS BAGIDORA GP SOGPURA</t>
        </is>
      </c>
      <c r="G744" t="inlineStr">
        <is>
          <t>BAGIDORA</t>
        </is>
      </c>
    </row>
    <row r="745">
      <c r="A745" s="1" t="n">
        <v>743</v>
      </c>
      <c r="B745">
        <f>HYPERLINK("https://eproc.rajasthan.gov.in/nicgep/app?component=%24DirectLink&amp;page=FrontEndViewTender&amp;service=direct&amp;session=T&amp;sp=SnFuITKx%2Bfm9hy5AHOO%2BTXQ%3D%3D", "Supply Of Civil Constriction Goods Under Mnrega and Other scheme for session 2025-26 Gram Panchayat Sahsan Panchayat Samiti Pahadi")</f>
        <v/>
      </c>
      <c r="C745" t="inlineStr">
        <is>
          <t>Panchayati Raj Department||Secretary and Commissioner||CEO-BHARATPUR||BDO-NAGAR</t>
        </is>
      </c>
      <c r="D745" t="inlineStr">
        <is>
          <t>02-Jun-2025 06:00 PM</t>
        </is>
      </c>
      <c r="E745" t="inlineStr">
        <is>
          <t>70,00,000</t>
        </is>
      </c>
      <c r="F745" t="inlineStr">
        <is>
          <t>Supply Of Civil Constriction Goods Under Mnrega and Other scheme for session 2025-26 Gram Panchayat Sahsan Panchayat Samiti Pahadi</t>
        </is>
      </c>
      <c r="G745" t="inlineStr">
        <is>
          <t>GP_SAHSAN</t>
        </is>
      </c>
    </row>
    <row r="746">
      <c r="A746" s="1" t="n">
        <v>744</v>
      </c>
      <c r="B746">
        <f>HYPERLINK("https://eproc.rajasthan.gov.in/nicgep/app?component=%24DirectLink&amp;page=FrontEndViewTender&amp;service=direct&amp;session=T&amp;sp=SKNSEbJrcjGVBeHq6XAfFSQ%3D%3D", "SUPPLY OF CONSTRUCION MATERAIL FOR NREGA AND OTHER SCHEME IN FY 2025-26 IN GP KUSHALPURA")</f>
        <v/>
      </c>
      <c r="C746" t="inlineStr">
        <is>
          <t>Panchayati Raj Department||Secretary and Commissioner||CEO- JAIPUR||BDO-GOVINDGARH</t>
        </is>
      </c>
      <c r="D746" t="inlineStr">
        <is>
          <t>04-Jun-2025 10:00 AM</t>
        </is>
      </c>
      <c r="E746" t="inlineStr">
        <is>
          <t>80,00,000</t>
        </is>
      </c>
      <c r="F746" t="inlineStr">
        <is>
          <t>SUPPLY OF CONSTRUCION MATERAIL FOR NREGA AND OTHER SCHEME IN FY 2025-26 IN GP KUSHALPURA</t>
        </is>
      </c>
      <c r="G746" t="inlineStr">
        <is>
          <t>Gram panchayat HQ</t>
        </is>
      </c>
    </row>
    <row r="747">
      <c r="A747" s="1" t="n">
        <v>745</v>
      </c>
      <c r="B747">
        <f>HYPERLINK("https://eproc.rajasthan.gov.in/nicgep/app?component=%24DirectLink&amp;page=FrontEndViewTender&amp;service=direct&amp;session=T&amp;sp=SR%2BKdwdFY06Ze2sRzMihyKg%3D%3D", "SUPPLY OF CONSTRUCION MATERAIL FOR NREGA AND OTHER SCHEME IN FY 2025-26 IN GP LOHARWADA")</f>
        <v/>
      </c>
      <c r="C747" t="inlineStr">
        <is>
          <t>Panchayati Raj Department||Secretary and Commissioner||CEO- JAIPUR||BDO-GOVINDGARH</t>
        </is>
      </c>
      <c r="D747" t="inlineStr">
        <is>
          <t>04-Jun-2025 10:00 AM</t>
        </is>
      </c>
      <c r="E747" t="inlineStr">
        <is>
          <t>50,00,000</t>
        </is>
      </c>
      <c r="F747" t="inlineStr">
        <is>
          <t>SUPPLY OF CONSTRUCION MATERAIL FOR NREGA AND OTHER SCHEME IN FY 2025-26 IN GP LOHARWADA</t>
        </is>
      </c>
      <c r="G747" t="inlineStr">
        <is>
          <t>Gram panchayat HQ</t>
        </is>
      </c>
    </row>
    <row r="748">
      <c r="A748" s="1" t="n">
        <v>746</v>
      </c>
      <c r="B748">
        <f>HYPERLINK("https://eproc.rajasthan.gov.in/nicgep/app?component=%24DirectLink&amp;page=FrontEndViewTender&amp;service=direct&amp;session=T&amp;sp=SrionjYOGstLbPHgkcBhoNw%3D%3D", "12 SUPPLY OF CONST. MATER. AND EQUIP. FOR YR 2025-26 AS PER BSR AT PS BAGIDORA GP NOGAMA")</f>
        <v/>
      </c>
      <c r="C748" t="inlineStr">
        <is>
          <t>Panchayati Raj Department||Secretary and Commissioner||CEO-BANSWARA||BDO-BAGIDORA</t>
        </is>
      </c>
      <c r="D748" t="inlineStr">
        <is>
          <t>26-May-2025 06:00 PM</t>
        </is>
      </c>
      <c r="E748" t="inlineStr">
        <is>
          <t>50,00,000</t>
        </is>
      </c>
      <c r="F748" t="inlineStr">
        <is>
          <t>12 SUPPLY OF CONST. MATER. AND EQUIP. FOR YR 2025-26 AS PER BSR AT PS BAGIDORA GP NOGAMA</t>
        </is>
      </c>
      <c r="G748" t="inlineStr">
        <is>
          <t>BAGIDORA</t>
        </is>
      </c>
    </row>
    <row r="749">
      <c r="A749" s="1" t="n">
        <v>747</v>
      </c>
      <c r="B749">
        <f>HYPERLINK("https://eproc.rajasthan.gov.in/nicgep/app?component=%24DirectLink&amp;page=FrontEndViewTender&amp;service=direct&amp;session=T&amp;sp=S7a2eDdpSqCPrNyTW1nijZw%3D%3D", "Supply Of Civil Constriction Goods Under Mnrega and Other scheme for session 2025-26 Gram Panchayat Bamanwari Panchayat Samiti Pahadi")</f>
        <v/>
      </c>
      <c r="C749" t="inlineStr">
        <is>
          <t>Panchayati Raj Department||Secretary and Commissioner||CEO-BHARATPUR||BDO-NAGAR</t>
        </is>
      </c>
      <c r="D749" t="inlineStr">
        <is>
          <t>02-Jun-2025 06:00 PM</t>
        </is>
      </c>
      <c r="E749" t="inlineStr">
        <is>
          <t>70,00,000</t>
        </is>
      </c>
      <c r="F749" t="inlineStr">
        <is>
          <t>Supply Of Civil Constriction Goods Under Mnrega and Other scheme for session 2025-26 Gram Panchayat Bamanwari Panchayat Samiti Pahadi</t>
        </is>
      </c>
      <c r="G749" t="inlineStr">
        <is>
          <t>GP_BAMANWARI</t>
        </is>
      </c>
    </row>
    <row r="750">
      <c r="A750" s="1" t="n">
        <v>748</v>
      </c>
      <c r="B750">
        <f>HYPERLINK("https://eproc.rajasthan.gov.in/nicgep/app?component=%24DirectLink&amp;page=FrontEndViewTender&amp;service=direct&amp;session=T&amp;sp=SsHpA1MVhGLB9rCaV%2BfE9Xg%3D%3D", "13 SUPPLY OF CONST. MATER. AND EQUIP. FOR YR 2025-26 AS PER BSR AT PS BAGIDORA GP SEVNA")</f>
        <v/>
      </c>
      <c r="C750" t="inlineStr">
        <is>
          <t>Panchayati Raj Department||Secretary and Commissioner||CEO-BANSWARA||BDO-BAGIDORA</t>
        </is>
      </c>
      <c r="D750" t="inlineStr">
        <is>
          <t>26-May-2025 06:00 PM</t>
        </is>
      </c>
      <c r="E750" t="inlineStr">
        <is>
          <t>50,00,000</t>
        </is>
      </c>
      <c r="F750" t="inlineStr">
        <is>
          <t>13 SUPPLY OF CONST. MATER. AND EQUIP. FOR YR 2025-26 AS PER BSR AT PS BAGIDORA GP SEVNA</t>
        </is>
      </c>
      <c r="G750" t="inlineStr">
        <is>
          <t>BAGIDORA</t>
        </is>
      </c>
    </row>
    <row r="751">
      <c r="A751" s="1" t="n">
        <v>749</v>
      </c>
      <c r="B751">
        <f>HYPERLINK("https://eproc.rajasthan.gov.in/nicgep/app?component=%24DirectLink&amp;page=FrontEndViewTender&amp;service=direct&amp;session=T&amp;sp=Sb%2Fw%2B6LtDoDr53uQz1X8FvQ%3D%3D", "Supply Of Civil Constriction Goods Under Mnrega and Other scheme for session 2025-26 Gram Panchayat Ladlaka Panchayat Samiti Pahadi")</f>
        <v/>
      </c>
      <c r="C751" t="inlineStr">
        <is>
          <t>Panchayati Raj Department||Secretary and Commissioner||CEO-BHARATPUR||BDO-NAGAR</t>
        </is>
      </c>
      <c r="D751" t="inlineStr">
        <is>
          <t>02-Jun-2025 06:00 PM</t>
        </is>
      </c>
      <c r="E751" t="inlineStr">
        <is>
          <t>70,00,000</t>
        </is>
      </c>
      <c r="F751" t="inlineStr">
        <is>
          <t>Supply Of Civil Constriction Goods Under Mnrega and Other scheme for session 2025-26 Gram Panchayat Ladlaka Panchayat Samiti Pahadi</t>
        </is>
      </c>
      <c r="G751" t="inlineStr">
        <is>
          <t>GP_LADLAKA</t>
        </is>
      </c>
    </row>
    <row r="752">
      <c r="A752" s="1" t="n">
        <v>750</v>
      </c>
      <c r="B752">
        <f>HYPERLINK("https://eproc.rajasthan.gov.in/nicgep/app?component=%24DirectLink&amp;page=FrontEndViewTender&amp;service=direct&amp;session=T&amp;sp=SKFSLKByx9Wbw%2BoUZwSOvPA%3D%3D", "Work of supply of material and equipment for Mgnarega and other development schemes in Gram panchayat SESAWA PS Chitalwana For fy 2025-26")</f>
        <v/>
      </c>
      <c r="C752" t="inlineStr">
        <is>
          <t>Panchayati Raj Department||Secretary and Commissioner||CEO- JALORE||BDO- SANCHORE</t>
        </is>
      </c>
      <c r="D752" t="inlineStr">
        <is>
          <t>26-May-2025 12:30 PM</t>
        </is>
      </c>
      <c r="E752" t="inlineStr">
        <is>
          <t>80,00,000</t>
        </is>
      </c>
      <c r="F752" t="inlineStr">
        <is>
          <t>Work of supply of material and equipment for Mgnarega and other development schemes in Gram panchayat SESAWA PS Chitalwana For fy 2025-26</t>
        </is>
      </c>
      <c r="G752" t="inlineStr">
        <is>
          <t>GRAM PANCHAYAT SESAWA PS CHITALWANA</t>
        </is>
      </c>
    </row>
    <row r="753">
      <c r="A753" s="1" t="n">
        <v>751</v>
      </c>
      <c r="B753">
        <f>HYPERLINK("https://eproc.rajasthan.gov.in/nicgep/app?component=%24DirectLink&amp;page=FrontEndViewTender&amp;service=direct&amp;session=T&amp;sp=S8TPbHoIJofbxyMxTcXtRwg%3D%3D", "Supply Of Civil Constriction Goods Under Mnrega and Other scheme for session 2025-26 Gram Panchayat Jotripeepal Panchayat Samiti Pahadi")</f>
        <v/>
      </c>
      <c r="C753" t="inlineStr">
        <is>
          <t>Panchayati Raj Department||Secretary and Commissioner||CEO-BHARATPUR||BDO-NAGAR</t>
        </is>
      </c>
      <c r="D753" t="inlineStr">
        <is>
          <t>02-Jun-2025 06:00 PM</t>
        </is>
      </c>
      <c r="E753" t="inlineStr">
        <is>
          <t>70,00,000</t>
        </is>
      </c>
      <c r="F753" t="inlineStr">
        <is>
          <t>Supply Of Civil Constriction Goods Under Mnrega and Other scheme for session 2025-26 Gram Panchayat Jotripeepal Panchayat Samiti Pahadi</t>
        </is>
      </c>
      <c r="G753" t="inlineStr">
        <is>
          <t>GP_JOTRIPEEPAL</t>
        </is>
      </c>
    </row>
    <row r="754">
      <c r="A754" s="1" t="n">
        <v>752</v>
      </c>
      <c r="B754">
        <f>HYPERLINK("https://eproc.rajasthan.gov.in/nicgep/app?component=%24DirectLink&amp;page=FrontEndViewTender&amp;service=direct&amp;session=T&amp;sp=SbXvrMWFzVnJeRtd5tv8NcA%3D%3D", "Supply Of Civil Constriction Goods Under Mnrega and Other scheme for session 2025-26 Gram Panchayat Khedlanobad Panchayat Samiti Pahadi")</f>
        <v/>
      </c>
      <c r="C754" t="inlineStr">
        <is>
          <t>Panchayati Raj Department||Secretary and Commissioner||CEO-BHARATPUR||BDO-NAGAR</t>
        </is>
      </c>
      <c r="D754" t="inlineStr">
        <is>
          <t>02-Jun-2025 06:00 PM</t>
        </is>
      </c>
      <c r="E754" t="inlineStr">
        <is>
          <t>70,00,000</t>
        </is>
      </c>
      <c r="F754" t="inlineStr">
        <is>
          <t>Supply Of Civil Constriction Goods Under Mnrega and Other scheme for session 2025-26 Gram Panchayat Khedlanobad Panchayat Samiti Pahadi</t>
        </is>
      </c>
      <c r="G754" t="inlineStr">
        <is>
          <t>GP_KHEDLANOBAD</t>
        </is>
      </c>
    </row>
    <row r="755">
      <c r="A755" s="1" t="n">
        <v>753</v>
      </c>
      <c r="B755">
        <f>HYPERLINK("https://eproc.rajasthan.gov.in/nicgep/app?component=%24DirectLink&amp;page=FrontEndViewTender&amp;service=direct&amp;session=T&amp;sp=SkLfaN8w6Zl1556SlsvDTbw%3D%3D", "cleaning and sanitation work for gp MADANPUR")</f>
        <v/>
      </c>
      <c r="C755" t="inlineStr">
        <is>
          <t>Panchayati Raj Department||Secretary and Commissioner||CEO-DHOLPUR||BDO-SARMATHURA</t>
        </is>
      </c>
      <c r="D755" t="inlineStr">
        <is>
          <t>23-May-2025 06:00 PM</t>
        </is>
      </c>
      <c r="E755" t="inlineStr">
        <is>
          <t>4,55,000</t>
        </is>
      </c>
      <c r="F755" t="inlineStr">
        <is>
          <t>cleaning and sanitation work for gp MADANPUR</t>
        </is>
      </c>
      <c r="G755" t="inlineStr">
        <is>
          <t>PS SARMATHURA</t>
        </is>
      </c>
    </row>
    <row r="756">
      <c r="A756" s="1" t="n">
        <v>754</v>
      </c>
      <c r="B756">
        <f>HYPERLINK("https://eproc.rajasthan.gov.in/nicgep/app?component=%24DirectLink&amp;page=FrontEndViewTender&amp;service=direct&amp;session=T&amp;sp=S8pepF3vHCPqd8gMK1jccug%3D%3D", "Supply Of Civil Constriction Goods Under Mnrega and Other scheme for session 2025-26 Gram Panchayat Pathrali Panchayat Samiti Pahadi")</f>
        <v/>
      </c>
      <c r="C756" t="inlineStr">
        <is>
          <t>Panchayati Raj Department||Secretary and Commissioner||CEO-BHARATPUR||BDO-NAGAR</t>
        </is>
      </c>
      <c r="D756" t="inlineStr">
        <is>
          <t>02-Jun-2025 06:00 PM</t>
        </is>
      </c>
      <c r="E756" t="inlineStr">
        <is>
          <t>70,00,000</t>
        </is>
      </c>
      <c r="F756" t="inlineStr">
        <is>
          <t>Supply Of Civil Constriction Goods Under Mnrega and Other scheme for session 2025-26 Gram Panchayat Pathrali Panchayat Samiti Pahadi</t>
        </is>
      </c>
      <c r="G756" t="inlineStr">
        <is>
          <t>GP_PATHRALI</t>
        </is>
      </c>
    </row>
    <row r="757">
      <c r="A757" s="1" t="n">
        <v>755</v>
      </c>
      <c r="B757">
        <f>HYPERLINK("https://eproc.rajasthan.gov.in/nicgep/app?component=%24DirectLink&amp;page=FrontEndViewTender&amp;service=direct&amp;session=T&amp;sp=SOXrmxLAioblz7gBzCYhyeQ%3D%3D", "Supply Of Civil Constriction Goods Under Mnrega and Other scheme for session 2025-26 Gram Panchayat Kherlimanna Panchayat Samiti Pahadi")</f>
        <v/>
      </c>
      <c r="C757" t="inlineStr">
        <is>
          <t>Panchayati Raj Department||Secretary and Commissioner||CEO-BHARATPUR||BDO-NAGAR</t>
        </is>
      </c>
      <c r="D757" t="inlineStr">
        <is>
          <t>02-Jun-2025 06:00 PM</t>
        </is>
      </c>
      <c r="E757" t="inlineStr">
        <is>
          <t>70,00,000</t>
        </is>
      </c>
      <c r="F757" t="inlineStr">
        <is>
          <t>Supply Of Civil Constriction Goods Under Mnrega and Other scheme for session 2025-26 Gram Panchayat Kherlimanna Panchayat Samiti Pahadi</t>
        </is>
      </c>
      <c r="G757" t="inlineStr">
        <is>
          <t>GP_KHERLIMANNA</t>
        </is>
      </c>
    </row>
    <row r="758">
      <c r="A758" s="1" t="n">
        <v>756</v>
      </c>
      <c r="B758">
        <f>HYPERLINK("https://eproc.rajasthan.gov.in/nicgep/app?component=%24DirectLink&amp;page=FrontEndViewTender&amp;service=direct&amp;session=T&amp;sp=S2%2FIbprC573z%2BxXvmT3OF6Q%3D%3D", "Supply Of Civil Constriction Goods Under Mnrega and Other scheme for session 2025-26 Gram Panchayat Sanwler Panchayat Samiti Pahadi")</f>
        <v/>
      </c>
      <c r="C758" t="inlineStr">
        <is>
          <t>Panchayati Raj Department||Secretary and Commissioner||CEO-BHARATPUR||BDO-NAGAR</t>
        </is>
      </c>
      <c r="D758" t="inlineStr">
        <is>
          <t>02-Jun-2025 06:00 PM</t>
        </is>
      </c>
      <c r="E758" t="inlineStr">
        <is>
          <t>70,00,000</t>
        </is>
      </c>
      <c r="F758" t="inlineStr">
        <is>
          <t>Supply Of Civil Constriction Goods Under Mnrega and Other scheme for session 2025-26 Gram Panchayat Sanwler Panchayat Samiti Pahadi</t>
        </is>
      </c>
      <c r="G758" t="inlineStr">
        <is>
          <t>GP_SANWLER</t>
        </is>
      </c>
    </row>
    <row r="759">
      <c r="A759" s="1" t="n">
        <v>757</v>
      </c>
      <c r="B759">
        <f>HYPERLINK("https://eproc.rajasthan.gov.in/nicgep/app?component=%24DirectLink&amp;page=FrontEndViewTender&amp;service=direct&amp;session=T&amp;sp=SeuSq44opdx%2FVFrUC%2BNGSHQ%3D%3D", "Supply Of Civil Constriction Goods Under Mnrega and Other scheme for session 2025-26 Gram Panchayat Jotruhalla Panchayat Samiti Pahadi")</f>
        <v/>
      </c>
      <c r="C759" t="inlineStr">
        <is>
          <t>Panchayati Raj Department||Secretary and Commissioner||CEO-BHARATPUR||BDO-NAGAR</t>
        </is>
      </c>
      <c r="D759" t="inlineStr">
        <is>
          <t>02-Jun-2025 06:00 PM</t>
        </is>
      </c>
      <c r="E759" t="inlineStr">
        <is>
          <t>70,00,000</t>
        </is>
      </c>
      <c r="F759" t="inlineStr">
        <is>
          <t>Supply Of Civil Constriction Goods Under Mnrega and Other scheme for session 2025-26 Gram Panchayat Jotruhalla Panchayat Samiti Pahadi</t>
        </is>
      </c>
      <c r="G759" t="inlineStr">
        <is>
          <t>GP_JOTRUHALLA</t>
        </is>
      </c>
    </row>
    <row r="760">
      <c r="A760" s="1" t="n">
        <v>758</v>
      </c>
      <c r="B760">
        <f>HYPERLINK("https://eproc.rajasthan.gov.in/nicgep/app?component=%24DirectLink&amp;page=FrontEndViewTender&amp;service=direct&amp;session=T&amp;sp=StTM1i8q3jHzYxpxczkljkg%3D%3D", "Supply Of Civil Constriction Goods Under Mnrega and Other scheme for session 2025-26 Gram Panchayat Matuki Panchayat Samiti Pahadi")</f>
        <v/>
      </c>
      <c r="C760" t="inlineStr">
        <is>
          <t>Panchayati Raj Department||Secretary and Commissioner||CEO-BHARATPUR||BDO-NAGAR</t>
        </is>
      </c>
      <c r="D760" t="inlineStr">
        <is>
          <t>02-Jun-2025 06:00 PM</t>
        </is>
      </c>
      <c r="E760" t="inlineStr">
        <is>
          <t>70,00,000</t>
        </is>
      </c>
      <c r="F760" t="inlineStr">
        <is>
          <t>Supply Of Civil Constriction Goods Under Mnrega and Other scheme for session 2025-26 Gram Panchayat Matuki Panchayat Samiti Pahadi</t>
        </is>
      </c>
      <c r="G760" t="inlineStr">
        <is>
          <t>GP_MATUKI</t>
        </is>
      </c>
    </row>
    <row r="761">
      <c r="A761" s="1" t="n">
        <v>759</v>
      </c>
      <c r="B761">
        <f>HYPERLINK("https://eproc.rajasthan.gov.in/nicgep/app?component=%24DirectLink&amp;page=FrontEndViewTender&amp;service=direct&amp;session=T&amp;sp=SAv2rYCaccgsG9eCk0wW%2BvA%3D%3D", "MNREGA TENDER")</f>
        <v/>
      </c>
      <c r="C761" t="inlineStr">
        <is>
          <t>Panchayati Raj Department||Secretary and Commissioner||CEO-PALI||BDO-SUMERPUR</t>
        </is>
      </c>
      <c r="D761" t="inlineStr">
        <is>
          <t>24-May-2025 05:00 PM</t>
        </is>
      </c>
      <c r="E761" t="inlineStr">
        <is>
          <t>45,00,000</t>
        </is>
      </c>
      <c r="F761" t="inlineStr">
        <is>
          <t>MNREGA TENDER FOR FY 2025-26 FOR GP BHARUNDA</t>
        </is>
      </c>
      <c r="G761" t="inlineStr">
        <is>
          <t>BHARUNDA</t>
        </is>
      </c>
    </row>
    <row r="762">
      <c r="A762" s="1" t="n">
        <v>760</v>
      </c>
      <c r="B762">
        <f>HYPERLINK("https://eproc.rajasthan.gov.in/nicgep/app?component=%24DirectLink&amp;page=FrontEndViewTender&amp;service=direct&amp;session=T&amp;sp=SVXAyif1PPq1Iop9Dtjeehw%3D%3D", "SUPPLY OF CONSTRUCION MATERAIL FOR NREGA AND OTHER SCHEME IN FY 2025-26 IN GP JAITPURA")</f>
        <v/>
      </c>
      <c r="C762" t="inlineStr">
        <is>
          <t>Panchayati Raj Department||Secretary and Commissioner||CEO- JAIPUR||BDO-GOVINDGARH</t>
        </is>
      </c>
      <c r="D762" t="inlineStr">
        <is>
          <t>04-Jun-2025 10:00 AM</t>
        </is>
      </c>
      <c r="E762" t="inlineStr">
        <is>
          <t>50,00,000</t>
        </is>
      </c>
      <c r="F762" t="inlineStr">
        <is>
          <t>SUPPLY OF CONSTRUCION MATERAIL FOR NREGA AND OTHER SCHEME IN FY 2025-26 IN GP JAITPURA</t>
        </is>
      </c>
      <c r="G762" t="inlineStr">
        <is>
          <t>Gram panchayat HQ</t>
        </is>
      </c>
    </row>
    <row r="763">
      <c r="A763" s="1" t="n">
        <v>761</v>
      </c>
      <c r="B763">
        <f>HYPERLINK("https://eproc.rajasthan.gov.in/nicgep/app?component=%24DirectLink&amp;page=FrontEndViewTender&amp;service=direct&amp;session=T&amp;sp=SfECmIGqJEJd9X%2Bg2SVa1Rg%3D%3D", "CHAR DIWARI NIRMAN KARYA SHAMSAN GHAT NARAYANPURA")</f>
        <v/>
      </c>
      <c r="C763" t="inlineStr">
        <is>
          <t>Panchayati Raj Department||Secretary and Commissioner||CEO- JAIPUR||BDO-MADHORAJ PURA</t>
        </is>
      </c>
      <c r="D763" t="inlineStr">
        <is>
          <t>21-May-2025 03:00 PM</t>
        </is>
      </c>
      <c r="E763" t="inlineStr">
        <is>
          <t>9,99,000</t>
        </is>
      </c>
      <c r="F763" t="inlineStr">
        <is>
          <t>CHAR DIWARI NIRMAN KARYA SHAMSAN GHAT NARAYANPURA</t>
        </is>
      </c>
      <c r="G763" t="inlineStr">
        <is>
          <t>gram panchayat</t>
        </is>
      </c>
    </row>
    <row r="764">
      <c r="A764" s="1" t="n">
        <v>762</v>
      </c>
      <c r="B764">
        <f>HYPERLINK("https://eproc.rajasthan.gov.in/nicgep/app?component=%24DirectLink&amp;page=FrontEndViewTender&amp;service=direct&amp;session=T&amp;sp=SsqqDN6c01Vcx%2Fpbfeq008g%3D%3D", "Supply Of Civil Constriction Goods Under Mnrega and Other scheme for session 2025-26 Gram Panchayat Bhainseda Panchayat Samiti Pahadi")</f>
        <v/>
      </c>
      <c r="C764" t="inlineStr">
        <is>
          <t>Panchayati Raj Department||Secretary and Commissioner||CEO-BHARATPUR||BDO-NAGAR</t>
        </is>
      </c>
      <c r="D764" t="inlineStr">
        <is>
          <t>02-Jun-2025 06:00 PM</t>
        </is>
      </c>
      <c r="E764" t="inlineStr">
        <is>
          <t>70,00,000</t>
        </is>
      </c>
      <c r="F764" t="inlineStr">
        <is>
          <t>Supply Of Civil Constriction Goods Under Mnrega and Other scheme for session 2025-26 Gram Panchayat Bhainseda Panchayat Samiti Pahadi</t>
        </is>
      </c>
      <c r="G764" t="inlineStr">
        <is>
          <t>GP_BHAINSEDA</t>
        </is>
      </c>
    </row>
    <row r="765">
      <c r="A765" s="1" t="n">
        <v>763</v>
      </c>
      <c r="B765">
        <f>HYPERLINK("https://eproc.rajasthan.gov.in/nicgep/app?component=%24DirectLink&amp;page=FrontEndViewTender&amp;service=direct&amp;session=T&amp;sp=SwlLMrCet5BY%2BfPqfZSsNmw%3D%3D", "7 SUPPLY OF CONST. MATER. AND EQUIP. FOR YR 2025-26 AS PER BSR AT PS BAGIDORA GP ITAUWA")</f>
        <v/>
      </c>
      <c r="C765" t="inlineStr">
        <is>
          <t>Panchayati Raj Department||Secretary and Commissioner||CEO-BANSWARA||BDO-BAGIDORA</t>
        </is>
      </c>
      <c r="D765" t="inlineStr">
        <is>
          <t>26-May-2025 06:00 PM</t>
        </is>
      </c>
      <c r="E765" t="inlineStr">
        <is>
          <t>50,00,000</t>
        </is>
      </c>
      <c r="F765" t="inlineStr">
        <is>
          <t>7 SUPPLY OF CONST. MATER. AND EQUIP. FOR YR 2025-26 AS PER BSR AT PS BAGIDORA GP ITAUWA</t>
        </is>
      </c>
      <c r="G765" t="inlineStr">
        <is>
          <t>BAGIDORA</t>
        </is>
      </c>
    </row>
    <row r="766">
      <c r="A766" s="1" t="n">
        <v>764</v>
      </c>
      <c r="B766">
        <f>HYPERLINK("https://eproc.rajasthan.gov.in/nicgep/app?component=%24DirectLink&amp;page=FrontEndViewTender&amp;service=direct&amp;session=T&amp;sp=SGhcbGhkM35AAq%2F0Zawopdg%3D%3D", "Supply Of Civil Constriction Goods Under Mnrega and Other scheme for session 2025-26 Gram Panchayat Jeeraheda Panchayat Samiti Pahadi")</f>
        <v/>
      </c>
      <c r="C766" t="inlineStr">
        <is>
          <t>Panchayati Raj Department||Secretary and Commissioner||CEO-BHARATPUR||BDO-NAGAR</t>
        </is>
      </c>
      <c r="D766" t="inlineStr">
        <is>
          <t>02-Jun-2025 06:00 PM</t>
        </is>
      </c>
      <c r="E766" t="inlineStr">
        <is>
          <t>70,00,000</t>
        </is>
      </c>
      <c r="F766" t="inlineStr">
        <is>
          <t>Supply Of Civil Constriction Goods Under Mnrega and Other scheme for session 2025-26 Gram Panchayat Jeeraheda Panchayat Samiti Pahadi</t>
        </is>
      </c>
      <c r="G766" t="inlineStr">
        <is>
          <t>GP_JEERAHEDA</t>
        </is>
      </c>
    </row>
    <row r="767">
      <c r="A767" s="1" t="n">
        <v>765</v>
      </c>
      <c r="B767">
        <f>HYPERLINK("https://eproc.rajasthan.gov.in/nicgep/app?component=%24DirectLink&amp;page=FrontEndViewTender&amp;service=direct&amp;session=T&amp;sp=SNOZC72uqkLmKxSAr9FNNLw%3D%3D", "Supply Of Civil Constriction Goods Under Mnrega and Other scheme for session 2025-26 Gram Panchayat Pathrali Panchayat Samiti Pahadi")</f>
        <v/>
      </c>
      <c r="C767" t="inlineStr">
        <is>
          <t>Panchayati Raj Department||Secretary and Commissioner||CEO-BHARATPUR||BDO-NAGAR</t>
        </is>
      </c>
      <c r="D767" t="inlineStr">
        <is>
          <t>02-Jun-2025 06:00 PM</t>
        </is>
      </c>
      <c r="E767" t="inlineStr">
        <is>
          <t>70,00,000</t>
        </is>
      </c>
      <c r="F767" t="inlineStr">
        <is>
          <t>Supply Of Civil Constriction Goods Under Mnrega and Other scheme for session 2025-26 Gram Panchayat Pathrali Panchayat Samiti Pahadi</t>
        </is>
      </c>
      <c r="G767" t="inlineStr">
        <is>
          <t>GP_GOPALGARH</t>
        </is>
      </c>
    </row>
    <row r="768">
      <c r="A768" s="1" t="n">
        <v>766</v>
      </c>
      <c r="B768">
        <f>HYPERLINK("https://eproc.rajasthan.gov.in/nicgep/app?component=%24DirectLink&amp;page=FrontEndViewTender&amp;service=direct&amp;session=T&amp;sp=SXRjmcx9tuFaVRBV5%2Ffbh2Q%3D%3D", "8 SUPPLY OF CONST. MATER. AND EQUIP. FOR YR 2025-26 AS PER BSR AT PS BAGIDORA GP JALDA")</f>
        <v/>
      </c>
      <c r="C768" t="inlineStr">
        <is>
          <t>Panchayati Raj Department||Secretary and Commissioner||CEO-BANSWARA||BDO-BAGIDORA</t>
        </is>
      </c>
      <c r="D768" t="inlineStr">
        <is>
          <t>26-May-2025 06:00 PM</t>
        </is>
      </c>
      <c r="E768" t="inlineStr">
        <is>
          <t>50,00,000</t>
        </is>
      </c>
      <c r="F768" t="inlineStr">
        <is>
          <t>8 SUPPLY OF CONST. MATER. AND EQUIP. FOR YR 2025-26 AS PER BSR AT PS BAGIDORA GP JALDA</t>
        </is>
      </c>
      <c r="G768" t="inlineStr">
        <is>
          <t>BAGIDORA</t>
        </is>
      </c>
    </row>
    <row r="769">
      <c r="A769" s="1" t="n">
        <v>767</v>
      </c>
      <c r="B769">
        <f>HYPERLINK("https://eproc.rajasthan.gov.in/nicgep/app?component=%24DirectLink&amp;page=FrontEndViewTender&amp;service=direct&amp;session=T&amp;sp=SkN2K7BcerY0driE55op8kw%3D%3D", "Supply Of Civil Constriction Goods Under Mnrega and Other scheme for session 2025-26 Gram Panchayat Satwari Panchayat Samiti Pahadi")</f>
        <v/>
      </c>
      <c r="C769" t="inlineStr">
        <is>
          <t>Panchayati Raj Department||Secretary and Commissioner||CEO-BHARATPUR||BDO-NAGAR</t>
        </is>
      </c>
      <c r="D769" t="inlineStr">
        <is>
          <t>02-Jun-2025 06:00 PM</t>
        </is>
      </c>
      <c r="E769" t="inlineStr">
        <is>
          <t>70,00,000</t>
        </is>
      </c>
      <c r="F769" t="inlineStr">
        <is>
          <t>Supply Of Civil Constriction Goods Under Mnrega and Other scheme for session 2025-26 Gram Panchayat Satwari Panchayat Samiti Pahadi</t>
        </is>
      </c>
      <c r="G769" t="inlineStr">
        <is>
          <t>GP_SATWARI</t>
        </is>
      </c>
    </row>
    <row r="770">
      <c r="A770" s="1" t="n">
        <v>768</v>
      </c>
      <c r="B770">
        <f>HYPERLINK("https://eproc.rajasthan.gov.in/nicgep/app?component=%24DirectLink&amp;page=FrontEndViewTender&amp;service=direct&amp;session=T&amp;sp=SCIV4Qr0tgCr4FZ%2B%2BRpoBZA%3D%3D", "Supply Of Civil Constriction Goods Under Mnrega and Other scheme for session 2025-26 Gram Panchayat Dheemri Panchayat Samiti Pahadi")</f>
        <v/>
      </c>
      <c r="C770" t="inlineStr">
        <is>
          <t>Panchayati Raj Department||Secretary and Commissioner||CEO-BHARATPUR||BDO-NAGAR</t>
        </is>
      </c>
      <c r="D770" t="inlineStr">
        <is>
          <t>02-Jun-2025 06:00 PM</t>
        </is>
      </c>
      <c r="E770" t="inlineStr">
        <is>
          <t>70,00,000</t>
        </is>
      </c>
      <c r="F770" t="inlineStr">
        <is>
          <t>Supply Of Civil Constriction Goods Under Mnrega and Other scheme for session 2025-26 Gram Panchayat Dheemri Panchayat Samiti Pahadi</t>
        </is>
      </c>
      <c r="G770" t="inlineStr">
        <is>
          <t>GP_DHEEMRI</t>
        </is>
      </c>
    </row>
    <row r="771">
      <c r="A771" s="1" t="n">
        <v>769</v>
      </c>
      <c r="B771">
        <f>HYPERLINK("https://eproc.rajasthan.gov.in/nicgep/app?component=%24DirectLink&amp;page=FrontEndViewTender&amp;service=direct&amp;session=T&amp;sp=SOudY1JbDq3A3LMYcNI8pjg%3D%3D", "Supply Of Civil Constriction Goods Under Mnrega and Other scheme for session 2025-26 Gram Panchayat Mungsaka Panchayat Samiti Pahadi")</f>
        <v/>
      </c>
      <c r="C771" t="inlineStr">
        <is>
          <t>Panchayati Raj Department||Secretary and Commissioner||CEO-BHARATPUR||BDO-NAGAR</t>
        </is>
      </c>
      <c r="D771" t="inlineStr">
        <is>
          <t>02-Jun-2025 06:00 PM</t>
        </is>
      </c>
      <c r="E771" t="inlineStr">
        <is>
          <t>70,00,000</t>
        </is>
      </c>
      <c r="F771" t="inlineStr">
        <is>
          <t>Supply Of Civil Constriction Goods Under Mnrega and Other scheme for session 2025-26 Gram Panchayat Pathrali Panchayat Samiti Pahadi</t>
        </is>
      </c>
      <c r="G771" t="inlineStr">
        <is>
          <t>GP_MUNGSAKA</t>
        </is>
      </c>
    </row>
    <row r="772">
      <c r="A772" s="1" t="n">
        <v>770</v>
      </c>
      <c r="B772">
        <f>HYPERLINK("https://eproc.rajasthan.gov.in/nicgep/app?component=%24DirectLink&amp;page=FrontEndViewTender&amp;service=direct&amp;session=T&amp;sp=SJei646xVX2qyAMnHIF5hJA%3D%3D", "Supply Of Civil Constriction Goods Under Mnrega and Other scheme for session 2025-26 Gram Panchayat Maliki Panchayat Samiti Pahadi")</f>
        <v/>
      </c>
      <c r="C772" t="inlineStr">
        <is>
          <t>Panchayati Raj Department||Secretary and Commissioner||CEO-BHARATPUR||BDO-NAGAR</t>
        </is>
      </c>
      <c r="D772" t="inlineStr">
        <is>
          <t>02-Jun-2025 06:00 PM</t>
        </is>
      </c>
      <c r="E772" t="inlineStr">
        <is>
          <t>70,00,000</t>
        </is>
      </c>
      <c r="F772" t="inlineStr">
        <is>
          <t>Supply Of Civil Constriction Goods Under Mnrega and Other scheme for session 2025-26 Gram Panchayat Maliki Panchayat Samiti Pahadi</t>
        </is>
      </c>
      <c r="G772" t="inlineStr">
        <is>
          <t>GP_MALIKI</t>
        </is>
      </c>
    </row>
    <row r="773">
      <c r="A773" s="1" t="n">
        <v>771</v>
      </c>
      <c r="B773">
        <f>HYPERLINK("https://eproc.rajasthan.gov.in/nicgep/app?component=%24DirectLink&amp;page=FrontEndViewTender&amp;service=direct&amp;session=T&amp;sp=SHAT0Pu2RyM%2FITRpFlhCAcA%3D%3D", "Supply Of Civil Constriction Goods Under Mnrega and Other scheme for session 2025-26 Gram Panchayat Papra Panchayat Samiti Pahadi")</f>
        <v/>
      </c>
      <c r="C773" t="inlineStr">
        <is>
          <t>Panchayati Raj Department||Secretary and Commissioner||CEO-BHARATPUR||BDO-NAGAR</t>
        </is>
      </c>
      <c r="D773" t="inlineStr">
        <is>
          <t>02-Jun-2025 06:00 PM</t>
        </is>
      </c>
      <c r="E773" t="inlineStr">
        <is>
          <t>70,00,000</t>
        </is>
      </c>
      <c r="F773" t="inlineStr">
        <is>
          <t>Supply Of Civil Constriction Goods Under Mnrega and Other scheme for session 2025-26 Gram Panchayat Papra Panchayat Samiti Pahadi</t>
        </is>
      </c>
      <c r="G773" t="inlineStr">
        <is>
          <t>GP_PAPRA</t>
        </is>
      </c>
    </row>
    <row r="774">
      <c r="A774" s="1" t="n">
        <v>772</v>
      </c>
      <c r="B774">
        <f>HYPERLINK("https://eproc.rajasthan.gov.in/nicgep/app?component=%24DirectLink&amp;page=FrontEndViewTender&amp;service=direct&amp;session=T&amp;sp=S1zvJ5xGs%2BGcy0WRgrc6LHg%3D%3D", "Supply Of Civil Constriction Goods Under Mnrega and Other scheme for session 2025-26 Gram Panchayat Liwasana Panchayat Samiti Pahadi")</f>
        <v/>
      </c>
      <c r="C774" t="inlineStr">
        <is>
          <t>Panchayati Raj Department||Secretary and Commissioner||CEO-BHARATPUR||BDO-NAGAR</t>
        </is>
      </c>
      <c r="D774" t="inlineStr">
        <is>
          <t>02-Jun-2025 06:00 PM</t>
        </is>
      </c>
      <c r="E774" t="inlineStr">
        <is>
          <t>70,00,000</t>
        </is>
      </c>
      <c r="F774" t="inlineStr">
        <is>
          <t>Supply Of Civil Constriction Goods Under Mnrega and Other scheme for session 2025-26 Gram Panchayat Liwasana Panchayat Samiti Pahadi</t>
        </is>
      </c>
      <c r="G774" t="inlineStr">
        <is>
          <t>GP_LIWASANA</t>
        </is>
      </c>
    </row>
    <row r="775">
      <c r="A775" s="1" t="n">
        <v>773</v>
      </c>
      <c r="B775">
        <f>HYPERLINK("https://eproc.rajasthan.gov.in/nicgep/app?component=%24DirectLink&amp;page=FrontEndViewTender&amp;service=direct&amp;session=T&amp;sp=SDZ2U15wgNloZ7tTCbnAkPQ%3D%3D", "rajkiy prathamik vidhyalay kangali me 2 kaksha kaksh or chardiwari nirman kary")</f>
        <v/>
      </c>
      <c r="C775" t="inlineStr">
        <is>
          <t>Panchayati Raj Department||Secretary and Commissioner||CEO-UDAIPUR||BDO-JHADOL</t>
        </is>
      </c>
      <c r="D775" t="inlineStr">
        <is>
          <t>25-May-2025 06:00 PM</t>
        </is>
      </c>
      <c r="E775" t="inlineStr">
        <is>
          <t>19,84,000</t>
        </is>
      </c>
      <c r="F775" t="inlineStr">
        <is>
          <t>rajkiy prathamik vidhyalay kandali me 1 kaksha kaksh or chardiwari</t>
        </is>
      </c>
      <c r="G775" t="inlineStr">
        <is>
          <t>rajkiy prathamik vidhyalay kangali me 2 kaksha kak</t>
        </is>
      </c>
    </row>
    <row r="776">
      <c r="A776" s="1" t="n">
        <v>774</v>
      </c>
      <c r="B776">
        <f>HYPERLINK("https://eproc.rajasthan.gov.in/nicgep/app?component=%24DirectLink&amp;page=FrontEndViewTender&amp;service=direct&amp;session=T&amp;sp=SiPVA9DSNv%2FHInENNcyGn2A%3D%3D", "sarv. shochalaya nirman upkhand/Tehsil parisar Kotri")</f>
        <v/>
      </c>
      <c r="C776" t="inlineStr">
        <is>
          <t>Panchayati Raj Department||Secretary and Commissioner||CEO-PRATAPGARH||BDO-PIPALKHOONT</t>
        </is>
      </c>
      <c r="D776" t="inlineStr">
        <is>
          <t>25-May-2025 06:00 PM</t>
        </is>
      </c>
      <c r="E776" t="inlineStr">
        <is>
          <t>3,00,000</t>
        </is>
      </c>
      <c r="F776" t="inlineStr">
        <is>
          <t>sarv. shochalaya nirman upkhand/Tehsil parisar Kotri</t>
        </is>
      </c>
      <c r="G776" t="inlineStr">
        <is>
          <t>kotri</t>
        </is>
      </c>
    </row>
    <row r="777">
      <c r="A777" s="1" t="n">
        <v>775</v>
      </c>
      <c r="B777">
        <f>HYPERLINK("https://eproc.rajasthan.gov.in/nicgep/app?component=%24DirectLink&amp;page=FrontEndViewTender&amp;service=direct&amp;session=T&amp;sp=SmakcTjM%2Fi8DXAez5wJKhcg%3D%3D", "sarvjanik shochalaya nirman Ra.U.Pra.Vi. JorkaKheda ke pass Nandray")</f>
        <v/>
      </c>
      <c r="C777" t="inlineStr">
        <is>
          <t>Panchayati Raj Department||Secretary and Commissioner||CEO-PRATAPGARH||BDO-PIPALKHOONT</t>
        </is>
      </c>
      <c r="D777" t="inlineStr">
        <is>
          <t>25-May-2025 06:00 PM</t>
        </is>
      </c>
      <c r="E777" t="inlineStr">
        <is>
          <t>3,00,000</t>
        </is>
      </c>
      <c r="F777" t="inlineStr">
        <is>
          <t>sarvjanik shochalaya nirman Ra.U.Pra.Vi. JorkaKheda ke pass Nandray</t>
        </is>
      </c>
      <c r="G777" t="inlineStr">
        <is>
          <t>kotri</t>
        </is>
      </c>
    </row>
    <row r="778">
      <c r="A778" s="1" t="n">
        <v>776</v>
      </c>
      <c r="B778">
        <f>HYPERLINK("https://eproc.rajasthan.gov.in/nicgep/app?component=%24DirectLink&amp;page=FrontEndViewTender&amp;service=direct&amp;session=T&amp;sp=SynztS%2BitrLXDXH5pXlDAAw%3D%3D", "sarvjanik shochalaya nirman Ra.U.Ma.Vi. Nandray")</f>
        <v/>
      </c>
      <c r="C778" t="inlineStr">
        <is>
          <t>Panchayati Raj Department||Secretary and Commissioner||CEO-PRATAPGARH||BDO-PIPALKHOONT</t>
        </is>
      </c>
      <c r="D778" t="inlineStr">
        <is>
          <t>25-May-2025 06:00 PM</t>
        </is>
      </c>
      <c r="E778" t="inlineStr">
        <is>
          <t>3,00,000</t>
        </is>
      </c>
      <c r="F778" t="inlineStr">
        <is>
          <t>sarvjanik shochalaya nirman Ra.U.Ma.Vi. Nandray</t>
        </is>
      </c>
      <c r="G778" t="inlineStr">
        <is>
          <t>kotri</t>
        </is>
      </c>
    </row>
    <row r="779">
      <c r="A779" s="1" t="n">
        <v>777</v>
      </c>
      <c r="B779">
        <f>HYPERLINK("https://eproc.rajasthan.gov.in/nicgep/app?component=%24DirectLink&amp;page=FrontEndViewTender&amp;service=direct&amp;session=T&amp;sp=SWvpyO68kk3%2B0jKJYML4IMA%3D%3D", "sarv. shochalaya nirman sarv. bus stand Nandray")</f>
        <v/>
      </c>
      <c r="C779" t="inlineStr">
        <is>
          <t>Panchayati Raj Department||Secretary and Commissioner||CEO-PRATAPGARH||BDO-PIPALKHOONT</t>
        </is>
      </c>
      <c r="D779" t="inlineStr">
        <is>
          <t>25-May-2025 06:00 PM</t>
        </is>
      </c>
      <c r="E779" t="inlineStr">
        <is>
          <t>3,00,000</t>
        </is>
      </c>
      <c r="F779" t="inlineStr">
        <is>
          <t>sarv. shochalaya nirman sarv. bus stand Nandray</t>
        </is>
      </c>
      <c r="G779" t="inlineStr">
        <is>
          <t>kotri</t>
        </is>
      </c>
    </row>
    <row r="780">
      <c r="A780" s="1" t="n">
        <v>778</v>
      </c>
      <c r="B780">
        <f>HYPERLINK("https://eproc.rajasthan.gov.in/nicgep/app?component=%24DirectLink&amp;page=FrontEndViewTender&amp;service=direct&amp;session=T&amp;sp=S3PG8f1UEdR4KhMbAksG0ag%3D%3D", "sarv. shochalaya nirman Ra.Sa.Mu.chikitsalaya ke pass Kotri")</f>
        <v/>
      </c>
      <c r="C780" t="inlineStr">
        <is>
          <t>Panchayati Raj Department||Secretary and Commissioner||CEO-PRATAPGARH||BDO-PIPALKHOONT</t>
        </is>
      </c>
      <c r="D780" t="inlineStr">
        <is>
          <t>25-May-2025 06:00 PM</t>
        </is>
      </c>
      <c r="E780" t="inlineStr">
        <is>
          <t>3,00,000</t>
        </is>
      </c>
      <c r="F780" t="inlineStr">
        <is>
          <t>sarv. shochalaya nirman Ra.Sa.Mu.chikitsalaya ke pass Kotri</t>
        </is>
      </c>
      <c r="G780" t="inlineStr">
        <is>
          <t>kotri</t>
        </is>
      </c>
    </row>
    <row r="781">
      <c r="A781" s="1" t="n">
        <v>779</v>
      </c>
      <c r="B781">
        <f>HYPERLINK("https://eproc.rajasthan.gov.in/nicgep/app?component=%24DirectLink&amp;page=FrontEndViewTender&amp;service=direct&amp;session=T&amp;sp=S2NdMaX5ofrbMW%2BgwnMHmiA%3D%3D", "material supply in gp dadiya")</f>
        <v/>
      </c>
      <c r="C781" t="inlineStr">
        <is>
          <t>Panchayati Raj Department||Secretary and Commissioner||CEO-SIKAR||BDO-PIPARALI</t>
        </is>
      </c>
      <c r="D781" t="inlineStr">
        <is>
          <t>26-May-2025 06:00 PM</t>
        </is>
      </c>
      <c r="E781" t="inlineStr">
        <is>
          <t>50,00,000</t>
        </is>
      </c>
      <c r="F781" t="inlineStr">
        <is>
          <t>material supply in gp dadiya and villages in year 2025-26</t>
        </is>
      </c>
      <c r="G781" t="inlineStr">
        <is>
          <t>gp dadiya</t>
        </is>
      </c>
    </row>
    <row r="782">
      <c r="A782" s="1" t="n">
        <v>780</v>
      </c>
      <c r="B782">
        <f>HYPERLINK("https://eproc.rajasthan.gov.in/nicgep/app?component=%24DirectLink&amp;page=FrontEndViewTender&amp;service=direct&amp;session=T&amp;sp=S2xl521DKUFywpNlTzzGDKw%3D%3D", "01/2025-26 MATERIAL SUPPLY UNDER MGNREGA SCHEME IN FY 2025-26 GP BANDHRA")</f>
        <v/>
      </c>
      <c r="C782" t="inlineStr">
        <is>
          <t>Panchayati Raj Department||Secretary and Commissioner||CEO-BIKANER||BDO-PANCHU</t>
        </is>
      </c>
      <c r="D782" t="inlineStr">
        <is>
          <t>26-May-2025 06:00 PM</t>
        </is>
      </c>
      <c r="E782" t="inlineStr">
        <is>
          <t>55,11,000</t>
        </is>
      </c>
      <c r="F782" t="inlineStr">
        <is>
          <t>01/2025-26 MATERIAL SUPPLY UNDER MGNREGA SCHEME IN FY 2025-26 GP BANDHRA</t>
        </is>
      </c>
      <c r="G782" t="inlineStr">
        <is>
          <t>GRAM PANCHAYAT BANDHRA</t>
        </is>
      </c>
    </row>
    <row r="783">
      <c r="A783" s="1" t="n">
        <v>781</v>
      </c>
      <c r="B783">
        <f>HYPERLINK("https://eproc.rajasthan.gov.in/nicgep/app?component=%24DirectLink&amp;page=FrontEndViewTender&amp;service=direct&amp;session=T&amp;sp=SnWkY6KHEmA%2BZwfdl509oiw%3D%3D", "Garbage collection and segregation, sanitation work of Roads, Drainage and CSC in all villages of Gram Panchayat Kalsada")</f>
        <v/>
      </c>
      <c r="C783" t="inlineStr">
        <is>
          <t>Panchayati Raj Department||Secretary and Commissioner||CEO-ALWAR||BDO-MALA KHERA</t>
        </is>
      </c>
      <c r="D783" t="inlineStr">
        <is>
          <t>29-May-2025 06:00 PM</t>
        </is>
      </c>
      <c r="E783" t="inlineStr">
        <is>
          <t>10,00,000</t>
        </is>
      </c>
      <c r="F783" t="inlineStr">
        <is>
          <t>Garbage collection and segregation, sanitation work of Roads, Drainage and CSC in all villages of Gram Panchayat Kalsada</t>
        </is>
      </c>
      <c r="G783" t="inlineStr">
        <is>
          <t>all villages of gp kalsada</t>
        </is>
      </c>
    </row>
    <row r="784">
      <c r="A784" s="1" t="n">
        <v>782</v>
      </c>
      <c r="B784">
        <f>HYPERLINK("https://eproc.rajasthan.gov.in/nicgep/app?component=%24DirectLink&amp;page=FrontEndViewTender&amp;service=direct&amp;session=T&amp;sp=SqBXGtlszEwfB9FBul7lweA%3D%3D", "SUPPLY OF CONSTRUCION MATERAIL FOR NREGA AND OTHER SCHEME IN FY 2025-26 IN GP JAYSINGHPUA")</f>
        <v/>
      </c>
      <c r="C784" t="inlineStr">
        <is>
          <t>Panchayati Raj Department||Secretary and Commissioner||CEO- JAIPUR||BDO-GOVINDGARH</t>
        </is>
      </c>
      <c r="D784" t="inlineStr">
        <is>
          <t>04-Jun-2025 10:00 AM</t>
        </is>
      </c>
      <c r="E784" t="inlineStr">
        <is>
          <t>50,00,000</t>
        </is>
      </c>
      <c r="F784" t="inlineStr">
        <is>
          <t>SUPPLY OF CONSTRUCION MATERAIL FOR NREGA AND OTHER SCHEME IN FY 2025-26 IN GP JAYSINGHPUA</t>
        </is>
      </c>
      <c r="G784" t="inlineStr">
        <is>
          <t>Gram panchayat HQ</t>
        </is>
      </c>
    </row>
    <row r="785">
      <c r="A785" s="1" t="n">
        <v>783</v>
      </c>
      <c r="B785">
        <f>HYPERLINK("https://eproc.rajasthan.gov.in/nicgep/app?component=%24DirectLink&amp;page=FrontEndViewTender&amp;service=direct&amp;session=T&amp;sp=S2DPVemBdpqO38nLYVRl7MQ%3D%3D", "Rate contract For Supply of Construction Material and Providing Equipments for MGNREGA and Rural Development and Panchayati Raj departments various schemes at Gram Panchayat Sanwasa Panchayat Samiti Lalsot Dist Dausa For FY 2025-26")</f>
        <v/>
      </c>
      <c r="C785" t="inlineStr">
        <is>
          <t>Panchayati Raj Department||Secretary and Commissioner||CEO-DAUSA||BDO-LALSOT</t>
        </is>
      </c>
      <c r="D785" t="inlineStr">
        <is>
          <t>30-May-2025 06:00 PM</t>
        </is>
      </c>
      <c r="E785" t="inlineStr">
        <is>
          <t>70,00,000</t>
        </is>
      </c>
      <c r="F785" t="inlineStr">
        <is>
          <t>Rate contract For Supply of Construction Material and Providing Equipments for MGNREGA and Rural Development and Panchayati Raj departments various schemes at Gram Panchayat Sanwasa Panchayat Samiti Lalsot Dist Dausa For FY 2025-26</t>
        </is>
      </c>
      <c r="G785" t="inlineStr">
        <is>
          <t>Gram Panchayat Sanwasa</t>
        </is>
      </c>
    </row>
    <row r="786">
      <c r="A786" s="1" t="n">
        <v>784</v>
      </c>
      <c r="B786">
        <f>HYPERLINK("https://eproc.rajasthan.gov.in/nicgep/app?component=%24DirectLink&amp;page=FrontEndViewTender&amp;service=direct&amp;session=T&amp;sp=S0rUSB26FXk9BEXBq5Id1KQ%3D%3D", "02/2025-26 MATERIAL SUPPLY UNDER MGNREGA SCHEME IN FY 2025-26 GP DHARNOK")</f>
        <v/>
      </c>
      <c r="C786" t="inlineStr">
        <is>
          <t>Panchayati Raj Department||Secretary and Commissioner||CEO-BIKANER||BDO-PANCHU</t>
        </is>
      </c>
      <c r="D786" t="inlineStr">
        <is>
          <t>26-May-2025 06:00 PM</t>
        </is>
      </c>
      <c r="E786" t="inlineStr">
        <is>
          <t>47,00,000</t>
        </is>
      </c>
      <c r="F786" t="inlineStr">
        <is>
          <t>02/2025-26 MATERIAL SUPPLY UNDER MGNREGA SCHEME IN FY 2025-26 GP DHARNOK</t>
        </is>
      </c>
      <c r="G786" t="inlineStr">
        <is>
          <t>GRAM PANCHAYAT DHARNOK</t>
        </is>
      </c>
    </row>
    <row r="787">
      <c r="A787" s="1" t="n">
        <v>785</v>
      </c>
      <c r="B787">
        <f>HYPERLINK("https://eproc.rajasthan.gov.in/nicgep/app?component=%24DirectLink&amp;page=FrontEndViewTender&amp;service=direct&amp;session=T&amp;sp=SPr3bSbpdi2YtdNlsJAsx%2BA%3D%3D", "GPS RAMPURA ME TEENSHED WITH BOUNDARY HEIGHT INCREASING WORK")</f>
        <v/>
      </c>
      <c r="C787" t="inlineStr">
        <is>
          <t>Panchayati Raj Department||Secretary and Commissioner||CEO-BADMER||BDO-GIDA</t>
        </is>
      </c>
      <c r="D787" t="inlineStr">
        <is>
          <t>21-May-2025 06:00 PM</t>
        </is>
      </c>
      <c r="E787" t="inlineStr">
        <is>
          <t>NA</t>
        </is>
      </c>
      <c r="F787" t="inlineStr">
        <is>
          <t>GPS RAMPURA ME TEENSHED WITH BOUNDARY HEIGHT INCREASING WORK MANPURA KHARDA GIDA</t>
        </is>
      </c>
      <c r="G787" t="inlineStr">
        <is>
          <t>MANPURA KHARDA</t>
        </is>
      </c>
    </row>
    <row r="788">
      <c r="A788" s="1" t="n">
        <v>786</v>
      </c>
      <c r="B788">
        <f>HYPERLINK("https://eproc.rajasthan.gov.in/nicgep/app?component=%24DirectLink&amp;page=FrontEndViewTender&amp;service=direct&amp;session=T&amp;sp=Sy5PMlF9K87TYuUMOjCBLEA%3D%3D", "SUPPLY OF CONSTRUCION MATERAIL FOR NREGA AND OTHER SCHEME IN FY 2025-26 IN GP ITAWA BHOPJI")</f>
        <v/>
      </c>
      <c r="C788" t="inlineStr">
        <is>
          <t>Panchayati Raj Department||Secretary and Commissioner||CEO- JAIPUR||BDO-GOVINDGARH</t>
        </is>
      </c>
      <c r="D788" t="inlineStr">
        <is>
          <t>04-Jun-2025 10:00 AM</t>
        </is>
      </c>
      <c r="E788" t="inlineStr">
        <is>
          <t>50,00,000</t>
        </is>
      </c>
      <c r="F788" t="inlineStr">
        <is>
          <t>SUPPLY OF CONSTRUCION MATERAIL FOR NREGA AND OTHER SCHEME IN FY 2025-26 IN GP ITAWA BHOPJI</t>
        </is>
      </c>
      <c r="G788" t="inlineStr">
        <is>
          <t>Gram panchayat HQ</t>
        </is>
      </c>
    </row>
    <row r="789">
      <c r="A789" s="1" t="n">
        <v>787</v>
      </c>
      <c r="B789">
        <f>HYPERLINK("https://eproc.rajasthan.gov.in/nicgep/app?component=%24DirectLink&amp;page=FrontEndViewTender&amp;service=direct&amp;session=T&amp;sp=SmeS4ipzLcN7PCkgbz4QsMg%3D%3D", "13 SUPPLY OF CONST. MATER. AND EQUIP. FOR YR 2025-26 AS PER BSR AT PS ARTHUNA GP GOSAI KA PARDA")</f>
        <v/>
      </c>
      <c r="C789" t="inlineStr">
        <is>
          <t>Panchayati Raj Department||Secretary and Commissioner||CEO-BANSWARA||BDO-ARTHUNA</t>
        </is>
      </c>
      <c r="D789" t="inlineStr">
        <is>
          <t>20-May-2025 06:00 PM</t>
        </is>
      </c>
      <c r="E789" t="inlineStr">
        <is>
          <t>75,00,000</t>
        </is>
      </c>
      <c r="F789" t="inlineStr">
        <is>
          <t>13 SUPPLY OF CONST. MATER. AND EQUIP. FOR YR 2025-26 AS PER BSR AT PS ARTHUNA GP GOSAI KA PARDA</t>
        </is>
      </c>
      <c r="G789" t="inlineStr">
        <is>
          <t>ARTHUNA</t>
        </is>
      </c>
    </row>
    <row r="790">
      <c r="A790" s="1" t="n">
        <v>788</v>
      </c>
      <c r="B790">
        <f>HYPERLINK("https://eproc.rajasthan.gov.in/nicgep/app?component=%24DirectLink&amp;page=FrontEndViewTender&amp;service=direct&amp;session=T&amp;sp=SOAsKEQcC1iNNF2kEO5eO3Q%3D%3D", "10 SUPPLY OF CONST. MATER. AND EQUIP. FOR YR 2025-26 AS PER BSR AT PS ARTHUNA GP PANCHWARA")</f>
        <v/>
      </c>
      <c r="C790" t="inlineStr">
        <is>
          <t>Panchayati Raj Department||Secretary and Commissioner||CEO-BANSWARA||BDO-ARTHUNA</t>
        </is>
      </c>
      <c r="D790" t="inlineStr">
        <is>
          <t>20-May-2025 06:00 PM</t>
        </is>
      </c>
      <c r="E790" t="inlineStr">
        <is>
          <t>75,00,000</t>
        </is>
      </c>
      <c r="F790" t="inlineStr">
        <is>
          <t>10 SUPPLY OF CONST. MATER. AND EQUIP. FOR YR 2025-26 AS PER BSR AT PS ARTHUNA GP PANCHWARA</t>
        </is>
      </c>
      <c r="G790" t="inlineStr">
        <is>
          <t>ARTHUNA</t>
        </is>
      </c>
    </row>
    <row r="791">
      <c r="A791" s="1" t="n">
        <v>789</v>
      </c>
      <c r="B791">
        <f>HYPERLINK("https://eproc.rajasthan.gov.in/nicgep/app?component=%24DirectLink&amp;page=FrontEndViewTender&amp;service=direct&amp;session=T&amp;sp=S5A8I2jEiYdmGe9Ol10gAvA%3D%3D", "6 SUPPLY OF CONST. MATER. AND EQUIP. FOR YR 2025-26 AS PER BSR AT PS ARTHUNA GP MANDELAPADA")</f>
        <v/>
      </c>
      <c r="C791" t="inlineStr">
        <is>
          <t>Panchayati Raj Department||Secretary and Commissioner||CEO-BANSWARA||BDO-ARTHUNA</t>
        </is>
      </c>
      <c r="D791" t="inlineStr">
        <is>
          <t>20-May-2025 06:00 PM</t>
        </is>
      </c>
      <c r="E791" t="inlineStr">
        <is>
          <t>75,00,000</t>
        </is>
      </c>
      <c r="F791" t="inlineStr">
        <is>
          <t>6 SUPPLY OF CONST. MATER. AND EQUIP. FOR YR 2025-26 AS PER BSR AT PS ARTHUNA GP MANDELAPADA</t>
        </is>
      </c>
      <c r="G791" t="inlineStr">
        <is>
          <t>ARTHUNA</t>
        </is>
      </c>
    </row>
    <row r="792">
      <c r="A792" s="1" t="n">
        <v>790</v>
      </c>
      <c r="B792">
        <f>HYPERLINK("https://eproc.rajasthan.gov.in/nicgep/app?component=%24DirectLink&amp;page=FrontEndViewTender&amp;service=direct&amp;session=T&amp;sp=Sl90rvxdqzFMDsfhBMP3JNg%3D%3D", "11 SUPPLY OF CONST. MATER. AND EQUIP. FOR YR 2025-26 AS PER BSR AT PS ARTHUNA GP ITAUWA")</f>
        <v/>
      </c>
      <c r="C792" t="inlineStr">
        <is>
          <t>Panchayati Raj Department||Secretary and Commissioner||CEO-BANSWARA||BDO-ARTHUNA</t>
        </is>
      </c>
      <c r="D792" t="inlineStr">
        <is>
          <t>20-May-2025 06:00 PM</t>
        </is>
      </c>
      <c r="E792" t="inlineStr">
        <is>
          <t>75,00,000</t>
        </is>
      </c>
      <c r="F792" t="inlineStr">
        <is>
          <t>11 SUPPLY OF CONST. MATER. AND EQUIP. FOR YR 2025-26 AS PER BSR AT PS ARTHUNA GP ITAUWA</t>
        </is>
      </c>
      <c r="G792" t="inlineStr">
        <is>
          <t>ARTHUNA</t>
        </is>
      </c>
    </row>
    <row r="793">
      <c r="A793" s="1" t="n">
        <v>791</v>
      </c>
      <c r="B793">
        <f>HYPERLINK("https://eproc.rajasthan.gov.in/nicgep/app?component=%24DirectLink&amp;page=FrontEndViewTender&amp;service=direct&amp;session=T&amp;sp=SGpnTf5qpTqoz%2FBpMbwQHoA%3D%3D", "4 SUPPLY OF CONST. MATER. AND EQUIP. FOR YR 2025-26 AS PER BSR AT PS ARTHUNA GP BILODA")</f>
        <v/>
      </c>
      <c r="C793" t="inlineStr">
        <is>
          <t>Panchayati Raj Department||Secretary and Commissioner||CEO-BANSWARA||BDO-ARTHUNA</t>
        </is>
      </c>
      <c r="D793" t="inlineStr">
        <is>
          <t>20-May-2025 06:00 PM</t>
        </is>
      </c>
      <c r="E793" t="inlineStr">
        <is>
          <t>75,00,000</t>
        </is>
      </c>
      <c r="F793" t="inlineStr">
        <is>
          <t>4 SUPPLY OF CONST. MATER. AND EQUIP. FOR YR 2025-26 AS PER BSR AT PS ARTHUNA GP BILODA</t>
        </is>
      </c>
      <c r="G793" t="inlineStr">
        <is>
          <t>ARTHUNA</t>
        </is>
      </c>
    </row>
    <row r="794">
      <c r="A794" s="1" t="n">
        <v>792</v>
      </c>
      <c r="B794">
        <f>HYPERLINK("https://eproc.rajasthan.gov.in/nicgep/app?component=%24DirectLink&amp;page=FrontEndViewTender&amp;service=direct&amp;session=T&amp;sp=SLSAbfGbJ53ybY7nvcZndnw%3D%3D", "1 SUPPLY OF CONST. MATER. AND EQUIP. FOR YR 2025-26 AS PER BSR AT PS ARTHUNA GP ANJANA")</f>
        <v/>
      </c>
      <c r="C794" t="inlineStr">
        <is>
          <t>Panchayati Raj Department||Secretary and Commissioner||CEO-BANSWARA||BDO-ARTHUNA</t>
        </is>
      </c>
      <c r="D794" t="inlineStr">
        <is>
          <t>20-May-2025 06:00 PM</t>
        </is>
      </c>
      <c r="E794" t="inlineStr">
        <is>
          <t>75,00,000</t>
        </is>
      </c>
      <c r="F794" t="inlineStr">
        <is>
          <t>1 SUPPLY OF CONST. MATER. AND EQUIP. FOR YR 2025-26 AS PER BSR AT PS ARTHUNA GP ANJANA</t>
        </is>
      </c>
      <c r="G794" t="inlineStr">
        <is>
          <t>ARTHUNA</t>
        </is>
      </c>
    </row>
    <row r="795">
      <c r="A795" s="1" t="n">
        <v>793</v>
      </c>
      <c r="B795">
        <f>HYPERLINK("https://eproc.rajasthan.gov.in/nicgep/app?component=%24DirectLink&amp;page=FrontEndViewTender&amp;service=direct&amp;session=T&amp;sp=SkxgG07fM1EkthaLCSxLtAA%3D%3D", "7 SUPPLY OF CONST. MATER. AND EQUIP. FOR YR 2025-26 AS PER BSR AT PS ARTHUNA GP MOTI BASSI")</f>
        <v/>
      </c>
      <c r="C795" t="inlineStr">
        <is>
          <t>Panchayati Raj Department||Secretary and Commissioner||CEO-BANSWARA||BDO-ARTHUNA</t>
        </is>
      </c>
      <c r="D795" t="inlineStr">
        <is>
          <t>20-May-2025 06:00 PM</t>
        </is>
      </c>
      <c r="E795" t="inlineStr">
        <is>
          <t>75,00,000</t>
        </is>
      </c>
      <c r="F795" t="inlineStr">
        <is>
          <t>7 SUPPLY OF CONST. MATER. AND EQUIP. FOR YR 2025-26 AS PER BSR AT PS ARTHUNA GP MOTI BASSI</t>
        </is>
      </c>
      <c r="G795" t="inlineStr">
        <is>
          <t>ARTHUNA</t>
        </is>
      </c>
    </row>
    <row r="796">
      <c r="A796" s="1" t="n">
        <v>794</v>
      </c>
      <c r="B796">
        <f>HYPERLINK("https://eproc.rajasthan.gov.in/nicgep/app?component=%24DirectLink&amp;page=FrontEndViewTender&amp;service=direct&amp;session=T&amp;sp=SMyPWR6ZLzTlQGO8ixUxYUQ%3D%3D", "15 SUPPLY OF CONST. MATER. AND EQUIP. FOR YR 2025-26 AS PER BSR AT PS ARTHUNA GP ODA")</f>
        <v/>
      </c>
      <c r="C796" t="inlineStr">
        <is>
          <t>Panchayati Raj Department||Secretary and Commissioner||CEO-BANSWARA||BDO-ARTHUNA</t>
        </is>
      </c>
      <c r="D796" t="inlineStr">
        <is>
          <t>20-May-2025 06:00 PM</t>
        </is>
      </c>
      <c r="E796" t="inlineStr">
        <is>
          <t>75,00,000</t>
        </is>
      </c>
      <c r="F796" t="inlineStr">
        <is>
          <t>15 SUPPLY OF CONST. MATER. AND EQUIP. FOR YR 2025-26 AS PER BSR AT PS ARTHUNA GP ODA</t>
        </is>
      </c>
      <c r="G796" t="inlineStr">
        <is>
          <t>ARTHUNA</t>
        </is>
      </c>
    </row>
    <row r="797">
      <c r="A797" s="1" t="n">
        <v>795</v>
      </c>
      <c r="B797">
        <f>HYPERLINK("https://eproc.rajasthan.gov.in/nicgep/app?component=%24DirectLink&amp;page=FrontEndViewTender&amp;service=direct&amp;session=T&amp;sp=S%2FobMdyHAowji3CzP%2F4D%2ByQ%3D%3D", "12 SUPPLY OF CONST. MATER. AND EQUIP. FOR YR 2025-26 AS PER BSR AT PS ARTHUNA GP KOTARA")</f>
        <v/>
      </c>
      <c r="C797" t="inlineStr">
        <is>
          <t>Panchayati Raj Department||Secretary and Commissioner||CEO-BANSWARA||BDO-ARTHUNA</t>
        </is>
      </c>
      <c r="D797" t="inlineStr">
        <is>
          <t>20-May-2025 06:00 PM</t>
        </is>
      </c>
      <c r="E797" t="inlineStr">
        <is>
          <t>75,00,000</t>
        </is>
      </c>
      <c r="F797" t="inlineStr">
        <is>
          <t>12 SUPPLY OF CONST. MATER. AND EQUIP. FOR YR 2025-26 AS PER BSR AT PS ARTHUNA GP KOTARA</t>
        </is>
      </c>
      <c r="G797" t="inlineStr">
        <is>
          <t>ARTHUNA</t>
        </is>
      </c>
    </row>
    <row r="798">
      <c r="A798" s="1" t="n">
        <v>796</v>
      </c>
      <c r="B798">
        <f>HYPERLINK("https://eproc.rajasthan.gov.in/nicgep/app?component=%24DirectLink&amp;page=FrontEndViewTender&amp;service=direct&amp;session=T&amp;sp=S4KGbIyZs36%2FE8Xu4E1Z5%2Bw%3D%3D", "14 SUPPLY OF CONST. MATER. AND EQUIP. FOR YR 2025-26 AS PER BSR AT PS ARTHUNA GP KESARPURA")</f>
        <v/>
      </c>
      <c r="C798" t="inlineStr">
        <is>
          <t>Panchayati Raj Department||Secretary and Commissioner||CEO-BANSWARA||BDO-ARTHUNA</t>
        </is>
      </c>
      <c r="D798" t="inlineStr">
        <is>
          <t>20-May-2025 06:00 PM</t>
        </is>
      </c>
      <c r="E798" t="inlineStr">
        <is>
          <t>75,00,000</t>
        </is>
      </c>
      <c r="F798" t="inlineStr">
        <is>
          <t>14 SUPPLY OF CONST. MATER. AND EQUIP. FOR YR 2025-26 AS PER BSR AT PS ARTHUNA GP KESARPURA</t>
        </is>
      </c>
      <c r="G798" t="inlineStr">
        <is>
          <t>ARTHUNA</t>
        </is>
      </c>
    </row>
    <row r="799">
      <c r="A799" s="1" t="n">
        <v>797</v>
      </c>
      <c r="B799">
        <f>HYPERLINK("https://eproc.rajasthan.gov.in/nicgep/app?component=%24DirectLink&amp;page=FrontEndViewTender&amp;service=direct&amp;session=T&amp;sp=SgsTw9SwJH6wkRoymyuTRgA%3D%3D", "16 SUPPLY OF CONST. MATER. AND EQUIP. FOR YR 2025-26 AS PER BSR AT PS ARTHUNA GP NAVAGHARA")</f>
        <v/>
      </c>
      <c r="C799" t="inlineStr">
        <is>
          <t>Panchayati Raj Department||Secretary and Commissioner||CEO-BANSWARA||BDO-ARTHUNA</t>
        </is>
      </c>
      <c r="D799" t="inlineStr">
        <is>
          <t>20-May-2025 06:00 PM</t>
        </is>
      </c>
      <c r="E799" t="inlineStr">
        <is>
          <t>75,00,000</t>
        </is>
      </c>
      <c r="F799" t="inlineStr">
        <is>
          <t>16 SUPPLY OF CONST. MATER. AND EQUIP. FOR YR 2025-26 AS PER BSR AT PS ARTHUNA GP NAVAGHARA</t>
        </is>
      </c>
      <c r="G799" t="inlineStr">
        <is>
          <t>ARTHUNA</t>
        </is>
      </c>
    </row>
    <row r="800">
      <c r="A800" s="1" t="n">
        <v>798</v>
      </c>
      <c r="B800">
        <f>HYPERLINK("https://eproc.rajasthan.gov.in/nicgep/app?component=%24DirectLink&amp;page=FrontEndViewTender&amp;service=direct&amp;session=T&amp;sp=SqgT2xn9OvrhurI9gY1Tt5w%3D%3D", "17 SUPPLY OF CONST. MATER. AND EQUIP. FOR YR 2025-26 AS PER BSR AT PS ARTHUNA GP JHADAS")</f>
        <v/>
      </c>
      <c r="C800" t="inlineStr">
        <is>
          <t>Panchayati Raj Department||Secretary and Commissioner||CEO-BANSWARA||BDO-ARTHUNA</t>
        </is>
      </c>
      <c r="D800" t="inlineStr">
        <is>
          <t>20-May-2025 06:00 PM</t>
        </is>
      </c>
      <c r="E800" t="inlineStr">
        <is>
          <t>75,00,000</t>
        </is>
      </c>
      <c r="F800" t="inlineStr">
        <is>
          <t>17 SUPPLY OF CONST. MATER. AND EQUIP. FOR YR 2025-26 AS PER BSR AT PS ARTHUNA GP JHADAS</t>
        </is>
      </c>
      <c r="G800" t="inlineStr">
        <is>
          <t>ARTHUNA</t>
        </is>
      </c>
    </row>
    <row r="801">
      <c r="A801" s="1" t="n">
        <v>799</v>
      </c>
      <c r="B801">
        <f>HYPERLINK("https://eproc.rajasthan.gov.in/nicgep/app?component=%24DirectLink&amp;page=FrontEndViewTender&amp;service=direct&amp;session=T&amp;sp=SZRA2AN147Sd5ZyX9DvYKKw%3D%3D", "9 SUPPLY OF CONST. MATER. AND EQUIP. FOR YR 2025-26 AS PER BSR AT PS ARTHUNA GP PADERI")</f>
        <v/>
      </c>
      <c r="C801" t="inlineStr">
        <is>
          <t>Panchayati Raj Department||Secretary and Commissioner||CEO-BANSWARA||BDO-ARTHUNA</t>
        </is>
      </c>
      <c r="D801" t="inlineStr">
        <is>
          <t>17-May-2025 06:35 PM</t>
        </is>
      </c>
      <c r="E801" t="inlineStr">
        <is>
          <t>75,00,000</t>
        </is>
      </c>
      <c r="F801" t="inlineStr">
        <is>
          <t>9 SUPPLY OF CONST. MATER. AND EQUIP. FOR YR 2025-26 AS PER BSR AT PS ARTHUNA GP PADERI</t>
        </is>
      </c>
      <c r="G801" t="inlineStr">
        <is>
          <t>ARTHUNA</t>
        </is>
      </c>
    </row>
    <row r="802">
      <c r="A802" s="1" t="n">
        <v>800</v>
      </c>
      <c r="B802">
        <f>HYPERLINK("https://eproc.rajasthan.gov.in/nicgep/app?component=%24DirectLink&amp;page=FrontEndViewTender&amp;service=direct&amp;session=T&amp;sp=SLRQk9jtgEI8V%2Fd2eeMpjnA%3D%3D", "8 SUPPLY OF CONST. MATER. AND EQUIP. FOR YR 2025-26 AS PER BSR AT PS ARTHUNA GP SARANPUR")</f>
        <v/>
      </c>
      <c r="C802" t="inlineStr">
        <is>
          <t>Panchayati Raj Department||Secretary and Commissioner||CEO-BANSWARA||BDO-ARTHUNA</t>
        </is>
      </c>
      <c r="D802" t="inlineStr">
        <is>
          <t>20-May-2025 06:00 PM</t>
        </is>
      </c>
      <c r="E802" t="inlineStr">
        <is>
          <t>75,00,000</t>
        </is>
      </c>
      <c r="F802" t="inlineStr">
        <is>
          <t>8 SUPPLY OF CONST. MATER. AND EQUIP. FOR YR 2025-26 AS PER BSR AT PS ARTHUNA GP SARANPUR</t>
        </is>
      </c>
      <c r="G802" t="inlineStr">
        <is>
          <t>ARTHUNA</t>
        </is>
      </c>
    </row>
    <row r="803">
      <c r="A803" s="1" t="n">
        <v>801</v>
      </c>
      <c r="B803">
        <f>HYPERLINK("https://eproc.rajasthan.gov.in/nicgep/app?component=%24DirectLink&amp;page=FrontEndViewTender&amp;service=direct&amp;session=T&amp;sp=ShTtNvEyDc%2B3yHcYjnBTUmw%3D%3D", "18 SUPPLY OF CONST. MATER. AND EQUIP. FOR YR 2025-26 AS PER BSR AT PS ARTHUNA GP MALANA")</f>
        <v/>
      </c>
      <c r="C803" t="inlineStr">
        <is>
          <t>Panchayati Raj Department||Secretary and Commissioner||CEO-BANSWARA||BDO-ARTHUNA</t>
        </is>
      </c>
      <c r="D803" t="inlineStr">
        <is>
          <t>20-May-2025 06:00 PM</t>
        </is>
      </c>
      <c r="E803" t="inlineStr">
        <is>
          <t>75,00,000</t>
        </is>
      </c>
      <c r="F803" t="inlineStr">
        <is>
          <t>18 SUPPLY OF CONST. MATER. AND EQUIP. FOR YR 2025-26 AS PER BSR AT PS ARTHUNA GP MALANA</t>
        </is>
      </c>
      <c r="G803" t="inlineStr">
        <is>
          <t>ARTHUNA</t>
        </is>
      </c>
    </row>
    <row r="804">
      <c r="A804" s="1" t="n">
        <v>802</v>
      </c>
      <c r="B804">
        <f>HYPERLINK("https://eproc.rajasthan.gov.in/nicgep/app?component=%24DirectLink&amp;page=FrontEndViewTender&amp;service=direct&amp;session=T&amp;sp=S27DLUN0bco9LeFBkzWR%2B7A%3D%3D", "RATE CONTRACT FOR SUPPLY OF CONSTRUCTION MATERIAL AND PROVIDING EQUIPMENTS FOR MGNAREGA AND RURAL DEVELOPMENT AND PANCHAYATI RAJ DEPARTMENT VARIOUS SCHEME AT GRAM PANCHAYAT NAYAWAS PANCHAYAT SAMITI RAMAGRH PACHWARA DIST DAUSA FOR F.Y 2025-2026")</f>
        <v/>
      </c>
      <c r="C804" t="inlineStr">
        <is>
          <t>Panchayati Raj Department||Secretary and Commissioner||CEO-DAUSA||BDO-RAMGARH PACHWARA</t>
        </is>
      </c>
      <c r="D804" t="inlineStr">
        <is>
          <t>27-May-2025 06:00 PM</t>
        </is>
      </c>
      <c r="E804" t="inlineStr">
        <is>
          <t>60,00,000</t>
        </is>
      </c>
      <c r="F804" t="inlineStr">
        <is>
          <t>RATE CONTRACT FOR SUPPLY OF CONSTRUCTION MATERIAL AND PROVIDING EQUIPMENTS FOR MGNAREGA AND RURAL DEVELOPMENT AND PANCHAYATI RAJ DEPARTMENT VARIOUS SCHEME AT GRAM PANCHAYAT NAYAWAS PANCHAYAT SAMITI RAMAGRH PACHWARA DIST DAUSA FOR F.Y 2025-2026</t>
        </is>
      </c>
      <c r="G804" t="inlineStr">
        <is>
          <t>GRAM PANCHAYAT NAYAWAS</t>
        </is>
      </c>
    </row>
    <row r="805">
      <c r="A805" s="1" t="n">
        <v>803</v>
      </c>
      <c r="B805">
        <f>HYPERLINK("https://eproc.rajasthan.gov.in/nicgep/app?component=%24DirectLink&amp;page=FrontEndViewTender&amp;service=direct&amp;session=T&amp;sp=SeInJ7asmrqJxJ2HKb0uRLg%3D%3D", "RATE CONTRACT FOR SUPPLY OF CONSTRUCTION MATERIAL AND PROVIDING EQUIPMENTS FOR MGNAREGA AND RURAL DEVELOPMENT AND PANCHAYATI RAJ DEPARTMENT VARIOUS SCHEME AT GRAM PANCHAYAT BIDRAKHA PANCHAYAT SAMITI RAMAGRH PACHWARA DIST DAUSA FOR F.Y 2025-2026")</f>
        <v/>
      </c>
      <c r="C805" t="inlineStr">
        <is>
          <t>Panchayati Raj Department||Secretary and Commissioner||CEO-DAUSA||BDO-RAMGARH PACHWARA</t>
        </is>
      </c>
      <c r="D805" t="inlineStr">
        <is>
          <t>27-May-2025 06:00 PM</t>
        </is>
      </c>
      <c r="E805" t="inlineStr">
        <is>
          <t>60,00,000</t>
        </is>
      </c>
      <c r="F805" t="inlineStr">
        <is>
          <t>RATE CONTRACT FOR SUPPLY OF CONSTRUCTION MATERIAL AND PROVIDING EQUIPMENTS FOR MGNAREGA AND RURAL DEVELOPMENT AND PANCHAYATI RAJ DEPARTMENT VARIOUS SCHEME AT GRAM PANCHAYAT BIDRAKHA PANCHAYAT SAMITI RAMAGRH PACHWARA DIST DAUSA FOR F.Y 2025-2026</t>
        </is>
      </c>
      <c r="G805" t="inlineStr">
        <is>
          <t>GRAM PANCHAYAT BIDRAKHA</t>
        </is>
      </c>
    </row>
    <row r="806">
      <c r="A806" s="1" t="n">
        <v>804</v>
      </c>
      <c r="B806">
        <f>HYPERLINK("https://eproc.rajasthan.gov.in/nicgep/app?component=%24DirectLink&amp;page=FrontEndViewTender&amp;service=direct&amp;session=T&amp;sp=Slpa4gLZvLF0TjQwAsVNZAw%3D%3D", "Collection and separation of garbage from every house and business establishment in the villages under G.Panchayat GANGLIYAWAS under P. S.Ramgarh Pachwara, cleaning of roads and drains in the villages and cleaning work of community sanitation compl")</f>
        <v/>
      </c>
      <c r="C806" t="inlineStr">
        <is>
          <t>Panchayati Raj Department||Secretary and Commissioner||CEO-DAUSA||BDO-RAMGARH PACHWARA</t>
        </is>
      </c>
      <c r="D806" t="inlineStr">
        <is>
          <t>28-May-2025 06:00 PM</t>
        </is>
      </c>
      <c r="E806" t="inlineStr">
        <is>
          <t>7,80,000</t>
        </is>
      </c>
      <c r="F806" t="inlineStr">
        <is>
          <t>Collection and separation of garbage from every house and business establishment in the villages under G.Panchayat GANGLIYAWAS under P. S.Ramgarh Pachwara, cleaning of roads and drains in the villages and cleaning work of community sanitation compl</t>
        </is>
      </c>
      <c r="G806" t="inlineStr">
        <is>
          <t>GRAM PANCHAYAT GANGLIYAWAS</t>
        </is>
      </c>
    </row>
    <row r="807">
      <c r="A807" s="1" t="n">
        <v>805</v>
      </c>
      <c r="B807">
        <f>HYPERLINK("https://eproc.rajasthan.gov.in/nicgep/app?component=%24DirectLink&amp;page=FrontEndViewTender&amp;service=direct&amp;session=T&amp;sp=SKRweeuvCQ6B53oLnXkxxcA%3D%3D", "3 SUPPLY OF CONST. MATER. AND EQUIP. FOR YR 2025-26 AS PER BSR AT PS ARTHUNA GP VAKHATPURA")</f>
        <v/>
      </c>
      <c r="C807" t="inlineStr">
        <is>
          <t>Panchayati Raj Department||Secretary and Commissioner||CEO-BANSWARA||BDO-ARTHUNA</t>
        </is>
      </c>
      <c r="D807" t="inlineStr">
        <is>
          <t>20-May-2025 06:00 PM</t>
        </is>
      </c>
      <c r="E807" t="inlineStr">
        <is>
          <t>75,00,000</t>
        </is>
      </c>
      <c r="F807" t="inlineStr">
        <is>
          <t>3 SUPPLY OF CONST. MATER. AND EQUIP. FOR YR 2025-26 AS PER BSR AT PS ARTHUNA GP VAKHATPURA</t>
        </is>
      </c>
      <c r="G807" t="inlineStr">
        <is>
          <t>ARTHUNA</t>
        </is>
      </c>
    </row>
    <row r="808">
      <c r="A808" s="1" t="n">
        <v>806</v>
      </c>
      <c r="B808">
        <f>HYPERLINK("https://eproc.rajasthan.gov.in/nicgep/app?component=%24DirectLink&amp;page=FrontEndViewTender&amp;service=direct&amp;session=T&amp;sp=ShjHIs2Pn8uxvC6c1XTs%2BKQ%3D%3D", "5 SUPPLY OF CONST. MATER. AND EQUIP. FOR YR 2025-26 AS PER BSR AT PS ARTHUNA GP KUWALIYA")</f>
        <v/>
      </c>
      <c r="C808" t="inlineStr">
        <is>
          <t>Panchayati Raj Department||Secretary and Commissioner||CEO-BANSWARA||BDO-ARTHUNA</t>
        </is>
      </c>
      <c r="D808" t="inlineStr">
        <is>
          <t>20-May-2025 06:00 PM</t>
        </is>
      </c>
      <c r="E808" t="inlineStr">
        <is>
          <t>75,00,000</t>
        </is>
      </c>
      <c r="F808" t="inlineStr">
        <is>
          <t>5 SUPPLY OF CONST. MATER. AND EQUIP. FOR YR 2025-26 AS PER BSR AT PS ARTHUNA GP KUWALIYA</t>
        </is>
      </c>
      <c r="G808" t="inlineStr">
        <is>
          <t>ARTHUNA</t>
        </is>
      </c>
    </row>
    <row r="809">
      <c r="A809" s="1" t="n">
        <v>807</v>
      </c>
      <c r="B809">
        <f>HYPERLINK("https://eproc.rajasthan.gov.in/nicgep/app?component=%24DirectLink&amp;page=FrontEndViewTender&amp;service=direct&amp;session=T&amp;sp=Sjt5LEXL00GQYetw3FCwAVg%3D%3D", "Collection and separation of garbage from every house and business establishment in the villages under G.Panchayat NAYAWAS under P. S.Ramgarh Pachwara, cleaning of roads and drains in the villages and cleaning work of community sanitation complex")</f>
        <v/>
      </c>
      <c r="C809" t="inlineStr">
        <is>
          <t>Panchayati Raj Department||Secretary and Commissioner||CEO-DAUSA||BDO-RAMGARH PACHWARA</t>
        </is>
      </c>
      <c r="D809" t="inlineStr">
        <is>
          <t>27-May-2025 06:00 PM</t>
        </is>
      </c>
      <c r="E809" t="inlineStr">
        <is>
          <t>7,50,000</t>
        </is>
      </c>
      <c r="F809" t="inlineStr">
        <is>
          <t>Collection and separation of garbage from every house and business establishment in the villages under G.Panchayat NAYAWAS under P. S.Ramgarh Pachwara, cleaning of roads and drains in the villages and cleaning work of community sanitation complex</t>
        </is>
      </c>
      <c r="G809" t="inlineStr">
        <is>
          <t>GRAM PANCHAYAT NAYAWAS</t>
        </is>
      </c>
    </row>
    <row r="810">
      <c r="A810" s="1" t="n">
        <v>808</v>
      </c>
      <c r="B810">
        <f>HYPERLINK("https://eproc.rajasthan.gov.in/nicgep/app?component=%24DirectLink&amp;page=FrontEndViewTender&amp;service=direct&amp;session=T&amp;sp=St%2F4rFuhp%2BPuyu8bsoQ4Ftw%3D%3D", "2 SUPPLY OF CONST. MATER. AND EQUIP. FOR YR 2025-26 AS PER BSR AT PS ARTHUNA GP ARTHUNA")</f>
        <v/>
      </c>
      <c r="C810" t="inlineStr">
        <is>
          <t>Panchayati Raj Department||Secretary and Commissioner||CEO-BANSWARA||BDO-ARTHUNA</t>
        </is>
      </c>
      <c r="D810" t="inlineStr">
        <is>
          <t>20-May-2025 06:00 PM</t>
        </is>
      </c>
      <c r="E810" t="inlineStr">
        <is>
          <t>75,00,000</t>
        </is>
      </c>
      <c r="F810" t="inlineStr">
        <is>
          <t>2 SUPPLY OF CONST. MATER. AND EQUIP. FOR YR 2025-26 AS PER BSR AT PS ARTHUNA GP ARTHUNA</t>
        </is>
      </c>
      <c r="G810" t="inlineStr">
        <is>
          <t>ARTHUNA</t>
        </is>
      </c>
    </row>
    <row r="811">
      <c r="A811" s="1" t="n">
        <v>809</v>
      </c>
      <c r="B811">
        <f>HYPERLINK("https://eproc.rajasthan.gov.in/nicgep/app?component=%24DirectLink&amp;page=FrontEndViewTender&amp;service=direct&amp;session=T&amp;sp=SJTOkuYnNU%2B1wAFTES2edig%3D%3D", "01/2025-26 MATERIAL SUPPLY UNDER PRD SCHEME IN FY 2025-26 GP DHARNOK")</f>
        <v/>
      </c>
      <c r="C811" t="inlineStr">
        <is>
          <t>Panchayati Raj Department||Secretary and Commissioner||CEO-BIKANER||BDO-PANCHU</t>
        </is>
      </c>
      <c r="D811" t="inlineStr">
        <is>
          <t>26-May-2025 06:00 PM</t>
        </is>
      </c>
      <c r="E811" t="inlineStr">
        <is>
          <t>50,00,000</t>
        </is>
      </c>
      <c r="F811" t="inlineStr">
        <is>
          <t>01/2025-26 MATERIAL SUPPLY UNDER PRD SCHEME IN FY 2025-26 GP DHARNOK</t>
        </is>
      </c>
      <c r="G811" t="inlineStr">
        <is>
          <t>GRAM PANCHAYAT DHARNOK</t>
        </is>
      </c>
    </row>
    <row r="812">
      <c r="A812" s="1" t="n">
        <v>810</v>
      </c>
      <c r="B812">
        <f>HYPERLINK("https://eproc.rajasthan.gov.in/nicgep/app?component=%24DirectLink&amp;page=FrontEndViewTender&amp;service=direct&amp;session=T&amp;sp=Spc9XBQ0be%2FqYarfkYXiptA%3D%3D", "material supply in gp kolida")</f>
        <v/>
      </c>
      <c r="C812" t="inlineStr">
        <is>
          <t>Panchayati Raj Department||Secretary and Commissioner||CEO-SIKAR||BDO-PIPARALI</t>
        </is>
      </c>
      <c r="D812" t="inlineStr">
        <is>
          <t>26-May-2025 06:00 PM</t>
        </is>
      </c>
      <c r="E812" t="inlineStr">
        <is>
          <t>50,00,000</t>
        </is>
      </c>
      <c r="F812" t="inlineStr">
        <is>
          <t>material supply in gp kolida and villages in year 2025-26</t>
        </is>
      </c>
      <c r="G812" t="inlineStr">
        <is>
          <t>gp kilida</t>
        </is>
      </c>
    </row>
    <row r="813">
      <c r="A813" s="1" t="n">
        <v>811</v>
      </c>
      <c r="B813">
        <f>HYPERLINK("https://eproc.rajasthan.gov.in/nicgep/app?component=%24DirectLink&amp;page=FrontEndViewTender&amp;service=direct&amp;session=T&amp;sp=SHS4qMBFY58KwoBWc7f4zSQ%3D%3D", "SUPPLY OF CONSTRUCION MATERAIL FOR NREGA AND OTHER SCHEME IN FY 2025-26 IN GP HATHNODA")</f>
        <v/>
      </c>
      <c r="C813" t="inlineStr">
        <is>
          <t>Panchayati Raj Department||Secretary and Commissioner||CEO- JAIPUR||BDO-GOVINDGARH</t>
        </is>
      </c>
      <c r="D813" t="inlineStr">
        <is>
          <t>04-Jun-2025 10:00 AM</t>
        </is>
      </c>
      <c r="E813" t="inlineStr">
        <is>
          <t>99,00,000</t>
        </is>
      </c>
      <c r="F813" t="inlineStr">
        <is>
          <t>SUPPLY OF CONSTRUCION MATERAIL FOR NREGA AND OTHER SCHEME IN FY 2025-26 IN GP HATHNODA</t>
        </is>
      </c>
      <c r="G813" t="inlineStr">
        <is>
          <t>Gram panchayat HQ</t>
        </is>
      </c>
    </row>
    <row r="814">
      <c r="A814" s="1" t="n">
        <v>812</v>
      </c>
      <c r="B814">
        <f>HYPERLINK("https://eproc.rajasthan.gov.in/nicgep/app?component=%24DirectLink&amp;page=FrontEndViewTender&amp;service=direct&amp;session=T&amp;sp=SwAqz%2FzgCvb2Mwql1B%2BfVIw%3D%3D", "CLASS ROOM CONSTUCTION MANPURA GIDA")</f>
        <v/>
      </c>
      <c r="C814" t="inlineStr">
        <is>
          <t>Panchayati Raj Department||Secretary and Commissioner||CEO-BADMER||BDO-GIDA</t>
        </is>
      </c>
      <c r="D814" t="inlineStr">
        <is>
          <t>21-May-2025 06:00 PM</t>
        </is>
      </c>
      <c r="E814" t="inlineStr">
        <is>
          <t>NA</t>
        </is>
      </c>
      <c r="F814" t="inlineStr">
        <is>
          <t>CLASS ROOM CONSTUCTION GSSS MANPURA GIDA</t>
        </is>
      </c>
      <c r="G814" t="inlineStr">
        <is>
          <t>MANPURA</t>
        </is>
      </c>
    </row>
    <row r="815">
      <c r="A815" s="1" t="n">
        <v>813</v>
      </c>
      <c r="B815">
        <f>HYPERLINK("https://eproc.rajasthan.gov.in/nicgep/app?component=%24DirectLink&amp;page=FrontEndViewTender&amp;service=direct&amp;session=T&amp;sp=SPdO6GuYheluzgjPOJRKCEw%3D%3D", "SUPPLY OF CONSTRUCION MATERAIL FOR NREGA AND OTHER SCHEME IN FY 2025-26 IN GP HASTEDA")</f>
        <v/>
      </c>
      <c r="C815" t="inlineStr">
        <is>
          <t>Panchayati Raj Department||Secretary and Commissioner||CEO- JAIPUR||BDO-GOVINDGARH</t>
        </is>
      </c>
      <c r="D815" t="inlineStr">
        <is>
          <t>04-Jun-2025 10:00 AM</t>
        </is>
      </c>
      <c r="E815" t="inlineStr">
        <is>
          <t>80,00,000</t>
        </is>
      </c>
      <c r="F815" t="inlineStr">
        <is>
          <t>SUPPLY OF CONSTRUCION MATERAIL FOR NREGA AND OTHER SCHEME IN FY 2025-26 IN GP HASTEDA</t>
        </is>
      </c>
      <c r="G815" t="inlineStr">
        <is>
          <t>Gram panchayat HQ</t>
        </is>
      </c>
    </row>
    <row r="816">
      <c r="A816" s="1" t="n">
        <v>814</v>
      </c>
      <c r="B816">
        <f>HYPERLINK("https://eproc.rajasthan.gov.in/nicgep/app?component=%24DirectLink&amp;page=FrontEndViewTender&amp;service=direct&amp;session=T&amp;sp=SbCa6RlBkM0wr2PCp7CTGRg%3D%3D", "SUPPLY OF CONSTRUCION MATERAIL FOR NREGA AND OTHER SCHEME IN FY 2025-26 IN GP GHEENOI")</f>
        <v/>
      </c>
      <c r="C816" t="inlineStr">
        <is>
          <t>Panchayati Raj Department||Secretary and Commissioner||CEO- JAIPUR||BDO-GOVINDGARH</t>
        </is>
      </c>
      <c r="D816" t="inlineStr">
        <is>
          <t>04-Jun-2025 10:00 AM</t>
        </is>
      </c>
      <c r="E816" t="inlineStr">
        <is>
          <t>50,00,000</t>
        </is>
      </c>
      <c r="F816" t="inlineStr">
        <is>
          <t>SUPPLY OF CONSTRUCION MATERAIL FOR NREGA AND OTHER SCHEME IN FY 2025-26 IN GP GHEENOI</t>
        </is>
      </c>
      <c r="G816" t="inlineStr">
        <is>
          <t>Gram panchayat HQ</t>
        </is>
      </c>
    </row>
    <row r="817">
      <c r="A817" s="1" t="n">
        <v>815</v>
      </c>
      <c r="B817">
        <f>HYPERLINK("https://eproc.rajasthan.gov.in/nicgep/app?component=%24DirectLink&amp;page=FrontEndViewTender&amp;service=direct&amp;session=T&amp;sp=SBWwEdwzTmo5EbWu%2Fiqbo3g%3D%3D", "27 SUPPLY OF CONST. MATER. AND EQUIP. FOR YR 2025-26 AS PER BSR AT PS ARTHUNA GP GAMDI NARAYAN")</f>
        <v/>
      </c>
      <c r="C817" t="inlineStr">
        <is>
          <t>Panchayati Raj Department||Secretary and Commissioner||CEO-BANSWARA||BDO-ARTHUNA</t>
        </is>
      </c>
      <c r="D817" t="inlineStr">
        <is>
          <t>20-May-2025 06:00 PM</t>
        </is>
      </c>
      <c r="E817" t="inlineStr">
        <is>
          <t>75,00,000</t>
        </is>
      </c>
      <c r="F817" t="inlineStr">
        <is>
          <t>27 SUPPLY OF CONST. MATER. AND EQUIP. FOR YR 2025-26 AS PER BSR AT PS ARTHUNA GP GAMDI NARAYAN</t>
        </is>
      </c>
      <c r="G817" t="inlineStr">
        <is>
          <t>ARTHUNA</t>
        </is>
      </c>
    </row>
    <row r="818">
      <c r="A818" s="1" t="n">
        <v>816</v>
      </c>
      <c r="B818">
        <f>HYPERLINK("https://eproc.rajasthan.gov.in/nicgep/app?component=%24DirectLink&amp;page=FrontEndViewTender&amp;service=direct&amp;session=T&amp;sp=ShdWpAcA9%2FnMLLeX%2BBB8Z%2Bg%3D%3D", "SUPPLY OF CONSTRUCION MATERAIL FOR NREGA AND OTHER SCHEME IN FY 2025-26 IN GP FATEHPURA")</f>
        <v/>
      </c>
      <c r="C818" t="inlineStr">
        <is>
          <t>Panchayati Raj Department||Secretary and Commissioner||CEO- JAIPUR||BDO-GOVINDGARH</t>
        </is>
      </c>
      <c r="D818" t="inlineStr">
        <is>
          <t>04-Jun-2025 10:00 AM</t>
        </is>
      </c>
      <c r="E818" t="inlineStr">
        <is>
          <t>80,00,000</t>
        </is>
      </c>
      <c r="F818" t="inlineStr">
        <is>
          <t>SUPPLY OF CONSTRUCION MATERAIL FOR NREGA AND OTHER SCHEME IN FY 2025-26 IN GP FATEHPURA</t>
        </is>
      </c>
      <c r="G818" t="inlineStr">
        <is>
          <t>Gram panchayat HQ</t>
        </is>
      </c>
    </row>
    <row r="819">
      <c r="A819" s="1" t="n">
        <v>817</v>
      </c>
      <c r="B819">
        <f>HYPERLINK("https://eproc.rajasthan.gov.in/nicgep/app?component=%24DirectLink&amp;page=FrontEndViewTender&amp;service=direct&amp;session=T&amp;sp=SG2Cvxwk9oYcxmYaKfBfc1A%3D%3D", "SUPPLY OF CONSTRUCION MATERAIL FOR NREGA AND OTHER SCHEME IN FY 2025-26 IN GP GUDLIYA")</f>
        <v/>
      </c>
      <c r="C819" t="inlineStr">
        <is>
          <t>Panchayati Raj Department||Secretary and Commissioner||CEO- JAIPUR||BDO-GOVINDGARH</t>
        </is>
      </c>
      <c r="D819" t="inlineStr">
        <is>
          <t>04-Jun-2025 10:00 AM</t>
        </is>
      </c>
      <c r="E819" t="inlineStr">
        <is>
          <t>50,00,000</t>
        </is>
      </c>
      <c r="F819" t="inlineStr">
        <is>
          <t>SUPPLY OF CONSTRUCION MATERAIL FOR NREGA AND OTHER SCHEME IN FY 2025-26 IN GP GUDLIYA</t>
        </is>
      </c>
      <c r="G819" t="inlineStr">
        <is>
          <t>Gram panchayat HQ</t>
        </is>
      </c>
    </row>
    <row r="820">
      <c r="A820" s="1" t="n">
        <v>818</v>
      </c>
      <c r="B820">
        <f>HYPERLINK("https://eproc.rajasthan.gov.in/nicgep/app?component=%24DirectLink&amp;page=FrontEndViewTender&amp;service=direct&amp;session=T&amp;sp=SbcTmTiCdqdzb8jeav%2FuY4A%3D%3D", "Panchayat Learning Center Establishment Work Gram Panchayat Ramnagar PS Bundi")</f>
        <v/>
      </c>
      <c r="C820" t="inlineStr">
        <is>
          <t>Panchayati Raj Department||Secretary and Commissioner||CEO-BUNDI||BDO-BUNDI</t>
        </is>
      </c>
      <c r="D820" t="inlineStr">
        <is>
          <t>27-May-2025 06:00 PM</t>
        </is>
      </c>
      <c r="E820" t="inlineStr">
        <is>
          <t>7,00,000</t>
        </is>
      </c>
      <c r="F820" t="inlineStr">
        <is>
          <t>Panchayat Learning Center Establishment Work Gram Panchayat Ramnagar PS Bundi</t>
        </is>
      </c>
      <c r="G820" t="inlineStr">
        <is>
          <t>GRAM PANCHAYAT RAMNAGAR</t>
        </is>
      </c>
    </row>
    <row r="821">
      <c r="A821" s="1" t="n">
        <v>819</v>
      </c>
      <c r="B821">
        <f>HYPERLINK("https://eproc.rajasthan.gov.in/nicgep/app?component=%24DirectLink&amp;page=FrontEndViewTender&amp;service=direct&amp;session=T&amp;sp=Sk3T0Co2KSwr2uoHfvX9YpQ%3D%3D", "26 SUPPLY OF CONST. MATER. AND EQUIP. FOR YR 2025-26 AS PER BSR AT PS ARTHUNA GP TIMURWA")</f>
        <v/>
      </c>
      <c r="C821" t="inlineStr">
        <is>
          <t>Panchayati Raj Department||Secretary and Commissioner||CEO-BANSWARA||BDO-ARTHUNA</t>
        </is>
      </c>
      <c r="D821" t="inlineStr">
        <is>
          <t>20-May-2025 06:00 PM</t>
        </is>
      </c>
      <c r="E821" t="inlineStr">
        <is>
          <t>75,00,000</t>
        </is>
      </c>
      <c r="F821" t="inlineStr">
        <is>
          <t>26 SUPPLY OF CONST. MATER. AND EQUIP. FOR YR 2025-26 AS PER BSR AT PS ARTHUNA GP TIMURWA</t>
        </is>
      </c>
      <c r="G821" t="inlineStr">
        <is>
          <t>ARTHUNA</t>
        </is>
      </c>
    </row>
    <row r="822">
      <c r="A822" s="1" t="n">
        <v>820</v>
      </c>
      <c r="B822">
        <f>HYPERLINK("https://eproc.rajasthan.gov.in/nicgep/app?component=%24DirectLink&amp;page=FrontEndViewTender&amp;service=direct&amp;session=T&amp;sp=Sg0jApnHVAriQ1GoBWRimHg%3D%3D", "SUPPLY OF CONSTRUCION MATERAIL FOR NREGA AND OTHER SCHEME IN FY 2025-26 IN GP HADOTA")</f>
        <v/>
      </c>
      <c r="C822" t="inlineStr">
        <is>
          <t>Panchayati Raj Department||Secretary and Commissioner||CEO- JAIPUR||BDO-GOVINDGARH</t>
        </is>
      </c>
      <c r="D822" t="inlineStr">
        <is>
          <t>04-Jun-2025 10:00 AM</t>
        </is>
      </c>
      <c r="E822" t="inlineStr">
        <is>
          <t>50,00,000</t>
        </is>
      </c>
      <c r="F822" t="inlineStr">
        <is>
          <t>SUPPLY OF CONSTRUCION MATERAIL FOR NREGA AND OTHER SCHEME IN FY 2025-26 IN GP HADOTA</t>
        </is>
      </c>
      <c r="G822" t="inlineStr">
        <is>
          <t>Gram panchayat HQ</t>
        </is>
      </c>
    </row>
    <row r="823">
      <c r="A823" s="1" t="n">
        <v>821</v>
      </c>
      <c r="B823">
        <f>HYPERLINK("https://eproc.rajasthan.gov.in/nicgep/app?component=%24DirectLink&amp;page=FrontEndViewTender&amp;service=direct&amp;session=T&amp;sp=SX59QG%2BYCvivHA72QJFVgSg%3D%3D", "1 SUPPLY OF CONST. MATER. AND EQUIP. FOR YR 2025-26 AS PER BSR AT PS BAGIDORA GP BANSLA")</f>
        <v/>
      </c>
      <c r="C823" t="inlineStr">
        <is>
          <t>Panchayati Raj Department||Secretary and Commissioner||CEO-BANSWARA||BDO-BAGIDORA</t>
        </is>
      </c>
      <c r="D823" t="inlineStr">
        <is>
          <t>26-May-2025 06:00 PM</t>
        </is>
      </c>
      <c r="E823" t="inlineStr">
        <is>
          <t>50,00,000</t>
        </is>
      </c>
      <c r="F823" t="inlineStr">
        <is>
          <t>1 SUPPLY OF CONST. MATER. AND EQUIP. FOR YR 2025-26 AS PER BSR AT PS BAGIDORA GP BANSLA</t>
        </is>
      </c>
      <c r="G823" t="inlineStr">
        <is>
          <t>BAGIDORA</t>
        </is>
      </c>
    </row>
    <row r="824">
      <c r="A824" s="1" t="n">
        <v>822</v>
      </c>
      <c r="B824">
        <f>HYPERLINK("https://eproc.rajasthan.gov.in/nicgep/app?component=%24DirectLink&amp;page=FrontEndViewTender&amp;service=direct&amp;session=T&amp;sp=SO2017t6Ha%2FVfMhRUMjxUbg%3D%3D", "25 SUPPLY OF CONST. MATER. AND EQUIP. FOR YR 2025-26 AS PER BSR AT PS ARTHUNA GP TAMTATIYA RATHORE")</f>
        <v/>
      </c>
      <c r="C824" t="inlineStr">
        <is>
          <t>Panchayati Raj Department||Secretary and Commissioner||CEO-BANSWARA||BDO-ARTHUNA</t>
        </is>
      </c>
      <c r="D824" t="inlineStr">
        <is>
          <t>20-May-2025 06:00 PM</t>
        </is>
      </c>
      <c r="E824" t="inlineStr">
        <is>
          <t>75,00,000</t>
        </is>
      </c>
      <c r="F824" t="inlineStr">
        <is>
          <t>25 SUPPLY OF CONST. MATER. AND EQUIP. FOR YR 2025-26 AS PER BSR AT PS ARTHUNA GP TAMTATIYA RATHORE</t>
        </is>
      </c>
      <c r="G824" t="inlineStr">
        <is>
          <t>ARTHUNA</t>
        </is>
      </c>
    </row>
    <row r="825">
      <c r="A825" s="1" t="n">
        <v>823</v>
      </c>
      <c r="B825">
        <f>HYPERLINK("https://eproc.rajasthan.gov.in/nicgep/app?component=%24DirectLink&amp;page=FrontEndViewTender&amp;service=direct&amp;session=T&amp;sp=SYKxQ0kLoomOcluOfYcu4qw%3D%3D", "24 SUPPLY OF CONST. MATER. AND EQUIP. FOR YR 2025-26 AS PER BSR AT PS ARTHUNA GP BHATAR")</f>
        <v/>
      </c>
      <c r="C825" t="inlineStr">
        <is>
          <t>Panchayati Raj Department||Secretary and Commissioner||CEO-BANSWARA||BDO-ARTHUNA</t>
        </is>
      </c>
      <c r="D825" t="inlineStr">
        <is>
          <t>20-May-2025 06:00 PM</t>
        </is>
      </c>
      <c r="E825" t="inlineStr">
        <is>
          <t>75,00,000</t>
        </is>
      </c>
      <c r="F825" t="inlineStr">
        <is>
          <t>24 SUPPLY OF CONST. MATER. AND EQUIP. FOR YR 2025-26 AS PER BSR AT PS ARTHUNA GP BHATAR</t>
        </is>
      </c>
      <c r="G825" t="inlineStr">
        <is>
          <t>ARTHUNA</t>
        </is>
      </c>
    </row>
    <row r="826">
      <c r="A826" s="1" t="n">
        <v>824</v>
      </c>
      <c r="B826">
        <f>HYPERLINK("https://eproc.rajasthan.gov.in/nicgep/app?component=%24DirectLink&amp;page=FrontEndViewTender&amp;service=direct&amp;session=T&amp;sp=Sw9sR4bxb1k95jZVwRIcyfg%3D%3D", "23 SUPPLY OF CONST. MATER. AND EQUIP. FOR YR 2025-26 AS PER BSR AT PS ARTHUNA GP NAHLI")</f>
        <v/>
      </c>
      <c r="C826" t="inlineStr">
        <is>
          <t>Panchayati Raj Department||Secretary and Commissioner||CEO-BANSWARA||BDO-ARTHUNA</t>
        </is>
      </c>
      <c r="D826" t="inlineStr">
        <is>
          <t>20-May-2025 06:00 PM</t>
        </is>
      </c>
      <c r="E826" t="inlineStr">
        <is>
          <t>75,00,000</t>
        </is>
      </c>
      <c r="F826" t="inlineStr">
        <is>
          <t>23 SUPPLY OF CONST. MATER. AND EQUIP. FOR YR 2025-26 AS PER BSR AT PS ARTHUNA GP NAHLI</t>
        </is>
      </c>
      <c r="G826" t="inlineStr">
        <is>
          <t>ARTHUNA</t>
        </is>
      </c>
    </row>
    <row r="827">
      <c r="A827" s="1" t="n">
        <v>825</v>
      </c>
      <c r="B827">
        <f>HYPERLINK("https://eproc.rajasthan.gov.in/nicgep/app?component=%24DirectLink&amp;page=FrontEndViewTender&amp;service=direct&amp;session=T&amp;sp=SlgJfNJkdaqg0S3S0eQJYJQ%3D%3D", "22 SUPPLY OF CONST. MATER. AND EQUIP. FOR YR 2025-26 AS PER BSR AT PS ARTHUNA GP JOLANA")</f>
        <v/>
      </c>
      <c r="C827" t="inlineStr">
        <is>
          <t>Panchayati Raj Department||Secretary and Commissioner||CEO-BANSWARA||BDO-ARTHUNA</t>
        </is>
      </c>
      <c r="D827" t="inlineStr">
        <is>
          <t>20-May-2025 06:00 PM</t>
        </is>
      </c>
      <c r="E827" t="inlineStr">
        <is>
          <t>75,00,000</t>
        </is>
      </c>
      <c r="F827" t="inlineStr">
        <is>
          <t>22 SUPPLY OF CONST. MATER. AND EQUIP. FOR YR 2025-26 AS PER BSR AT PS ARTHUNA GP JOLANA</t>
        </is>
      </c>
      <c r="G827" t="inlineStr">
        <is>
          <t>ARTHUNA</t>
        </is>
      </c>
    </row>
    <row r="828">
      <c r="A828" s="1" t="n">
        <v>826</v>
      </c>
      <c r="B828">
        <f>HYPERLINK("https://eproc.rajasthan.gov.in/nicgep/app?component=%24DirectLink&amp;page=FrontEndViewTender&amp;service=direct&amp;session=T&amp;sp=SuOgFOKfzPiymtdDVvQX91A%3D%3D", "RATE CONTRACT FOR SUPPLY OF CONSTRUCTION MATERIAL AND PROVIDING EQUIPMENTS FOR MGNAREGA AND RURAL DEVELOPMENT AND PANCHAYATI RAJ DEPARTMENT VARIOUS SCHEME AT GRAM PANCHAYAT DUNGERPUR PANCHAYAT SAMITI RAMAGRH PACHWARA DIST DAUSA FOR F.Y 2025-2026")</f>
        <v/>
      </c>
      <c r="C828" t="inlineStr">
        <is>
          <t>Panchayati Raj Department||Secretary and Commissioner||CEO-DAUSA||BDO-RAMGARH PACHWARA</t>
        </is>
      </c>
      <c r="D828" t="inlineStr">
        <is>
          <t>28-May-2025 06:00 PM</t>
        </is>
      </c>
      <c r="E828" t="inlineStr">
        <is>
          <t>60,00,000</t>
        </is>
      </c>
      <c r="F828" t="inlineStr">
        <is>
          <t>RATE CONTRACT FOR SUPPLY OF CONSTRUCTION MATERIAL AND PROVIDING EQUIPMENTS FOR MGNAREGA AND RURAL DEVELOPMENT AND PANCHAYATI RAJ DEPARTMENT VARIOUS SCHEME AT GRAM PANCHAYAT DUNGERPUR PANCHAYAT SAMITI RAMAGRH PACHWARA DIST DAUSA FOR F.Y 2025-2026</t>
        </is>
      </c>
      <c r="G828" t="inlineStr">
        <is>
          <t>GRAM PANCHAYAT DUNGERPUR</t>
        </is>
      </c>
    </row>
    <row r="829">
      <c r="A829" s="1" t="n">
        <v>827</v>
      </c>
      <c r="B829">
        <f>HYPERLINK("https://eproc.rajasthan.gov.in/nicgep/app?component=%24DirectLink&amp;page=FrontEndViewTender&amp;service=direct&amp;session=T&amp;sp=SWs4d5ZC%2F%2BYqTqkLTZLebXw%3D%3D", "SUPPLY OF CONSTRUCION MATERAIL FOR NREGA AND OTHER SCHEME IN FY 2025-26 IN GP GOVINDGARH")</f>
        <v/>
      </c>
      <c r="C829" t="inlineStr">
        <is>
          <t>Panchayati Raj Department||Secretary and Commissioner||CEO- JAIPUR||BDO-GOVINDGARH</t>
        </is>
      </c>
      <c r="D829" t="inlineStr">
        <is>
          <t>04-Jun-2025 10:00 AM</t>
        </is>
      </c>
      <c r="E829" t="inlineStr">
        <is>
          <t>80,00,000</t>
        </is>
      </c>
      <c r="F829" t="inlineStr">
        <is>
          <t>SUPPLY OF CONSTRUCION MATERAIL FOR NREGA AND OTHER SCHEME IN FY 2025-26 IN GP GOVINDGARH</t>
        </is>
      </c>
      <c r="G829" t="inlineStr">
        <is>
          <t>Gram panchayat HQ</t>
        </is>
      </c>
    </row>
    <row r="830">
      <c r="A830" s="1" t="n">
        <v>828</v>
      </c>
      <c r="B830">
        <f>HYPERLINK("https://eproc.rajasthan.gov.in/nicgep/app?component=%24DirectLink&amp;page=FrontEndViewTender&amp;service=direct&amp;session=T&amp;sp=SItDKxB5MXOgoW4JxTI5ddg%3D%3D", "21 SUPPLY OF CONST. MATER. AND EQUIP. FOR YR 2025-26 AS PER BSR AT PS ARTHUNA GP RAIYANA")</f>
        <v/>
      </c>
      <c r="C830" t="inlineStr">
        <is>
          <t>Panchayati Raj Department||Secretary and Commissioner||CEO-BANSWARA||BDO-ARTHUNA</t>
        </is>
      </c>
      <c r="D830" t="inlineStr">
        <is>
          <t>20-May-2025 06:00 PM</t>
        </is>
      </c>
      <c r="E830" t="inlineStr">
        <is>
          <t>75,00,000</t>
        </is>
      </c>
      <c r="F830" t="inlineStr">
        <is>
          <t>21 SUPPLY OF CONST. MATER. AND EQUIP. FOR YR 2025-26 AS PER BSR AT PS ARTHUNA GP RAIYANA</t>
        </is>
      </c>
      <c r="G830" t="inlineStr">
        <is>
          <t>ARTHUNA</t>
        </is>
      </c>
    </row>
    <row r="831">
      <c r="A831" s="1" t="n">
        <v>829</v>
      </c>
      <c r="B831">
        <f>HYPERLINK("https://eproc.rajasthan.gov.in/nicgep/app?component=%24DirectLink&amp;page=FrontEndViewTender&amp;service=direct&amp;session=T&amp;sp=SozPOJ3GAVFvVxpkiUrALCQ%3D%3D", "20 SUPPLY OF CONST. MATER. AND EQUIP. FOR YR 2025-26 AS PER BSR AT PS ARTHUNA GP GHANEVA")</f>
        <v/>
      </c>
      <c r="C831" t="inlineStr">
        <is>
          <t>Panchayati Raj Department||Secretary and Commissioner||CEO-BANSWARA||BDO-ARTHUNA</t>
        </is>
      </c>
      <c r="D831" t="inlineStr">
        <is>
          <t>20-May-2025 06:00 PM</t>
        </is>
      </c>
      <c r="E831" t="inlineStr">
        <is>
          <t>75,00,000</t>
        </is>
      </c>
      <c r="F831" t="inlineStr">
        <is>
          <t>20 SUPPLY OF CONST. MATER. AND EQUIP. FOR YR 2025-26 AS PER BSR AT PS ARTHUNA GP GHANEVA</t>
        </is>
      </c>
      <c r="G831" t="inlineStr">
        <is>
          <t>ARTHUNA</t>
        </is>
      </c>
    </row>
    <row r="832">
      <c r="A832" s="1" t="n">
        <v>830</v>
      </c>
      <c r="B832">
        <f>HYPERLINK("https://eproc.rajasthan.gov.in/nicgep/app?component=%24DirectLink&amp;page=FrontEndViewTender&amp;service=direct&amp;session=T&amp;sp=SqHPOy%2BOyY9i6NBzTTMiyTQ%3D%3D", "19 SUPPLY OF CONST. MATER. AND EQUIP. FOR YR 2025-26 AS PER BSR AT PS ARTHUNA GP ODWARA")</f>
        <v/>
      </c>
      <c r="C832" t="inlineStr">
        <is>
          <t>Panchayati Raj Department||Secretary and Commissioner||CEO-BANSWARA||BDO-ARTHUNA</t>
        </is>
      </c>
      <c r="D832" t="inlineStr">
        <is>
          <t>20-May-2025 06:00 PM</t>
        </is>
      </c>
      <c r="E832" t="inlineStr">
        <is>
          <t>75,00,000</t>
        </is>
      </c>
      <c r="F832" t="inlineStr">
        <is>
          <t>19 SUPPLY OF CONST. MATER. AND EQUIP. FOR YR 2025-26 AS PER BSR AT PS ARTHUNA GP ODWARA</t>
        </is>
      </c>
      <c r="G832" t="inlineStr">
        <is>
          <t>ARTHUNA</t>
        </is>
      </c>
    </row>
    <row r="833">
      <c r="A833" s="1" t="n">
        <v>831</v>
      </c>
      <c r="B833">
        <f>HYPERLINK("https://eproc.rajasthan.gov.in/nicgep/app?component=%24DirectLink&amp;page=FrontEndViewTender&amp;service=direct&amp;session=T&amp;sp=Se2HaK92eZgtlxwGUHkF9Rw%3D%3D", "Rate contract For Supply of Construction Material and Providing Equipments for MGNREGA and Rural Development and Panchayati Raj departments various schemes at Gram Panchayat Lakhanpur Panchayat Samiti Lalsot Dist Dausa For FY 2025-26")</f>
        <v/>
      </c>
      <c r="C833" t="inlineStr">
        <is>
          <t>Panchayati Raj Department||Secretary and Commissioner||CEO-DAUSA||BDO-LALSOT</t>
        </is>
      </c>
      <c r="D833" t="inlineStr">
        <is>
          <t>30-May-2025 06:00 PM</t>
        </is>
      </c>
      <c r="E833" t="inlineStr">
        <is>
          <t>50,00,000</t>
        </is>
      </c>
      <c r="F833" t="inlineStr">
        <is>
          <t>Rate contract For Supply of Construction Material and Providing Equipments for MGNREGA and Rural Development and Panchayati Raj departments various schemes at Gram Panchayat Lakhanpur Panchayat Samiti Lalsot Dist Dausa For FY 2025-26</t>
        </is>
      </c>
      <c r="G833" t="inlineStr">
        <is>
          <t>Gram Panchayat Lakhanpur</t>
        </is>
      </c>
    </row>
    <row r="834">
      <c r="A834" s="1" t="n">
        <v>832</v>
      </c>
      <c r="B834">
        <f>HYPERLINK("https://eproc.rajasthan.gov.in/nicgep/app?component=%24DirectLink&amp;page=FrontEndViewTender&amp;service=direct&amp;session=T&amp;sp=SRza3Xsdk3kn0jILxJSp3ng%3D%3D", "PURCHASE OF GOODS AND SERVICES FOR MNREGA AND RD SCHEMNEs FOR 2025-26 GP GOLIYAR")</f>
        <v/>
      </c>
      <c r="C834" t="inlineStr">
        <is>
          <t>Panchayati Raj Department||Secretary and Commissioner||CEO-BADMER||BDO-CHOHTAN</t>
        </is>
      </c>
      <c r="D834" t="inlineStr">
        <is>
          <t>26-May-2025 10:30 AM</t>
        </is>
      </c>
      <c r="E834" t="inlineStr">
        <is>
          <t>1,00,00,000</t>
        </is>
      </c>
      <c r="F834" t="inlineStr">
        <is>
          <t>PURCHASE OF GOODS AND SERVICES FOR MNREGA AND RD SCHEMNEs FOR 2025-26 GP GOLIYAR</t>
        </is>
      </c>
      <c r="G834" t="inlineStr">
        <is>
          <t>GP GOLIYAR PS CHOHTAN</t>
        </is>
      </c>
    </row>
    <row r="835">
      <c r="A835" s="1" t="n">
        <v>833</v>
      </c>
      <c r="B835">
        <f>HYPERLINK("https://eproc.rajasthan.gov.in/nicgep/app?component=%24DirectLink&amp;page=FrontEndViewTender&amp;service=direct&amp;session=T&amp;sp=SSpJohRicHPwkF6GwvalKcQ%3D%3D", "construction of girls toilet in RUMV dhilky jatan")</f>
        <v/>
      </c>
      <c r="C835" t="inlineStr">
        <is>
          <t>Panchayati Raj Department||Secretary and Commissioner||CEO- HANUMANGARH||BDO-NOHAR</t>
        </is>
      </c>
      <c r="D835" t="inlineStr">
        <is>
          <t>26-May-2025 06:00 PM</t>
        </is>
      </c>
      <c r="E835" t="inlineStr">
        <is>
          <t>9,13,000</t>
        </is>
      </c>
      <c r="F835" t="inlineStr">
        <is>
          <t>Work Tender</t>
        </is>
      </c>
      <c r="G835" t="inlineStr">
        <is>
          <t>Dhilky Jatan</t>
        </is>
      </c>
    </row>
    <row r="836">
      <c r="A836" s="1" t="n">
        <v>834</v>
      </c>
      <c r="B836">
        <f>HYPERLINK("https://eproc.rajasthan.gov.in/nicgep/app?component=%24DirectLink&amp;page=FrontEndViewTender&amp;service=direct&amp;session=T&amp;sp=SqtLgOXlP%2BqLdqnhXRshGtg%3D%3D", "Work including door-to-door (residential and commercial) garbage collection and segregation, road and drain cleaning and community sanitation premises cleaning in all villages of Gram Panchayat Lakhanpur")</f>
        <v/>
      </c>
      <c r="C836" t="inlineStr">
        <is>
          <t>Panchayati Raj Department||Secretary and Commissioner||CEO-DAUSA||BDO-LALSOT</t>
        </is>
      </c>
      <c r="D836" t="inlineStr">
        <is>
          <t>22-May-2025 06:00 PM</t>
        </is>
      </c>
      <c r="E836" t="inlineStr">
        <is>
          <t>3,33,557</t>
        </is>
      </c>
      <c r="F836" t="inlineStr">
        <is>
          <t>Work including door-to-door (residential and commercial) garbage collection and segregation, road and drain cleaning and community sanitation premises cleaning in all villages of Gram Panchayat Lakhanpur</t>
        </is>
      </c>
      <c r="G836" t="inlineStr">
        <is>
          <t>Gram Panchayat Lakhanpur</t>
        </is>
      </c>
    </row>
    <row r="837">
      <c r="A837" s="1" t="n">
        <v>835</v>
      </c>
      <c r="B837">
        <f>HYPERLINK("https://eproc.rajasthan.gov.in/nicgep/app?component=%24DirectLink&amp;page=FrontEndViewTender&amp;service=direct&amp;session=T&amp;sp=SpiwDtbir3TubI2by0zWlLg%3D%3D", "Supply of Various Material at Gram Panchayat KOTHAJ, Panchayat Samiti Kotri 2025-26 (Yearly Rate Contract)")</f>
        <v/>
      </c>
      <c r="C837" t="inlineStr">
        <is>
          <t>Panchayati Raj Department||Secretary and Commissioner||CEO-PRATAPGARH||BDO-PIPALKHOONT</t>
        </is>
      </c>
      <c r="D837" t="inlineStr">
        <is>
          <t>25-May-2025 06:00 PM</t>
        </is>
      </c>
      <c r="E837" t="inlineStr">
        <is>
          <t>1,00,00,000</t>
        </is>
      </c>
      <c r="F837" t="inlineStr">
        <is>
          <t>Supply of Various Material at Gram Panchayat KOTHAJ, Panchayat Samiti Kotri 2025-26 (Yearly Rate Contract)</t>
        </is>
      </c>
      <c r="G837" t="inlineStr">
        <is>
          <t>GP KOTHAJ PS KOTRI</t>
        </is>
      </c>
    </row>
    <row r="838">
      <c r="A838" s="1" t="n">
        <v>836</v>
      </c>
      <c r="B838">
        <f>HYPERLINK("https://eproc.rajasthan.gov.in/nicgep/app?component=%24DirectLink&amp;page=FrontEndViewTender&amp;service=direct&amp;session=T&amp;sp=SmLUh0q2i%2BxmK0yfnxxnkYg%3D%3D", "Supply of Various Material at Gram Panchayat JAWAL, Panchayat Samiti Kotri 2025-26 (Yearly Rate Contract)")</f>
        <v/>
      </c>
      <c r="C838" t="inlineStr">
        <is>
          <t>Panchayati Raj Department||Secretary and Commissioner||CEO-PRATAPGARH||BDO-PIPALKHOONT</t>
        </is>
      </c>
      <c r="D838" t="inlineStr">
        <is>
          <t>25-May-2025 06:00 PM</t>
        </is>
      </c>
      <c r="E838" t="inlineStr">
        <is>
          <t>1,00,00,000</t>
        </is>
      </c>
      <c r="F838" t="inlineStr">
        <is>
          <t>Supply of Various Material at Gram Panchayat JAWAL, Panchayat Samiti Kotri 2025-26 (Yearly Rate Contract)</t>
        </is>
      </c>
      <c r="G838" t="inlineStr">
        <is>
          <t>GP JAWA PS KOTRI</t>
        </is>
      </c>
    </row>
    <row r="839">
      <c r="A839" s="1" t="n">
        <v>837</v>
      </c>
      <c r="B839">
        <f>HYPERLINK("https://eproc.rajasthan.gov.in/nicgep/app?component=%24DirectLink&amp;page=FrontEndViewTender&amp;service=direct&amp;session=T&amp;sp=SYQTQzir9QFs9wpHH6LytgQ%3D%3D", "Garbage collection and segregation, sanitation work of Roads, Drainage and CSC in all villages of Gram Panchayat Gundpur")</f>
        <v/>
      </c>
      <c r="C839" t="inlineStr">
        <is>
          <t>Panchayati Raj Department||Secretary and Commissioner||CEO-ALWAR||BDO-MALA KHERA</t>
        </is>
      </c>
      <c r="D839" t="inlineStr">
        <is>
          <t>29-May-2025 06:00 PM</t>
        </is>
      </c>
      <c r="E839" t="inlineStr">
        <is>
          <t>10,00,000</t>
        </is>
      </c>
      <c r="F839" t="inlineStr">
        <is>
          <t>Garbage collection and segregation, sanitation work of Roads, Drainage and CSC in all villages of Gram Panchayat Gundpur</t>
        </is>
      </c>
      <c r="G839" t="inlineStr">
        <is>
          <t>all villages of gp gundpur</t>
        </is>
      </c>
    </row>
    <row r="840">
      <c r="A840" s="1" t="n">
        <v>838</v>
      </c>
      <c r="B840">
        <f>HYPERLINK("https://eproc.rajasthan.gov.in/nicgep/app?component=%24DirectLink&amp;page=FrontEndViewTender&amp;service=direct&amp;session=T&amp;sp=SjrjPktA7qoLMGfv%2FqrqdVg%3D%3D", "material supply in gp piprali")</f>
        <v/>
      </c>
      <c r="C840" t="inlineStr">
        <is>
          <t>Panchayati Raj Department||Secretary and Commissioner||CEO-SIKAR||BDO-PIPARALI</t>
        </is>
      </c>
      <c r="D840" t="inlineStr">
        <is>
          <t>26-May-2025 06:00 PM</t>
        </is>
      </c>
      <c r="E840" t="inlineStr">
        <is>
          <t>70,00,000</t>
        </is>
      </c>
      <c r="F840" t="inlineStr">
        <is>
          <t>material supply in gp piprali and villages in year 2025-26</t>
        </is>
      </c>
      <c r="G840" t="inlineStr">
        <is>
          <t>gp piprali</t>
        </is>
      </c>
    </row>
    <row r="841">
      <c r="A841" s="1" t="n">
        <v>839</v>
      </c>
      <c r="B841">
        <f>HYPERLINK("https://eproc.rajasthan.gov.in/nicgep/app?component=%24DirectLink&amp;page=FrontEndViewTender&amp;service=direct&amp;session=T&amp;sp=S08tvi5GZ%2FOg8qqdxUObG5Q%3D%3D", "Garbage Collection from Households (resendential and commercial) Sanitation of Roads, Drainage and sanitation work of CSC")</f>
        <v/>
      </c>
      <c r="C841" t="inlineStr">
        <is>
          <t>Panchayati Raj Department||Secretary and Commissioner||CEO-ALWAR||BDO-MALA KHERA</t>
        </is>
      </c>
      <c r="D841" t="inlineStr">
        <is>
          <t>29-May-2025 06:00 PM</t>
        </is>
      </c>
      <c r="E841" t="inlineStr">
        <is>
          <t>10,00,000</t>
        </is>
      </c>
      <c r="F841" t="inlineStr">
        <is>
          <t>Garbage Collection from Households (resendential and commercial) sanitation of Roads, Drainage and sanitation work of CSC</t>
        </is>
      </c>
      <c r="G841" t="inlineStr">
        <is>
          <t>All villages of GP Khareda</t>
        </is>
      </c>
    </row>
    <row r="842">
      <c r="A842" s="1" t="n">
        <v>840</v>
      </c>
      <c r="B842">
        <f>HYPERLINK("https://eproc.rajasthan.gov.in/nicgep/app?component=%24DirectLink&amp;page=FrontEndViewTender&amp;service=direct&amp;session=T&amp;sp=SRiS6OuYARvtabnYtZ7GcEA%3D%3D", "MATERIALS AND EQUIPMENT SUPPLY IN MGREGA AND RD PRD SCHEME GP JOCHANA")</f>
        <v/>
      </c>
      <c r="C842" t="inlineStr">
        <is>
          <t>Panchayati Raj Department||Secretary and Commissioner||CEO-NAGORE||BDO-JAYAL</t>
        </is>
      </c>
      <c r="D842" t="inlineStr">
        <is>
          <t>24-May-2025 06:55 PM</t>
        </is>
      </c>
      <c r="E842" t="inlineStr">
        <is>
          <t>50,00,000</t>
        </is>
      </c>
      <c r="F842" t="inlineStr">
        <is>
          <t>MATERIALS AND EQUIPMENT SUPPLY IN MGREGA AND RD PRD SCHEME GP JOCHANA</t>
        </is>
      </c>
      <c r="G842" t="inlineStr">
        <is>
          <t>GP JOCHANA</t>
        </is>
      </c>
    </row>
    <row r="843">
      <c r="A843" s="1" t="n">
        <v>841</v>
      </c>
      <c r="B843">
        <f>HYPERLINK("https://eproc.rajasthan.gov.in/nicgep/app?component=%24DirectLink&amp;page=FrontEndViewTender&amp;service=direct&amp;session=T&amp;sp=S%2F6U%2BRSb0x%2F3znLG%2BmJIRcg%3D%3D", "Garbage collection and segregation, sanitation work of Roads, Drainage and CSC in all villages of Gram Panchayat Naithala")</f>
        <v/>
      </c>
      <c r="C843" t="inlineStr">
        <is>
          <t>Panchayati Raj Department||Secretary and Commissioner||CEO-ALWAR||BDO-MALA KHERA</t>
        </is>
      </c>
      <c r="D843" t="inlineStr">
        <is>
          <t>29-May-2025 06:00 PM</t>
        </is>
      </c>
      <c r="E843" t="inlineStr">
        <is>
          <t>8,00,000</t>
        </is>
      </c>
      <c r="F843" t="inlineStr">
        <is>
          <t>Garbage collection and segregation, sanitation work of Roads, Drainage and CSC in all villages of Gram Panchayat Naithala</t>
        </is>
      </c>
      <c r="G843" t="inlineStr">
        <is>
          <t>all villages of Gram Panchayat Naithala</t>
        </is>
      </c>
    </row>
    <row r="844">
      <c r="A844" s="1" t="n">
        <v>842</v>
      </c>
      <c r="B844">
        <f>HYPERLINK("https://eproc.rajasthan.gov.in/nicgep/app?component=%24DirectLink&amp;page=FrontEndViewTender&amp;service=direct&amp;session=T&amp;sp=Sf7w9z%2BgJ4RhH2oMLMI99HA%3D%3D", "Work including door-to-door (residential and commercial) garbage collection and segregation, road and drain cleaning and community sanitation premises cleaning in all villages of Gram Panchayat Sanwasa")</f>
        <v/>
      </c>
      <c r="C844" t="inlineStr">
        <is>
          <t>Panchayati Raj Department||Secretary and Commissioner||CEO-DAUSA||BDO-LALSOT</t>
        </is>
      </c>
      <c r="D844" t="inlineStr">
        <is>
          <t>22-May-2025 06:00 PM</t>
        </is>
      </c>
      <c r="E844" t="inlineStr">
        <is>
          <t>4,38,500</t>
        </is>
      </c>
      <c r="F844" t="inlineStr">
        <is>
          <t>Work including door-to-door (residential and commercial) garbage collection and segregation, road and drain cleaning and community sanitation premises cleaning in all villages of Gram Panchayat Sanwasa</t>
        </is>
      </c>
      <c r="G844" t="inlineStr">
        <is>
          <t>Gram Panchayat Sanwasa</t>
        </is>
      </c>
    </row>
    <row r="845">
      <c r="A845" s="1" t="n">
        <v>843</v>
      </c>
      <c r="B845">
        <f>HYPERLINK("https://eproc.rajasthan.gov.in/nicgep/app?component=%24DirectLink&amp;page=FrontEndViewTender&amp;service=direct&amp;session=T&amp;sp=S4nuH5Wh0qdMRWYjgEiR3kQ%3D%3D", "Supply of Various Material at Gram Panchayat BISHNIYA, Panchayat Samiti Kotri 2025-26 (Yearly Rate Contract)")</f>
        <v/>
      </c>
      <c r="C845" t="inlineStr">
        <is>
          <t>Panchayati Raj Department||Secretary and Commissioner||CEO-PRATAPGARH||BDO-PIPALKHOONT</t>
        </is>
      </c>
      <c r="D845" t="inlineStr">
        <is>
          <t>25-May-2025 06:00 PM</t>
        </is>
      </c>
      <c r="E845" t="inlineStr">
        <is>
          <t>1,00,00,000</t>
        </is>
      </c>
      <c r="F845" t="inlineStr">
        <is>
          <t>Supply of Various Material at Gram Panchayat BISHNIYA, Panchayat Samiti Kotri 2025-26 (Yearly Rate Contract)</t>
        </is>
      </c>
      <c r="G845" t="inlineStr">
        <is>
          <t>GP BISHNIYA PS KOTRI</t>
        </is>
      </c>
    </row>
    <row r="846">
      <c r="A846" s="1" t="n">
        <v>844</v>
      </c>
      <c r="B846">
        <f>HYPERLINK("https://eproc.rajasthan.gov.in/nicgep/app?component=%24DirectLink&amp;page=FrontEndViewTender&amp;service=direct&amp;session=T&amp;sp=SLLVsSWVcXisvGTpi9MJehw%3D%3D", "PURCHASE OF MISC GOODS AND SERVICES OF MNREGA RD AND PR SCHEMES of FY 2025-26 FOR GRAM PANCHAYAT BOOTH RATHORAN")</f>
        <v/>
      </c>
      <c r="C846" t="inlineStr">
        <is>
          <t>Panchayati Raj Department||Secretary and Commissioner||CEO-BADMER||BDO-CHOHTAN</t>
        </is>
      </c>
      <c r="D846" t="inlineStr">
        <is>
          <t>26-May-2025 10:00 AM</t>
        </is>
      </c>
      <c r="E846" t="inlineStr">
        <is>
          <t>1,00,00,000</t>
        </is>
      </c>
      <c r="F846" t="inlineStr">
        <is>
          <t>PURCHASE OF MISC GOODS AND SERVICES OF MNREGA RD AND PR SCHEMES of FY 2025-26 FOR GRAM PANCHAYAT BOOTH RATHORAN</t>
        </is>
      </c>
      <c r="G846" t="inlineStr">
        <is>
          <t>GP BOOTH RATHORAN</t>
        </is>
      </c>
    </row>
    <row r="847">
      <c r="A847" s="1" t="n">
        <v>845</v>
      </c>
      <c r="B847">
        <f>HYPERLINK("https://eproc.rajasthan.gov.in/nicgep/app?component=%24DirectLink&amp;page=FrontEndViewTender&amp;service=direct&amp;session=T&amp;sp=SlPRj95jsJdzMeNKwWwhsdg%3D%3D", "Work including door-to-door (residential and commercial) garbage collection and segregation, road and drain cleaning and community sanitation premises cleaning in all villages of Gram Panchayat Shreema")</f>
        <v/>
      </c>
      <c r="C847" t="inlineStr">
        <is>
          <t>Panchayati Raj Department||Secretary and Commissioner||CEO-DAUSA||BDO-LALSOT</t>
        </is>
      </c>
      <c r="D847" t="inlineStr">
        <is>
          <t>22-May-2025 06:00 PM</t>
        </is>
      </c>
      <c r="E847" t="inlineStr">
        <is>
          <t>5,86,347</t>
        </is>
      </c>
      <c r="F847" t="inlineStr">
        <is>
          <t>Work including door-to-door (residential and commercial) garbage collection and segregation, road and drain cleaning and community sanitation premises cleaning in all villages of Gram Panchayat Shreema</t>
        </is>
      </c>
      <c r="G847" t="inlineStr">
        <is>
          <t>Gram Panchayat Shreema</t>
        </is>
      </c>
    </row>
    <row r="848">
      <c r="A848" s="1" t="n">
        <v>846</v>
      </c>
      <c r="B848">
        <f>HYPERLINK("https://eproc.rajasthan.gov.in/nicgep/app?component=%24DirectLink&amp;page=FrontEndViewTender&amp;service=direct&amp;session=T&amp;sp=SXFCUJOee6VtoOyf%2FR9oAeA%3D%3D", "PURCHASE OF GOODS AND SERVICES FOR MNREGA AND RD SCHEMNEs FOR 2025-26 GP GHONIYA")</f>
        <v/>
      </c>
      <c r="C848" t="inlineStr">
        <is>
          <t>Panchayati Raj Department||Secretary and Commissioner||CEO-BADMER||BDO-CHOHTAN</t>
        </is>
      </c>
      <c r="D848" t="inlineStr">
        <is>
          <t>26-May-2025 10:00 AM</t>
        </is>
      </c>
      <c r="E848" t="inlineStr">
        <is>
          <t>70,00,000</t>
        </is>
      </c>
      <c r="F848" t="inlineStr">
        <is>
          <t>PURCHASE OF GOODS AND SERVICES FOR MNREGA AND RD SCHEMNEs FOR 2025-26 GP GHONIYA</t>
        </is>
      </c>
      <c r="G848" t="inlineStr">
        <is>
          <t>GP GHONIYA</t>
        </is>
      </c>
    </row>
    <row r="849">
      <c r="A849" s="1" t="n">
        <v>847</v>
      </c>
      <c r="B849">
        <f>HYPERLINK("https://eproc.rajasthan.gov.in/nicgep/app?component=%24DirectLink&amp;page=FrontEndViewTender&amp;service=direct&amp;session=T&amp;sp=SkCAzkV7KBtRcPfLkCHx0bA%3D%3D", "Supply of Construction Material with POI Driver in Scheme MNREGA, SFC , FFC and other scheme for Financial Year 2025-26 in Gram Panchyat Piloda PS Gangapur city")</f>
        <v/>
      </c>
      <c r="C849" t="inlineStr">
        <is>
          <t>Panchayati Raj Department||Secretary and Commissioner||CEO-S.MADHOPUR||BDO-GANGAPUR</t>
        </is>
      </c>
      <c r="D849" t="inlineStr">
        <is>
          <t>23-May-2025 06:00 PM</t>
        </is>
      </c>
      <c r="E849" t="inlineStr">
        <is>
          <t>50,00,000</t>
        </is>
      </c>
      <c r="F849" t="inlineStr">
        <is>
          <t>Supply of Construction Material with POI Driver in Scheme MNREGA, SFC , FFC and other scheme for Financial Year 2025-26 in Gram Panchyat Piloda PS Gangapur city</t>
        </is>
      </c>
      <c r="G849" t="inlineStr">
        <is>
          <t>GRAM PANCHAYAT PILODA</t>
        </is>
      </c>
    </row>
    <row r="850">
      <c r="A850" s="1" t="n">
        <v>848</v>
      </c>
      <c r="B850">
        <f>HYPERLINK("https://eproc.rajasthan.gov.in/nicgep/app?component=%24DirectLink&amp;page=FrontEndViewTender&amp;service=direct&amp;session=T&amp;sp=SwAU72kGwzOX%2B4IXTXalvgQ%3D%3D", "Garbage Collection from Households (resendential and commercial) Sanitation of Roads, Drainage and sanitation work of CSC in all villages of GP Bhandodi")</f>
        <v/>
      </c>
      <c r="C850" t="inlineStr">
        <is>
          <t>Panchayati Raj Department||Secretary and Commissioner||CEO-ALWAR||BDO-MALA KHERA</t>
        </is>
      </c>
      <c r="D850" t="inlineStr">
        <is>
          <t>29-May-2025 06:00 PM</t>
        </is>
      </c>
      <c r="E850" t="inlineStr">
        <is>
          <t>10,00,000</t>
        </is>
      </c>
      <c r="F850" t="inlineStr">
        <is>
          <t>Garbage Collection from Households (resendential and commercial) Sanitation of Roads, Drainage and sanitation work of CSC in all villages of GP Bhandodi</t>
        </is>
      </c>
      <c r="G850" t="inlineStr">
        <is>
          <t>All villages of Gram panchayat</t>
        </is>
      </c>
    </row>
    <row r="851">
      <c r="A851" s="1" t="n">
        <v>849</v>
      </c>
      <c r="B851">
        <f>HYPERLINK("https://eproc.rajasthan.gov.in/nicgep/app?component=%24DirectLink&amp;page=FrontEndViewTender&amp;service=direct&amp;session=T&amp;sp=Sn63Fz6asjko9HqhgscMMZg%3D%3D", "PURCHASE OF MISC GOODS AND SERVICES OF MNREGA RD AND PR SCHEMES of FY 2025-26 FOR GRAM PANCHAYAT JOONA LAKHWARA")</f>
        <v/>
      </c>
      <c r="C851" t="inlineStr">
        <is>
          <t>Panchayati Raj Department||Secretary and Commissioner||CEO-BADMER||BDO-CHOHTAN</t>
        </is>
      </c>
      <c r="D851" t="inlineStr">
        <is>
          <t>26-May-2025 05:00 PM</t>
        </is>
      </c>
      <c r="E851" t="inlineStr">
        <is>
          <t>1,00,00,000</t>
        </is>
      </c>
      <c r="F851" t="inlineStr">
        <is>
          <t>PURCHASE OF MISC GOODS AND SERVICES OF MNREGA RD AND PR SCHEMES of FY 2025-26 FOR GRAM PANCHAYAT JOONA LAKHWARA</t>
        </is>
      </c>
      <c r="G851" t="inlineStr">
        <is>
          <t>GP JOONA LAKHWARA</t>
        </is>
      </c>
    </row>
    <row r="852">
      <c r="A852" s="1" t="n">
        <v>850</v>
      </c>
      <c r="B852">
        <f>HYPERLINK("https://eproc.rajasthan.gov.in/nicgep/app?component=%24DirectLink&amp;page=FrontEndViewTender&amp;service=direct&amp;session=T&amp;sp=SU7Cmkmnuo1B%2Be2mxLL2zIg%3D%3D", "VIDHANSABHA CHETRA AMER ME GRAM BAINAD MYA DOLATPURA ME MEENO KI DHAANII SE BHOMIYA JI MAHARAJ KE MANDIR KI OR C C SADAK NIRMAN KARY")</f>
        <v/>
      </c>
      <c r="C852" t="inlineStr">
        <is>
          <t>Panchayati Raj Department||Secretary and Commissioner||CEO- JAIPUR||BDO-JALSU</t>
        </is>
      </c>
      <c r="D852" t="inlineStr">
        <is>
          <t>22-May-2025 02:00 PM</t>
        </is>
      </c>
      <c r="E852" t="inlineStr">
        <is>
          <t>10,00,000</t>
        </is>
      </c>
      <c r="F852" t="inlineStr">
        <is>
          <t>VIDHANSABHA CHETRA AMER ME GRAM BAINAD MYA DOLATPURA ME MEENO KI DHAANII SE BHOMIYA JI MAHARAJ KE MANDIR KI OR C C SADAK NIRMAN KARY</t>
        </is>
      </c>
      <c r="G852" t="inlineStr">
        <is>
          <t>NANGAL SIRAS</t>
        </is>
      </c>
    </row>
    <row r="853">
      <c r="A853" s="1" t="n">
        <v>851</v>
      </c>
      <c r="B853">
        <f>HYPERLINK("https://eproc.rajasthan.gov.in/nicgep/app?component=%24DirectLink&amp;page=FrontEndViewTender&amp;service=direct&amp;session=T&amp;sp=SN10m4X2iUt4FW621V1upGQ%3D%3D", "PURCHASE OF MISC GOODS AND SERVICES OF MNREGA RD AND PR SCHEMES FOR FY 2025-26 FOR GRAM PANCHAYATANTIYA")</f>
        <v/>
      </c>
      <c r="C853" t="inlineStr">
        <is>
          <t>Panchayati Raj Department||Secretary and Commissioner||CEO-BADMER||BDO-CHOHTAN</t>
        </is>
      </c>
      <c r="D853" t="inlineStr">
        <is>
          <t>26-May-2025 05:00 PM</t>
        </is>
      </c>
      <c r="E853" t="inlineStr">
        <is>
          <t>80,00,000</t>
        </is>
      </c>
      <c r="F853" t="inlineStr">
        <is>
          <t>PURCHASE OF MISC GOODS AND SERVICES OF MNREGA RD AND PR SCHEMES FOR FY 2025-26 FOR GRAM PANCHAYATANTIYA</t>
        </is>
      </c>
      <c r="G853" t="inlineStr">
        <is>
          <t>GP ANTIYA</t>
        </is>
      </c>
    </row>
    <row r="854">
      <c r="A854" s="1" t="n">
        <v>852</v>
      </c>
      <c r="B854">
        <f>HYPERLINK("https://eproc.rajasthan.gov.in/nicgep/app?component=%24DirectLink&amp;page=FrontEndViewTender&amp;service=direct&amp;session=T&amp;sp=SJicZ%2FyCUTlRdQtdSwgl9uQ%3D%3D", "PURCHASE OF GOODS AND SERVICES MNREGA AND RD SCHEMES FOR YEAR 2025-26 GRAM PANCHAYAT, AKODA")</f>
        <v/>
      </c>
      <c r="C854" t="inlineStr">
        <is>
          <t>Panchayati Raj Department||Secretary and Commissioner||CEO-BADMER||BDO-CHOHTAN</t>
        </is>
      </c>
      <c r="D854" t="inlineStr">
        <is>
          <t>26-May-2025 05:00 PM</t>
        </is>
      </c>
      <c r="E854" t="inlineStr">
        <is>
          <t>80,00,000</t>
        </is>
      </c>
      <c r="F854" t="inlineStr">
        <is>
          <t>PURCHASE OF GOODS AND SERVICES MNREGA AND RD SCHEMES FOR YEAR 2025-26 GRAM PANCHAYAT, AKODA</t>
        </is>
      </c>
      <c r="G854" t="inlineStr">
        <is>
          <t>GP AKODA</t>
        </is>
      </c>
    </row>
    <row r="855">
      <c r="A855" s="1" t="n">
        <v>853</v>
      </c>
      <c r="B855">
        <f>HYPERLINK("https://eproc.rajasthan.gov.in/nicgep/app?component=%24DirectLink&amp;page=FrontEndViewTender&amp;service=direct&amp;session=T&amp;sp=S6dzJvLi7r5LmlJ2wl4BwIQ%3D%3D", "material supply in gp purohit ka bass")</f>
        <v/>
      </c>
      <c r="C855" t="inlineStr">
        <is>
          <t>Panchayati Raj Department||Secretary and Commissioner||CEO-SIKAR||BDO-PIPARALI</t>
        </is>
      </c>
      <c r="D855" t="inlineStr">
        <is>
          <t>27-May-2025 06:00 PM</t>
        </is>
      </c>
      <c r="E855" t="inlineStr">
        <is>
          <t>60,00,000</t>
        </is>
      </c>
      <c r="F855" t="inlineStr">
        <is>
          <t>material supply in gp purohit ka bass and villages in year 2025-26</t>
        </is>
      </c>
      <c r="G855" t="inlineStr">
        <is>
          <t>gp purohit ka bas</t>
        </is>
      </c>
    </row>
    <row r="856">
      <c r="A856" s="1" t="n">
        <v>854</v>
      </c>
      <c r="B856">
        <f>HYPERLINK("https://eproc.rajasthan.gov.in/nicgep/app?component=%24DirectLink&amp;page=FrontEndViewTender&amp;service=direct&amp;session=T&amp;sp=SaT9%2BB1C37j0fMMJESzF40g%3D%3D", "MATERIAL SUPPLY WORK FOR GRAM PANCHAYAT MOOTUKA")</f>
        <v/>
      </c>
      <c r="C856" t="inlineStr">
        <is>
          <t>Panchayati Raj Department||Secretary and Commissioner||CEO-ALWAR||BDO-KISHANGARHWAS</t>
        </is>
      </c>
      <c r="D856" t="inlineStr">
        <is>
          <t>23-May-2025 04:00 PM</t>
        </is>
      </c>
      <c r="E856" t="inlineStr">
        <is>
          <t>50,00,000</t>
        </is>
      </c>
      <c r="F856" t="inlineStr">
        <is>
          <t>MATERIAL SUPPLY WORK FOR GRAM PANCHAYAT MOOTUKA</t>
        </is>
      </c>
      <c r="G856" t="inlineStr">
        <is>
          <t>GRAM PANCHAYAT MOOTUKA</t>
        </is>
      </c>
    </row>
    <row r="857">
      <c r="A857" s="1" t="n">
        <v>855</v>
      </c>
      <c r="B857">
        <f>HYPERLINK("https://eproc.rajasthan.gov.in/nicgep/app?component=%24DirectLink&amp;page=FrontEndViewTender&amp;service=direct&amp;session=T&amp;sp=Stx0qjK%2B5Eo8%2BnSVxz5bv7A%3D%3D", "Work including garbage collection and separation from every house (residential and commercial), road and drain cleaning, and cleaning of community sanitation complex in all the villages of Gram Panchayat hingota")</f>
        <v/>
      </c>
      <c r="C857" t="inlineStr">
        <is>
          <t>Panchayati Raj Department||Secretary and Commissioner||CEO-DAUSA||BDO-BAIJUPADA</t>
        </is>
      </c>
      <c r="D857" t="inlineStr">
        <is>
          <t>23-May-2025 05:00 PM</t>
        </is>
      </c>
      <c r="E857" t="inlineStr">
        <is>
          <t>8,32,800</t>
        </is>
      </c>
      <c r="F857" t="inlineStr">
        <is>
          <t>Work including garbage collection and separation from every house (residential and commercial), road and drain cleaning, and cleaning of community sanitation complex in all the villages of Gram Panchayat hingota</t>
        </is>
      </c>
      <c r="G857" t="inlineStr">
        <is>
          <t>Gram Panchayat hingota</t>
        </is>
      </c>
    </row>
    <row r="858">
      <c r="A858" s="1" t="n">
        <v>856</v>
      </c>
      <c r="B858">
        <f>HYPERLINK("https://eproc.rajasthan.gov.in/nicgep/app?component=%24DirectLink&amp;page=FrontEndViewTender&amp;service=direct&amp;session=T&amp;sp=S49DxtbkAdFhs%2FU2Q52NGvg%3D%3D", "Work including door-to-door (residential and commercial) garbage collection and segregation, road and drain cleaning and community sanitation premises cleaning in all villages of Gram Panchayat Lalpura")</f>
        <v/>
      </c>
      <c r="C858" t="inlineStr">
        <is>
          <t>Panchayati Raj Department||Secretary and Commissioner||CEO-DAUSA||BDO-LALSOT</t>
        </is>
      </c>
      <c r="D858" t="inlineStr">
        <is>
          <t>30-May-2025 06:00 PM</t>
        </is>
      </c>
      <c r="E858" t="inlineStr">
        <is>
          <t>4,95,752</t>
        </is>
      </c>
      <c r="F858" t="inlineStr">
        <is>
          <t>Work including door-to-door (residential and commercial) garbage collection and segregation, road and drain cleaning and community sanitation premises cleaning in all villages of Gram Panchayat Lalpura</t>
        </is>
      </c>
      <c r="G858" t="inlineStr">
        <is>
          <t>Gram Panchayat Lalpura</t>
        </is>
      </c>
    </row>
    <row r="859">
      <c r="A859" s="1" t="n">
        <v>857</v>
      </c>
      <c r="B859">
        <f>HYPERLINK("https://eproc.rajasthan.gov.in/nicgep/app?component=%24DirectLink&amp;page=FrontEndViewTender&amp;service=direct&amp;session=T&amp;sp=SqU0mEFML6L99W9OWkWArBQ%3D%3D", "PURCHASE OF GOODS AND SERVICES MNREGA AND RD SCHEMES FOR YEAR 2025-26 GRAM PANCHAYAT,TARATRA MATH")</f>
        <v/>
      </c>
      <c r="C859" t="inlineStr">
        <is>
          <t>Panchayati Raj Department||Secretary and Commissioner||CEO-BADMER||BDO-CHOHTAN</t>
        </is>
      </c>
      <c r="D859" t="inlineStr">
        <is>
          <t>26-May-2025 05:00 PM</t>
        </is>
      </c>
      <c r="E859" t="inlineStr">
        <is>
          <t>1,00,00,000</t>
        </is>
      </c>
      <c r="F859" t="inlineStr">
        <is>
          <t>PURCHASE OF GOODS AND SERVICES MNREGA AND RD SCHEMES FOR YEAR 2025-26 GRAM PANCHAYAT,TARATRA MATH</t>
        </is>
      </c>
      <c r="G859" t="inlineStr">
        <is>
          <t>GP TARATRA MATH</t>
        </is>
      </c>
    </row>
    <row r="860">
      <c r="A860" s="1" t="n">
        <v>858</v>
      </c>
      <c r="B860">
        <f>HYPERLINK("https://eproc.rajasthan.gov.in/nicgep/app?component=%24DirectLink&amp;page=FrontEndViewTender&amp;service=direct&amp;session=T&amp;sp=S7QZD8t8c9miRXnPQH9o1EA%3D%3D", "PURCHASE OF GOODS AND SERVICES MNREGA AND RD SCHEMES FOR YEAR 2025-26 GRAM PANCHAYAT, RAMJAN KI GAFAN")</f>
        <v/>
      </c>
      <c r="C860" t="inlineStr">
        <is>
          <t>Panchayati Raj Department||Secretary and Commissioner||CEO-BADMER||BDO-CHOHTAN</t>
        </is>
      </c>
      <c r="D860" t="inlineStr">
        <is>
          <t>26-May-2025 05:00 PM</t>
        </is>
      </c>
      <c r="E860" t="inlineStr">
        <is>
          <t>1,00,00,000</t>
        </is>
      </c>
      <c r="F860" t="inlineStr">
        <is>
          <t>PURCHASE OF GOODS AND SERVICES MNREGA AND RD SCHEMES FOR YEAR 2025-26 GRAM PANCHAYAT, RAMJAN KI GAFAN</t>
        </is>
      </c>
      <c r="G860" t="inlineStr">
        <is>
          <t>GP RAMJAN KI GAFAN</t>
        </is>
      </c>
    </row>
    <row r="861">
      <c r="A861" s="1" t="n">
        <v>859</v>
      </c>
      <c r="B861">
        <f>HYPERLINK("https://eproc.rajasthan.gov.in/nicgep/app?component=%24DirectLink&amp;page=FrontEndViewTender&amp;service=direct&amp;session=T&amp;sp=Sk6%2Bc4sHkqpiZ%2Fqv9bjTE%2FQ%3D%3D", "Garbage collection from household (resedential and commercial) sanitation of Roads, Drainage and CSC in all villages of GP Khedli pichanot")</f>
        <v/>
      </c>
      <c r="C861" t="inlineStr">
        <is>
          <t>Panchayati Raj Department||Secretary and Commissioner||CEO-ALWAR||BDO-UMRAIN</t>
        </is>
      </c>
      <c r="D861" t="inlineStr">
        <is>
          <t>29-May-2025 06:00 PM</t>
        </is>
      </c>
      <c r="E861" t="inlineStr">
        <is>
          <t>10,00,000</t>
        </is>
      </c>
      <c r="F861" t="inlineStr">
        <is>
          <t>Garbage collection from household (resedential and commercial) sanitation of Roads, Drainage and CSC in all villages of GP Khedli pichanot</t>
        </is>
      </c>
      <c r="G861" t="inlineStr">
        <is>
          <t>all villages of gp khedli pichanot</t>
        </is>
      </c>
    </row>
    <row r="862">
      <c r="A862" s="1" t="n">
        <v>860</v>
      </c>
      <c r="B862">
        <f>HYPERLINK("https://eproc.rajasthan.gov.in/nicgep/app?component=%24DirectLink&amp;page=FrontEndViewTender&amp;service=direct&amp;session=T&amp;sp=S4IKlGJJd3%2FiyLOII7wqGUA%3D%3D", "Work including door-to-door (residential and commercial) garbage collection and segregation, road and drain cleaning and community sanitation premises cleaning in all villages of Gram Panchayat Didwana")</f>
        <v/>
      </c>
      <c r="C862" t="inlineStr">
        <is>
          <t>Panchayati Raj Department||Secretary and Commissioner||CEO-DAUSA||BDO-LALSOT</t>
        </is>
      </c>
      <c r="D862" t="inlineStr">
        <is>
          <t>22-May-2025 06:00 PM</t>
        </is>
      </c>
      <c r="E862" t="inlineStr">
        <is>
          <t>6,53,567</t>
        </is>
      </c>
      <c r="F862" t="inlineStr">
        <is>
          <t>Work including door-to-door (residential and commercial) garbage collection and segregation, road and drain cleaning and community sanitation premises cleaning in all villages of Gram Panchayat Didwana</t>
        </is>
      </c>
      <c r="G862" t="inlineStr">
        <is>
          <t>Gram Panchayat Didwana</t>
        </is>
      </c>
    </row>
    <row r="863">
      <c r="A863" s="1" t="n">
        <v>861</v>
      </c>
      <c r="B863">
        <f>HYPERLINK("https://eproc.rajasthan.gov.in/nicgep/app?component=%24DirectLink&amp;page=FrontEndViewTender&amp;service=direct&amp;session=T&amp;sp=SjJXx5dyY1jDc55gE8W5qPw%3D%3D", "materials and equipment supply for mgnrega and other rdprd scheme at gp soneli")</f>
        <v/>
      </c>
      <c r="C863" t="inlineStr">
        <is>
          <t>Panchayati Raj Department||Secretary and Commissioner||CEO-NAGORE||BDO-JAYAL</t>
        </is>
      </c>
      <c r="D863" t="inlineStr">
        <is>
          <t>24-May-2025 06:55 PM</t>
        </is>
      </c>
      <c r="E863" t="inlineStr">
        <is>
          <t>50,00,000</t>
        </is>
      </c>
      <c r="F863" t="inlineStr">
        <is>
          <t>materials and equipment supply for mgnrega and other rdprd scheme at gp soneli</t>
        </is>
      </c>
      <c r="G863" t="inlineStr">
        <is>
          <t>gp soneli</t>
        </is>
      </c>
    </row>
    <row r="864">
      <c r="A864" s="1" t="n">
        <v>862</v>
      </c>
      <c r="B864">
        <f>HYPERLINK("https://eproc.rajasthan.gov.in/nicgep/app?component=%24DirectLink&amp;page=FrontEndViewTender&amp;service=direct&amp;session=T&amp;sp=SeCnX0jcL6yM6b%2F6VXCn%2F8Q%3D%3D", "MATERIAL SUPPLY FOR MGNREGA WORKS IN GP BHAKHARSAR PS PATODI DISTRICT BALOTRA")</f>
        <v/>
      </c>
      <c r="C864" t="inlineStr">
        <is>
          <t>Panchayati Raj Department||Secretary and Commissioner||CEO-BADMER||BDO-PATODI</t>
        </is>
      </c>
      <c r="D864" t="inlineStr">
        <is>
          <t>26-May-2025 06:00 PM</t>
        </is>
      </c>
      <c r="E864" t="inlineStr">
        <is>
          <t>1,00,00,000</t>
        </is>
      </c>
      <c r="F864" t="inlineStr">
        <is>
          <t>MATERIAL SUPPLY FOR MGNREGA WORKS IN GP BHAKHARSAR PS PATODI DISTRICT BALOTRA</t>
        </is>
      </c>
      <c r="G864" t="inlineStr">
        <is>
          <t>GP BHAKHARSAR</t>
        </is>
      </c>
    </row>
    <row r="865">
      <c r="A865" s="1" t="n">
        <v>863</v>
      </c>
      <c r="B865">
        <f>HYPERLINK("https://eproc.rajasthan.gov.in/nicgep/app?component=%24DirectLink&amp;page=FrontEndViewTender&amp;service=direct&amp;session=T&amp;sp=SpwTVMpCUlypKddWI7Ku64Q%3D%3D", "Supply of Various Material at Gram Panchayat BIRDHOL, Panchayat Samiti Kotri 2025-26 (Yearly Rate Contract)")</f>
        <v/>
      </c>
      <c r="C865" t="inlineStr">
        <is>
          <t>Panchayati Raj Department||Secretary and Commissioner||CEO-PRATAPGARH||BDO-PIPALKHOONT</t>
        </is>
      </c>
      <c r="D865" t="inlineStr">
        <is>
          <t>25-May-2025 06:00 PM</t>
        </is>
      </c>
      <c r="E865" t="inlineStr">
        <is>
          <t>1,00,00,000</t>
        </is>
      </c>
      <c r="F865" t="inlineStr">
        <is>
          <t>Supply of Various Material at Gram Panchayat BIRDHOL, Panchayat Samiti Kotri 2025-26 (Yearly Rate Contract)</t>
        </is>
      </c>
      <c r="G865" t="inlineStr">
        <is>
          <t>GP BIRDHOL PS KOTRI</t>
        </is>
      </c>
    </row>
    <row r="866">
      <c r="A866" s="1" t="n">
        <v>864</v>
      </c>
      <c r="B866">
        <f>HYPERLINK("https://eproc.rajasthan.gov.in/nicgep/app?component=%24DirectLink&amp;page=FrontEndViewTender&amp;service=direct&amp;session=T&amp;sp=SbsDY0dyJJHeTK7H2gNJQ7Q%3D%3D", "SANITATION WORK FY 2025-26 GP 20 BD")</f>
        <v/>
      </c>
      <c r="C866" t="inlineStr">
        <is>
          <t>Panchayati Raj Department||Secretary and Commissioner||CEO-BIKANER||BDO-KHAJUWALA</t>
        </is>
      </c>
      <c r="D866" t="inlineStr">
        <is>
          <t>22-May-2025 06:00 PM</t>
        </is>
      </c>
      <c r="E866" t="inlineStr">
        <is>
          <t>9,77,000</t>
        </is>
      </c>
      <c r="F866" t="inlineStr">
        <is>
          <t>Collection and segregation from every house (residential and commercial) in allvillages, collection and segregation fromgroup, road and sanitation work of the area Gram Panchayat 20 BD</t>
        </is>
      </c>
      <c r="G866" t="inlineStr">
        <is>
          <t>GP 20 BD</t>
        </is>
      </c>
    </row>
    <row r="867">
      <c r="A867" s="1" t="n">
        <v>865</v>
      </c>
      <c r="B867">
        <f>HYPERLINK("https://eproc.rajasthan.gov.in/nicgep/app?component=%24DirectLink&amp;page=FrontEndViewTender&amp;service=direct&amp;session=T&amp;sp=STDWHXzoLKZWV0YqxoBDyoA%3D%3D", "SANITATION WORK FY 2025-26 GP 4 AWM")</f>
        <v/>
      </c>
      <c r="C867" t="inlineStr">
        <is>
          <t>Panchayati Raj Department||Secretary and Commissioner||CEO-BIKANER||BDO-KHAJUWALA</t>
        </is>
      </c>
      <c r="D867" t="inlineStr">
        <is>
          <t>22-May-2025 06:00 PM</t>
        </is>
      </c>
      <c r="E867" t="inlineStr">
        <is>
          <t>9,05,000</t>
        </is>
      </c>
      <c r="F867" t="inlineStr">
        <is>
          <t>Collection and segregation from every house (residential and commercial) in allvillages, collection and segregation fromgroup, road and sanitation work of the area Gram Panchayat 4 AWM</t>
        </is>
      </c>
      <c r="G867" t="inlineStr">
        <is>
          <t>GP 4 AWM</t>
        </is>
      </c>
    </row>
    <row r="868">
      <c r="A868" s="1" t="n">
        <v>866</v>
      </c>
      <c r="B868">
        <f>HYPERLINK("https://eproc.rajasthan.gov.in/nicgep/app?component=%24DirectLink&amp;page=FrontEndViewTender&amp;service=direct&amp;session=T&amp;sp=S2YW5q%2Bp8nCzxL7n5fgOo6g%3D%3D", "work including garbage collection and separation from every house (residential and commercial), road and drain cleaning, and cleaning of community sanitation premises in all the villages of Gram Panchayat Bhanwata Panchayat Samiti Ajmer Rural")</f>
        <v/>
      </c>
      <c r="C868" t="inlineStr">
        <is>
          <t>Panchayati Raj Department||Secretary and Commissioner||CEO-AJMER||BDO-AJMER RURAL</t>
        </is>
      </c>
      <c r="D868" t="inlineStr">
        <is>
          <t>21-May-2025 05:00 PM</t>
        </is>
      </c>
      <c r="E868" t="inlineStr">
        <is>
          <t>11,24,110</t>
        </is>
      </c>
      <c r="F868" t="inlineStr">
        <is>
          <t>work including garbage collection and separation from every house (residential and commercial), road and drain cleaning, and cleaning of community sanitation premises in all the villages of Gram Panchayat Bhanwata Panchayat Samiti Ajmer Rural</t>
        </is>
      </c>
      <c r="G868" t="inlineStr">
        <is>
          <t>Gram Panchayat Bhanwata</t>
        </is>
      </c>
    </row>
    <row r="869">
      <c r="A869" s="1" t="n">
        <v>867</v>
      </c>
      <c r="B869">
        <f>HYPERLINK("https://eproc.rajasthan.gov.in/nicgep/app?component=%24DirectLink&amp;page=FrontEndViewTender&amp;service=direct&amp;session=T&amp;sp=Sk4MGMIMm7HVKex6FFSydAg%3D%3D", "Gram panchayat Devliya m ghar b vyavsayak pritisthano se kachara collection , segreegation, sadak b nali safai karya , samudayak swacchata parishar ki safai karya F.Y 2025-26")</f>
        <v/>
      </c>
      <c r="C869" t="inlineStr">
        <is>
          <t>Panchayati Raj Department||Secretary and Commissioner||CEO- JAIPUR||BDO-SANGANER</t>
        </is>
      </c>
      <c r="D869" t="inlineStr">
        <is>
          <t>23-May-2025 05:00 PM</t>
        </is>
      </c>
      <c r="E869" t="inlineStr">
        <is>
          <t>18,49,000</t>
        </is>
      </c>
      <c r="F869" t="inlineStr">
        <is>
          <t>Gram panchayat Devliya m ghar b vyavsayak pritisthano se kachara collection , segreegation, sadak b nali safai karya , samudayak swacchata parishar ki safai karya F.Y 2025-26</t>
        </is>
      </c>
      <c r="G869" t="inlineStr">
        <is>
          <t>as per nit</t>
        </is>
      </c>
    </row>
    <row r="870">
      <c r="A870" s="1" t="n">
        <v>868</v>
      </c>
      <c r="B870">
        <f>HYPERLINK("https://eproc.rajasthan.gov.in/nicgep/app?component=%24DirectLink&amp;page=FrontEndViewTender&amp;service=direct&amp;session=T&amp;sp=SaaZ1EtqX418M3T9Xi1Ifrg%3D%3D", "Services like collection and segregation of garbage from households and commercial establishments, road and drain cleaning in villages and cleaning of community sanitation premises at GP Khamiyad")</f>
        <v/>
      </c>
      <c r="C870" t="inlineStr">
        <is>
          <t>Panchayati Raj Department||Secretary and Commissioner||CEO-NAGORE||BDO-LADANU</t>
        </is>
      </c>
      <c r="D870" t="inlineStr">
        <is>
          <t>21-May-2025 05:00 PM</t>
        </is>
      </c>
      <c r="E870" t="inlineStr">
        <is>
          <t>10,00,000</t>
        </is>
      </c>
      <c r="F870" t="inlineStr">
        <is>
          <t>Services like collection and segregation of garbage from households and commercial establishments, road and drain cleaning in villages and cleaning of community sanitation premises at GP Khamiyad</t>
        </is>
      </c>
      <c r="G870" t="inlineStr">
        <is>
          <t>GP Khamiyad</t>
        </is>
      </c>
    </row>
    <row r="871">
      <c r="A871" s="1" t="n">
        <v>869</v>
      </c>
      <c r="B871">
        <f>HYPERLINK("https://eproc.rajasthan.gov.in/nicgep/app?component=%24DirectLink&amp;page=FrontEndViewTender&amp;service=direct&amp;session=T&amp;sp=SQAs5nTZt2%2Bk9HEEaxhXqMQ%3D%3D", "SANITATION WORK FY 2025-26 GP 34 KYD")</f>
        <v/>
      </c>
      <c r="C871" t="inlineStr">
        <is>
          <t>Panchayati Raj Department||Secretary and Commissioner||CEO-BIKANER||BDO-KHAJUWALA</t>
        </is>
      </c>
      <c r="D871" t="inlineStr">
        <is>
          <t>22-May-2025 06:00 PM</t>
        </is>
      </c>
      <c r="E871" t="inlineStr">
        <is>
          <t>9,39,000</t>
        </is>
      </c>
      <c r="F871" t="inlineStr">
        <is>
          <t>Collection and segregation from every house (residential and commercial) in allvillages, collection and segregation fromgroup, road and sanitation work of the area Gram Panchayat 34 KYD</t>
        </is>
      </c>
      <c r="G871" t="inlineStr">
        <is>
          <t>GP 34 KYD</t>
        </is>
      </c>
    </row>
    <row r="872">
      <c r="A872" s="1" t="n">
        <v>870</v>
      </c>
      <c r="B872">
        <f>HYPERLINK("https://eproc.rajasthan.gov.in/nicgep/app?component=%24DirectLink&amp;page=FrontEndViewTender&amp;service=direct&amp;session=T&amp;sp=SqWCzCdRNSVrJAqUoxo3STg%3D%3D", "WARD NUMBER 06 SAMUDAYIK BHAWAN SE CHOKHARAM MOOND KE GHAR KI OR CC BLOCK SADAK MY CHOWK NIRMAN KARY HEMERA")</f>
        <v/>
      </c>
      <c r="C872" t="inlineStr">
        <is>
          <t>Panchayati Raj Department||Secretary and Commissioner||CEO-BIKANER||BDO-BIKANER</t>
        </is>
      </c>
      <c r="D872" t="inlineStr">
        <is>
          <t>23-May-2025 12:00 PM</t>
        </is>
      </c>
      <c r="E872" t="inlineStr">
        <is>
          <t>10,19,998</t>
        </is>
      </c>
      <c r="F872" t="inlineStr">
        <is>
          <t>WARD NUMBER 06 SAMUDAYIK BHAWAN SE CHOKHARAM MOOND KE GHAR KI OR CC BLOCK SADAK MY CHOWK NIRMAN KARY HEMERA</t>
        </is>
      </c>
      <c r="G872" t="inlineStr">
        <is>
          <t>HEMERA</t>
        </is>
      </c>
    </row>
    <row r="873">
      <c r="A873" s="1" t="n">
        <v>871</v>
      </c>
      <c r="B873">
        <f>HYPERLINK("https://eproc.rajasthan.gov.in/nicgep/app?component=%24DirectLink&amp;page=FrontEndViewTender&amp;service=direct&amp;session=T&amp;sp=ScdyW2PI%2FYbd9d6hNJb%2F6dw%3D%3D", "SANITATION WORK FY 2025-26 GP LUNKHA")</f>
        <v/>
      </c>
      <c r="C873" t="inlineStr">
        <is>
          <t>Panchayati Raj Department||Secretary and Commissioner||CEO-BIKANER||BDO-KHAJUWALA</t>
        </is>
      </c>
      <c r="D873" t="inlineStr">
        <is>
          <t>22-May-2025 06:00 PM</t>
        </is>
      </c>
      <c r="E873" t="inlineStr">
        <is>
          <t>9,92,000</t>
        </is>
      </c>
      <c r="F873" t="inlineStr">
        <is>
          <t>Collection and segregation from every house (residential and commercial) in all villages, collection and segregation from group, road and sanitation work of the area Gram Panchayat LUNKHA</t>
        </is>
      </c>
      <c r="G873" t="inlineStr">
        <is>
          <t>GP LUNKHA</t>
        </is>
      </c>
    </row>
    <row r="874">
      <c r="A874" s="1" t="n">
        <v>872</v>
      </c>
      <c r="B874">
        <f>HYPERLINK("https://eproc.rajasthan.gov.in/nicgep/app?component=%24DirectLink&amp;page=FrontEndViewTender&amp;service=direct&amp;session=T&amp;sp=SpzfwbXkyhGjTWFjHQPqjxA%3D%3D", "Work including garbage collection and separation from every house (residential and commercial), road and drain cleaning, and cleaning of community sanitation complex in all the villages of Gram Panchayat badiyal kalan")</f>
        <v/>
      </c>
      <c r="C874" t="inlineStr">
        <is>
          <t>Panchayati Raj Department||Secretary and Commissioner||CEO-DAUSA||BDO-BAIJUPADA</t>
        </is>
      </c>
      <c r="D874" t="inlineStr">
        <is>
          <t>23-May-2025 05:00 PM</t>
        </is>
      </c>
      <c r="E874" t="inlineStr">
        <is>
          <t>8,22,700</t>
        </is>
      </c>
      <c r="F874" t="inlineStr">
        <is>
          <t>Work including garbage collection and separation from every house (residential and commercial), road and drain cleaning, and cleaning of community sanitation complex in all the villages of Gram Panchayat badiyal kalan</t>
        </is>
      </c>
      <c r="G874" t="inlineStr">
        <is>
          <t>Gram Panchayat badiyal kalan</t>
        </is>
      </c>
    </row>
    <row r="875">
      <c r="A875" s="1" t="n">
        <v>873</v>
      </c>
      <c r="B875">
        <f>HYPERLINK("https://eproc.rajasthan.gov.in/nicgep/app?component=%24DirectLink&amp;page=FrontEndViewTender&amp;service=direct&amp;session=T&amp;sp=SO846suc%2BPBrA9s3NC1xbwA%3D%3D", "Work including garbage collection and separation from every house (residential and commercial), road and drain cleaning, and cleaning of community sanitation complex in all the villages of Gram Panchayat dhigariya bhim")</f>
        <v/>
      </c>
      <c r="C875" t="inlineStr">
        <is>
          <t>Panchayati Raj Department||Secretary and Commissioner||CEO-DAUSA||BDO-BAIJUPADA</t>
        </is>
      </c>
      <c r="D875" t="inlineStr">
        <is>
          <t>23-May-2025 05:00 PM</t>
        </is>
      </c>
      <c r="E875" t="inlineStr">
        <is>
          <t>6,13,000</t>
        </is>
      </c>
      <c r="F875" t="inlineStr">
        <is>
          <t>Work including garbage collection and separation from every house (residential and commercial), road and drain cleaning, and cleaning of community sanitation complex in all the villages of Gram Panchayat dhigariya bhim</t>
        </is>
      </c>
      <c r="G875" t="inlineStr">
        <is>
          <t>Gram Panchayat dhigariya bhim</t>
        </is>
      </c>
    </row>
    <row r="876">
      <c r="A876" s="1" t="n">
        <v>874</v>
      </c>
      <c r="B876">
        <f>HYPERLINK("https://eproc.rajasthan.gov.in/nicgep/app?component=%24DirectLink&amp;page=FrontEndViewTender&amp;service=direct&amp;session=T&amp;sp=SpKT0%2FObyylBtl3bh9VPuEA%3D%3D", "17 SBM OPEN TENDER FOR CLEANING AND SANITATION FOR GP MANPURA PS MANDALGARH")</f>
        <v/>
      </c>
      <c r="C876" t="inlineStr">
        <is>
          <t>Panchayati Raj Department||Secretary and Commissioner||CEO-BHILWARA||BDO-MANDALGARH</t>
        </is>
      </c>
      <c r="D876" t="inlineStr">
        <is>
          <t>24-May-2025 05:00 PM</t>
        </is>
      </c>
      <c r="E876" t="inlineStr">
        <is>
          <t>9,52,000</t>
        </is>
      </c>
      <c r="F876" t="inlineStr">
        <is>
          <t>17 SBM OPEN TENDER FOR CLEANING AND SANITATION FOR GP MANPURA PS MANDALGARH</t>
        </is>
      </c>
      <c r="G876" t="inlineStr">
        <is>
          <t>MANPURA</t>
        </is>
      </c>
    </row>
    <row r="877">
      <c r="A877" s="1" t="n">
        <v>875</v>
      </c>
      <c r="B877">
        <f>HYPERLINK("https://eproc.rajasthan.gov.in/nicgep/app?component=%24DirectLink&amp;page=FrontEndViewTender&amp;service=direct&amp;session=T&amp;sp=S805inEd1LgtzlULrcDG%2FCA%3D%3D", "16 SBM OPEN TENDER FOR CLEANING AND SANITATION FOR GP MAHUA PS MANDALGARH")</f>
        <v/>
      </c>
      <c r="C877" t="inlineStr">
        <is>
          <t>Panchayati Raj Department||Secretary and Commissioner||CEO-BHILWARA||BDO-MANDALGARH</t>
        </is>
      </c>
      <c r="D877" t="inlineStr">
        <is>
          <t>24-May-2025 05:00 PM</t>
        </is>
      </c>
      <c r="E877" t="inlineStr">
        <is>
          <t>10,38,000</t>
        </is>
      </c>
      <c r="F877" t="inlineStr">
        <is>
          <t>16 SBM OPEN TENDER FOR CLEANING AND SANITATION FOR GP MAHUA PS MANDALGARH</t>
        </is>
      </c>
      <c r="G877" t="inlineStr">
        <is>
          <t>MAHUA</t>
        </is>
      </c>
    </row>
    <row r="878">
      <c r="A878" s="1" t="n">
        <v>876</v>
      </c>
      <c r="B878">
        <f>HYPERLINK("https://eproc.rajasthan.gov.in/nicgep/app?component=%24DirectLink&amp;page=FrontEndViewTender&amp;service=direct&amp;session=T&amp;sp=SjqFuhhxbnFNW%2BbFTQcd0wA%3D%3D", "20 SBM OPEN TENDER FOR CLEANING AND SANITATION FOR GP RALAYATA PS MANDALGARH")</f>
        <v/>
      </c>
      <c r="C878" t="inlineStr">
        <is>
          <t>Panchayati Raj Department||Secretary and Commissioner||CEO-BHILWARA||BDO-MANDALGARH</t>
        </is>
      </c>
      <c r="D878" t="inlineStr">
        <is>
          <t>24-May-2025 05:00 PM</t>
        </is>
      </c>
      <c r="E878" t="inlineStr">
        <is>
          <t>8,02,000</t>
        </is>
      </c>
      <c r="F878" t="inlineStr">
        <is>
          <t>20 SBM OPEN TENDER FOR CLEANING AND SANITATION FOR GP RALAYATA PS MANDALGARH</t>
        </is>
      </c>
      <c r="G878" t="inlineStr">
        <is>
          <t>RALAYATA</t>
        </is>
      </c>
    </row>
    <row r="879">
      <c r="A879" s="1" t="n">
        <v>877</v>
      </c>
      <c r="B879">
        <f>HYPERLINK("https://eproc.rajasthan.gov.in/nicgep/app?component=%24DirectLink&amp;page=FrontEndViewTender&amp;service=direct&amp;session=T&amp;sp=S3q63bHKSTlTeT6gc5WYxSA%3D%3D", "Gram panchayat Dadiya m ghar b vyavsayak pritisthano se kachara collection , segreegation, sadak b nali safai karya , samudayak swacchata parishar ki safai karya F.Y 2025-26")</f>
        <v/>
      </c>
      <c r="C879" t="inlineStr">
        <is>
          <t>Panchayati Raj Department||Secretary and Commissioner||CEO- JAIPUR||BDO-SANGANER</t>
        </is>
      </c>
      <c r="D879" t="inlineStr">
        <is>
          <t>23-May-2025 05:00 PM</t>
        </is>
      </c>
      <c r="E879" t="inlineStr">
        <is>
          <t>14,53,000</t>
        </is>
      </c>
      <c r="F879" t="inlineStr">
        <is>
          <t>Gram panchayat Dadiya m ghar b vyavsayak pritisthano se kachara collection , segreegation, sadak b nali safai karya , samudayak swacchata parishar ki safai karya F.Y 2025-26</t>
        </is>
      </c>
      <c r="G879" t="inlineStr">
        <is>
          <t>as per nit</t>
        </is>
      </c>
    </row>
    <row r="880">
      <c r="A880" s="1" t="n">
        <v>878</v>
      </c>
      <c r="B880">
        <f>HYPERLINK("https://eproc.rajasthan.gov.in/nicgep/app?component=%24DirectLink&amp;page=FrontEndViewTender&amp;service=direct&amp;session=T&amp;sp=SAz%2BF8CmQDVpEnIthJdbf3A%3D%3D", "Work including door to door residential and commercial kachra collection and separation road and drainage cleaning and community sanitation complex in all the village of Gram Panchayat area")</f>
        <v/>
      </c>
      <c r="C880" t="inlineStr">
        <is>
          <t>Panchayati Raj Department||Secretary and Commissioner||CEO-S.MADHOPUR||BDO-SAWAIMADHOPUR</t>
        </is>
      </c>
      <c r="D880" t="inlineStr">
        <is>
          <t>21-May-2025 06:00 PM</t>
        </is>
      </c>
      <c r="E880" t="inlineStr">
        <is>
          <t>8,00,000</t>
        </is>
      </c>
      <c r="F880" t="inlineStr">
        <is>
          <t>Work including door to door residential and commercial kachra collection and separation road and drainage cleaning and community sanitation complex in all the village of Gram Panchayat area JADAWATA</t>
        </is>
      </c>
      <c r="G880" t="inlineStr">
        <is>
          <t>JADAWATA</t>
        </is>
      </c>
    </row>
    <row r="881">
      <c r="A881" s="1" t="n">
        <v>879</v>
      </c>
      <c r="B881">
        <f>HYPERLINK("https://eproc.rajasthan.gov.in/nicgep/app?component=%24DirectLink&amp;page=FrontEndViewTender&amp;service=direct&amp;session=T&amp;sp=SgvtzS1ubuXhm0s0Xhh%2B8YA%3D%3D", "Work including garbage collection and separation from homes and commercial establishments, road and drain cleaning and community sanitation complex cleaning in all the villages of Gram Panchayat Thekda")</f>
        <v/>
      </c>
      <c r="C881" t="inlineStr">
        <is>
          <t>Panchayati Raj Department||Secretary and Commissioner||CEO-ALWAR||BDO-UMRAIN</t>
        </is>
      </c>
      <c r="D881" t="inlineStr">
        <is>
          <t>28-May-2025 06:00 PM</t>
        </is>
      </c>
      <c r="E881" t="inlineStr">
        <is>
          <t>11,00,000</t>
        </is>
      </c>
      <c r="F881" t="inlineStr">
        <is>
          <t>Work including garbage collection and separation from homes and commercial establishments, road and drain cleaning and community sanitation complex cleaning in all the villages of Gram Panchayat Thekda</t>
        </is>
      </c>
      <c r="G881" t="inlineStr">
        <is>
          <t>GP THEKDA</t>
        </is>
      </c>
    </row>
    <row r="882">
      <c r="A882" s="1" t="n">
        <v>880</v>
      </c>
      <c r="B882">
        <f>HYPERLINK("https://eproc.rajasthan.gov.in/nicgep/app?component=%24DirectLink&amp;page=FrontEndViewTender&amp;service=direct&amp;session=T&amp;sp=SbaW3CNvxOZv5eWSNVEmkUA%3D%3D", "Rate contract For supply of Construcation Material and Providing Equipments for MGNREGA in Gram panchayat Dhand Panchayat samiti Mahwa For FY 2025-26 UP to 31 March 2026 (ITEM WISE RATE AS PEAR ATTACHED G SCHEDULE")</f>
        <v/>
      </c>
      <c r="C882" t="inlineStr">
        <is>
          <t>Panchayati Raj Department||Secretary and Commissioner||CEO-DAUSA||BDO-MAHUVA</t>
        </is>
      </c>
      <c r="D882" t="inlineStr">
        <is>
          <t>26-May-2025 05:00 PM</t>
        </is>
      </c>
      <c r="E882" t="inlineStr">
        <is>
          <t>35,00,000</t>
        </is>
      </c>
      <c r="F882" t="inlineStr">
        <is>
          <t>Rate contract For supply of Construcation Material and Providing Equipments for MGNREGA in Gram panchayat Dhand Panchayat samiti Mahwa For FY 2025-26 UP to 31 March 2026 (ITEM WISE RATE AS PEAR ATTACHED G SCHEDULE</t>
        </is>
      </c>
      <c r="G882" t="inlineStr">
        <is>
          <t>Gram panchayat Dhand</t>
        </is>
      </c>
    </row>
    <row r="883">
      <c r="A883" s="1" t="n">
        <v>881</v>
      </c>
      <c r="B883">
        <f>HYPERLINK("https://eproc.rajasthan.gov.in/nicgep/app?component=%24DirectLink&amp;page=FrontEndViewTender&amp;service=direct&amp;session=T&amp;sp=SRv%2BSNY7lR48FmP5tfVGYyQ%3D%3D", "Gram panchayat Mahapura m ghar b vyavsayak pritisthano se kachara collection , segreegation, sadak b nali safai karya , samudayak swacchata parishar ki safai karya")</f>
        <v/>
      </c>
      <c r="C883" t="inlineStr">
        <is>
          <t>Panchayati Raj Department||Secretary and Commissioner||CEO- JAIPUR||BDO-SANGANER</t>
        </is>
      </c>
      <c r="D883" t="inlineStr">
        <is>
          <t>23-May-2025 05:00 PM</t>
        </is>
      </c>
      <c r="E883" t="inlineStr">
        <is>
          <t>19,46,000</t>
        </is>
      </c>
      <c r="F883" t="inlineStr">
        <is>
          <t>Gram panchayat Mahapura m ghar b vyavsayak pritisthano se kachara collection , segreegation, sadak b nali safai karya , samudayak swacchata parishar ki safai karya</t>
        </is>
      </c>
      <c r="G883" t="inlineStr">
        <is>
          <t>as per nit</t>
        </is>
      </c>
    </row>
    <row r="884">
      <c r="A884" s="1" t="n">
        <v>882</v>
      </c>
      <c r="B884">
        <f>HYPERLINK("https://eproc.rajasthan.gov.in/nicgep/app?component=%24DirectLink&amp;page=FrontEndViewTender&amp;service=direct&amp;session=T&amp;sp=SfBYg%2BStV9iajR9BBzgkT7Q%3D%3D", "Work including door-to-door residential and commercial garbage collection and separation road and drain cleaning and community sanitation premises cleaning in all villages of Gram Panchayat Jatwara Panchayat Samiti Mandawar Dist. Dausa For FY 2025-26")</f>
        <v/>
      </c>
      <c r="C884" t="inlineStr">
        <is>
          <t>Panchayati Raj Department||Secretary and Commissioner||CEO-DAUSA||BDO-MAHUVA</t>
        </is>
      </c>
      <c r="D884" t="inlineStr">
        <is>
          <t>26-May-2025 05:00 PM</t>
        </is>
      </c>
      <c r="E884" t="inlineStr">
        <is>
          <t>5,93,680</t>
        </is>
      </c>
      <c r="F884" t="inlineStr">
        <is>
          <t>Work including door-to-door residential and commercial garbage collection and separation road and drain cleaning and community sanitation premises cleaning in all villages of Gram Panchayat Jatwara Panchayat Samiti Mandawar Dist. Dausa For FY 2025-26</t>
        </is>
      </c>
      <c r="G884" t="inlineStr">
        <is>
          <t>Gram Panchayat Jatwara</t>
        </is>
      </c>
    </row>
    <row r="885">
      <c r="A885" s="1" t="n">
        <v>883</v>
      </c>
      <c r="B885">
        <f>HYPERLINK("https://eproc.rajasthan.gov.in/nicgep/app?component=%24DirectLink&amp;page=FrontEndViewTender&amp;service=direct&amp;session=T&amp;sp=SCppHrzGoOlAAJ%2FRz%2FSjh%2FA%3D%3D", "Work including door to door residential and commercial kachra collection and separation road and drainage cleaning and community sanitation complex in all the village of Gram Panchayat area Dobda kalan")</f>
        <v/>
      </c>
      <c r="C885" t="inlineStr">
        <is>
          <t>Panchayati Raj Department||Secretary and Commissioner||CEO-S.MADHOPUR||BDO-SAWAIMADHOPUR</t>
        </is>
      </c>
      <c r="D885" t="inlineStr">
        <is>
          <t>21-May-2025 06:00 PM</t>
        </is>
      </c>
      <c r="E885" t="inlineStr">
        <is>
          <t>4,50,000</t>
        </is>
      </c>
      <c r="F885" t="inlineStr">
        <is>
          <t>Work including door to door residential and commercial kachra collection and separation road and drainage cleaning and community sanitation complex in all the village of Gram Panchayat area Dobda kalan</t>
        </is>
      </c>
      <c r="G885" t="inlineStr">
        <is>
          <t>Dobda kalan</t>
        </is>
      </c>
    </row>
    <row r="886">
      <c r="A886" s="1" t="n">
        <v>884</v>
      </c>
      <c r="B886">
        <f>HYPERLINK("https://eproc.rajasthan.gov.in/nicgep/app?component=%24DirectLink&amp;page=FrontEndViewTender&amp;service=direct&amp;session=T&amp;sp=S2q7fKU0t1suOwSszRx3WGw%3D%3D", "25 SBM OPEN TENDER FOR CLEANING AND SANITATION FOR GP SARTHALA PS MANDALGARH")</f>
        <v/>
      </c>
      <c r="C886" t="inlineStr">
        <is>
          <t>Panchayati Raj Department||Secretary and Commissioner||CEO-BHILWARA||BDO-MANDALGARH</t>
        </is>
      </c>
      <c r="D886" t="inlineStr">
        <is>
          <t>24-May-2025 05:00 PM</t>
        </is>
      </c>
      <c r="E886" t="inlineStr">
        <is>
          <t>8,76,000</t>
        </is>
      </c>
      <c r="F886" t="inlineStr">
        <is>
          <t>25 SBM OPEN TENDER FOR CLEANING AND SANITATION FOR GP SARTHALA PS MANDALGARH</t>
        </is>
      </c>
      <c r="G886" t="inlineStr">
        <is>
          <t>SARTHALA</t>
        </is>
      </c>
    </row>
    <row r="887">
      <c r="A887" s="1" t="n">
        <v>885</v>
      </c>
      <c r="B887">
        <f>HYPERLINK("https://eproc.rajasthan.gov.in/nicgep/app?component=%24DirectLink&amp;page=FrontEndViewTender&amp;service=direct&amp;session=T&amp;sp=SkGHYoP4nb87x7BdAm7q8qA%3D%3D", "GRAM DABARWAS ME SAMUDAYIK BHAWAN NIRMAN KARYE GRAM PANCHAYAT DABARWAS")</f>
        <v/>
      </c>
      <c r="C887" t="inlineStr">
        <is>
          <t>Panchayati Raj Department||Secretary and Commissioner||CEO-ALWAR||BDO-NIMRANA</t>
        </is>
      </c>
      <c r="D887" t="inlineStr">
        <is>
          <t>26-May-2025 06:00 PM</t>
        </is>
      </c>
      <c r="E887" t="inlineStr">
        <is>
          <t>10,00,000</t>
        </is>
      </c>
      <c r="F887" t="inlineStr">
        <is>
          <t>GRAM DABARWAS ME SAMUDAYIK BHAWAN NIRMAN KARYE GRAM PANCHAYAT DABARWAS</t>
        </is>
      </c>
      <c r="G887" t="inlineStr">
        <is>
          <t>DABARWAS</t>
        </is>
      </c>
    </row>
    <row r="888">
      <c r="A888" s="1" t="n">
        <v>886</v>
      </c>
      <c r="B888">
        <f>HYPERLINK("https://eproc.rajasthan.gov.in/nicgep/app?component=%24DirectLink&amp;page=FrontEndViewTender&amp;service=direct&amp;session=T&amp;sp=Se%2B%2F1T6u8NeNUcKSflCWwlw%3D%3D", "SANITATION WORK FY 2025-26 GP SANSARDESAR")</f>
        <v/>
      </c>
      <c r="C888" t="inlineStr">
        <is>
          <t>Panchayati Raj Department||Secretary and Commissioner||CEO-BIKANER||BDO-KHAJUWALA</t>
        </is>
      </c>
      <c r="D888" t="inlineStr">
        <is>
          <t>22-May-2025 06:00 PM</t>
        </is>
      </c>
      <c r="E888" t="inlineStr">
        <is>
          <t>9,50,000</t>
        </is>
      </c>
      <c r="F888" t="inlineStr">
        <is>
          <t>Collection and segregation from every house (residential and commercial) in allvillages, collection and segregation fromgroup, road and sanitation work of the area Gram Panchayat SANSARDESAR</t>
        </is>
      </c>
      <c r="G888" t="inlineStr">
        <is>
          <t>GP SANSARDESAR</t>
        </is>
      </c>
    </row>
    <row r="889">
      <c r="A889" s="1" t="n">
        <v>887</v>
      </c>
      <c r="B889">
        <f>HYPERLINK("https://eproc.rajasthan.gov.in/nicgep/app?component=%24DirectLink&amp;page=FrontEndViewTender&amp;service=direct&amp;session=T&amp;sp=S262XS2iJREceaKJFb2iFiA%3D%3D", "Rate contract For Supply of Construction Material and Providing Equipments for MGNREGA and Rural Development and Panchayati Raj departments various schemes at Gram Panchayat Lalpura Panchayat Samiti Lalsot Dist Dausa For FY 2025-26")</f>
        <v/>
      </c>
      <c r="C889" t="inlineStr">
        <is>
          <t>Panchayati Raj Department||Secretary and Commissioner||CEO-DAUSA||BDO-LALSOT</t>
        </is>
      </c>
      <c r="D889" t="inlineStr">
        <is>
          <t>30-May-2025 06:00 PM</t>
        </is>
      </c>
      <c r="E889" t="inlineStr">
        <is>
          <t>50,00,000</t>
        </is>
      </c>
      <c r="F889" t="inlineStr">
        <is>
          <t>Rate contract For Supply of Construction Material and Providing Equipments for MGNREGA and Rural Development and Panchayati Raj departments various schemes at Gram Panchayat Lalpura Panchayat Samiti Lalsot Dist Dausa For FY 2025-26</t>
        </is>
      </c>
      <c r="G889" t="inlineStr">
        <is>
          <t>Gram Panchayat Lalpura</t>
        </is>
      </c>
    </row>
    <row r="890">
      <c r="A890" s="1" t="n">
        <v>888</v>
      </c>
      <c r="B890">
        <f>HYPERLINK("https://eproc.rajasthan.gov.in/nicgep/app?component=%24DirectLink&amp;page=FrontEndViewTender&amp;service=direct&amp;session=T&amp;sp=SA9ul08%2B7hYzQXHCjEPCz6Q%3D%3D", "SANITATION WORK FY 2025-26 GP RANER")</f>
        <v/>
      </c>
      <c r="C890" t="inlineStr">
        <is>
          <t>Panchayati Raj Department||Secretary and Commissioner||CEO-BIKANER||BDO-KHAJUWALA</t>
        </is>
      </c>
      <c r="D890" t="inlineStr">
        <is>
          <t>22-May-2025 06:00 PM</t>
        </is>
      </c>
      <c r="E890" t="inlineStr">
        <is>
          <t>9,50,000</t>
        </is>
      </c>
      <c r="F890" t="inlineStr">
        <is>
          <t>Collection and segregation from every house (residential and commercial) in allvillages, collection and segregation fromgroup, road and sanitation work of the area Gram Panchayat RANER</t>
        </is>
      </c>
      <c r="G890" t="inlineStr">
        <is>
          <t>GP RANER</t>
        </is>
      </c>
    </row>
    <row r="891">
      <c r="A891" s="1" t="n">
        <v>889</v>
      </c>
      <c r="B891">
        <f>HYPERLINK("https://eproc.rajasthan.gov.in/nicgep/app?component=%24DirectLink&amp;page=FrontEndViewTender&amp;service=direct&amp;session=T&amp;sp=SgsGIPudpwj4%2FoZrX0BBEig%3D%3D", "work including garbage collection and separation from every house (residential and commercial), road and drain cleaning, and cleaning of community sanitation premises in all the villages of Gram Panchayat Bhudol Panchayat Samiti Ajmer Rural")</f>
        <v/>
      </c>
      <c r="C891" t="inlineStr">
        <is>
          <t>Panchayati Raj Department||Secretary and Commissioner||CEO-AJMER||BDO-AJMER RURAL</t>
        </is>
      </c>
      <c r="D891" t="inlineStr">
        <is>
          <t>20-May-2025 05:00 PM</t>
        </is>
      </c>
      <c r="E891" t="inlineStr">
        <is>
          <t>14,92,170</t>
        </is>
      </c>
      <c r="F891" t="inlineStr">
        <is>
          <t>work including garbage collection and separation from every house (residential and commercial), road and drain cleaning, and cleaning of community sanitation premises in all the villages of Gram Panchayat Bhudol Panchayat Samiti Ajmer Rural</t>
        </is>
      </c>
      <c r="G891" t="inlineStr">
        <is>
          <t>Gram Panchayat Bhudol</t>
        </is>
      </c>
    </row>
    <row r="892">
      <c r="A892" s="1" t="n">
        <v>890</v>
      </c>
      <c r="B892">
        <f>HYPERLINK("https://eproc.rajasthan.gov.in/nicgep/app?component=%24DirectLink&amp;page=FrontEndViewTender&amp;service=direct&amp;session=T&amp;sp=SCh97RTlQXNoZlml%2Fu9djtg%3D%3D", "24 SBM OPEN TENDER FOR CLEANING AND SANITATION FOR GP SHREENAGAR PS MANDALGARH")</f>
        <v/>
      </c>
      <c r="C892" t="inlineStr">
        <is>
          <t>Panchayati Raj Department||Secretary and Commissioner||CEO-BHILWARA||BDO-MANDALGARH</t>
        </is>
      </c>
      <c r="D892" t="inlineStr">
        <is>
          <t>24-May-2025 05:00 PM</t>
        </is>
      </c>
      <c r="E892" t="inlineStr">
        <is>
          <t>9,06,000</t>
        </is>
      </c>
      <c r="F892" t="inlineStr">
        <is>
          <t>24 SBM OPEN TENDER FOR CLEANING AND SANITATION FOR GP SHREENAGAR PS MANDALGARH</t>
        </is>
      </c>
      <c r="G892" t="inlineStr">
        <is>
          <t>SHREENAGAR</t>
        </is>
      </c>
    </row>
    <row r="893">
      <c r="A893" s="1" t="n">
        <v>891</v>
      </c>
      <c r="B893">
        <f>HYPERLINK("https://eproc.rajasthan.gov.in/nicgep/app?component=%24DirectLink&amp;page=FrontEndViewTender&amp;service=direct&amp;session=T&amp;sp=SEqoZXhPsC8jxClbi8NXRQA%3D%3D", "Work including door-to-door residential and commercial garbage collection and separation road and drain cleaning and community sanitation premises cleaning in all villages of Gram Panchayat Salempur Panchayat Samiti Mahwa Dist. Dausa For FY 2025-26")</f>
        <v/>
      </c>
      <c r="C893" t="inlineStr">
        <is>
          <t>Panchayati Raj Department||Secretary and Commissioner||CEO-DAUSA||BDO-MAHUVA</t>
        </is>
      </c>
      <c r="D893" t="inlineStr">
        <is>
          <t>26-May-2025 05:00 PM</t>
        </is>
      </c>
      <c r="E893" t="inlineStr">
        <is>
          <t>7,29,076</t>
        </is>
      </c>
      <c r="F893" t="inlineStr">
        <is>
          <t>Work including door-to-door residential and commercial garbage collection and separation road and drain cleaning and community sanitation premises cleaning in all villages of Gram Panchayat Salempur Panchayat Samiti Mahwa Dist. Dausa For FY 2025-26</t>
        </is>
      </c>
      <c r="G893" t="inlineStr">
        <is>
          <t>Gram Panchayat Salempur</t>
        </is>
      </c>
    </row>
    <row r="894">
      <c r="A894" s="1" t="n">
        <v>892</v>
      </c>
      <c r="B894">
        <f>HYPERLINK("https://eproc.rajasthan.gov.in/nicgep/app?component=%24DirectLink&amp;page=FrontEndViewTender&amp;service=direct&amp;session=T&amp;sp=SeU4%2BYLSxPvj8TuO92XhbRw%3D%3D", "Supply of Construction Materials and Service of Equipments (Financial Year 2025-26) for Gram Panchayat Kotdi.")</f>
        <v/>
      </c>
      <c r="C894" t="inlineStr">
        <is>
          <t>Panchayati Raj Department||Secretary and Commissioner||CEO-RAJSAMAND||BDO-RAILMAGARA</t>
        </is>
      </c>
      <c r="D894" t="inlineStr">
        <is>
          <t>27-May-2025 06:00 PM</t>
        </is>
      </c>
      <c r="E894" t="inlineStr">
        <is>
          <t>50,00,000</t>
        </is>
      </c>
      <c r="F894" t="inlineStr">
        <is>
          <t>Supply of Construction Materials and Service of Equipments (Financial Year 2025-26) for Gram Panchayat Kotdi.</t>
        </is>
      </c>
      <c r="G894" t="inlineStr">
        <is>
          <t>GRAM PANCHAYAT KOTDI</t>
        </is>
      </c>
    </row>
    <row r="895">
      <c r="A895" s="1" t="n">
        <v>893</v>
      </c>
      <c r="B895">
        <f>HYPERLINK("https://eproc.rajasthan.gov.in/nicgep/app?component=%24DirectLink&amp;page=FrontEndViewTender&amp;service=direct&amp;session=T&amp;sp=Sx%2BGQXd85gCAvs4tFhICGkw%3D%3D", "DABARWAS ME JIM NIRMAN K LIYE")</f>
        <v/>
      </c>
      <c r="C895" t="inlineStr">
        <is>
          <t>Panchayati Raj Department||Secretary and Commissioner||CEO-ALWAR||BDO-NIMRANA</t>
        </is>
      </c>
      <c r="D895" t="inlineStr">
        <is>
          <t>26-May-2025 06:00 PM</t>
        </is>
      </c>
      <c r="E895" t="inlineStr">
        <is>
          <t>3,00,000</t>
        </is>
      </c>
      <c r="F895" t="inlineStr">
        <is>
          <t>DABARWAS ME JIM NIRMAN K LIYE</t>
        </is>
      </c>
      <c r="G895" t="inlineStr">
        <is>
          <t>DABARWAS</t>
        </is>
      </c>
    </row>
    <row r="896">
      <c r="A896" s="1" t="n">
        <v>894</v>
      </c>
      <c r="B896">
        <f>HYPERLINK("https://eproc.rajasthan.gov.in/nicgep/app?component=%24DirectLink&amp;page=FrontEndViewTender&amp;service=direct&amp;session=T&amp;sp=ScMNUcAaGSEAY2nbMvI8bGg%3D%3D", "Work including garbage collection and separation from homes and commercial establishments, road and drain cleaning and community sanitation complex cleaning in all the villages of Gram Panchayat Tuleda")</f>
        <v/>
      </c>
      <c r="C896" t="inlineStr">
        <is>
          <t>Panchayati Raj Department||Secretary and Commissioner||CEO-ALWAR||BDO-UMRAIN</t>
        </is>
      </c>
      <c r="D896" t="inlineStr">
        <is>
          <t>28-May-2025 06:00 PM</t>
        </is>
      </c>
      <c r="E896" t="inlineStr">
        <is>
          <t>20,00,000</t>
        </is>
      </c>
      <c r="F896" t="inlineStr">
        <is>
          <t>Work including garbage collection and separation from homes and commercial establishments, road and drain cleaning and community sanitation complex cleaning in all the villages of Gram Panchayat Tuleda</t>
        </is>
      </c>
      <c r="G896" t="inlineStr">
        <is>
          <t>GP TULEDA</t>
        </is>
      </c>
    </row>
    <row r="897">
      <c r="A897" s="1" t="n">
        <v>895</v>
      </c>
      <c r="B897">
        <f>HYPERLINK("https://eproc.rajasthan.gov.in/nicgep/app?component=%24DirectLink&amp;page=FrontEndViewTender&amp;service=direct&amp;session=T&amp;sp=S442BZWPmqaJieRPfYgaVtQ%3D%3D", "Work including door to door residential and commercial kachra collection and separation road and drainage cleaning and community sanitation complex in all the village of Gram Panchayat area sinoli")</f>
        <v/>
      </c>
      <c r="C897" t="inlineStr">
        <is>
          <t>Panchayati Raj Department||Secretary and Commissioner||CEO-S.MADHOPUR||BDO-SAWAIMADHOPUR</t>
        </is>
      </c>
      <c r="D897" t="inlineStr">
        <is>
          <t>21-May-2025 06:00 PM</t>
        </is>
      </c>
      <c r="E897" t="inlineStr">
        <is>
          <t>3,50,000</t>
        </is>
      </c>
      <c r="F897" t="inlineStr">
        <is>
          <t>Work including door to door residential and commercial kachra collection and separation road and drainage cleaning and community sanitation complex in all the village of Gram Panchayat area sinoli</t>
        </is>
      </c>
      <c r="G897" t="inlineStr">
        <is>
          <t>sinoli</t>
        </is>
      </c>
    </row>
    <row r="898">
      <c r="A898" s="1" t="n">
        <v>896</v>
      </c>
      <c r="B898">
        <f>HYPERLINK("https://eproc.rajasthan.gov.in/nicgep/app?component=%24DirectLink&amp;page=FrontEndViewTender&amp;service=direct&amp;session=T&amp;sp=SgyfuszSIuvbYSKdkQXXTkg%3D%3D", "SANITATION WORK FY 2025-26 GP SHERPURA 1 SM")</f>
        <v/>
      </c>
      <c r="C898" t="inlineStr">
        <is>
          <t>Panchayati Raj Department||Secretary and Commissioner||CEO-BIKANER||BDO-KHAJUWALA</t>
        </is>
      </c>
      <c r="D898" t="inlineStr">
        <is>
          <t>22-May-2025 06:00 PM</t>
        </is>
      </c>
      <c r="E898" t="inlineStr">
        <is>
          <t>9,43,000</t>
        </is>
      </c>
      <c r="F898" t="inlineStr">
        <is>
          <t>Collection and segregation from every house (residential and commercial) in allvillages, collection and segregation fromgroup, road and sanitation work of the area Gram Panchayat SHERPURA 1 SM</t>
        </is>
      </c>
      <c r="G898" t="inlineStr">
        <is>
          <t>GP SHERPURA 1 SM</t>
        </is>
      </c>
    </row>
    <row r="899">
      <c r="A899" s="1" t="n">
        <v>897</v>
      </c>
      <c r="B899">
        <f>HYPERLINK("https://eproc.rajasthan.gov.in/nicgep/app?component=%24DirectLink&amp;page=FrontEndViewTender&amp;service=direct&amp;session=T&amp;sp=SGcOM7ICx7HZPbb131OZ4Xg%3D%3D", "SBM")</f>
        <v/>
      </c>
      <c r="C899" t="inlineStr">
        <is>
          <t>Panchayati Raj Department||Secretary and Commissioner||CEO-AJMER||BDO-JAWAJA</t>
        </is>
      </c>
      <c r="D899" t="inlineStr">
        <is>
          <t>28-May-2025 05:00 PM</t>
        </is>
      </c>
      <c r="E899" t="inlineStr">
        <is>
          <t>8,07,665</t>
        </is>
      </c>
      <c r="F899" t="inlineStr">
        <is>
          <t>SBM</t>
        </is>
      </c>
      <c r="G899" t="inlineStr">
        <is>
          <t>GP</t>
        </is>
      </c>
    </row>
    <row r="900">
      <c r="A900" s="1" t="n">
        <v>898</v>
      </c>
      <c r="B900">
        <f>HYPERLINK("https://eproc.rajasthan.gov.in/nicgep/app?component=%24DirectLink&amp;page=FrontEndViewTender&amp;service=direct&amp;session=T&amp;sp=SU2%2FceDP1tK9Fbf7mF%2FWU8Q%3D%3D", "26 SBM OPEN TENDER FOR CLEANING AND SANITATION FOR GP SARANA PS MANDALGARH")</f>
        <v/>
      </c>
      <c r="C900" t="inlineStr">
        <is>
          <t>Panchayati Raj Department||Secretary and Commissioner||CEO-BHILWARA||BDO-MANDALGARH</t>
        </is>
      </c>
      <c r="D900" t="inlineStr">
        <is>
          <t>24-May-2025 05:00 PM</t>
        </is>
      </c>
      <c r="E900" t="inlineStr">
        <is>
          <t>5,50,000</t>
        </is>
      </c>
      <c r="F900" t="inlineStr">
        <is>
          <t>26 SBM OPEN TENDER FOR CLEANING AND SANITATION FOR GP SARANA PS MANDALGARH</t>
        </is>
      </c>
      <c r="G900" t="inlineStr">
        <is>
          <t>SARANA</t>
        </is>
      </c>
    </row>
    <row r="901">
      <c r="A901" s="1" t="n">
        <v>899</v>
      </c>
      <c r="B901">
        <f>HYPERLINK("https://eproc.rajasthan.gov.in/nicgep/app?component=%24DirectLink&amp;page=FrontEndViewTender&amp;service=direct&amp;session=T&amp;sp=Sj98W0IUF8HA8zu25dQbELg%3D%3D", "SUPPLY OF CONSTRUCTION MATERIAL AND PROVIDING EQUIPMENT IN GRAM PANCHAYAT SAKADRA OF PANCHAYAT SAMITI PALI, DIST.- PALI")</f>
        <v/>
      </c>
      <c r="C901" t="inlineStr">
        <is>
          <t>Panchayati Raj Department||Secretary and Commissioner||CEO-PALI||BDO-PALI</t>
        </is>
      </c>
      <c r="D901" t="inlineStr">
        <is>
          <t>26-May-2025 05:00 PM</t>
        </is>
      </c>
      <c r="E901" t="inlineStr">
        <is>
          <t>30,00,000</t>
        </is>
      </c>
      <c r="F901" t="inlineStr">
        <is>
          <t>SUPPLY OF CONSTRUCTION MATERIAL AND PROVIDING EQUIPMENT IN GRAM PANCHAYAT SAKADRA OF PANCHAYAT SAMITI PALI, DIST.- PALI</t>
        </is>
      </c>
      <c r="G901" t="inlineStr">
        <is>
          <t>Gram Panchayat Sakadra</t>
        </is>
      </c>
    </row>
    <row r="902">
      <c r="A902" s="1" t="n">
        <v>900</v>
      </c>
      <c r="B902">
        <f>HYPERLINK("https://eproc.rajasthan.gov.in/nicgep/app?component=%24DirectLink&amp;page=FrontEndViewTender&amp;service=direct&amp;session=T&amp;sp=SchWvEPsdKPuPvLl76rf5oA%3D%3D", "MATERIAL SUPPLY IN GRAM PANCHAYAT BHAIROOPURA PS DHOD FOR MGNREGA AND OTHER SCHEME")</f>
        <v/>
      </c>
      <c r="C902" t="inlineStr">
        <is>
          <t>Panchayati Raj Department||Secretary and Commissioner||CEO-SIKAR||BDO-DHOD</t>
        </is>
      </c>
      <c r="D902" t="inlineStr">
        <is>
          <t>27-May-2025 06:00 PM</t>
        </is>
      </c>
      <c r="E902" t="inlineStr">
        <is>
          <t>45,00,000</t>
        </is>
      </c>
      <c r="F902" t="inlineStr">
        <is>
          <t>MATERIAL SUPPLY IN GRAM PANCHAYAT BHAIROOPURA PS DHOD FOR MGNREGA AND OTHER SCHEME</t>
        </is>
      </c>
      <c r="G902" t="inlineStr">
        <is>
          <t>GRAM PANCHAYAT BHAIROOPURA</t>
        </is>
      </c>
    </row>
    <row r="903">
      <c r="A903" s="1" t="n">
        <v>901</v>
      </c>
      <c r="B903">
        <f>HYPERLINK("https://eproc.rajasthan.gov.in/nicgep/app?component=%24DirectLink&amp;page=FrontEndViewTender&amp;service=direct&amp;session=T&amp;sp=SZ4VH78S8%2BBlZcM9Rb55u5A%3D%3D", "SUPPLY OF CONSTRUCTION MATERIAL AND PROVIDING EQUIPMENT IN GRAM PANCHAYAT GUNDOJ OF PANCHAYAT SAMITI PALI, DIST.- PALI")</f>
        <v/>
      </c>
      <c r="C903" t="inlineStr">
        <is>
          <t>Panchayati Raj Department||Secretary and Commissioner||CEO-PALI||BDO-PALI</t>
        </is>
      </c>
      <c r="D903" t="inlineStr">
        <is>
          <t>26-May-2025 05:00 PM</t>
        </is>
      </c>
      <c r="E903" t="inlineStr">
        <is>
          <t>50,00,000</t>
        </is>
      </c>
      <c r="F903" t="inlineStr">
        <is>
          <t>SUPPLY OF CONSTRUCTION MATERIAL AND PROVIDING EQUIPMENT IN GRAM PANCHAYAT GUNDOJ OF PANCHAYAT SAMITI PALI, DIST.- PALI</t>
        </is>
      </c>
      <c r="G903" t="inlineStr">
        <is>
          <t>Gram Panchayat Gundoj</t>
        </is>
      </c>
    </row>
    <row r="904">
      <c r="A904" s="1" t="n">
        <v>902</v>
      </c>
      <c r="B904">
        <f>HYPERLINK("https://eproc.rajasthan.gov.in/nicgep/app?component=%24DirectLink&amp;page=FrontEndViewTender&amp;service=direct&amp;session=T&amp;sp=SZw32fvLknb99ieljzs3cwg%3D%3D", "SBM")</f>
        <v/>
      </c>
      <c r="C904" t="inlineStr">
        <is>
          <t>Panchayati Raj Department||Secretary and Commissioner||CEO-AJMER||BDO-JAWAJA</t>
        </is>
      </c>
      <c r="D904" t="inlineStr">
        <is>
          <t>28-May-2025 05:00 PM</t>
        </is>
      </c>
      <c r="E904" t="inlineStr">
        <is>
          <t>9,89,096</t>
        </is>
      </c>
      <c r="F904" t="inlineStr">
        <is>
          <t>SBM</t>
        </is>
      </c>
      <c r="G904" t="inlineStr">
        <is>
          <t>GP</t>
        </is>
      </c>
    </row>
    <row r="905">
      <c r="A905" s="1" t="n">
        <v>903</v>
      </c>
      <c r="B905">
        <f>HYPERLINK("https://eproc.rajasthan.gov.in/nicgep/app?component=%24DirectLink&amp;page=FrontEndViewTender&amp;service=direct&amp;session=T&amp;sp=Sys6x0IF5bpwTRp3c1I19Eg%3D%3D", "SANITATION WORK FY 2025-26 GP BALLAR")</f>
        <v/>
      </c>
      <c r="C905" t="inlineStr">
        <is>
          <t>Panchayati Raj Department||Secretary and Commissioner||CEO-BIKANER||BDO-KHAJUWALA</t>
        </is>
      </c>
      <c r="D905" t="inlineStr">
        <is>
          <t>22-May-2025 06:00 PM</t>
        </is>
      </c>
      <c r="E905" t="inlineStr">
        <is>
          <t>9,00,000</t>
        </is>
      </c>
      <c r="F905" t="inlineStr">
        <is>
          <t>Collection and segregation from every house (residential and commercial) in allvillages, collection and segregation fromgroup, road and sanitation work of the area Gram Panchayat BALLAR</t>
        </is>
      </c>
      <c r="G905" t="inlineStr">
        <is>
          <t>GP BALLAR</t>
        </is>
      </c>
    </row>
    <row r="906">
      <c r="A906" s="1" t="n">
        <v>904</v>
      </c>
      <c r="B906">
        <f>HYPERLINK("https://eproc.rajasthan.gov.in/nicgep/app?component=%24DirectLink&amp;page=FrontEndViewTender&amp;service=direct&amp;session=T&amp;sp=S%2FqDrcVIKXZwSU0H0cQZqlw%3D%3D", "Work including door-to-door residential and commercial garbage collection and separation road and drain cleaning and community sanitation premises cleaning in all villages of Gram Panchayat Hudla Panchayat Samiti Mahwa Dist. Dausa For FY 2025-26")</f>
        <v/>
      </c>
      <c r="C906" t="inlineStr">
        <is>
          <t>Panchayati Raj Department||Secretary and Commissioner||CEO-DAUSA||BDO-MAHUVA</t>
        </is>
      </c>
      <c r="D906" t="inlineStr">
        <is>
          <t>26-May-2025 05:00 PM</t>
        </is>
      </c>
      <c r="E906" t="inlineStr">
        <is>
          <t>4,92,228</t>
        </is>
      </c>
      <c r="F906" t="inlineStr">
        <is>
          <t>Work including door-to-door residential and commercial garbage collection and separation road and drain cleaning and community sanitation premises cleaning in all villages of Gram Panchayat Hudla Panchayat Samiti Mahwa Dist. Dausa For FY 2025-26</t>
        </is>
      </c>
      <c r="G906" t="inlineStr">
        <is>
          <t>Gram Panchayat Hudla</t>
        </is>
      </c>
    </row>
    <row r="907">
      <c r="A907" s="1" t="n">
        <v>905</v>
      </c>
      <c r="B907">
        <f>HYPERLINK("https://eproc.rajasthan.gov.in/nicgep/app?component=%24DirectLink&amp;page=FrontEndViewTender&amp;service=direct&amp;session=T&amp;sp=S%2FHJLs%2BpOsNqi5QQwsh0cVg%3D%3D", "Rate contract for Work Including Garbage Collection and Separation from Households and Commercial Establishments, Road and Drain cleaning, Cleaning of CSCs in all villages of Gram Panchayat Taranpur Panchayat Samiti Malarna Doongar")</f>
        <v/>
      </c>
      <c r="C907" t="inlineStr">
        <is>
          <t>Panchayati Raj Department||Secretary and Commissioner||CEO-S.MADHOPUR||BDO-MALARANA DUNGAR</t>
        </is>
      </c>
      <c r="D907" t="inlineStr">
        <is>
          <t>26-May-2025 06:00 PM</t>
        </is>
      </c>
      <c r="E907" t="inlineStr">
        <is>
          <t>8,26,972</t>
        </is>
      </c>
      <c r="F907" t="inlineStr">
        <is>
          <t>Rate contract for Work Including Garbage Collection and Separation from Households and Commercial Establishments, Road and Drain cleaning, Cleaning of CSCs in all villages of Gram Panchayat Taranpur Panchayat Samiti Malarna Doongar</t>
        </is>
      </c>
      <c r="G907" t="inlineStr">
        <is>
          <t>GRAM PANCHAYAT TARANPUR</t>
        </is>
      </c>
    </row>
    <row r="908">
      <c r="A908" s="1" t="n">
        <v>906</v>
      </c>
      <c r="B908">
        <f>HYPERLINK("https://eproc.rajasthan.gov.in/nicgep/app?component=%24DirectLink&amp;page=FrontEndViewTender&amp;service=direct&amp;session=T&amp;sp=SEXMQtJax2COK%2FKbxFT6wNg%3D%3D", "27 SBM OPEN TENDER FOR CLEANING AND SANITATION FOR GP SURAS PS MANDALGARH")</f>
        <v/>
      </c>
      <c r="C908" t="inlineStr">
        <is>
          <t>Panchayati Raj Department||Secretary and Commissioner||CEO-BHILWARA||BDO-MANDALGARH</t>
        </is>
      </c>
      <c r="D908" t="inlineStr">
        <is>
          <t>24-May-2025 05:00 PM</t>
        </is>
      </c>
      <c r="E908" t="inlineStr">
        <is>
          <t>7,22,000</t>
        </is>
      </c>
      <c r="F908" t="inlineStr">
        <is>
          <t>27 SBM OPEN TENDER FOR CLEANING AND SANITATION FOR GP SURAS PS MANDALGARH</t>
        </is>
      </c>
      <c r="G908" t="inlineStr">
        <is>
          <t>SURAS</t>
        </is>
      </c>
    </row>
    <row r="909">
      <c r="A909" s="1" t="n">
        <v>907</v>
      </c>
      <c r="B909">
        <f>HYPERLINK("https://eproc.rajasthan.gov.in/nicgep/app?component=%24DirectLink&amp;page=FrontEndViewTender&amp;service=direct&amp;session=T&amp;sp=S5%2FhE1ZLfgcUuS3ilDpEAVQ%3D%3D", "28 SBM OPEN TENDER FOR CLEANING AND SANITATION FOR GP SINGOLI PS MANDALGARH")</f>
        <v/>
      </c>
      <c r="C909" t="inlineStr">
        <is>
          <t>Panchayati Raj Department||Secretary and Commissioner||CEO-BHILWARA||BDO-MANDALGARH</t>
        </is>
      </c>
      <c r="D909" t="inlineStr">
        <is>
          <t>24-May-2025 05:00 PM</t>
        </is>
      </c>
      <c r="E909" t="inlineStr">
        <is>
          <t>7,53,000</t>
        </is>
      </c>
      <c r="F909" t="inlineStr">
        <is>
          <t>28 SBM OPEN TENDER FOR CLEANING AND SANITATION FOR GP SINGOLI PS MANDALGARH</t>
        </is>
      </c>
      <c r="G909" t="inlineStr">
        <is>
          <t>SINGOLI</t>
        </is>
      </c>
    </row>
    <row r="910">
      <c r="A910" s="1" t="n">
        <v>908</v>
      </c>
      <c r="B910">
        <f>HYPERLINK("https://eproc.rajasthan.gov.in/nicgep/app?component=%24DirectLink&amp;page=FrontEndViewTender&amp;service=direct&amp;session=T&amp;sp=SA1iR7DPKIuPZx13TN8%2B2Hg%3D%3D", "Work including door-to-door residential and commercial garbage collection and separation road and drain cleaning and community sanitation premises cleaning in all villages of Gram Panchayat Gagwana Panchayat Samiti Mahwa Dist. Dausa For FY 2025-26")</f>
        <v/>
      </c>
      <c r="C910" t="inlineStr">
        <is>
          <t>Panchayati Raj Department||Secretary and Commissioner||CEO-DAUSA||BDO-MAHUVA</t>
        </is>
      </c>
      <c r="D910" t="inlineStr">
        <is>
          <t>26-May-2025 05:00 PM</t>
        </is>
      </c>
      <c r="E910" t="inlineStr">
        <is>
          <t>6,53,790</t>
        </is>
      </c>
      <c r="F910" t="inlineStr">
        <is>
          <t>Work including door-to-door residential and commercial garbage collection and separation road and drain cleaning and community sanitation premises cleaning in all villages of Gram Panchayat Gagwana Panchayat Samiti Mahwa Dist. Dausa For FY 2025-26</t>
        </is>
      </c>
      <c r="G910" t="inlineStr">
        <is>
          <t>Gram Panchayat Gagwana</t>
        </is>
      </c>
    </row>
    <row r="911">
      <c r="A911" s="1" t="n">
        <v>909</v>
      </c>
      <c r="B911">
        <f>HYPERLINK("https://eproc.rajasthan.gov.in/nicgep/app?component=%24DirectLink&amp;page=FrontEndViewTender&amp;service=direct&amp;session=T&amp;sp=SAz98byFvLTugI15gMcyOkw%3D%3D", "SANITATION WORK FY 2025-26 GP KHARWALI")</f>
        <v/>
      </c>
      <c r="C911" t="inlineStr">
        <is>
          <t>Panchayati Raj Department||Secretary and Commissioner||CEO-BIKANER||BDO-KHAJUWALA</t>
        </is>
      </c>
      <c r="D911" t="inlineStr">
        <is>
          <t>22-May-2025 06:00 PM</t>
        </is>
      </c>
      <c r="E911" t="inlineStr">
        <is>
          <t>9,29,000</t>
        </is>
      </c>
      <c r="F911" t="inlineStr">
        <is>
          <t>Collection and segregation from every house (residential and commercial) in allvillages, collection and segregation fromgroup, road and sanitation work of the area Gram Panchayat KHARWALI</t>
        </is>
      </c>
      <c r="G911" t="inlineStr">
        <is>
          <t>GP KHARWALI</t>
        </is>
      </c>
    </row>
    <row r="912">
      <c r="A912" s="1" t="n">
        <v>910</v>
      </c>
      <c r="B912">
        <f>HYPERLINK("https://eproc.rajasthan.gov.in/nicgep/app?component=%24DirectLink&amp;page=FrontEndViewTender&amp;service=direct&amp;session=T&amp;sp=SxYb4bw0CvtZIUNEGuHDDRA%3D%3D", "29 SBM OPEN TENDER FOR CLEANING AND SANITATION FOR GP HODA PS MANDALGARH")</f>
        <v/>
      </c>
      <c r="C912" t="inlineStr">
        <is>
          <t>Panchayati Raj Department||Secretary and Commissioner||CEO-BHILWARA||BDO-MANDALGARH</t>
        </is>
      </c>
      <c r="D912" t="inlineStr">
        <is>
          <t>24-May-2025 05:00 PM</t>
        </is>
      </c>
      <c r="E912" t="inlineStr">
        <is>
          <t>4,38,000</t>
        </is>
      </c>
      <c r="F912" t="inlineStr">
        <is>
          <t>29 SBM OPEN TENDER FOR CLEANING AND SANITATION FOR GP HODA PS MANDALGARH</t>
        </is>
      </c>
      <c r="G912" t="inlineStr">
        <is>
          <t>HODA</t>
        </is>
      </c>
    </row>
    <row r="913">
      <c r="A913" s="1" t="n">
        <v>911</v>
      </c>
      <c r="B913">
        <f>HYPERLINK("https://eproc.rajasthan.gov.in/nicgep/app?component=%24DirectLink&amp;page=FrontEndViewTender&amp;service=direct&amp;session=T&amp;sp=SJFcYq5b6OtfZLscjat5puw%3D%3D", "Rate Contract for Construction Material and Equipments for MGNREGS works for the Year 2025-26 panchayat samiti LADPURA District KOTA At Gram Panchayats godalya hedi")</f>
        <v/>
      </c>
      <c r="C913" t="inlineStr">
        <is>
          <t>Panchayati Raj Department||Secretary and Commissioner||CEO-KOTA||BDO-LADPURA</t>
        </is>
      </c>
      <c r="D913" t="inlineStr">
        <is>
          <t>02-Jun-2025 06:00 PM</t>
        </is>
      </c>
      <c r="E913" t="inlineStr">
        <is>
          <t>50,00,000</t>
        </is>
      </c>
      <c r="F913" t="inlineStr">
        <is>
          <t>Rate Contract for Construction Material and Equipments for MGNREGS works for the Year 2025-26 panchayat samiti LADPURA District KOTA At Gram Panchayats godalya hedi</t>
        </is>
      </c>
      <c r="G913" t="inlineStr">
        <is>
          <t>kota</t>
        </is>
      </c>
    </row>
    <row r="914">
      <c r="A914" s="1" t="n">
        <v>912</v>
      </c>
      <c r="B914">
        <f>HYPERLINK("https://eproc.rajasthan.gov.in/nicgep/app?component=%24DirectLink&amp;page=FrontEndViewTender&amp;service=direct&amp;session=T&amp;sp=ShL%2F410xga7eL7xH%2BEpussw%3D%3D", "Work including door-to-door residential and commercial garbage collection and separation road and drain cleaning and community sanitation premises cleaning in all villages of Gram Panchayat Pali Panchayat Samiti Mahwa Dist. Dausa For FY 2025-26")</f>
        <v/>
      </c>
      <c r="C914" t="inlineStr">
        <is>
          <t>Panchayati Raj Department||Secretary and Commissioner||CEO-DAUSA||BDO-MAHUVA</t>
        </is>
      </c>
      <c r="D914" t="inlineStr">
        <is>
          <t>26-May-2025 05:00 PM</t>
        </is>
      </c>
      <c r="E914" t="inlineStr">
        <is>
          <t>5,76,011</t>
        </is>
      </c>
      <c r="F914" t="inlineStr">
        <is>
          <t>Work including door-to-door residential and commercial garbage collection and separation road and drain cleaning and community sanitation premises cleaning in all villages of Gram Panchayat Pali Panchayat Samiti Mahwa Dist. Dausa For FY 2025-26</t>
        </is>
      </c>
      <c r="G914" t="inlineStr">
        <is>
          <t>Gram Panchayat Pali</t>
        </is>
      </c>
    </row>
    <row r="915">
      <c r="A915" s="1" t="n">
        <v>913</v>
      </c>
      <c r="B915">
        <f>HYPERLINK("https://eproc.rajasthan.gov.in/nicgep/app?component=%24DirectLink&amp;page=FrontEndViewTender&amp;service=direct&amp;session=T&amp;sp=STlapJCIfK5vEeiedA5%2FmwA%3D%3D", "SANITATION WORK FY 2025-26 GP 40 KYD")</f>
        <v/>
      </c>
      <c r="C915" t="inlineStr">
        <is>
          <t>Panchayati Raj Department||Secretary and Commissioner||CEO-BIKANER||BDO-KHAJUWALA</t>
        </is>
      </c>
      <c r="D915" t="inlineStr">
        <is>
          <t>22-May-2025 06:00 PM</t>
        </is>
      </c>
      <c r="E915" t="inlineStr">
        <is>
          <t>9,30,000</t>
        </is>
      </c>
      <c r="F915" t="inlineStr">
        <is>
          <t>Collection and segregation from every house (residential and commercial) in allvillages, collection and segregation fromgroup, road and sanitation work of the area Gram Panchayat 40 KYD</t>
        </is>
      </c>
      <c r="G915" t="inlineStr">
        <is>
          <t>GP 40 KYD</t>
        </is>
      </c>
    </row>
    <row r="916">
      <c r="A916" s="1" t="n">
        <v>914</v>
      </c>
      <c r="B916">
        <f>HYPERLINK("https://eproc.rajasthan.gov.in/nicgep/app?component=%24DirectLink&amp;page=FrontEndViewTender&amp;service=direct&amp;session=T&amp;sp=S6AwoS2E43AqbhTNyTz%2Ffcg%3D%3D", "Rate Contract for Construction Material and Equipments for MGNREGS works for the Year 2025-26 panchayat samiti LADPURA District KOTA At Gram Panchayats gandifali")</f>
        <v/>
      </c>
      <c r="C916" t="inlineStr">
        <is>
          <t>Panchayati Raj Department||Secretary and Commissioner||CEO-KOTA||BDO-LADPURA</t>
        </is>
      </c>
      <c r="D916" t="inlineStr">
        <is>
          <t>02-Jun-2025 06:00 PM</t>
        </is>
      </c>
      <c r="E916" t="inlineStr">
        <is>
          <t>60,00,000</t>
        </is>
      </c>
      <c r="F916" t="inlineStr">
        <is>
          <t>Rate Contract for Construction Material and Equipments for MGNREGS works for the Year 2025-26 panchayat samiti LADPURA District KOTA At Gram Panchayats gandifali</t>
        </is>
      </c>
      <c r="G916" t="inlineStr">
        <is>
          <t>kota</t>
        </is>
      </c>
    </row>
    <row r="917">
      <c r="A917" s="1" t="n">
        <v>915</v>
      </c>
      <c r="B917">
        <f>HYPERLINK("https://eproc.rajasthan.gov.in/nicgep/app?component=%24DirectLink&amp;page=FrontEndViewTender&amp;service=direct&amp;session=T&amp;sp=SIL56n5vjnWJ3a9has4T4Yw%3D%3D", "Supply of Various Material at Gram Panchayat BADLIYAS, Panchayat Samiti Kotri 2025-26 (Yearly Rate Contract)")</f>
        <v/>
      </c>
      <c r="C917" t="inlineStr">
        <is>
          <t>Panchayati Raj Department||Secretary and Commissioner||CEO-PRATAPGARH||BDO-PIPALKHOONT</t>
        </is>
      </c>
      <c r="D917" t="inlineStr">
        <is>
          <t>25-May-2025 06:00 PM</t>
        </is>
      </c>
      <c r="E917" t="inlineStr">
        <is>
          <t>1,00,00,000</t>
        </is>
      </c>
      <c r="F917" t="inlineStr">
        <is>
          <t>Supply of Various Material at Gram Panchayat BADLIYAS, Panchayat Samiti Kotri 2025-26 (Yearly Rate Contract)</t>
        </is>
      </c>
      <c r="G917" t="inlineStr">
        <is>
          <t>GP BADLIYAS PS KOTRI</t>
        </is>
      </c>
    </row>
    <row r="918">
      <c r="A918" s="1" t="n">
        <v>916</v>
      </c>
      <c r="B918">
        <f>HYPERLINK("https://eproc.rajasthan.gov.in/nicgep/app?component=%24DirectLink&amp;page=FrontEndViewTender&amp;service=direct&amp;session=T&amp;sp=SrUSwNv1kANuQpscub3sASQ%3D%3D", "SUPPLY OF CONSTRUCTION OF MATERIAL AND PROVIDING EQUIPMENT IN GRAM PANCHAYAT LEDI")</f>
        <v/>
      </c>
      <c r="C918" t="inlineStr">
        <is>
          <t>Panchayati Raj Department||Secretary and Commissioner||CEO-NAGORE||BDO-LADANU</t>
        </is>
      </c>
      <c r="D918" t="inlineStr">
        <is>
          <t>22-May-2025 05:00 PM</t>
        </is>
      </c>
      <c r="E918" t="inlineStr">
        <is>
          <t>80,00,000</t>
        </is>
      </c>
      <c r="F918" t="inlineStr">
        <is>
          <t>SUPPLY OF CONSTRUCTION OF MATERIAL AND PROVIDING EQUIPMENT IN GRAM PANCHAYAT LEDI</t>
        </is>
      </c>
      <c r="G918" t="inlineStr">
        <is>
          <t>Gram Panchayat Ledi</t>
        </is>
      </c>
    </row>
    <row r="919">
      <c r="A919" s="1" t="n">
        <v>917</v>
      </c>
      <c r="B919">
        <f>HYPERLINK("https://eproc.rajasthan.gov.in/nicgep/app?component=%24DirectLink&amp;page=FrontEndViewTender&amp;service=direct&amp;session=T&amp;sp=SqHG6YcUkfaXIdK2ocZsKow%3D%3D", "Rate contract For supply of Construcation Material and Providing Equipments for MGNREGA in Gram panchayat Tudiyana Panchayat samiti Mahwa For FY 2025-26 UP to 31 March 2026 (ITEM WISE RATE AS PEAR ATTACHED G SCHEDULE")</f>
        <v/>
      </c>
      <c r="C919" t="inlineStr">
        <is>
          <t>Panchayati Raj Department||Secretary and Commissioner||CEO-DAUSA||BDO-MAHUVA</t>
        </is>
      </c>
      <c r="D919" t="inlineStr">
        <is>
          <t>29-May-2025 05:00 PM</t>
        </is>
      </c>
      <c r="E919" t="inlineStr">
        <is>
          <t>35,00,000</t>
        </is>
      </c>
      <c r="F919" t="inlineStr">
        <is>
          <t>Rate contract For supply of Construcation Material and Providing Equipments for MGNREGA in Gram panchayat Tudiyana Panchayat samiti Mahwa For FY 2025-26 UP to 31 March 2026 (ITEM WISE RATE AS PEAR ATTACHED G SCHEDULE</t>
        </is>
      </c>
      <c r="G919" t="inlineStr">
        <is>
          <t>Gram panchayat Tudiyana</t>
        </is>
      </c>
    </row>
    <row r="920">
      <c r="A920" s="1" t="n">
        <v>918</v>
      </c>
      <c r="B920">
        <f>HYPERLINK("https://eproc.rajasthan.gov.in/nicgep/app?component=%24DirectLink&amp;page=FrontEndViewTender&amp;service=direct&amp;session=T&amp;sp=SwX0qErF8PytW4Z6wBVm4%2BQ%3D%3D", "22 SBM OPEN TENDER FOR CLEANING AND SANITATION FOR GP LADPURA PS MANDALGARH")</f>
        <v/>
      </c>
      <c r="C920" t="inlineStr">
        <is>
          <t>Panchayati Raj Department||Secretary and Commissioner||CEO-BHILWARA||BDO-MANDALGARH</t>
        </is>
      </c>
      <c r="D920" t="inlineStr">
        <is>
          <t>24-May-2025 05:00 PM</t>
        </is>
      </c>
      <c r="E920" t="inlineStr">
        <is>
          <t>8,90,000</t>
        </is>
      </c>
      <c r="F920" t="inlineStr">
        <is>
          <t>22 SBM OPEN TENDER FOR CLEANING AND SANITATION FOR GP LADPURA PS MANDALGARH</t>
        </is>
      </c>
      <c r="G920" t="inlineStr">
        <is>
          <t>LADPURA</t>
        </is>
      </c>
    </row>
    <row r="921">
      <c r="A921" s="1" t="n">
        <v>919</v>
      </c>
      <c r="B921">
        <f>HYPERLINK("https://eproc.rajasthan.gov.in/nicgep/app?component=%24DirectLink&amp;page=FrontEndViewTender&amp;service=direct&amp;session=T&amp;sp=SO8rGgsdhtaQkhw9xK4Qlhw%3D%3D", "23 SBM OPEN TENDER FOR CLEANING AND SANITATION FOR GP SHAYAMGARH PS MANDALGARH")</f>
        <v/>
      </c>
      <c r="C921" t="inlineStr">
        <is>
          <t>Panchayati Raj Department||Secretary and Commissioner||CEO-BHILWARA||BDO-MANDALGARH</t>
        </is>
      </c>
      <c r="D921" t="inlineStr">
        <is>
          <t>24-May-2025 05:00 PM</t>
        </is>
      </c>
      <c r="E921" t="inlineStr">
        <is>
          <t>11,07,000</t>
        </is>
      </c>
      <c r="F921" t="inlineStr">
        <is>
          <t>23 SBM OPEN TENDER FOR CLEANING AND SANITATION FOR GP SHAYAMGARH PS MANDALGARH</t>
        </is>
      </c>
      <c r="G921" t="inlineStr">
        <is>
          <t>SHAYAMGARH</t>
        </is>
      </c>
    </row>
    <row r="922">
      <c r="A922" s="1" t="n">
        <v>920</v>
      </c>
      <c r="B922">
        <f>HYPERLINK("https://eproc.rajasthan.gov.in/nicgep/app?component=%24DirectLink&amp;page=FrontEndViewTender&amp;service=direct&amp;session=T&amp;sp=SSIhLEOM0kyDNBW%2FOhvoJWg%3D%3D", "work including garbage collection and separation from every house (residential and commercial), road and drain cleaning, and cleaning of community sanitation premises in all the villages of Gram Panchayat Ramner Dhani Panchayat Samiti Ajmer Rural")</f>
        <v/>
      </c>
      <c r="C922" t="inlineStr">
        <is>
          <t>Panchayati Raj Department||Secretary and Commissioner||CEO-AJMER||BDO-AJMER RURAL</t>
        </is>
      </c>
      <c r="D922" t="inlineStr">
        <is>
          <t>20-May-2025 05:00 PM</t>
        </is>
      </c>
      <c r="E922" t="inlineStr">
        <is>
          <t>13,23,750</t>
        </is>
      </c>
      <c r="F922" t="inlineStr">
        <is>
          <t>work including garbage collection and separation from every house (residential and commercial), road and drain cleaning, and cleaning of community sanitation premises in all the villages of Gram Panchayat Ramner Dhani Panchayat Samiti Ajmer Rural</t>
        </is>
      </c>
      <c r="G922" t="inlineStr">
        <is>
          <t>Gram Panchayat Ramner Dhani</t>
        </is>
      </c>
    </row>
    <row r="923">
      <c r="A923" s="1" t="n">
        <v>921</v>
      </c>
      <c r="B923">
        <f>HYPERLINK("https://eproc.rajasthan.gov.in/nicgep/app?component=%24DirectLink&amp;page=FrontEndViewTender&amp;service=direct&amp;session=T&amp;sp=SsA35pcwXln9%2FfSVrxCHYLw%3D%3D", "SANITATION WORK FY 2025-26 GP GULLUWALI")</f>
        <v/>
      </c>
      <c r="C923" t="inlineStr">
        <is>
          <t>Panchayati Raj Department||Secretary and Commissioner||CEO-BIKANER||BDO-KHAJUWALA</t>
        </is>
      </c>
      <c r="D923" t="inlineStr">
        <is>
          <t>22-May-2025 06:00 PM</t>
        </is>
      </c>
      <c r="E923" t="inlineStr">
        <is>
          <t>9,90,000</t>
        </is>
      </c>
      <c r="F923" t="inlineStr">
        <is>
          <t>Collection and segregation from every house (residential and commercial) in allvillages, collection and segregation fromgroup, road and sanitation work of the area Gram Panchayat GULLUWALI</t>
        </is>
      </c>
      <c r="G923" t="inlineStr">
        <is>
          <t>GP GULLUWALI</t>
        </is>
      </c>
    </row>
    <row r="924">
      <c r="A924" s="1" t="n">
        <v>922</v>
      </c>
      <c r="B924">
        <f>HYPERLINK("https://eproc.rajasthan.gov.in/nicgep/app?component=%24DirectLink&amp;page=FrontEndViewTender&amp;service=direct&amp;session=T&amp;sp=S6o7ftOX5xuowejx2YpAgCg%3D%3D", "19 SBM OPEN TENDER FOR CLEANING AND SANITATION FOR GP MOHANPURA PS MANDALGARH")</f>
        <v/>
      </c>
      <c r="C924" t="inlineStr">
        <is>
          <t>Panchayati Raj Department||Secretary and Commissioner||CEO-BHILWARA||BDO-MANDALGARH</t>
        </is>
      </c>
      <c r="D924" t="inlineStr">
        <is>
          <t>24-May-2025 05:00 PM</t>
        </is>
      </c>
      <c r="E924" t="inlineStr">
        <is>
          <t>11,57,000</t>
        </is>
      </c>
      <c r="F924" t="inlineStr">
        <is>
          <t>19 SBM OPEN TENDER FOR CLEANING AND SANITATION FOR GP MOHANPURA PS MANDALGARH</t>
        </is>
      </c>
      <c r="G924" t="inlineStr">
        <is>
          <t>MOHANPURA</t>
        </is>
      </c>
    </row>
    <row r="925">
      <c r="A925" s="1" t="n">
        <v>923</v>
      </c>
      <c r="B925">
        <f>HYPERLINK("https://eproc.rajasthan.gov.in/nicgep/app?component=%24DirectLink&amp;page=FrontEndViewTender&amp;service=direct&amp;session=T&amp;sp=Sku7OjJ48khVPgQ4CUrSuvg%3D%3D", "SANITATION WORK FY 2025-26 GP AAWA 8 AWM")</f>
        <v/>
      </c>
      <c r="C925" t="inlineStr">
        <is>
          <t>Panchayati Raj Department||Secretary and Commissioner||CEO-BIKANER||BDO-KHAJUWALA</t>
        </is>
      </c>
      <c r="D925" t="inlineStr">
        <is>
          <t>22-May-2025 06:00 PM</t>
        </is>
      </c>
      <c r="E925" t="inlineStr">
        <is>
          <t>9,82,000</t>
        </is>
      </c>
      <c r="F925" t="inlineStr">
        <is>
          <t>Collection and segregation from every house (residential and commercial) in allvillages, collection and segregation fromgroup, road and sanitation work of the area Gram Panchayat AAWA 8 AWM</t>
        </is>
      </c>
      <c r="G925" t="inlineStr">
        <is>
          <t>GP AAWA 8 AWM</t>
        </is>
      </c>
    </row>
    <row r="926">
      <c r="A926" s="1" t="n">
        <v>924</v>
      </c>
      <c r="B926">
        <f>HYPERLINK("https://eproc.rajasthan.gov.in/nicgep/app?component=%24DirectLink&amp;page=FrontEndViewTender&amp;service=direct&amp;session=T&amp;sp=SQqU2wX0%2F9KusZpmOBjRu9g%3D%3D", "SUPPLY OF CONSTRUCTION OF MATERIAL AND PROVIDING EQUIPMENT IN GRAM PANCHAYAT Balsamand")</f>
        <v/>
      </c>
      <c r="C926" t="inlineStr">
        <is>
          <t>Panchayati Raj Department||Secretary and Commissioner||CEO-NAGORE||BDO-LADANU</t>
        </is>
      </c>
      <c r="D926" t="inlineStr">
        <is>
          <t>22-May-2025 05:00 PM</t>
        </is>
      </c>
      <c r="E926" t="inlineStr">
        <is>
          <t>80,00,000</t>
        </is>
      </c>
      <c r="F926" t="inlineStr">
        <is>
          <t>SUPPLY OF CONSTRUCTION OF MATERIAL AND PROVIDING EQUIPMENT IN GRAM PANCHAYAT Balsamand</t>
        </is>
      </c>
      <c r="G926" t="inlineStr">
        <is>
          <t>Gram Panchayat Balsamand</t>
        </is>
      </c>
    </row>
    <row r="927">
      <c r="A927" s="1" t="n">
        <v>925</v>
      </c>
      <c r="B927">
        <f>HYPERLINK("https://eproc.rajasthan.gov.in/nicgep/app?component=%24DirectLink&amp;page=FrontEndViewTender&amp;service=direct&amp;session=T&amp;sp=SSFNBb8H2VgQcFWijjCmM%2Fw%3D%3D", "21 SBM OPEN TENDER FOR CLEANING AND SANITATION FOR GP RAJGARH PS MANDALGARH")</f>
        <v/>
      </c>
      <c r="C927" t="inlineStr">
        <is>
          <t>Panchayati Raj Department||Secretary and Commissioner||CEO-BHILWARA||BDO-MANDALGARH</t>
        </is>
      </c>
      <c r="D927" t="inlineStr">
        <is>
          <t>24-May-2025 05:00 PM</t>
        </is>
      </c>
      <c r="E927" t="inlineStr">
        <is>
          <t>9,33,000</t>
        </is>
      </c>
      <c r="F927" t="inlineStr">
        <is>
          <t>21 SBM OPEN TENDER FOR CLEANING AND SANITATION FOR GP RAJGARH PS MANDALGARH</t>
        </is>
      </c>
      <c r="G927" t="inlineStr">
        <is>
          <t>RAJGARH</t>
        </is>
      </c>
    </row>
    <row r="928">
      <c r="A928" s="1" t="n">
        <v>926</v>
      </c>
      <c r="B928">
        <f>HYPERLINK("https://eproc.rajasthan.gov.in/nicgep/app?component=%24DirectLink&amp;page=FrontEndViewTender&amp;service=direct&amp;session=T&amp;sp=SR01rHsGIPvyuXtKtLCM3qg%3D%3D", "SANITATION WORK FY 2025-26 GP 5 KYD")</f>
        <v/>
      </c>
      <c r="C928" t="inlineStr">
        <is>
          <t>Panchayati Raj Department||Secretary and Commissioner||CEO-BIKANER||BDO-KHAJUWALA</t>
        </is>
      </c>
      <c r="D928" t="inlineStr">
        <is>
          <t>22-May-2025 06:00 PM</t>
        </is>
      </c>
      <c r="E928" t="inlineStr">
        <is>
          <t>9,78,000</t>
        </is>
      </c>
      <c r="F928" t="inlineStr">
        <is>
          <t>Collection and segregation from every house (residential and commercial) in allvillages, collection and segregation fromgroup, road and sanitation work of the area Gram Panchayat 5 KYD</t>
        </is>
      </c>
      <c r="G928" t="inlineStr">
        <is>
          <t>GP 5 KYD</t>
        </is>
      </c>
    </row>
    <row r="929">
      <c r="A929" s="1" t="n">
        <v>927</v>
      </c>
      <c r="B929">
        <f>HYPERLINK("https://eproc.rajasthan.gov.in/nicgep/app?component=%24DirectLink&amp;page=FrontEndViewTender&amp;service=direct&amp;session=T&amp;sp=SC9BLJtuas2%2BvifriST56Hw%3D%3D", "Collection of wastage in Residential and Commercial Building from all Villages in Gram Panchayat Road, Nali Cleaning and CSC Campus GP Dhariya")</f>
        <v/>
      </c>
      <c r="C929" t="inlineStr">
        <is>
          <t>Panchayati Raj Department||Secretary and Commissioner||CEO-PALI||BDO-RANISTATION</t>
        </is>
      </c>
      <c r="D929" t="inlineStr">
        <is>
          <t>29-May-2025 06:00 PM</t>
        </is>
      </c>
      <c r="E929" t="inlineStr">
        <is>
          <t>4,46,000</t>
        </is>
      </c>
      <c r="F929" t="inlineStr">
        <is>
          <t>Collection of wastage in Residential and Commercial Building from all Villages in Gram Panchayat Road, Nali Cleaning and CSC Campus GP Dhariya</t>
        </is>
      </c>
      <c r="G929" t="inlineStr">
        <is>
          <t>GRAM PANCHAYAT DHARIYA</t>
        </is>
      </c>
    </row>
    <row r="930">
      <c r="A930" s="1" t="n">
        <v>928</v>
      </c>
      <c r="B930">
        <f>HYPERLINK("https://eproc.rajasthan.gov.in/nicgep/app?component=%24DirectLink&amp;page=FrontEndViewTender&amp;service=direct&amp;session=T&amp;sp=S9QsqEJYlxXki2CHbQYK3YA%3D%3D", "18 SBM OPEN TENDER FOR CLEANING AND SANITATION FOR GP MOTRO KA KHEDA PS MANDALGARH")</f>
        <v/>
      </c>
      <c r="C930" t="inlineStr">
        <is>
          <t>Panchayati Raj Department||Secretary and Commissioner||CEO-BHILWARA||BDO-MANDALGARH</t>
        </is>
      </c>
      <c r="D930" t="inlineStr">
        <is>
          <t>24-May-2025 05:00 PM</t>
        </is>
      </c>
      <c r="E930" t="inlineStr">
        <is>
          <t>6,29,000</t>
        </is>
      </c>
      <c r="F930" t="inlineStr">
        <is>
          <t>18 SBM OPEN TENDER FOR CLEANING AND SANITATION FOR GP MOTRO KA KHEDA PS MANDALGARH</t>
        </is>
      </c>
      <c r="G930" t="inlineStr">
        <is>
          <t>MOTRO KA KHEDA</t>
        </is>
      </c>
    </row>
    <row r="931">
      <c r="A931" s="1" t="n">
        <v>929</v>
      </c>
      <c r="B931">
        <f>HYPERLINK("https://eproc.rajasthan.gov.in/nicgep/app?component=%24DirectLink&amp;page=FrontEndViewTender&amp;service=direct&amp;session=T&amp;sp=SscGNXei6LK7lpJiHu8T1%2Bg%3D%3D", "RAJKIYA UCH PRATHAMIK VIDHALAY BHOJERA KI CHAAR DIWARI UPAR UTHANA AND MUKHYA GATE AND NAYA VIKASH KARYA BHOJERA")</f>
        <v/>
      </c>
      <c r="C931" t="inlineStr">
        <is>
          <t>Panchayati Raj Department||Secretary and Commissioner||CEO-BIKANER||BDO-BIKANER</t>
        </is>
      </c>
      <c r="D931" t="inlineStr">
        <is>
          <t>23-May-2025 12:00 PM</t>
        </is>
      </c>
      <c r="E931" t="inlineStr">
        <is>
          <t>10,20,000</t>
        </is>
      </c>
      <c r="F931" t="inlineStr">
        <is>
          <t>RAJKIYA UCH PRATHAMIK VIDHALAY BHOJERA KI CHAAR DIWARI UPAR UTHANA AND MUKHYA GATE AND NAYA VIKASH KARYA BHOJERA</t>
        </is>
      </c>
      <c r="G931" t="inlineStr">
        <is>
          <t>HEMERA</t>
        </is>
      </c>
    </row>
    <row r="932">
      <c r="A932" s="1" t="n">
        <v>930</v>
      </c>
      <c r="B932">
        <f>HYPERLINK("https://eproc.rajasthan.gov.in/nicgep/app?component=%24DirectLink&amp;page=FrontEndViewTender&amp;service=direct&amp;session=T&amp;sp=SzB5Y1Ig2roEG97UAEEh%2BCw%3D%3D", "Rate contract For supply of Construcation Material and Providing Equipments for MGNREGA in Gram panchayat Reendli Panchayat samiti Mandawar For FY 2025-26 UP to 31 March 2026 (ITEM WISE RATE AS PEAR ATTACHED G SCHEDULE")</f>
        <v/>
      </c>
      <c r="C932" t="inlineStr">
        <is>
          <t>Panchayati Raj Department||Secretary and Commissioner||CEO-DAUSA||BDO-MAHUVA</t>
        </is>
      </c>
      <c r="D932" t="inlineStr">
        <is>
          <t>30-May-2025 05:00 PM</t>
        </is>
      </c>
      <c r="E932" t="inlineStr">
        <is>
          <t>35,00,000</t>
        </is>
      </c>
      <c r="F932" t="inlineStr">
        <is>
          <t>Rate contract For supply of Construcation Material and Providing Equipments for MGNREGA in Gram panchayat Reendli Panchayat samiti Mandawar For FY 2025-26 UP to 31 March 2026 (ITEM WISE RATE AS PEAR ATTACHED G SCHEDULE</t>
        </is>
      </c>
      <c r="G932" t="inlineStr">
        <is>
          <t>Gram panchayat Reendli</t>
        </is>
      </c>
    </row>
    <row r="933">
      <c r="A933" s="1" t="n">
        <v>931</v>
      </c>
      <c r="B933">
        <f>HYPERLINK("https://eproc.rajasthan.gov.in/nicgep/app?component=%24DirectLink&amp;page=FrontEndViewTender&amp;service=direct&amp;session=T&amp;sp=SrnX9tKitETSgQGmc87a6XQ%3D%3D", "Work including door to door residential and commercial kachra collection and separation road and drainage cleaning and community sanitation complex in all the village of Gram Panchayat area shyampura")</f>
        <v/>
      </c>
      <c r="C933" t="inlineStr">
        <is>
          <t>Panchayati Raj Department||Secretary and Commissioner||CEO-S.MADHOPUR||BDO-SAWAIMADHOPUR</t>
        </is>
      </c>
      <c r="D933" t="inlineStr">
        <is>
          <t>21-May-2025 06:00 PM</t>
        </is>
      </c>
      <c r="E933" t="inlineStr">
        <is>
          <t>12,00,000</t>
        </is>
      </c>
      <c r="F933" t="inlineStr">
        <is>
          <t>Work including door to door residential and commercial kachra collection and separation road and drainage cleaning and community sanitation complex in all the village of Gram Panchayat area shyampura</t>
        </is>
      </c>
      <c r="G933" t="inlineStr">
        <is>
          <t>shyampura</t>
        </is>
      </c>
    </row>
    <row r="934">
      <c r="A934" s="1" t="n">
        <v>932</v>
      </c>
      <c r="B934">
        <f>HYPERLINK("https://eproc.rajasthan.gov.in/nicgep/app?component=%24DirectLink&amp;page=FrontEndViewTender&amp;service=direct&amp;session=T&amp;sp=SRt1Nc2Dkly3p5ZQwmaD%2BjA%3D%3D", "11 SBM OPEN TENDER FOR CLEANING AND SANITATION FOR GP DHAKARKHEDI PS MANDALGARH")</f>
        <v/>
      </c>
      <c r="C934" t="inlineStr">
        <is>
          <t>Panchayati Raj Department||Secretary and Commissioner||CEO-BHILWARA||BDO-MANDALGARH</t>
        </is>
      </c>
      <c r="D934" t="inlineStr">
        <is>
          <t>24-May-2025 05:00 PM</t>
        </is>
      </c>
      <c r="E934" t="inlineStr">
        <is>
          <t>4,30,000</t>
        </is>
      </c>
      <c r="F934" t="inlineStr">
        <is>
          <t>11 SBM OPEN TENDER FOR CLEANING AND SANITATION FOR GP DHAKARKHEDI PS MANDALGARH</t>
        </is>
      </c>
      <c r="G934" t="inlineStr">
        <is>
          <t>DHAKARKHEDI</t>
        </is>
      </c>
    </row>
    <row r="935">
      <c r="A935" s="1" t="n">
        <v>933</v>
      </c>
      <c r="B935">
        <f>HYPERLINK("https://eproc.rajasthan.gov.in/nicgep/app?component=%24DirectLink&amp;page=FrontEndViewTender&amp;service=direct&amp;session=T&amp;sp=SwdFf%2F9iSqsDccyIlzUE1pw%3D%3D", "SAMUDAYIK BHAVAN NIRMAN KAWA MAHARAJ KHERIYA DHALAR")</f>
        <v/>
      </c>
      <c r="C935" t="inlineStr">
        <is>
          <t>Panchayati Raj Department||Secretary and Commissioner||CEO-BANSWARA||BDO-GANGADTALAI</t>
        </is>
      </c>
      <c r="D935" t="inlineStr">
        <is>
          <t>22-May-2025 09:00 AM</t>
        </is>
      </c>
      <c r="E935" t="inlineStr">
        <is>
          <t>10,00,000</t>
        </is>
      </c>
      <c r="F935" t="inlineStr">
        <is>
          <t>SAMUDAYIK BHAVAN NIRMAN KAWA MAHARAJ KHERIYA DHALAR</t>
        </is>
      </c>
      <c r="G935" t="inlineStr">
        <is>
          <t>gangadtalai</t>
        </is>
      </c>
    </row>
    <row r="936">
      <c r="A936" s="1" t="n">
        <v>934</v>
      </c>
      <c r="B936">
        <f>HYPERLINK("https://eproc.rajasthan.gov.in/nicgep/app?component=%24DirectLink&amp;page=FrontEndViewTender&amp;service=direct&amp;session=T&amp;sp=SJpPwNZKkFIZF%2FCFuq3dR3w%3D%3D", "Supply of Construction Material in Gram Panchayat Naypur In Panchayat Samiti Khandar under MNREGA and RD and Various Scheme for the Year 2025-26")</f>
        <v/>
      </c>
      <c r="C936" t="inlineStr">
        <is>
          <t>Panchayati Raj Department||Secretary and Commissioner||CEO-S.MADHOPUR||BDO-KHANDAR</t>
        </is>
      </c>
      <c r="D936" t="inlineStr">
        <is>
          <t>25-May-2025 06:00 PM</t>
        </is>
      </c>
      <c r="E936" t="inlineStr">
        <is>
          <t>40,00,000</t>
        </is>
      </c>
      <c r="F936" t="inlineStr">
        <is>
          <t>Supply of Construction Material in Gram Panchayat Naypur In Panchayat Samiti Khandar under MNREGA and RD and Various Scheme for the Year 2025-26</t>
        </is>
      </c>
      <c r="G936" t="inlineStr">
        <is>
          <t>GRAM PANCHAYAT NAYPUR</t>
        </is>
      </c>
    </row>
    <row r="937">
      <c r="A937" s="1" t="n">
        <v>935</v>
      </c>
      <c r="B937">
        <f>HYPERLINK("https://eproc.rajasthan.gov.in/nicgep/app?component=%24DirectLink&amp;page=FrontEndViewTender&amp;service=direct&amp;session=T&amp;sp=SAy0tPq4ADVu5ppPruGokig%3D%3D", "Work including door-to-door residential and commercial garbage collection and separation road and drain cleaning and community sanitation premises cleaning in all villages of Gram Panchayat Reendli Panchayat Samiti Mandawar Dist. Dausa For FY 2025-26")</f>
        <v/>
      </c>
      <c r="C937" t="inlineStr">
        <is>
          <t>Panchayati Raj Department||Secretary and Commissioner||CEO-DAUSA||BDO-MAHUVA</t>
        </is>
      </c>
      <c r="D937" t="inlineStr">
        <is>
          <t>26-May-2025 05:00 PM</t>
        </is>
      </c>
      <c r="E937" t="inlineStr">
        <is>
          <t>5,25,506</t>
        </is>
      </c>
      <c r="F937" t="inlineStr">
        <is>
          <t>Work including door-to-door residential and commercial garbage collection and separation road and drain cleaning and community sanitation premises cleaning in all villages of Gram Panchayat Reendli Panchayat Samiti Mandawar Dist. Dausa For FY 2025-26</t>
        </is>
      </c>
      <c r="G937" t="inlineStr">
        <is>
          <t>Gram Panchayat Reendli</t>
        </is>
      </c>
    </row>
    <row r="938">
      <c r="A938" s="1" t="n">
        <v>936</v>
      </c>
      <c r="B938">
        <f>HYPERLINK("https://eproc.rajasthan.gov.in/nicgep/app?component=%24DirectLink&amp;page=FrontEndViewTender&amp;service=direct&amp;session=T&amp;sp=Sy2qAV20WeB4wNxgG56qr4A%3D%3D", "10 SBM OPEN TENDER FOR CLEANING AND SANITATION FOR GP DOLPURA PS MANDALGARH")</f>
        <v/>
      </c>
      <c r="C938" t="inlineStr">
        <is>
          <t>Panchayati Raj Department||Secretary and Commissioner||CEO-BHILWARA||BDO-MANDALGARH</t>
        </is>
      </c>
      <c r="D938" t="inlineStr">
        <is>
          <t>24-May-2025 05:00 PM</t>
        </is>
      </c>
      <c r="E938" t="inlineStr">
        <is>
          <t>7,50,000</t>
        </is>
      </c>
      <c r="F938" t="inlineStr">
        <is>
          <t>10 SBM OPEN TENDER FOR CLEANING AND SANITATION FOR GP DOLPURA PS MANDALGARH</t>
        </is>
      </c>
      <c r="G938" t="inlineStr">
        <is>
          <t>DOLPURA</t>
        </is>
      </c>
    </row>
    <row r="939">
      <c r="A939" s="1" t="n">
        <v>937</v>
      </c>
      <c r="B939">
        <f>HYPERLINK("https://eproc.rajasthan.gov.in/nicgep/app?component=%24DirectLink&amp;page=FrontEndViewTender&amp;service=direct&amp;session=T&amp;sp=S74zk0YfBiapGALMZThNYyA%3D%3D", "Material Supply for Nrega and other scheme year 2025-26 in GP Gugalwa")</f>
        <v/>
      </c>
      <c r="C939" t="inlineStr">
        <is>
          <t>Panchayati Raj Department||Secretary and Commissioner||CEO-CHURU||BDO-RAJGARH</t>
        </is>
      </c>
      <c r="D939" t="inlineStr">
        <is>
          <t>26-May-2025 11:00 AM</t>
        </is>
      </c>
      <c r="E939" t="inlineStr">
        <is>
          <t>50,00,000</t>
        </is>
      </c>
      <c r="F939" t="inlineStr">
        <is>
          <t>Material Supply for Nrega and other scheme year 2025-26 in GP Gugalwa</t>
        </is>
      </c>
      <c r="G939" t="inlineStr">
        <is>
          <t>Gugalwa</t>
        </is>
      </c>
    </row>
    <row r="940">
      <c r="A940" s="1" t="n">
        <v>938</v>
      </c>
      <c r="B940">
        <f>HYPERLINK("https://eproc.rajasthan.gov.in/nicgep/app?component=%24DirectLink&amp;page=FrontEndViewTender&amp;service=direct&amp;session=T&amp;sp=Sp5cEMFgFOyWn5Rq7xPT6FA%3D%3D", "10 SBM OPEN TENDER FOR CLEANING AND SANITATION FOR GP DOLPURA PS MANDALGARH")</f>
        <v/>
      </c>
      <c r="C940" t="inlineStr">
        <is>
          <t>Panchayati Raj Department||Secretary and Commissioner||CEO-BHILWARA||BDO-MANDALGARH</t>
        </is>
      </c>
      <c r="D940" t="inlineStr">
        <is>
          <t>24-May-2025 05:00 PM</t>
        </is>
      </c>
      <c r="E940" t="inlineStr">
        <is>
          <t>7,50,000</t>
        </is>
      </c>
      <c r="F940" t="inlineStr">
        <is>
          <t>10 SBM OPEN TENDER FOR CLEANING AND SANITATION FOR GP DOLPURA PS MANDALGARH</t>
        </is>
      </c>
      <c r="G940" t="inlineStr">
        <is>
          <t>DOLPURA</t>
        </is>
      </c>
    </row>
    <row r="941">
      <c r="A941" s="1" t="n">
        <v>939</v>
      </c>
      <c r="B941">
        <f>HYPERLINK("https://eproc.rajasthan.gov.in/nicgep/app?component=%24DirectLink&amp;page=FrontEndViewTender&amp;service=direct&amp;session=T&amp;sp=SvRBZpdLmjd7tmC%2ByRaLTGw%3D%3D", "09 SBM OPEN TENDER FOR CLEANING AND SANITATION FOR GP THALKALA PS MANDALGARH")</f>
        <v/>
      </c>
      <c r="C941" t="inlineStr">
        <is>
          <t>Panchayati Raj Department||Secretary and Commissioner||CEO-BHILWARA||BDO-MANDALGARH</t>
        </is>
      </c>
      <c r="D941" t="inlineStr">
        <is>
          <t>24-May-2025 05:00 PM</t>
        </is>
      </c>
      <c r="E941" t="inlineStr">
        <is>
          <t>6,06,000</t>
        </is>
      </c>
      <c r="F941" t="inlineStr">
        <is>
          <t>09 SBM OPEN TENDER FOR CLEANING AND SANITATION FOR GP THALKALA PS MANDALGARH</t>
        </is>
      </c>
      <c r="G941" t="inlineStr">
        <is>
          <t>THALKALA</t>
        </is>
      </c>
    </row>
    <row r="942">
      <c r="A942" s="1" t="n">
        <v>940</v>
      </c>
      <c r="B942">
        <f>HYPERLINK("https://eproc.rajasthan.gov.in/nicgep/app?component=%24DirectLink&amp;page=FrontEndViewTender&amp;service=direct&amp;session=T&amp;sp=SVat3%2FJFrtwuXdsQ%2BUpsBAg%3D%3D", "Work including door-to-door residential and commercial garbage collection and separation road and drain cleaning and community sanitation premises cleaning in all villages of Gram Panchayat HALDAINA Panchayat Samiti Mandawar Dist. Dausa For FY 2025-2")</f>
        <v/>
      </c>
      <c r="C942" t="inlineStr">
        <is>
          <t>Panchayati Raj Department||Secretary and Commissioner||CEO-DAUSA||BDO-MAHUVA</t>
        </is>
      </c>
      <c r="D942" t="inlineStr">
        <is>
          <t>26-May-2025 05:00 PM</t>
        </is>
      </c>
      <c r="E942" t="inlineStr">
        <is>
          <t>3,69,720</t>
        </is>
      </c>
      <c r="F942" t="inlineStr">
        <is>
          <t>Work including door-to-door residential and commercial garbage collection and separation road and drain cleaning and community sanitation premises cleaning in all villages of Gram Panchayat HALDAINA Panchayat Samiti Mandawar Dist. Dausa For FY 2025-2</t>
        </is>
      </c>
      <c r="G942" t="inlineStr">
        <is>
          <t>Gram Panchayat HALDAINA</t>
        </is>
      </c>
    </row>
    <row r="943">
      <c r="A943" s="1" t="n">
        <v>941</v>
      </c>
      <c r="B943">
        <f>HYPERLINK("https://eproc.rajasthan.gov.in/nicgep/app?component=%24DirectLink&amp;page=FrontEndViewTender&amp;service=direct&amp;session=T&amp;sp=StJdwlP8TReeP%2BW2Byf003g%3D%3D", "08 SBM OPEN TENDER FOR CLEANING AND SANITATION FOR GP JHANJHOLA PS MANDALGARH")</f>
        <v/>
      </c>
      <c r="C943" t="inlineStr">
        <is>
          <t>Panchayati Raj Department||Secretary and Commissioner||CEO-BHILWARA||BDO-MANDALGARH</t>
        </is>
      </c>
      <c r="D943" t="inlineStr">
        <is>
          <t>24-May-2025 05:00 PM</t>
        </is>
      </c>
      <c r="E943" t="inlineStr">
        <is>
          <t>8,16,000</t>
        </is>
      </c>
      <c r="F943" t="inlineStr">
        <is>
          <t>08 SBM OPEN TENDER FOR CLEANING AND SANITATION FOR GP JHANJHOLA PS MANDALGARH</t>
        </is>
      </c>
      <c r="G943" t="inlineStr">
        <is>
          <t>JHANJHOLA</t>
        </is>
      </c>
    </row>
    <row r="944">
      <c r="A944" s="1" t="n">
        <v>942</v>
      </c>
      <c r="B944">
        <f>HYPERLINK("https://eproc.rajasthan.gov.in/nicgep/app?component=%24DirectLink&amp;page=FrontEndViewTender&amp;service=direct&amp;session=T&amp;sp=SeoGAuyuKNoBv54jwDRSm9Q%3D%3D", "Work including door to door garbage collection and separation, road and drain cleaning and cleaning of community sanitation complexes in all the villages of Gram Panchayat meriyakhedi panchayat samiti dhamotar")</f>
        <v/>
      </c>
      <c r="C944" t="inlineStr">
        <is>
          <t>Panchayati Raj Department||Secretary and Commissioner||CEO-PRATAPGARH||BDO-DHAMOTAR</t>
        </is>
      </c>
      <c r="D944" t="inlineStr">
        <is>
          <t>19-May-2025 02:00 PM</t>
        </is>
      </c>
      <c r="E944" t="inlineStr">
        <is>
          <t>4,00,000</t>
        </is>
      </c>
      <c r="F944" t="inlineStr">
        <is>
          <t>Work including door to door garbage collection and separation, road and drain cleaning and cleaning of community sanitation complexes in all the villages of Gram Panchayat meriyakhedi panchayat samiti dhamotar</t>
        </is>
      </c>
      <c r="G944" t="inlineStr">
        <is>
          <t>meriyakhedi</t>
        </is>
      </c>
    </row>
    <row r="945">
      <c r="A945" s="1" t="n">
        <v>943</v>
      </c>
      <c r="B945">
        <f>HYPERLINK("https://eproc.rajasthan.gov.in/nicgep/app?component=%24DirectLink&amp;page=FrontEndViewTender&amp;service=direct&amp;session=T&amp;sp=S%2BoN1k%2FhNarBV1Z4%2F%2BMJPkQ%3D%3D", "MATERIAL AND EQUIPMENT SUPPLY UNDER MNREGA AND OTHER GOVT RD SCHEMES AT GP RADOD FOR F.Y.-2025-2026")</f>
        <v/>
      </c>
      <c r="C945" t="inlineStr">
        <is>
          <t>Panchayati Raj Department||Secretary and Commissioner||CEO-JODHPUR||BDO-BHOPALGARH</t>
        </is>
      </c>
      <c r="D945" t="inlineStr">
        <is>
          <t>26-May-2025 11:00 AM</t>
        </is>
      </c>
      <c r="E945" t="inlineStr">
        <is>
          <t>50,00,000</t>
        </is>
      </c>
      <c r="F945" t="inlineStr">
        <is>
          <t>MATERIAL AND EQUIPMENT SUPPLY UNDER MNREGA AND OTHER GOVT RD SCHEMES AT GP RADOD FOR F.Y.-2025-2026</t>
        </is>
      </c>
      <c r="G945" t="inlineStr">
        <is>
          <t>GP RADOD</t>
        </is>
      </c>
    </row>
    <row r="946">
      <c r="A946" s="1" t="n">
        <v>944</v>
      </c>
      <c r="B946">
        <f>HYPERLINK("https://eproc.rajasthan.gov.in/nicgep/app?component=%24DirectLink&amp;page=FrontEndViewTender&amp;service=direct&amp;session=T&amp;sp=SUrzODneRtrZWmCXGN3XFTQ%3D%3D", "06 SBM OPEN TENDER FOR CLEANING AND SANITATION FOR GP JASSU JI KA KHEDA PS MANDALGARH")</f>
        <v/>
      </c>
      <c r="C946" t="inlineStr">
        <is>
          <t>Panchayati Raj Department||Secretary and Commissioner||CEO-BHILWARA||BDO-MANDALGARH</t>
        </is>
      </c>
      <c r="D946" t="inlineStr">
        <is>
          <t>24-May-2025 05:00 PM</t>
        </is>
      </c>
      <c r="E946" t="inlineStr">
        <is>
          <t>7,78,000</t>
        </is>
      </c>
      <c r="F946" t="inlineStr">
        <is>
          <t>06 SBM OPEN TENDER FOR CLEANING AND SANITATION FOR GP JASSU JI KA KHEDA PS MANDALGARH</t>
        </is>
      </c>
      <c r="G946" t="inlineStr">
        <is>
          <t>JASSUJI KA KHEDA</t>
        </is>
      </c>
    </row>
    <row r="947">
      <c r="A947" s="1" t="n">
        <v>945</v>
      </c>
      <c r="B947">
        <f>HYPERLINK("https://eproc.rajasthan.gov.in/nicgep/app?component=%24DirectLink&amp;page=FrontEndViewTender&amp;service=direct&amp;session=T&amp;sp=SnmKvO8I2FK%2BkEB2dU9LyFg%3D%3D", "Work including door-to-door residential and commercial garbage collection and separation road and drain cleaning and community sanitation premises cleaning in all villages of Gram Panchayat KHANPUR Panchayat Samiti Mahwa Dist. Dausa For FY 2025-26")</f>
        <v/>
      </c>
      <c r="C947" t="inlineStr">
        <is>
          <t>Panchayati Raj Department||Secretary and Commissioner||CEO-DAUSA||BDO-MAHUVA</t>
        </is>
      </c>
      <c r="D947" t="inlineStr">
        <is>
          <t>26-May-2025 05:00 PM</t>
        </is>
      </c>
      <c r="E947" t="inlineStr">
        <is>
          <t>4,87,307</t>
        </is>
      </c>
      <c r="F947" t="inlineStr">
        <is>
          <t>Work including door-to-door residential and commercial garbage collection and separation road and drain cleaning and community sanitation premises cleaning in all villages of Gram Panchayat KHANPUR Panchayat Samiti Mahwa Dist. Dausa For FY 2025-26</t>
        </is>
      </c>
      <c r="G947" t="inlineStr">
        <is>
          <t>Gram Panchayat KHANPUR</t>
        </is>
      </c>
    </row>
    <row r="948">
      <c r="A948" s="1" t="n">
        <v>946</v>
      </c>
      <c r="B948">
        <f>HYPERLINK("https://eproc.rajasthan.gov.in/nicgep/app?component=%24DirectLink&amp;page=FrontEndViewTender&amp;service=direct&amp;session=T&amp;sp=SMgBYA0QxMsd2RLFTDUFWgg%3D%3D", "Work of supply of material and equipment for Mgnarega and other development schemes in Gram panchayat TAMPI PS Chitalwana For fy 2025-26")</f>
        <v/>
      </c>
      <c r="C948" t="inlineStr">
        <is>
          <t>Panchayati Raj Department||Secretary and Commissioner||CEO- JALORE||BDO-CHITALWANA</t>
        </is>
      </c>
      <c r="D948" t="inlineStr">
        <is>
          <t>26-May-2025 12:30 PM</t>
        </is>
      </c>
      <c r="E948" t="inlineStr">
        <is>
          <t>49,00,000</t>
        </is>
      </c>
      <c r="F948" t="inlineStr">
        <is>
          <t>Work of supply of material and equipment for Mgnarega and other development schemes in Gram panchayat TAMPI PS Chitalwana For fy 2025-26</t>
        </is>
      </c>
      <c r="G948" t="inlineStr">
        <is>
          <t>GRAM PANCHAYAT TAMPI PS CHITALWANA</t>
        </is>
      </c>
    </row>
    <row r="949">
      <c r="A949" s="1" t="n">
        <v>947</v>
      </c>
      <c r="B949">
        <f>HYPERLINK("https://eproc.rajasthan.gov.in/nicgep/app?component=%24DirectLink&amp;page=FrontEndViewTender&amp;service=direct&amp;session=T&amp;sp=SemOQH9Z2ASU9NG3zK4YgiQ%3D%3D", "work including garbage collection and separation from every house (residential and commercial), road and drain cleaning, and cleaning of community sanitation premises in all the villages of Gram Panchayat Ajaysar Panchayat Samiti Ajmer Rural")</f>
        <v/>
      </c>
      <c r="C949" t="inlineStr">
        <is>
          <t>Panchayati Raj Department||Secretary and Commissioner||CEO-AJMER||BDO-AJMER RURAL</t>
        </is>
      </c>
      <c r="D949" t="inlineStr">
        <is>
          <t>20-May-2025 05:00 PM</t>
        </is>
      </c>
      <c r="E949" t="inlineStr">
        <is>
          <t>14,90,300</t>
        </is>
      </c>
      <c r="F949" t="inlineStr">
        <is>
          <t>work including garbage collection and separation from every house (residential and commercial), road and drain cleaning, and cleaning of community sanitation premises in all the villages of Gram Panchayat Ajaysar Panchayat Samiti Ajmer Rural</t>
        </is>
      </c>
      <c r="G949" t="inlineStr">
        <is>
          <t>Gram Panchayat Ajaysar</t>
        </is>
      </c>
    </row>
    <row r="950">
      <c r="A950" s="1" t="n">
        <v>948</v>
      </c>
      <c r="B950">
        <f>HYPERLINK("https://eproc.rajasthan.gov.in/nicgep/app?component=%24DirectLink&amp;page=FrontEndViewTender&amp;service=direct&amp;session=T&amp;sp=S2Iz35eLrETMeAfHM4iF22g%3D%3D", "Work including door to door residential and commercial kachra collection and separation road and drainage cleaning and community sanitation complex in all the village of Gram Panchayat area seloo")</f>
        <v/>
      </c>
      <c r="C950" t="inlineStr">
        <is>
          <t>Panchayati Raj Department||Secretary and Commissioner||CEO-S.MADHOPUR||BDO-SAWAIMADHOPUR</t>
        </is>
      </c>
      <c r="D950" t="inlineStr">
        <is>
          <t>21-May-2025 06:00 PM</t>
        </is>
      </c>
      <c r="E950" t="inlineStr">
        <is>
          <t>7,50,000</t>
        </is>
      </c>
      <c r="F950" t="inlineStr">
        <is>
          <t>Work including door to door residential and commercial kachra collection and separation road and drainage cleaning and community sanitation complex in all the village of Gram Panchayat area seloo</t>
        </is>
      </c>
      <c r="G950" t="inlineStr">
        <is>
          <t>seloo</t>
        </is>
      </c>
    </row>
    <row r="951">
      <c r="A951" s="1" t="n">
        <v>949</v>
      </c>
      <c r="B951">
        <f>HYPERLINK("https://eproc.rajasthan.gov.in/nicgep/app?component=%24DirectLink&amp;page=FrontEndViewTender&amp;service=direct&amp;session=T&amp;sp=SkqrrTu5jamDVN8AQ8wSdiQ%3D%3D", "work including garbage collection and separation from every house (residential and commercial), road and drain cleaning, and cleaning of community sanitation premises in all the villages of Gram Panchayat Untra Panchayat Samiti Ajmer Rural")</f>
        <v/>
      </c>
      <c r="C951" t="inlineStr">
        <is>
          <t>Panchayati Raj Department||Secretary and Commissioner||CEO-AJMER||BDO-AJMER RURAL</t>
        </is>
      </c>
      <c r="D951" t="inlineStr">
        <is>
          <t>20-May-2025 05:00 PM</t>
        </is>
      </c>
      <c r="E951" t="inlineStr">
        <is>
          <t>10,63,000</t>
        </is>
      </c>
      <c r="F951" t="inlineStr">
        <is>
          <t>work including garbage collection and separation from every house (residential and commercial), road and drain cleaning, and cleaning of community sanitation premises in all the villages of Gram Panchayat Untra Panchayat Samiti Ajmer Rural</t>
        </is>
      </c>
      <c r="G951" t="inlineStr">
        <is>
          <t>Gram Panchayat Untra</t>
        </is>
      </c>
    </row>
    <row r="952">
      <c r="A952" s="1" t="n">
        <v>950</v>
      </c>
      <c r="B952">
        <f>HYPERLINK("https://eproc.rajasthan.gov.in/nicgep/app?component=%24DirectLink&amp;page=FrontEndViewTender&amp;service=direct&amp;session=T&amp;sp=SLOjLvvbI4XfObU5%2BFugs8A%3D%3D", "Work of supply of material and equipment for Mgnarega and other development schemes in Gram panchayat RANODER PS Chitalwana For fy 2025-26")</f>
        <v/>
      </c>
      <c r="C952" t="inlineStr">
        <is>
          <t>Panchayati Raj Department||Secretary and Commissioner||CEO- JALORE||BDO-CHITALWANA</t>
        </is>
      </c>
      <c r="D952" t="inlineStr">
        <is>
          <t>26-May-2025 12:30 PM</t>
        </is>
      </c>
      <c r="E952" t="inlineStr">
        <is>
          <t>49,00,000</t>
        </is>
      </c>
      <c r="F952" t="inlineStr">
        <is>
          <t>Work of supply of material and equipment for Mgnarega and other development schemes in Gram panchayat RANODER PS Chitalwana For fy 2025-26</t>
        </is>
      </c>
      <c r="G952" t="inlineStr">
        <is>
          <t>GRAM PANCHAYAT RANODER PS CHITALWANA</t>
        </is>
      </c>
    </row>
    <row r="953">
      <c r="A953" s="1" t="n">
        <v>951</v>
      </c>
      <c r="B953">
        <f>HYPERLINK("https://eproc.rajasthan.gov.in/nicgep/app?component=%24DirectLink&amp;page=FrontEndViewTender&amp;service=direct&amp;session=T&amp;sp=Si2h6nx%2B1NvqJbpqTTvNHhA%3D%3D", "work including garbage collection and separation from every house (residential and commercial), road and drain cleaning, and cleaning of community sanitation premises in all the villages of Gram Panchayat Kayad Panchayat Samiti Ajmer Rural")</f>
        <v/>
      </c>
      <c r="C953" t="inlineStr">
        <is>
          <t>Panchayati Raj Department||Secretary and Commissioner||CEO-AJMER||BDO-AJMER RURAL</t>
        </is>
      </c>
      <c r="D953" t="inlineStr">
        <is>
          <t>20-May-2025 05:00 PM</t>
        </is>
      </c>
      <c r="E953" t="inlineStr">
        <is>
          <t>10,67,800</t>
        </is>
      </c>
      <c r="F953" t="inlineStr">
        <is>
          <t>work including garbage collection and separation from every house (residential and commercial), road and drain cleaning, and cleaning of community sanitation premises in all the villages of Gram Panchayat Kayad Panchayat Samiti Ajmer Rural</t>
        </is>
      </c>
      <c r="G953" t="inlineStr">
        <is>
          <t>Gram Panchayat Kayad</t>
        </is>
      </c>
    </row>
    <row r="954">
      <c r="A954" s="1" t="n">
        <v>952</v>
      </c>
      <c r="B954">
        <f>HYPERLINK("https://eproc.rajasthan.gov.in/nicgep/app?component=%24DirectLink&amp;page=FrontEndViewTender&amp;service=direct&amp;session=T&amp;sp=S2l72TzYTVS89nN32XigVtg%3D%3D", "05 SBM OPEN TENDER FOR CLEANING AND SANITATION FOR GP GENOLI PS MANDALGARH")</f>
        <v/>
      </c>
      <c r="C954" t="inlineStr">
        <is>
          <t>Panchayati Raj Department||Secretary and Commissioner||CEO-BHILWARA||BDO-MANDALGARH</t>
        </is>
      </c>
      <c r="D954" t="inlineStr">
        <is>
          <t>24-May-2025 05:00 PM</t>
        </is>
      </c>
      <c r="E954" t="inlineStr">
        <is>
          <t>6,78,000</t>
        </is>
      </c>
      <c r="F954" t="inlineStr">
        <is>
          <t>05 SBM OPEN TENDER FOR CLEANING AND SANITATION FOR GP GENOLI PS MANDALGARH</t>
        </is>
      </c>
      <c r="G954" t="inlineStr">
        <is>
          <t>GENOLI</t>
        </is>
      </c>
    </row>
    <row r="955">
      <c r="A955" s="1" t="n">
        <v>953</v>
      </c>
      <c r="B955">
        <f>HYPERLINK("https://eproc.rajasthan.gov.in/nicgep/app?component=%24DirectLink&amp;page=FrontEndViewTender&amp;service=direct&amp;session=T&amp;sp=SWv8fCjfecEbXWLrqso2CJA%3D%3D", "SUPPLY OF CONSTRUCTION MATERIAL AND PROVIDING EQUIPMENT IN GRAM PANCHAYAT SANPA OF PANCHAYAT SAMITI PALI, DIST.- PALI")</f>
        <v/>
      </c>
      <c r="C955" t="inlineStr">
        <is>
          <t>Panchayati Raj Department||Secretary and Commissioner||CEO-PALI||BDO-PALI</t>
        </is>
      </c>
      <c r="D955" t="inlineStr">
        <is>
          <t>26-May-2025 05:00 PM</t>
        </is>
      </c>
      <c r="E955" t="inlineStr">
        <is>
          <t>40,00,000</t>
        </is>
      </c>
      <c r="F955" t="inlineStr">
        <is>
          <t>SUPPLY OF CONSTRUCTION MATERIAL AND PROVIDING EQUIPMENT IN GRAM PANCHAYAT SANPA OF PANCHAYAT SAMITI PALI, DIST.- PALI</t>
        </is>
      </c>
      <c r="G955" t="inlineStr">
        <is>
          <t>Gram Panchayat Sanpa</t>
        </is>
      </c>
    </row>
    <row r="956">
      <c r="A956" s="1" t="n">
        <v>954</v>
      </c>
      <c r="B956">
        <f>HYPERLINK("https://eproc.rajasthan.gov.in/nicgep/app?component=%24DirectLink&amp;page=FrontEndViewTender&amp;service=direct&amp;session=T&amp;sp=Skyg3S2OyLJnefFcDflaZLw%3D%3D", "Rate contract For Supply of Construction Material and Providing Equipments for MGNREGA and Rural Development and Panchayati Raj departments various schemes at Gram Panchayat Jhajhirampura Panchayat Samiti Baswa Dist Dausa For FY 2025-26")</f>
        <v/>
      </c>
      <c r="C956" t="inlineStr">
        <is>
          <t>Panchayati Raj Department||Secretary and Commissioner||CEO-DAUSA||BDO-BASWA</t>
        </is>
      </c>
      <c r="D956" t="inlineStr">
        <is>
          <t>26-May-2025 05:00 PM</t>
        </is>
      </c>
      <c r="E956" t="inlineStr">
        <is>
          <t>50,00,000</t>
        </is>
      </c>
      <c r="F956" t="inlineStr">
        <is>
          <t>Rate contract For Supply of Construction Material and Providing Equipments for MGNREGA and Rural Development and Panchayati Raj departments various schemes at Gram Panchayat Jhajhirampura Panchayat Samiti Baswa Dist Dausa For FY 2025-26</t>
        </is>
      </c>
      <c r="G956" t="inlineStr">
        <is>
          <t>GRAM PANCHYAT JHAJHIRAMPURA</t>
        </is>
      </c>
    </row>
    <row r="957">
      <c r="A957" s="1" t="n">
        <v>955</v>
      </c>
      <c r="B957">
        <f>HYPERLINK("https://eproc.rajasthan.gov.in/nicgep/app?component=%24DirectLink&amp;page=FrontEndViewTender&amp;service=direct&amp;session=T&amp;sp=S3CNcP7zZjsTnARb3zEoqdg%3D%3D", "07 SBM OPEN TENDER FOR CLEANING AND SANITATION FOR GP JOJWA PS MANDALGARH")</f>
        <v/>
      </c>
      <c r="C957" t="inlineStr">
        <is>
          <t>Panchayati Raj Department||Secretary and Commissioner||CEO-BHILWARA||BDO-MANDALGARH</t>
        </is>
      </c>
      <c r="D957" t="inlineStr">
        <is>
          <t>24-May-2025 05:00 PM</t>
        </is>
      </c>
      <c r="E957" t="inlineStr">
        <is>
          <t>6,60,000</t>
        </is>
      </c>
      <c r="F957" t="inlineStr">
        <is>
          <t>07 SBM OPEN TENDER FOR CLEANING AND SANITATION FOR GP JOJWA PS MANDALGARH</t>
        </is>
      </c>
      <c r="G957" t="inlineStr">
        <is>
          <t>JOJWA</t>
        </is>
      </c>
    </row>
    <row r="958">
      <c r="A958" s="1" t="n">
        <v>956</v>
      </c>
      <c r="B958">
        <f>HYPERLINK("https://eproc.rajasthan.gov.in/nicgep/app?component=%24DirectLink&amp;page=FrontEndViewTender&amp;service=direct&amp;session=T&amp;sp=SomYdqhU39282bVGqQ9BATw%3D%3D", "work including garbage collection and separation from every house (residential and commercial), road and drain cleaning, and cleaning of community sanitation premises in all the villages of Gram Panchayat Danta Panchayat Samiti Ajmer Rural")</f>
        <v/>
      </c>
      <c r="C958" t="inlineStr">
        <is>
          <t>Panchayati Raj Department||Secretary and Commissioner||CEO-AJMER||BDO-AJMER RURAL</t>
        </is>
      </c>
      <c r="D958" t="inlineStr">
        <is>
          <t>20-May-2025 05:00 PM</t>
        </is>
      </c>
      <c r="E958" t="inlineStr">
        <is>
          <t>16,34,630</t>
        </is>
      </c>
      <c r="F958" t="inlineStr">
        <is>
          <t>work including garbage collection and separation from every house (residential and commercial), road and drain cleaning, and cleaning of community sanitation premises in all the villages of Gram Panchayat Danta Panchayat Samiti Ajmer Rural</t>
        </is>
      </c>
      <c r="G958" t="inlineStr">
        <is>
          <t>Gram Panchayat Danta</t>
        </is>
      </c>
    </row>
    <row r="959">
      <c r="A959" s="1" t="n">
        <v>957</v>
      </c>
      <c r="B959">
        <f>HYPERLINK("https://eproc.rajasthan.gov.in/nicgep/app?component=%24DirectLink&amp;page=FrontEndViewTender&amp;service=direct&amp;session=T&amp;sp=S0s8CCsJIKYkKLivblxCpXQ%3D%3D", "Work including door to door residential and commercial kachra collection and separation road and drainage cleaning and community sanitation complex in all the village of Gram Panchayat area lorwada")</f>
        <v/>
      </c>
      <c r="C959" t="inlineStr">
        <is>
          <t>Panchayati Raj Department||Secretary and Commissioner||CEO-S.MADHOPUR||BDO-SAWAIMADHOPUR</t>
        </is>
      </c>
      <c r="D959" t="inlineStr">
        <is>
          <t>21-May-2025 06:00 PM</t>
        </is>
      </c>
      <c r="E959" t="inlineStr">
        <is>
          <t>7,00,000</t>
        </is>
      </c>
      <c r="F959" t="inlineStr">
        <is>
          <t>Work including door to door residential and commercial kachra collection and separation road and drainage cleaning and community sanitation complex in all the village of Gram Panchayat area lorwada</t>
        </is>
      </c>
      <c r="G959" t="inlineStr">
        <is>
          <t>lorwada</t>
        </is>
      </c>
    </row>
    <row r="960">
      <c r="A960" s="1" t="n">
        <v>958</v>
      </c>
      <c r="B960">
        <f>HYPERLINK("https://eproc.rajasthan.gov.in/nicgep/app?component=%24DirectLink&amp;page=FrontEndViewTender&amp;service=direct&amp;session=T&amp;sp=SSXGwUVH6PvghnMoMKXIbCA%3D%3D", "Work including door to door residential and commercial kachra collection and separation road and drainage cleaning and community sanitation complex in all the village of Gram Panchayat area jatawada kalan")</f>
        <v/>
      </c>
      <c r="C960" t="inlineStr">
        <is>
          <t>Panchayati Raj Department||Secretary and Commissioner||CEO-S.MADHOPUR||BDO-SAWAIMADHOPUR</t>
        </is>
      </c>
      <c r="D960" t="inlineStr">
        <is>
          <t>21-May-2025 06:00 PM</t>
        </is>
      </c>
      <c r="E960" t="inlineStr">
        <is>
          <t>9,00,000</t>
        </is>
      </c>
      <c r="F960" t="inlineStr">
        <is>
          <t>Work including door to door residential and commercial kachra collection and separation road and drainage cleaning and community sanitation complex in all the village of Gram Panchayat area jatawada kalan</t>
        </is>
      </c>
      <c r="G960" t="inlineStr">
        <is>
          <t>jatawada kalan</t>
        </is>
      </c>
    </row>
    <row r="961">
      <c r="A961" s="1" t="n">
        <v>959</v>
      </c>
      <c r="B961">
        <f>HYPERLINK("https://eproc.rajasthan.gov.in/nicgep/app?component=%24DirectLink&amp;page=FrontEndViewTender&amp;service=direct&amp;session=T&amp;sp=Sk3r8anwzXeV5LQNd8f717Q%3D%3D", "Work including door to door residential and commercial kachra collection and separation road and drainage cleaning and community sanitation complex in all the village of Gram Panchayat area ajnoti")</f>
        <v/>
      </c>
      <c r="C961" t="inlineStr">
        <is>
          <t>Panchayati Raj Department||Secretary and Commissioner||CEO-S.MADHOPUR||BDO-SAWAIMADHOPUR</t>
        </is>
      </c>
      <c r="D961" t="inlineStr">
        <is>
          <t>21-May-2025 06:00 PM</t>
        </is>
      </c>
      <c r="E961" t="inlineStr">
        <is>
          <t>7,50,000</t>
        </is>
      </c>
      <c r="F961" t="inlineStr">
        <is>
          <t>Work including door to door residential and commercial kachra collection and separation road and drainage cleaning and community sanitation complex in all the village of Gram Panchayat area ajnoti</t>
        </is>
      </c>
      <c r="G961" t="inlineStr">
        <is>
          <t>ajnoti</t>
        </is>
      </c>
    </row>
    <row r="962">
      <c r="A962" s="1" t="n">
        <v>960</v>
      </c>
      <c r="B962">
        <f>HYPERLINK("https://eproc.rajasthan.gov.in/nicgep/app?component=%24DirectLink&amp;page=FrontEndViewTender&amp;service=direct&amp;session=T&amp;sp=Sm%2BphexafcGMG3G5iI3lrNA%3D%3D", "Work including door to door garbage collection and separation, road and drain cleaning and cleaning of community sanitation complexes in all the villages of Gram Panchayat bihara panchayat samiti dhamotar")</f>
        <v/>
      </c>
      <c r="C962" t="inlineStr">
        <is>
          <t>Panchayati Raj Department||Secretary and Commissioner||CEO-PRATAPGARH||BDO-DHAMOTAR</t>
        </is>
      </c>
      <c r="D962" t="inlineStr">
        <is>
          <t>19-May-2025 02:00 PM</t>
        </is>
      </c>
      <c r="E962" t="inlineStr">
        <is>
          <t>3,40,000</t>
        </is>
      </c>
      <c r="F962" t="inlineStr">
        <is>
          <t>Work including door to door garbage collection and separation, road and drain cleaning and cleaning of community sanitation complexes in all the villages of Gram Panchayat bihara panchayat samiti dhamotar</t>
        </is>
      </c>
      <c r="G962" t="inlineStr">
        <is>
          <t>bihara</t>
        </is>
      </c>
    </row>
    <row r="963">
      <c r="A963" s="1" t="n">
        <v>961</v>
      </c>
      <c r="B963">
        <f>HYPERLINK("https://eproc.rajasthan.gov.in/nicgep/app?component=%24DirectLink&amp;page=FrontEndViewTender&amp;service=direct&amp;session=T&amp;sp=S4HiKgcMmERUboXQIa8e3WA%3D%3D", "work including garbage collection and separation from every house (residential and commercial), road and drain cleaning, and cleaning of community sanitation premises in all the villages of Gram Panchayat Makarwali Panchayat Samiti Ajmer Rural")</f>
        <v/>
      </c>
      <c r="C963" t="inlineStr">
        <is>
          <t>Panchayati Raj Department||Secretary and Commissioner||CEO-AJMER||BDO-AJMER RURAL</t>
        </is>
      </c>
      <c r="D963" t="inlineStr">
        <is>
          <t>20-May-2025 05:00 PM</t>
        </is>
      </c>
      <c r="E963" t="inlineStr">
        <is>
          <t>14,70,800</t>
        </is>
      </c>
      <c r="F963" t="inlineStr">
        <is>
          <t>work including garbage collection and separation from every house (residential and commercial), road and drain cleaning, and cleaning of community sanitation premises in all the villages of Gram Panchayat Makarwali Panchayat Samiti Ajmer Rural</t>
        </is>
      </c>
      <c r="G963" t="inlineStr">
        <is>
          <t>Gram Panchayat Makarwali</t>
        </is>
      </c>
    </row>
    <row r="964">
      <c r="A964" s="1" t="n">
        <v>962</v>
      </c>
      <c r="B964">
        <f>HYPERLINK("https://eproc.rajasthan.gov.in/nicgep/app?component=%24DirectLink&amp;page=FrontEndViewTender&amp;service=direct&amp;session=T&amp;sp=SDPXsGPr9VledFq%2FTMBTNyg%3D%3D", "Work including door to door garbage collection and separation, road and drain cleaning and cleaning of community sanitation complexes in all the villages of Gram Panchayat bambori panchayat samiti dhamotar")</f>
        <v/>
      </c>
      <c r="C964" t="inlineStr">
        <is>
          <t>Panchayati Raj Department||Secretary and Commissioner||CEO-PRATAPGARH||BDO-DHAMOTAR</t>
        </is>
      </c>
      <c r="D964" t="inlineStr">
        <is>
          <t>19-May-2025 02:00 PM</t>
        </is>
      </c>
      <c r="E964" t="inlineStr">
        <is>
          <t>6,50,000</t>
        </is>
      </c>
      <c r="F964" t="inlineStr">
        <is>
          <t>Work including door to door garbage collection and separation, road and drain cleaning and cleaning of community sanitation complexes in all the villages of Gram Panchayat bambori panchayat samiti dhamotar</t>
        </is>
      </c>
      <c r="G964" t="inlineStr">
        <is>
          <t>bambori</t>
        </is>
      </c>
    </row>
    <row r="965">
      <c r="A965" s="1" t="n">
        <v>963</v>
      </c>
      <c r="B965">
        <f>HYPERLINK("https://eproc.rajasthan.gov.in/nicgep/app?component=%24DirectLink&amp;page=FrontEndViewTender&amp;service=direct&amp;session=T&amp;sp=SYUSlQn7HBxGkti6CWSpxyQ%3D%3D", "Work including door to door garbage collection and separation, road and drain cleaning and cleaning of community sanitation complexes in all the villages of Gram Panchayat devpura panchayat samiti dhamotar")</f>
        <v/>
      </c>
      <c r="C965" t="inlineStr">
        <is>
          <t>Panchayati Raj Department||Secretary and Commissioner||CEO-PRATAPGARH||BDO-DHAMOTAR</t>
        </is>
      </c>
      <c r="D965" t="inlineStr">
        <is>
          <t>19-May-2025 02:00 PM</t>
        </is>
      </c>
      <c r="E965" t="inlineStr">
        <is>
          <t>2,00,000</t>
        </is>
      </c>
      <c r="F965" t="inlineStr">
        <is>
          <t>Work including door to door garbage collection and separation, road and drain cleaning and cleaning of community sanitation complexes in all the villages of Gram Panchayat devpura panchayat samiti dhamotar</t>
        </is>
      </c>
      <c r="G965" t="inlineStr">
        <is>
          <t>devpura</t>
        </is>
      </c>
    </row>
    <row r="966">
      <c r="A966" s="1" t="n">
        <v>964</v>
      </c>
      <c r="B966">
        <f>HYPERLINK("https://eproc.rajasthan.gov.in/nicgep/app?component=%24DirectLink&amp;page=FrontEndViewTender&amp;service=direct&amp;session=T&amp;sp=S2AGU6nntEYmcf4m5%2FO3gZg%3D%3D", "Work including door to door garbage collection and separation, road and drain cleaning and cleaning of community sanitation complexes in all the villages of Gram Panchayat magari panchayat samiti dhamotar")</f>
        <v/>
      </c>
      <c r="C966" t="inlineStr">
        <is>
          <t>Panchayati Raj Department||Secretary and Commissioner||CEO-PRATAPGARH||BDO-DHAMOTAR</t>
        </is>
      </c>
      <c r="D966" t="inlineStr">
        <is>
          <t>19-May-2025 02:00 PM</t>
        </is>
      </c>
      <c r="E966" t="inlineStr">
        <is>
          <t>4,00,000</t>
        </is>
      </c>
      <c r="F966" t="inlineStr">
        <is>
          <t>Work including door to door garbage collection and separation, road and drain cleaning and cleaning of community sanitation complexes in all the villages of Gram Panchayat magari panchayat samiti dhamotar</t>
        </is>
      </c>
      <c r="G966" t="inlineStr">
        <is>
          <t>magari</t>
        </is>
      </c>
    </row>
    <row r="967">
      <c r="A967" s="1" t="n">
        <v>965</v>
      </c>
      <c r="B967">
        <f>HYPERLINK("https://eproc.rajasthan.gov.in/nicgep/app?component=%24DirectLink&amp;page=FrontEndViewTender&amp;service=direct&amp;session=T&amp;sp=Slrn7C%2FdPOQ2IZzIMXkcdvw%3D%3D", "Construction of room in Government Upper Primary School, Bass Bharind (S.No 02)")</f>
        <v/>
      </c>
      <c r="C967" t="inlineStr">
        <is>
          <t>Panchayati Raj Department||Secretary and Commissioner||CEO-CHURU||BDO-RAJGARH</t>
        </is>
      </c>
      <c r="D967" t="inlineStr">
        <is>
          <t>21-May-2025 11:00 AM</t>
        </is>
      </c>
      <c r="E967" t="inlineStr">
        <is>
          <t>9,00,000</t>
        </is>
      </c>
      <c r="F967" t="inlineStr">
        <is>
          <t>Construction of room in Government Upper Primary School, Bass Bharind (S.No 02)</t>
        </is>
      </c>
      <c r="G967" t="inlineStr">
        <is>
          <t>Gugalwa</t>
        </is>
      </c>
    </row>
    <row r="968">
      <c r="A968" s="1" t="n">
        <v>966</v>
      </c>
      <c r="B968">
        <f>HYPERLINK("https://eproc.rajasthan.gov.in/nicgep/app?component=%24DirectLink&amp;page=FrontEndViewTender&amp;service=direct&amp;session=T&amp;sp=SjQiONzTloF4cWikXnLQRcw%3D%3D", "15 SBM OPEN TENDER FOR CLEANING AND SANITATION FOR GP BIKRAN PS MANDALGARH")</f>
        <v/>
      </c>
      <c r="C968" t="inlineStr">
        <is>
          <t>Panchayati Raj Department||Secretary and Commissioner||CEO-BHILWARA||BDO-MANDALGARH</t>
        </is>
      </c>
      <c r="D968" t="inlineStr">
        <is>
          <t>24-May-2025 05:00 PM</t>
        </is>
      </c>
      <c r="E968" t="inlineStr">
        <is>
          <t>9,18,000</t>
        </is>
      </c>
      <c r="F968" t="inlineStr">
        <is>
          <t>15 SBM OPEN TENDER FOR CLEANING AND SANITATION FOR GP BIKRAN PS MANDALGARH</t>
        </is>
      </c>
      <c r="G968" t="inlineStr">
        <is>
          <t>BIKRAN</t>
        </is>
      </c>
    </row>
    <row r="969">
      <c r="A969" s="1" t="n">
        <v>967</v>
      </c>
      <c r="B969">
        <f>HYPERLINK("https://eproc.rajasthan.gov.in/nicgep/app?component=%24DirectLink&amp;page=FrontEndViewTender&amp;service=direct&amp;session=T&amp;sp=Shy%2Fp%2FoaoCoibqw%2FIJwifTg%3D%3D", "Work including door to door residential and commercial kachra collection and separation road and drainage cleaning and community sanitation complex in all the village of Gram Panchayat area padana")</f>
        <v/>
      </c>
      <c r="C969" t="inlineStr">
        <is>
          <t>Panchayati Raj Department||Secretary and Commissioner||CEO-S.MADHOPUR||BDO-SAWAIMADHOPUR</t>
        </is>
      </c>
      <c r="D969" t="inlineStr">
        <is>
          <t>21-May-2025 06:00 PM</t>
        </is>
      </c>
      <c r="E969" t="inlineStr">
        <is>
          <t>8,11,000</t>
        </is>
      </c>
      <c r="F969" t="inlineStr">
        <is>
          <t>Work including door to door residential and commercial kachra collection and separation road and drainage cleaning and community sanitation complex in all the village of Gram Panchayat area padana</t>
        </is>
      </c>
      <c r="G969" t="inlineStr">
        <is>
          <t>padana</t>
        </is>
      </c>
    </row>
    <row r="970">
      <c r="A970" s="1" t="n">
        <v>968</v>
      </c>
      <c r="B970">
        <f>HYPERLINK("https://eproc.rajasthan.gov.in/nicgep/app?component=%24DirectLink&amp;page=FrontEndViewTender&amp;service=direct&amp;session=T&amp;sp=SOFgQTOdMwZxbi6fheR7BGA%3D%3D", "Work including door to door garbage collection and separation, road and drain cleaning and cleaning of community sanitation complexes in all the villages of Gram Panchayat nakor panchayat samiti dhamotar")</f>
        <v/>
      </c>
      <c r="C970" t="inlineStr">
        <is>
          <t>Panchayati Raj Department||Secretary and Commissioner||CEO-PRATAPGARH||BDO-DHAMOTAR</t>
        </is>
      </c>
      <c r="D970" t="inlineStr">
        <is>
          <t>19-May-2025 02:00 PM</t>
        </is>
      </c>
      <c r="E970" t="inlineStr">
        <is>
          <t>5,50,000</t>
        </is>
      </c>
      <c r="F970" t="inlineStr">
        <is>
          <t>Work including door to door garbage collection and separation, road and drain cleaning and cleaning of community sanitation complexes in all the villages of Gram Panchayat nakor panchayat samiti dhamotar</t>
        </is>
      </c>
      <c r="G970" t="inlineStr">
        <is>
          <t>nakor</t>
        </is>
      </c>
    </row>
    <row r="971">
      <c r="A971" s="1" t="n">
        <v>969</v>
      </c>
      <c r="B971">
        <f>HYPERLINK("https://eproc.rajasthan.gov.in/nicgep/app?component=%24DirectLink&amp;page=FrontEndViewTender&amp;service=direct&amp;session=T&amp;sp=SwKmO2HV3pSiN%2B1ewj0OIow%3D%3D", "14 SBM OPEN TENDER FOR CLEANING AND SANITATION FOR GP BALDARKHA PS MANDALGARH")</f>
        <v/>
      </c>
      <c r="C971" t="inlineStr">
        <is>
          <t>Panchayati Raj Department||Secretary and Commissioner||CEO-BHILWARA||BDO-MANDALGARH</t>
        </is>
      </c>
      <c r="D971" t="inlineStr">
        <is>
          <t>24-May-2025 05:00 PM</t>
        </is>
      </c>
      <c r="E971" t="inlineStr">
        <is>
          <t>6,05,000</t>
        </is>
      </c>
      <c r="F971" t="inlineStr">
        <is>
          <t>14 SBM OPEN TENDER FOR CLEANING AND SANITATION FOR GP BALDARKHA PS MANDALGARH</t>
        </is>
      </c>
      <c r="G971" t="inlineStr">
        <is>
          <t>BALDARKHA</t>
        </is>
      </c>
    </row>
    <row r="972">
      <c r="A972" s="1" t="n">
        <v>970</v>
      </c>
      <c r="B972">
        <f>HYPERLINK("https://eproc.rajasthan.gov.in/nicgep/app?component=%24DirectLink&amp;page=FrontEndViewTender&amp;service=direct&amp;session=T&amp;sp=SD5j1wOkDGI8HJfCk2T1%2BEQ%3D%3D", "13 SBM OPEN TENDER FOR CLEANING AND SANITATION FOR GP BARUNDANI PS MANDALGARH")</f>
        <v/>
      </c>
      <c r="C972" t="inlineStr">
        <is>
          <t>Panchayati Raj Department||Secretary and Commissioner||CEO-BHILWARA||BDO-MANDALGARH</t>
        </is>
      </c>
      <c r="D972" t="inlineStr">
        <is>
          <t>24-May-2025 05:00 PM</t>
        </is>
      </c>
      <c r="E972" t="inlineStr">
        <is>
          <t>9,28,000</t>
        </is>
      </c>
      <c r="F972" t="inlineStr">
        <is>
          <t>13 SBM OPEN TENDER FOR CLEANING AND SANITATION FOR GP BARUNDANI PS MANDALGARH</t>
        </is>
      </c>
      <c r="G972" t="inlineStr">
        <is>
          <t>BAROONDANI</t>
        </is>
      </c>
    </row>
    <row r="973">
      <c r="A973" s="1" t="n">
        <v>971</v>
      </c>
      <c r="B973">
        <f>HYPERLINK("https://eproc.rajasthan.gov.in/nicgep/app?component=%24DirectLink&amp;page=FrontEndViewTender&amp;service=direct&amp;session=T&amp;sp=SI%2BW0hoD1%2Btt%2Bqy8Q%2FvKS5A%3D%3D", "12 SBM OPEN TENDER FOR CLEANING AND SANITATION FOR GP DHAMANIYA PS MANDALGARH")</f>
        <v/>
      </c>
      <c r="C973" t="inlineStr">
        <is>
          <t>Panchayati Raj Department||Secretary and Commissioner||CEO-BHILWARA||BDO-MANDALGARH</t>
        </is>
      </c>
      <c r="D973" t="inlineStr">
        <is>
          <t>24-May-2025 05:00 PM</t>
        </is>
      </c>
      <c r="E973" t="inlineStr">
        <is>
          <t>8,91,000</t>
        </is>
      </c>
      <c r="F973" t="inlineStr">
        <is>
          <t>12 SBM OPEN TENDER FOR CLEANING AND SANITATION FOR GP DHAMANIYA PS MANDALGARH</t>
        </is>
      </c>
      <c r="G973" t="inlineStr">
        <is>
          <t>DHAMANIYA</t>
        </is>
      </c>
    </row>
    <row r="974">
      <c r="A974" s="1" t="n">
        <v>972</v>
      </c>
      <c r="B974">
        <f>HYPERLINK("https://eproc.rajasthan.gov.in/nicgep/app?component=%24DirectLink&amp;page=FrontEndViewTender&amp;service=direct&amp;session=T&amp;sp=SisDxBt8GItz878pU2%2Fgvbg%3D%3D", "03 SBM OPEN TENDER FOR CLEANING AND SANITATION FOR GP KHATWADA PS MANDALGARH")</f>
        <v/>
      </c>
      <c r="C974" t="inlineStr">
        <is>
          <t>Panchayati Raj Department||Secretary and Commissioner||CEO-BHILWARA||BDO-MANDALGARH</t>
        </is>
      </c>
      <c r="D974" t="inlineStr">
        <is>
          <t>24-May-2025 05:00 PM</t>
        </is>
      </c>
      <c r="E974" t="inlineStr">
        <is>
          <t>7,19,000</t>
        </is>
      </c>
      <c r="F974" t="inlineStr">
        <is>
          <t>03 SBM OPEN TENDER FOR CLEANING AND SANITATION FOR GP KHATWADA PS MANDALGARH</t>
        </is>
      </c>
      <c r="G974" t="inlineStr">
        <is>
          <t>KHATWADA</t>
        </is>
      </c>
    </row>
    <row r="975">
      <c r="A975" s="1" t="n">
        <v>973</v>
      </c>
      <c r="B975">
        <f>HYPERLINK("https://eproc.rajasthan.gov.in/nicgep/app?component=%24DirectLink&amp;page=FrontEndViewTender&amp;service=direct&amp;session=T&amp;sp=SuIlFsWXgKjuDp9Y5HRIcbg%3D%3D", "SUPPLY OF CONSTRUCTION MATERIAL AND PROVIDING EQUIPMENT IN GRAM PANCHAYAT SONAIMANJI OF PANCHAYAT SAMITI PALI, DIST.- PALI")</f>
        <v/>
      </c>
      <c r="C975" t="inlineStr">
        <is>
          <t>Panchayati Raj Department||Secretary and Commissioner||CEO-PALI||BDO-PALI</t>
        </is>
      </c>
      <c r="D975" t="inlineStr">
        <is>
          <t>26-May-2025 05:00 PM</t>
        </is>
      </c>
      <c r="E975" t="inlineStr">
        <is>
          <t>45,00,000</t>
        </is>
      </c>
      <c r="F975" t="inlineStr">
        <is>
          <t>SUPPLY OF CONSTRUCTION MATERIAL AND PROVIDING EQUIPMENT IN GRAM PANCHAYAT SONAIMANJI OF PANCHAYAT SAMITI PALI, DIST.- PALI</t>
        </is>
      </c>
      <c r="G975" t="inlineStr">
        <is>
          <t>Gram Panchayat Sonaimanji</t>
        </is>
      </c>
    </row>
    <row r="976">
      <c r="A976" s="1" t="n">
        <v>974</v>
      </c>
      <c r="B976">
        <f>HYPERLINK("https://eproc.rajasthan.gov.in/nicgep/app?component=%24DirectLink&amp;page=FrontEndViewTender&amp;service=direct&amp;session=T&amp;sp=SwhqNWnPUAIYpcOrnV10k3g%3D%3D", "02 SBM OPEN TENDER FOR CLEANING AND SANITATION FOR GP KACHOLA PS MANDALGARH")</f>
        <v/>
      </c>
      <c r="C976" t="inlineStr">
        <is>
          <t>Panchayati Raj Department||Secretary and Commissioner||CEO-BHILWARA||BDO-MANDALGARH</t>
        </is>
      </c>
      <c r="D976" t="inlineStr">
        <is>
          <t>24-May-2025 05:00 PM</t>
        </is>
      </c>
      <c r="E976" t="inlineStr">
        <is>
          <t>10,72,000</t>
        </is>
      </c>
      <c r="F976" t="inlineStr">
        <is>
          <t>02 SBM OPEN TENDER FOR CLEANING AND SANITATION FOR GP KACHOLA PS MANDALGARH</t>
        </is>
      </c>
      <c r="G976" t="inlineStr">
        <is>
          <t>KACHOLA</t>
        </is>
      </c>
    </row>
    <row r="977">
      <c r="A977" s="1" t="n">
        <v>975</v>
      </c>
      <c r="B977">
        <f>HYPERLINK("https://eproc.rajasthan.gov.in/nicgep/app?component=%24DirectLink&amp;page=FrontEndViewTender&amp;service=direct&amp;session=T&amp;sp=Sh5kGMJCtlcaq%2FtK2jIfzAA%3D%3D", "Work including Garbage Collection and Separation from every house (Residential and Commercial), Road and Drain cleaning and Community sanitation complex cleaning in all the villages of Gram Panchayat HEERAPUR")</f>
        <v/>
      </c>
      <c r="C977" t="inlineStr">
        <is>
          <t>Panchayati Raj Department||Secretary and Commissioner||CEO-S.MADHOPUR||BDO-GANGAPUR</t>
        </is>
      </c>
      <c r="D977" t="inlineStr">
        <is>
          <t>22-May-2025 06:00 PM</t>
        </is>
      </c>
      <c r="E977" t="inlineStr">
        <is>
          <t>7,97,000</t>
        </is>
      </c>
      <c r="F977" t="inlineStr">
        <is>
          <t>Work including Garbage Collection and Separation from every house (Residential and Commercial), Road and Drain cleaning and Community sanitation complex cleaning in all the villages of Gram Panchayat HEERAPUR</t>
        </is>
      </c>
      <c r="G977" t="inlineStr">
        <is>
          <t>GRAM PANCHAYAT HEERAPUR</t>
        </is>
      </c>
    </row>
    <row r="978">
      <c r="A978" s="1" t="n">
        <v>976</v>
      </c>
      <c r="B978">
        <f>HYPERLINK("https://eproc.rajasthan.gov.in/nicgep/app?component=%24DirectLink&amp;page=FrontEndViewTender&amp;service=direct&amp;session=T&amp;sp=SUbroqOUqkuctLayKP00Asw%3D%3D", "SUPPLY OF CONSTRUCTION MATERIAL AND PROVIDING EQUIPMENT IN GRAM PANCHAYAT HEMAWAS OF PANCHAYAT SAMITI PALI, DIST.- PALI")</f>
        <v/>
      </c>
      <c r="C978" t="inlineStr">
        <is>
          <t>Panchayati Raj Department||Secretary and Commissioner||CEO-PALI||BDO-PALI</t>
        </is>
      </c>
      <c r="D978" t="inlineStr">
        <is>
          <t>26-May-2025 05:00 PM</t>
        </is>
      </c>
      <c r="E978" t="inlineStr">
        <is>
          <t>45,00,000</t>
        </is>
      </c>
      <c r="F978" t="inlineStr">
        <is>
          <t>SUPPLY OF CONSTRUCTION MATERIAL AND PROVIDING EQUIPMENT IN GRAM PANCHAYAT HEMAWAS OF PANCHAYAT SAMITI PALI, DIST.- PALI</t>
        </is>
      </c>
      <c r="G978" t="inlineStr">
        <is>
          <t>Gram Panchayat Hemawas</t>
        </is>
      </c>
    </row>
    <row r="979">
      <c r="A979" s="1" t="n">
        <v>977</v>
      </c>
      <c r="B979">
        <f>HYPERLINK("https://eproc.rajasthan.gov.in/nicgep/app?component=%24DirectLink&amp;page=FrontEndViewTender&amp;service=direct&amp;session=T&amp;sp=SDPuJF2qA0ZJqgTWZBYeeaA%3D%3D", "02 SBM OPEN TENDER FOR CLEANING AND SANITATION FOR GP KACHOLA PS MANDALGARH")</f>
        <v/>
      </c>
      <c r="C979" t="inlineStr">
        <is>
          <t>Panchayati Raj Department||Secretary and Commissioner||CEO-BHILWARA||BDO-MANDALGARH</t>
        </is>
      </c>
      <c r="D979" t="inlineStr">
        <is>
          <t>24-May-2025 05:00 PM</t>
        </is>
      </c>
      <c r="E979" t="inlineStr">
        <is>
          <t>10,72,000</t>
        </is>
      </c>
      <c r="F979" t="inlineStr">
        <is>
          <t>02 SBM OPEN TENDER FOR CLEANING AND SANITATION FOR GP KACHOLA PS MANDALGARH</t>
        </is>
      </c>
      <c r="G979" t="inlineStr">
        <is>
          <t>KACHOLA</t>
        </is>
      </c>
    </row>
    <row r="980">
      <c r="A980" s="1" t="n">
        <v>978</v>
      </c>
      <c r="B980">
        <f>HYPERLINK("https://eproc.rajasthan.gov.in/nicgep/app?component=%24DirectLink&amp;page=FrontEndViewTender&amp;service=direct&amp;session=T&amp;sp=SA372Uo6hEVk1JbaijiaT4g%3D%3D", "MATERIAL SUPPLY IN GRAM PANCHAYAT GOTHRA TAGELAN PS DHOD FOR MGNREGA AND OTHER SCHEME")</f>
        <v/>
      </c>
      <c r="C980" t="inlineStr">
        <is>
          <t>Panchayati Raj Department||Secretary and Commissioner||CEO-SIKAR||BDO-DHOD</t>
        </is>
      </c>
      <c r="D980" t="inlineStr">
        <is>
          <t>27-May-2025 06:00 PM</t>
        </is>
      </c>
      <c r="E980" t="inlineStr">
        <is>
          <t>45,00,000</t>
        </is>
      </c>
      <c r="F980" t="inlineStr">
        <is>
          <t>MATERIAL SUPPLY IN GRAM PANCHAYAT GOTHRA TAGELAN PS DHOD FOR MGNREGA AND OTHER SCHEME</t>
        </is>
      </c>
      <c r="G980" t="inlineStr">
        <is>
          <t>GRAM PANCHAYAT GOTHRA TAGELAN</t>
        </is>
      </c>
    </row>
    <row r="981">
      <c r="A981" s="1" t="n">
        <v>979</v>
      </c>
      <c r="B981">
        <f>HYPERLINK("https://eproc.rajasthan.gov.in/nicgep/app?component=%24DirectLink&amp;page=FrontEndViewTender&amp;service=direct&amp;session=T&amp;sp=SQA9VyAnlHsykNUNvl7LeYg%3D%3D", "Collection of wastage in Residential and Commercial Building from all Villages in Gram Panchayat Road, Nali Cleaning and CSC Campus GP KISHANPURA")</f>
        <v/>
      </c>
      <c r="C981" t="inlineStr">
        <is>
          <t>Panchayati Raj Department||Secretary and Commissioner||CEO-PALI||BDO-RANISTATION</t>
        </is>
      </c>
      <c r="D981" t="inlineStr">
        <is>
          <t>29-May-2025 06:00 PM</t>
        </is>
      </c>
      <c r="E981" t="inlineStr">
        <is>
          <t>4,23,000</t>
        </is>
      </c>
      <c r="F981" t="inlineStr">
        <is>
          <t>Collection of wastage in Residential and Commercial Building from all Villages in Gram Panchayat Road, Nali Cleaning and CSC Campus GP KISHANPURA</t>
        </is>
      </c>
      <c r="G981" t="inlineStr">
        <is>
          <t>GRAM PANCHAYAT KISHANPURA</t>
        </is>
      </c>
    </row>
    <row r="982">
      <c r="A982" s="1" t="n">
        <v>980</v>
      </c>
      <c r="B982">
        <f>HYPERLINK("https://eproc.rajasthan.gov.in/nicgep/app?component=%24DirectLink&amp;page=FrontEndViewTender&amp;service=direct&amp;session=T&amp;sp=SCC2F1V1CGauduj4W9D%2BRJA%3D%3D", "01 SBM OPEN TENDER FOR CLEANING AND SANITATION FOR GP KALYANPURA PS MANDALGARH")</f>
        <v/>
      </c>
      <c r="C982" t="inlineStr">
        <is>
          <t>Panchayati Raj Department||Secretary and Commissioner||CEO-BHILWARA||BDO-MANDALGARH</t>
        </is>
      </c>
      <c r="D982" t="inlineStr">
        <is>
          <t>24-May-2025 05:00 PM</t>
        </is>
      </c>
      <c r="E982" t="inlineStr">
        <is>
          <t>7,42,000</t>
        </is>
      </c>
      <c r="F982" t="inlineStr">
        <is>
          <t>01 SBM OPEN TENDER FOR CLEANING AND SANITATION FOR GP KALYANPURA PS MANDALGARH</t>
        </is>
      </c>
      <c r="G982" t="inlineStr">
        <is>
          <t>GP KALYANPURA</t>
        </is>
      </c>
    </row>
    <row r="983">
      <c r="A983" s="1" t="n">
        <v>981</v>
      </c>
      <c r="B983">
        <f>HYPERLINK("https://eproc.rajasthan.gov.in/nicgep/app?component=%24DirectLink&amp;page=FrontEndViewTender&amp;service=direct&amp;session=T&amp;sp=StYFf4vduAg3Azqdvy%2FYmlQ%3D%3D", "Rate Contract for Construction Material and Equipments for MGNREGS works for the Year 2025-26 panchayat samiti LADPURA District KOTA At Gram Panchayats KALYA KHEDI")</f>
        <v/>
      </c>
      <c r="C983" t="inlineStr">
        <is>
          <t>Panchayati Raj Department||Secretary and Commissioner||CEO-KOTA||BDO-LADPURA</t>
        </is>
      </c>
      <c r="D983" t="inlineStr">
        <is>
          <t>02-Jun-2025 06:00 PM</t>
        </is>
      </c>
      <c r="E983" t="inlineStr">
        <is>
          <t>80,00,000</t>
        </is>
      </c>
      <c r="F983" t="inlineStr">
        <is>
          <t>Rate Contract for Construction Material and Equipments for MGNREGS works for the Year 2025-26 panchayat samiti LADPURA District KOTA At Gram Panchayats KALYA KHEDI</t>
        </is>
      </c>
      <c r="G983" t="inlineStr">
        <is>
          <t>kota</t>
        </is>
      </c>
    </row>
    <row r="984">
      <c r="A984" s="1" t="n">
        <v>982</v>
      </c>
      <c r="B984">
        <f>HYPERLINK("https://eproc.rajasthan.gov.in/nicgep/app?component=%24DirectLink&amp;page=FrontEndViewTender&amp;service=direct&amp;session=T&amp;sp=SvtZjjCTTpWo8Lg9RGl2d7g%3D%3D", "Rate Contract for Construction Material and Equipments for MGNREGS works for the Year 2025-26 panchayat samiti LADPURA District KOTA At Gram Panchayats BORABAS")</f>
        <v/>
      </c>
      <c r="C984" t="inlineStr">
        <is>
          <t>Panchayati Raj Department||Secretary and Commissioner||CEO-KOTA||BDO-LADPURA</t>
        </is>
      </c>
      <c r="D984" t="inlineStr">
        <is>
          <t>02-Jun-2025 06:00 PM</t>
        </is>
      </c>
      <c r="E984" t="inlineStr">
        <is>
          <t>50,00,000</t>
        </is>
      </c>
      <c r="F984" t="inlineStr">
        <is>
          <t>Rate Contract for Construction Material and Equipments for MGNREGS works for the Year 2025-26 panchayat samiti LADPURA District KOTA At Gram Panchayats BORABAS</t>
        </is>
      </c>
      <c r="G984" t="inlineStr">
        <is>
          <t>kota</t>
        </is>
      </c>
    </row>
    <row r="985">
      <c r="A985" s="1" t="n">
        <v>983</v>
      </c>
      <c r="B985">
        <f>HYPERLINK("https://eproc.rajasthan.gov.in/nicgep/app?component=%24DirectLink&amp;page=FrontEndViewTender&amp;service=direct&amp;session=T&amp;sp=SzZ%2BfWXixnnj0ViWEdOcTkg%3D%3D", "Rate Contract for Construction Material and Equipments for MGNREGS works for the Year 2025-26 panchayat samiti LADPURA District KOTA At Gram Panchayats TATHED")</f>
        <v/>
      </c>
      <c r="C985" t="inlineStr">
        <is>
          <t>Panchayati Raj Department||Secretary and Commissioner||CEO-KOTA||BDO-LADPURA</t>
        </is>
      </c>
      <c r="D985" t="inlineStr">
        <is>
          <t>02-Jun-2025 06:00 PM</t>
        </is>
      </c>
      <c r="E985" t="inlineStr">
        <is>
          <t>60,00,000</t>
        </is>
      </c>
      <c r="F985" t="inlineStr">
        <is>
          <t>Rate Contract for Construction Material and Equipments for MGNREGS works for the Year 2025-26 panchayat samiti LADPURA District KOTA At Gram Panchayats TATHED</t>
        </is>
      </c>
      <c r="G985" t="inlineStr">
        <is>
          <t>kota</t>
        </is>
      </c>
    </row>
    <row r="986">
      <c r="A986" s="1" t="n">
        <v>984</v>
      </c>
      <c r="B986">
        <f>HYPERLINK("https://eproc.rajasthan.gov.in/nicgep/app?component=%24DirectLink&amp;page=FrontEndViewTender&amp;service=direct&amp;session=T&amp;sp=SBWaklUVgkoed6mYkVvJYmA%3D%3D", "Rate Contract for Construction Material and Equipments for MGNREGS works for the Year 2025-26 panchayat samiti LADPURA District KOTA At Gram Panchayats MANASGAO")</f>
        <v/>
      </c>
      <c r="C986" t="inlineStr">
        <is>
          <t>Panchayati Raj Department||Secretary and Commissioner||CEO-KOTA||BDO-LADPURA</t>
        </is>
      </c>
      <c r="D986" t="inlineStr">
        <is>
          <t>02-Jun-2025 06:00 PM</t>
        </is>
      </c>
      <c r="E986" t="inlineStr">
        <is>
          <t>50,00,000</t>
        </is>
      </c>
      <c r="F986" t="inlineStr">
        <is>
          <t>Rate Contract for Construction Material and Equipments for MGNREGS works for the Year 2025-26 panchayat samiti LADPURA District KOTA At Gram Panchayats MANASGAO</t>
        </is>
      </c>
      <c r="G986" t="inlineStr">
        <is>
          <t>kota</t>
        </is>
      </c>
    </row>
    <row r="987">
      <c r="A987" s="1" t="n">
        <v>985</v>
      </c>
      <c r="B987">
        <f>HYPERLINK("https://eproc.rajasthan.gov.in/nicgep/app?component=%24DirectLink&amp;page=FrontEndViewTender&amp;service=direct&amp;session=T&amp;sp=S3xUG%2BekEFmcHy4pdyOEVgQ%3D%3D", "Rate Contract for Construction Material and Equipments for MGNREGS works for the Year 2025-26 panchayat samiti LADPURA District KOTA At Gram Panchayats rangpur")</f>
        <v/>
      </c>
      <c r="C987" t="inlineStr">
        <is>
          <t>Panchayati Raj Department||Secretary and Commissioner||CEO-KOTA||BDO-LADPURA</t>
        </is>
      </c>
      <c r="D987" t="inlineStr">
        <is>
          <t>02-Jun-2025 06:00 PM</t>
        </is>
      </c>
      <c r="E987" t="inlineStr">
        <is>
          <t>50,00,000</t>
        </is>
      </c>
      <c r="F987" t="inlineStr">
        <is>
          <t>Rate Contract for Construction Material and Equipments for MGNREGS works for the Year 2025-26 panchayat samiti LADPURA District KOTA At Gram Panchayats rangpur</t>
        </is>
      </c>
      <c r="G987" t="inlineStr">
        <is>
          <t>kota</t>
        </is>
      </c>
    </row>
    <row r="988">
      <c r="A988" s="1" t="n">
        <v>986</v>
      </c>
      <c r="B988">
        <f>HYPERLINK("https://eproc.rajasthan.gov.in/nicgep/app?component=%24DirectLink&amp;page=FrontEndViewTender&amp;service=direct&amp;session=T&amp;sp=SKFBFSYSvfDtvLZbpoLD%2FWw%3D%3D", "Rate Contract for Construction Material and Equipments for MGNREGS works for the Year 2025-26 panchayat samiti LADPURA District KOTA At Gram Panchayats Kishanpura Takia")</f>
        <v/>
      </c>
      <c r="C988" t="inlineStr">
        <is>
          <t>Panchayati Raj Department||Secretary and Commissioner||CEO-KOTA||BDO-LADPURA</t>
        </is>
      </c>
      <c r="D988" t="inlineStr">
        <is>
          <t>02-Jun-2025 06:00 PM</t>
        </is>
      </c>
      <c r="E988" t="inlineStr">
        <is>
          <t>50,00,000</t>
        </is>
      </c>
      <c r="F988" t="inlineStr">
        <is>
          <t>Rate Contract for Construction Material and Equipments for MGNREGS works for the Year 2025-26 panchayat samiti LADPURA District KOTA At Gram Panchayats Kishanpura Takia</t>
        </is>
      </c>
      <c r="G988" t="inlineStr">
        <is>
          <t>kota</t>
        </is>
      </c>
    </row>
    <row r="989">
      <c r="A989" s="1" t="n">
        <v>987</v>
      </c>
      <c r="B989">
        <f>HYPERLINK("https://eproc.rajasthan.gov.in/nicgep/app?component=%24DirectLink&amp;page=FrontEndViewTender&amp;service=direct&amp;session=T&amp;sp=SE8cFqEzq7EhuOdWtGGHqLg%3D%3D", "Rate Contract for Construction Material and Equipments for MGNREGS works for the Year 2025-26 panchayat samiti LADPURA District KOTA At Gram Panchayats bhimpura")</f>
        <v/>
      </c>
      <c r="C989" t="inlineStr">
        <is>
          <t>Panchayati Raj Department||Secretary and Commissioner||CEO-KOTA||BDO-LADPURA</t>
        </is>
      </c>
      <c r="D989" t="inlineStr">
        <is>
          <t>02-Jun-2025 06:00 PM</t>
        </is>
      </c>
      <c r="E989" t="inlineStr">
        <is>
          <t>50,00,000</t>
        </is>
      </c>
      <c r="F989" t="inlineStr">
        <is>
          <t>Rate Contract for Construction Material and Equipments for MGNREGS works for the Year 2025-26 panchayat samiti LADPURA District KOTA At Gram Panchayats bhimpura</t>
        </is>
      </c>
      <c r="G989" t="inlineStr">
        <is>
          <t>kota</t>
        </is>
      </c>
    </row>
    <row r="990">
      <c r="A990" s="1" t="n">
        <v>988</v>
      </c>
      <c r="B990">
        <f>HYPERLINK("https://eproc.rajasthan.gov.in/nicgep/app?component=%24DirectLink&amp;page=FrontEndViewTender&amp;service=direct&amp;session=T&amp;sp=SUWvhdUj0na0BuYrzOI3NCw%3D%3D", "Rate Contract for Construction Material and Equipments for MGNREGS works for the Year 2025-26 panchayat samiti LADPURA District KOTA At Gram Panchayats baniyani")</f>
        <v/>
      </c>
      <c r="C990" t="inlineStr">
        <is>
          <t>Panchayati Raj Department||Secretary and Commissioner||CEO-KOTA||BDO-LADPURA</t>
        </is>
      </c>
      <c r="D990" t="inlineStr">
        <is>
          <t>02-Jun-2025 06:00 PM</t>
        </is>
      </c>
      <c r="E990" t="inlineStr">
        <is>
          <t>70,00,000</t>
        </is>
      </c>
      <c r="F990" t="inlineStr">
        <is>
          <t>Rate Contract for Construction Material and Equipments for MGNREGS works for the Year 2025-26 panchayat samiti LADPURA District KOTA At Gram Panchayats baniyani</t>
        </is>
      </c>
      <c r="G990" t="inlineStr">
        <is>
          <t>kota</t>
        </is>
      </c>
    </row>
    <row r="991">
      <c r="A991" s="1" t="n">
        <v>989</v>
      </c>
      <c r="B991">
        <f>HYPERLINK("https://eproc.rajasthan.gov.in/nicgep/app?component=%24DirectLink&amp;page=FrontEndViewTender&amp;service=direct&amp;session=T&amp;sp=SY5iPacl0HnN6o7xHsKqHqQ%3D%3D", "Rate Contract for Construction Material and Equipments for MGNREGS works for the Year 2025-26 panchayat samiti LADPURA District KOTA At Gram Panchayats arandkheda")</f>
        <v/>
      </c>
      <c r="C991" t="inlineStr">
        <is>
          <t>Panchayati Raj Department||Secretary and Commissioner||CEO-KOTA||BDO-LADPURA</t>
        </is>
      </c>
      <c r="D991" t="inlineStr">
        <is>
          <t>02-Jun-2025 06:00 PM</t>
        </is>
      </c>
      <c r="E991" t="inlineStr">
        <is>
          <t>60,00,000</t>
        </is>
      </c>
      <c r="F991" t="inlineStr">
        <is>
          <t>Rate Contract for Construction Material and Equipments for MGNREGS works for the Year 2025-26 panchayat samiti LADPURA District KOTA At Gram Panchayats arandkheda</t>
        </is>
      </c>
      <c r="G991" t="inlineStr">
        <is>
          <t>kota</t>
        </is>
      </c>
    </row>
    <row r="992">
      <c r="A992" s="1" t="n">
        <v>990</v>
      </c>
      <c r="B992">
        <f>HYPERLINK("https://eproc.rajasthan.gov.in/nicgep/app?component=%24DirectLink&amp;page=FrontEndViewTender&amp;service=direct&amp;session=T&amp;sp=SPlkEJwl0Zq7Jo9oBTZo0kQ%3D%3D", "Rate Contract for Construction Material and Equipments for MGNREGS works for the Year 2025-26 panchayat samiti LADPURA District KOTA At Gram Panchayats DOLYA")</f>
        <v/>
      </c>
      <c r="C992" t="inlineStr">
        <is>
          <t>Panchayati Raj Department||Secretary and Commissioner||CEO-KOTA||BDO-LADPURA</t>
        </is>
      </c>
      <c r="D992" t="inlineStr">
        <is>
          <t>02-Jun-2025 06:00 PM</t>
        </is>
      </c>
      <c r="E992" t="inlineStr">
        <is>
          <t>90,00,000</t>
        </is>
      </c>
      <c r="F992" t="inlineStr">
        <is>
          <t>Rate Contract for Construction Material and Equipments for MGNREGS works for the Year 2025-26 panchayat samiti LADPURA District KOTA At Gram Panchayats DOLYA</t>
        </is>
      </c>
      <c r="G992" t="inlineStr">
        <is>
          <t>kota</t>
        </is>
      </c>
    </row>
    <row r="993">
      <c r="A993" s="1" t="n">
        <v>991</v>
      </c>
      <c r="B993">
        <f>HYPERLINK("https://eproc.rajasthan.gov.in/nicgep/app?component=%24DirectLink&amp;page=FrontEndViewTender&amp;service=direct&amp;session=T&amp;sp=S2Fj377gPsb2TLiUX%2FbFzWw%3D%3D", "Rate Contract for Construction Material and Equipments for MGNREGS works for the Year 2025-26 panchayat samiti LADPURA District KOTA At Gram Panchayats MANDLIYA")</f>
        <v/>
      </c>
      <c r="C993" t="inlineStr">
        <is>
          <t>Panchayati Raj Department||Secretary and Commissioner||CEO-KOTA||BDO-LADPURA</t>
        </is>
      </c>
      <c r="D993" t="inlineStr">
        <is>
          <t>02-Jun-2025 06:00 PM</t>
        </is>
      </c>
      <c r="E993" t="inlineStr">
        <is>
          <t>60,00,000</t>
        </is>
      </c>
      <c r="F993" t="inlineStr">
        <is>
          <t>Rate Contract for Construction Material and Equipments for MGNREGS works for the Year 2025-26 panchayat samiti LADPURA District KOTA At Gram Panchayats MANDLIYA</t>
        </is>
      </c>
      <c r="G993" t="inlineStr">
        <is>
          <t>kota</t>
        </is>
      </c>
    </row>
    <row r="994">
      <c r="A994" s="1" t="n">
        <v>992</v>
      </c>
      <c r="B994">
        <f>HYPERLINK("https://eproc.rajasthan.gov.in/nicgep/app?component=%24DirectLink&amp;page=FrontEndViewTender&amp;service=direct&amp;session=T&amp;sp=Sm08nCcpfNQ55mFkFS4ssow%3D%3D", "Rate Contract for Construction Material and Equipments for MGNREGS works for the Year 2025-26 panchayat samiti LADPURA District KOTA At Gram Panchayats KOLANA")</f>
        <v/>
      </c>
      <c r="C994" t="inlineStr">
        <is>
          <t>Panchayati Raj Department||Secretary and Commissioner||CEO-KOTA||BDO-LADPURA</t>
        </is>
      </c>
      <c r="D994" t="inlineStr">
        <is>
          <t>02-Jun-2025 06:00 PM</t>
        </is>
      </c>
      <c r="E994" t="inlineStr">
        <is>
          <t>60,00,000</t>
        </is>
      </c>
      <c r="F994" t="inlineStr">
        <is>
          <t>Rate Contract for Construction Material and Equipments for MGNREGS works for the Year 2025-26 panchayat samiti LADPURA District KOTA At Gram Panchayats KOLANA</t>
        </is>
      </c>
      <c r="G994" t="inlineStr">
        <is>
          <t>kota</t>
        </is>
      </c>
    </row>
    <row r="995">
      <c r="A995" s="1" t="n">
        <v>993</v>
      </c>
      <c r="B995">
        <f>HYPERLINK("https://eproc.rajasthan.gov.in/nicgep/app?component=%24DirectLink&amp;page=FrontEndViewTender&amp;service=direct&amp;session=T&amp;sp=SmRXlAPNIz0Ehs7pTP%2B6NPQ%3D%3D", "Rate Contract for Construction Material and Equipments for MGNREGS works for the Year 2025-26 panchayat samiti LADPURA District KOTA At Gram Panchayats KASAR")</f>
        <v/>
      </c>
      <c r="C995" t="inlineStr">
        <is>
          <t>Panchayati Raj Department||Secretary and Commissioner||CEO-KOTA||BDO-LADPURA</t>
        </is>
      </c>
      <c r="D995" t="inlineStr">
        <is>
          <t>02-Jun-2025 06:00 PM</t>
        </is>
      </c>
      <c r="E995" t="inlineStr">
        <is>
          <t>50,00,000</t>
        </is>
      </c>
      <c r="F995" t="inlineStr">
        <is>
          <t>Rate Contract for Construction Material and Equipments for MGNREGS works for the Year 2025-26 panchayat samiti LADPURA District KOTA At Gram Panchayats KASAR</t>
        </is>
      </c>
      <c r="G995" t="inlineStr">
        <is>
          <t>kota</t>
        </is>
      </c>
    </row>
    <row r="996">
      <c r="A996" s="1" t="n">
        <v>994</v>
      </c>
      <c r="B996">
        <f>HYPERLINK("https://eproc.rajasthan.gov.in/nicgep/app?component=%24DirectLink&amp;page=FrontEndViewTender&amp;service=direct&amp;session=T&amp;sp=SgZo3W1PRhCeeoHXAfjJ3mQ%3D%3D", "Rate Contract for Construction Material and Equipments for MGNREGS works for the Year 2025-26 panchayat samiti LADPURA District KOTA At Gram Panchayats ALNIYA")</f>
        <v/>
      </c>
      <c r="C996" t="inlineStr">
        <is>
          <t>Panchayati Raj Department||Secretary and Commissioner||CEO-KOTA||BDO-LADPURA</t>
        </is>
      </c>
      <c r="D996" t="inlineStr">
        <is>
          <t>02-Jun-2025 06:00 PM</t>
        </is>
      </c>
      <c r="E996" t="inlineStr">
        <is>
          <t>50,00,000</t>
        </is>
      </c>
      <c r="F996" t="inlineStr">
        <is>
          <t>Rate Contract for Construction Material and Equipments for MGNREGS works for the Year 2025-26 panchayat samiti LADPURA District KOTA At Gram Panchayats ALNIYA</t>
        </is>
      </c>
      <c r="G996" t="inlineStr">
        <is>
          <t>kota</t>
        </is>
      </c>
    </row>
    <row r="997">
      <c r="A997" s="1" t="n">
        <v>995</v>
      </c>
      <c r="B997">
        <f>HYPERLINK("https://eproc.rajasthan.gov.in/nicgep/app?component=%24DirectLink&amp;page=FrontEndViewTender&amp;service=direct&amp;session=T&amp;sp=Sa2oaY91cQ3S8fALYFZWomQ%3D%3D", "Rate Contract for Construction Material and Equipments for MGNREGS works for the Year 2025-26 panchayat samiti LADPURA District KOTA At Gram Panchayats MANDANA")</f>
        <v/>
      </c>
      <c r="C997" t="inlineStr">
        <is>
          <t>Panchayati Raj Department||Secretary and Commissioner||CEO-KOTA||BDO-LADPURA</t>
        </is>
      </c>
      <c r="D997" t="inlineStr">
        <is>
          <t>02-Jun-2025 06:00 PM</t>
        </is>
      </c>
      <c r="E997" t="inlineStr">
        <is>
          <t>60,00,000</t>
        </is>
      </c>
      <c r="F997" t="inlineStr">
        <is>
          <t>Rate Contract for Construction Material and Equipments for MGNREGS works for the Year 2025-26 panchayat samiti LADPURA District KOTA At Gram Panchayats MANDANA</t>
        </is>
      </c>
      <c r="G997" t="inlineStr">
        <is>
          <t>kota</t>
        </is>
      </c>
    </row>
    <row r="998">
      <c r="A998" s="1" t="n">
        <v>996</v>
      </c>
      <c r="B998">
        <f>HYPERLINK("https://eproc.rajasthan.gov.in/nicgep/app?component=%24DirectLink&amp;page=FrontEndViewTender&amp;service=direct&amp;session=T&amp;sp=S9IpFtctRP41u5PFjX09wWg%3D%3D", "Rate Contract for Construction Material and Equipments for MGNREGS works for the Year 2025-26 panchayat samiti LADPURA District KOTA At Gram Panchayats BHANWRIYA")</f>
        <v/>
      </c>
      <c r="C998" t="inlineStr">
        <is>
          <t>Panchayati Raj Department||Secretary and Commissioner||CEO-KOTA||BDO-LADPURA</t>
        </is>
      </c>
      <c r="D998" t="inlineStr">
        <is>
          <t>02-Jun-2025 06:00 PM</t>
        </is>
      </c>
      <c r="E998" t="inlineStr">
        <is>
          <t>40,00,000</t>
        </is>
      </c>
      <c r="F998" t="inlineStr">
        <is>
          <t>Rate Contract for Construction Material and Equipments for MGNREGS works for the Year 2025-26 panchayat samiti LADPURA District KOTA At Gram Panchayats BHANWRIYA</t>
        </is>
      </c>
      <c r="G998" t="inlineStr">
        <is>
          <t>kota</t>
        </is>
      </c>
    </row>
    <row r="999">
      <c r="A999" s="1" t="n">
        <v>997</v>
      </c>
      <c r="B999">
        <f>HYPERLINK("https://eproc.rajasthan.gov.in/nicgep/app?component=%24DirectLink&amp;page=FrontEndViewTender&amp;service=direct&amp;session=T&amp;sp=S6YuuHeoyke%2FKGnZYmRp8XQ%3D%3D", "Rate Contract for Construction Material and Equipments for MGNREGS works for the Year 2025-26 panchayat samiti LADPURA District KOTA At Gram Panchayats mawasa")</f>
        <v/>
      </c>
      <c r="C999" t="inlineStr">
        <is>
          <t>Panchayati Raj Department||Secretary and Commissioner||CEO-KOTA||BDO-LADPURA</t>
        </is>
      </c>
      <c r="D999" t="inlineStr">
        <is>
          <t>02-Jun-2025 06:00 PM</t>
        </is>
      </c>
      <c r="E999" t="inlineStr">
        <is>
          <t>50,00,000</t>
        </is>
      </c>
      <c r="F999" t="inlineStr">
        <is>
          <t>Rate Contract for Construction Material and Equipments for MGNREGS works for the Year 2025-26 panchayat samiti LADPURA District KOTA At Gram Panchayats mawasa</t>
        </is>
      </c>
      <c r="G999" t="inlineStr">
        <is>
          <t>kota</t>
        </is>
      </c>
    </row>
    <row r="1000">
      <c r="A1000" s="1" t="n">
        <v>998</v>
      </c>
      <c r="B1000">
        <f>HYPERLINK("https://eproc.rajasthan.gov.in/nicgep/app?component=%24DirectLink&amp;page=FrontEndViewTender&amp;service=direct&amp;session=T&amp;sp=S%2FZZRHcf98bHchCalTbZ5mA%3D%3D", "Rate Contract for Construction Material and Equipments for MGNREGS works for the Year 2025-26 panchayat samiti LADPURA District KOTA At Gram Panchayats jakhoda")</f>
        <v/>
      </c>
      <c r="C1000" t="inlineStr">
        <is>
          <t>Panchayati Raj Department||Secretary and Commissioner||CEO-KOTA||BDO-LADPURA</t>
        </is>
      </c>
      <c r="D1000" t="inlineStr">
        <is>
          <t>02-Jun-2025 06:00 PM</t>
        </is>
      </c>
      <c r="E1000" t="inlineStr">
        <is>
          <t>55,00,000</t>
        </is>
      </c>
      <c r="F1000" t="inlineStr">
        <is>
          <t>Rate Contract for Construction Material and Equipments for MGNREGS works for the Year 2025-26 panchayat samiti LADPURA District KOTA At Gram Panchayats jakhoda</t>
        </is>
      </c>
      <c r="G1000" t="inlineStr">
        <is>
          <t>kota</t>
        </is>
      </c>
    </row>
    <row r="1001">
      <c r="A1001" s="1" t="n">
        <v>999</v>
      </c>
      <c r="B1001">
        <f>HYPERLINK("https://eproc.rajasthan.gov.in/nicgep/app?component=%24DirectLink&amp;page=FrontEndViewTender&amp;service=direct&amp;session=T&amp;sp=ShMzlAhe6TBqOfwBGcfnLvA%3D%3D", "Gram panchyat k samast gavo me ghar ghar kachra sangrahan and nail safai karya or other saf safai work")</f>
        <v/>
      </c>
      <c r="C1001" t="inlineStr">
        <is>
          <t>Panchayati Raj Department||Secretary and Commissioner||CEO-DAUSA||BDO-BASWA</t>
        </is>
      </c>
      <c r="D1001" t="inlineStr">
        <is>
          <t>22-May-2025 05:00 PM</t>
        </is>
      </c>
      <c r="E1001" t="inlineStr">
        <is>
          <t>8,20,000</t>
        </is>
      </c>
      <c r="F1001" t="inlineStr">
        <is>
          <t>Gram panchyat k samast gavo me ghar ghar kachra sangrahan and nail safai karya or other saf safai work</t>
        </is>
      </c>
      <c r="G1001" t="inlineStr">
        <is>
          <t>GRAM PANCHYAT CHOUBDIWALA</t>
        </is>
      </c>
    </row>
    <row r="1002">
      <c r="A1002" s="1" t="n">
        <v>1000</v>
      </c>
      <c r="B1002">
        <f>HYPERLINK("https://eproc.rajasthan.gov.in/nicgep/app?component=%24DirectLink&amp;page=FrontEndViewTender&amp;service=direct&amp;session=T&amp;sp=SQz4b49Zy8%2BsaDbsNhP0Xug%3D%3D", "MATERIAL SUPPLY IN GRAM PANCHAYAT TATANWA PS DHOD FOR MGNREGA AND OTHER SCHEME")</f>
        <v/>
      </c>
      <c r="C1002" t="inlineStr">
        <is>
          <t>Panchayati Raj Department||Secretary and Commissioner||CEO-SIKAR||BDO-DHOD</t>
        </is>
      </c>
      <c r="D1002" t="inlineStr">
        <is>
          <t>27-May-2025 06:00 PM</t>
        </is>
      </c>
      <c r="E1002" t="inlineStr">
        <is>
          <t>45,00,000</t>
        </is>
      </c>
      <c r="F1002" t="inlineStr">
        <is>
          <t>MATERIAL SUPPLY IN GRAM PANCHAYAT TATANWA PS DHOD FOR MGNREGA AND OTHER SCHEME</t>
        </is>
      </c>
      <c r="G1002" t="inlineStr">
        <is>
          <t>GRAM PANCHAYAT TATANWA</t>
        </is>
      </c>
    </row>
    <row r="1003">
      <c r="A1003" s="1" t="n">
        <v>1001</v>
      </c>
      <c r="B1003">
        <f>HYPERLINK("https://eproc.rajasthan.gov.in/nicgep/app?component=%24DirectLink&amp;page=FrontEndViewTender&amp;service=direct&amp;session=T&amp;sp=Sn1ZSFhZgPUNltuHVOb%2BogA%3D%3D", "Work including door to door residential and commercial kachra collection and separation road and drainage cleaning and community sanitation complex in all the village of Gram Panchayat area MENPURA")</f>
        <v/>
      </c>
      <c r="C1003" t="inlineStr">
        <is>
          <t>Panchayati Raj Department||Secretary and Commissioner||CEO-S.MADHOPUR||BDO-SAWAIMADHOPUR</t>
        </is>
      </c>
      <c r="D1003" t="inlineStr">
        <is>
          <t>21-May-2025 06:00 PM</t>
        </is>
      </c>
      <c r="E1003" t="inlineStr">
        <is>
          <t>9,25,000</t>
        </is>
      </c>
      <c r="F1003" t="inlineStr">
        <is>
          <t>Work including door to door residential and commercial kachra collection and separation road and drainage cleaning and community sanitation complex in all the village of Gram Panchayat area MENPURA</t>
        </is>
      </c>
      <c r="G1003" t="inlineStr">
        <is>
          <t>MENPURA</t>
        </is>
      </c>
    </row>
    <row r="1004">
      <c r="A1004" s="1" t="n">
        <v>1002</v>
      </c>
      <c r="B1004">
        <f>HYPERLINK("https://eproc.rajasthan.gov.in/nicgep/app?component=%24DirectLink&amp;page=FrontEndViewTender&amp;service=direct&amp;session=T&amp;sp=SOo7iFgVAudykUvMv1F%2FpqQ%3D%3D", "04 SBM OPEN TENDER FOR CLEANING AND SANITATION FOR GP KHACHROL PS MANDALGARH")</f>
        <v/>
      </c>
      <c r="C1004" t="inlineStr">
        <is>
          <t>Panchayati Raj Department||Secretary and Commissioner||CEO-BHILWARA||BDO-MANDALGARH</t>
        </is>
      </c>
      <c r="D1004" t="inlineStr">
        <is>
          <t>24-May-2025 05:00 PM</t>
        </is>
      </c>
      <c r="E1004" t="inlineStr">
        <is>
          <t>8,46,000</t>
        </is>
      </c>
      <c r="F1004" t="inlineStr">
        <is>
          <t>04 SBM OPEN TENDER FOR CLEANING AND SANITATION FOR GP KHACHROL PS MANDALGARH</t>
        </is>
      </c>
      <c r="G1004" t="inlineStr">
        <is>
          <t>KHACHROL</t>
        </is>
      </c>
    </row>
    <row r="1005">
      <c r="A1005" s="1" t="n">
        <v>1003</v>
      </c>
      <c r="B1005">
        <f>HYPERLINK("https://eproc.rajasthan.gov.in/nicgep/app?component=%24DirectLink&amp;page=FrontEndViewTender&amp;service=direct&amp;session=T&amp;sp=SRV94L3M3w2HNqS37g6aSnQ%3D%3D", "Work including door to door residential and commercial kachra collection and separation road and drainage cleaning and community sanitation complex in all the village of Gram Panchayat area BANDHA")</f>
        <v/>
      </c>
      <c r="C1005" t="inlineStr">
        <is>
          <t>Panchayati Raj Department||Secretary and Commissioner||CEO-S.MADHOPUR||BDO-SAWAIMADHOPUR</t>
        </is>
      </c>
      <c r="D1005" t="inlineStr">
        <is>
          <t>21-May-2025 06:00 PM</t>
        </is>
      </c>
      <c r="E1005" t="inlineStr">
        <is>
          <t>5,00,000</t>
        </is>
      </c>
      <c r="F1005" t="inlineStr">
        <is>
          <t>Work including door to door residential and commercial kachra collection and separation road and drainage cleaning and community sanitation complex in all the village of Gram Panchayat area BANDHA</t>
        </is>
      </c>
      <c r="G1005" t="inlineStr">
        <is>
          <t>BANDHA</t>
        </is>
      </c>
    </row>
    <row r="1006">
      <c r="A1006" s="1" t="n">
        <v>1004</v>
      </c>
      <c r="B1006">
        <f>HYPERLINK("https://eproc.rajasthan.gov.in/nicgep/app?component=%24DirectLink&amp;page=FrontEndViewTender&amp;service=direct&amp;session=T&amp;sp=S94%2BFB42cVgzf0IkxchOL9w%3D%3D", "Collection of wastage in Residential and Commercial Building from all Villages in Gram Panchayat Road, Nali Cleaning and CSC Campus GP MANDAL")</f>
        <v/>
      </c>
      <c r="C1006" t="inlineStr">
        <is>
          <t>Panchayati Raj Department||Secretary and Commissioner||CEO-PALI||BDO-RANISTATION</t>
        </is>
      </c>
      <c r="D1006" t="inlineStr">
        <is>
          <t>29-May-2025 06:00 PM</t>
        </is>
      </c>
      <c r="E1006" t="inlineStr">
        <is>
          <t>4,04,000</t>
        </is>
      </c>
      <c r="F1006" t="inlineStr">
        <is>
          <t>Collection of wastage in Residential and Commercial Building from all Villages in Gram Panchayat Road, Nali Cleaning and CSC Campus GP MANDAL</t>
        </is>
      </c>
      <c r="G1006" t="inlineStr">
        <is>
          <t>GRAM PANCHAYAT MANDAL</t>
        </is>
      </c>
    </row>
    <row r="1007">
      <c r="A1007" s="1" t="n">
        <v>1005</v>
      </c>
      <c r="B1007">
        <f>HYPERLINK("https://eproc.rajasthan.gov.in/nicgep/app?component=%24DirectLink&amp;page=FrontEndViewTender&amp;service=direct&amp;session=T&amp;sp=SuoqhjgayWKF2pCkjgnN9eA%3D%3D", "NALA NIRMAN KARYA GURJA SCHOOL SE CHHOTI MAINER KI OR GURJA")</f>
        <v/>
      </c>
      <c r="C1007" t="inlineStr">
        <is>
          <t>Panchayati Raj Department||Secretary and Commissioner||CEO-DHOLPUR||BDO-BASEDI</t>
        </is>
      </c>
      <c r="D1007" t="inlineStr">
        <is>
          <t>21-May-2025 10:00 AM</t>
        </is>
      </c>
      <c r="E1007" t="inlineStr">
        <is>
          <t>10,00,000</t>
        </is>
      </c>
      <c r="F1007" t="inlineStr">
        <is>
          <t>NALA NIRMAN KARYA GURJA SCHOOL SE CHHOTI MAINER KI OR GURJA</t>
        </is>
      </c>
      <c r="G1007" t="inlineStr">
        <is>
          <t>GP GURJA</t>
        </is>
      </c>
    </row>
    <row r="1008">
      <c r="A1008" s="1" t="n">
        <v>1006</v>
      </c>
      <c r="B1008">
        <f>HYPERLINK("https://eproc.rajasthan.gov.in/nicgep/app?component=%24DirectLink&amp;page=FrontEndViewTender&amp;service=direct&amp;session=T&amp;sp=SPhcxurMY5D89jeHZEJt2cQ%3D%3D", "GP GURJA MATERIAL TENDER FOR FY 2025-26")</f>
        <v/>
      </c>
      <c r="C1008" t="inlineStr">
        <is>
          <t>Panchayati Raj Department||Secretary and Commissioner||CEO-DHOLPUR||BDO-BASEDI</t>
        </is>
      </c>
      <c r="D1008" t="inlineStr">
        <is>
          <t>23-May-2025 10:00 AM</t>
        </is>
      </c>
      <c r="E1008" t="inlineStr">
        <is>
          <t>50,00,000</t>
        </is>
      </c>
      <c r="F1008" t="inlineStr">
        <is>
          <t>GP GURJA MATERIAL TENDER FOR FY 2025-26</t>
        </is>
      </c>
      <c r="G1008" t="inlineStr">
        <is>
          <t>GP GURJA</t>
        </is>
      </c>
    </row>
    <row r="1009">
      <c r="A1009" s="1" t="n">
        <v>1007</v>
      </c>
      <c r="B1009">
        <f>HYPERLINK("https://eproc.rajasthan.gov.in/nicgep/app?component=%24DirectLink&amp;page=FrontEndViewTender&amp;service=direct&amp;session=T&amp;sp=StaGRwlrPX9GndiL%2BCvND7w%3D%3D", "GP MAMODHAN MATERIAL TENDER FOR FY 2025-26")</f>
        <v/>
      </c>
      <c r="C1009" t="inlineStr">
        <is>
          <t>Panchayati Raj Department||Secretary and Commissioner||CEO-DHOLPUR||BDO-BASEDI</t>
        </is>
      </c>
      <c r="D1009" t="inlineStr">
        <is>
          <t>23-May-2025 10:00 AM</t>
        </is>
      </c>
      <c r="E1009" t="inlineStr">
        <is>
          <t>50,00,000</t>
        </is>
      </c>
      <c r="F1009" t="inlineStr">
        <is>
          <t>GP MAMODHAN MATERIAL TENDER FOR FY 2025-26</t>
        </is>
      </c>
      <c r="G1009" t="inlineStr">
        <is>
          <t>GP MAMODHAN</t>
        </is>
      </c>
    </row>
    <row r="1010">
      <c r="A1010" s="1" t="n">
        <v>1008</v>
      </c>
      <c r="B1010">
        <f>HYPERLINK("https://eproc.rajasthan.gov.in/nicgep/app?component=%24DirectLink&amp;page=FrontEndViewTender&amp;service=direct&amp;session=T&amp;sp=SUX8xalD5qFfi6KQFc0mf2Q%3D%3D", "Work including door to door residential and commercial kachra collection and separation road and drainage cleaning and community sanitation complex in all the village of Gram Panchayat area Bhuri pahadi")</f>
        <v/>
      </c>
      <c r="C1010" t="inlineStr">
        <is>
          <t>Panchayati Raj Department||Secretary and Commissioner||CEO-S.MADHOPUR||BDO-SAWAIMADHOPUR</t>
        </is>
      </c>
      <c r="D1010" t="inlineStr">
        <is>
          <t>21-May-2025 06:00 PM</t>
        </is>
      </c>
      <c r="E1010" t="inlineStr">
        <is>
          <t>13,00,000</t>
        </is>
      </c>
      <c r="F1010" t="inlineStr">
        <is>
          <t>Work including door to door residential and commercial kachra collection and separation road and drainage cleaning and community sanitation complex in all the village of Gram Panchayat area Bhuri pahadi</t>
        </is>
      </c>
      <c r="G1010" t="inlineStr">
        <is>
          <t>Bhuri pahadi</t>
        </is>
      </c>
    </row>
    <row r="1011">
      <c r="A1011" s="1" t="n">
        <v>1009</v>
      </c>
      <c r="B1011">
        <f>HYPERLINK("https://eproc.rajasthan.gov.in/nicgep/app?component=%24DirectLink&amp;page=FrontEndViewTender&amp;service=direct&amp;session=T&amp;sp=SsiJX6ASg18Rs%2F2XX9Rj5vQ%3D%3D", "Misc. Materials Supply For F.Y 2025-26 in G.P. Sanjaynagar")</f>
        <v/>
      </c>
      <c r="C1011" t="inlineStr">
        <is>
          <t>Panchayati Raj Department||Secretary and Commissioner||CEO-JHUNJHUNU||BDO-KHETARI</t>
        </is>
      </c>
      <c r="D1011" t="inlineStr">
        <is>
          <t>22-May-2025 06:00 PM</t>
        </is>
      </c>
      <c r="E1011" t="inlineStr">
        <is>
          <t>50,00,000</t>
        </is>
      </c>
      <c r="F1011" t="inlineStr">
        <is>
          <t>Misc. Materials Supply For F.Y 2025-26 in G.P. Sanjaynagar</t>
        </is>
      </c>
      <c r="G1011" t="inlineStr">
        <is>
          <t>G.P. SANJAYNAGAR</t>
        </is>
      </c>
    </row>
    <row r="1012">
      <c r="A1012" s="1" t="n">
        <v>1010</v>
      </c>
      <c r="B1012">
        <f>HYPERLINK("https://eproc.rajasthan.gov.in/nicgep/app?component=%24DirectLink&amp;page=FrontEndViewTender&amp;service=direct&amp;session=T&amp;sp=SUuaLO2%2FNoVLfCSNaN0tSAA%3D%3D", "COLLECTION OF WASTE FROM HOME AND BUSSINES UNIT, CLEANING OF ROADS AND SEWARAGE LINE, CLAENING OF CSC IN SBM-G SCHEME FY 2025-26 AT GRAM PANCHAYAT RAGHWA")</f>
        <v/>
      </c>
      <c r="C1012" t="inlineStr">
        <is>
          <t>Panchayati Raj Department||Secretary and Commissioner||CEO- JAISALMER||BDO-SAM</t>
        </is>
      </c>
      <c r="D1012" t="inlineStr">
        <is>
          <t>26-May-2025 06:00 PM</t>
        </is>
      </c>
      <c r="E1012" t="inlineStr">
        <is>
          <t>18,08,000</t>
        </is>
      </c>
      <c r="F1012" t="inlineStr">
        <is>
          <t>COLLECTION OF WASTE FROM HOME AND BUSSINES UNIT, CLEANING OF ROADS AND SEWARAGE LINE, CLAENING OF CSC IN SBM-G SCHEME FY 2025-26 AT GRAM PANCHAYAT RAGHWA</t>
        </is>
      </c>
      <c r="G1012" t="inlineStr">
        <is>
          <t>JAISALMER</t>
        </is>
      </c>
    </row>
    <row r="1013">
      <c r="A1013" s="1" t="n">
        <v>1011</v>
      </c>
      <c r="B1013">
        <f>HYPERLINK("https://eproc.rajasthan.gov.in/nicgep/app?component=%24DirectLink&amp;page=FrontEndViewTender&amp;service=direct&amp;session=T&amp;sp=SbNBmd6Jss0Rv3WEwJa%2BxVA%3D%3D", "material supply in gp gungara")</f>
        <v/>
      </c>
      <c r="C1013" t="inlineStr">
        <is>
          <t>Panchayati Raj Department||Secretary and Commissioner||CEO-SIKAR||BDO-PIPARALI</t>
        </is>
      </c>
      <c r="D1013" t="inlineStr">
        <is>
          <t>26-May-2025 06:00 PM</t>
        </is>
      </c>
      <c r="E1013" t="inlineStr">
        <is>
          <t>40,00,000</t>
        </is>
      </c>
      <c r="F1013" t="inlineStr">
        <is>
          <t>material supply in gp gungara and villages in year 2025-26</t>
        </is>
      </c>
      <c r="G1013" t="inlineStr">
        <is>
          <t>gp gungara</t>
        </is>
      </c>
    </row>
    <row r="1014">
      <c r="A1014" s="1" t="n">
        <v>1012</v>
      </c>
      <c r="B1014">
        <f>HYPERLINK("https://eproc.rajasthan.gov.in/nicgep/app?component=%24DirectLink&amp;page=FrontEndViewTender&amp;service=direct&amp;session=T&amp;sp=SQ9ka08FQco1WO3p62V4rDQ%3D%3D", "Collection of wastage in Residential and Commercial Building from all Villages in Gram Panchayat Road, Nali Cleaning and CSC Campus GP Wandar")</f>
        <v/>
      </c>
      <c r="C1014" t="inlineStr">
        <is>
          <t>Panchayati Raj Department||Secretary and Commissioner||CEO-PALI||BDO-RANISTATION</t>
        </is>
      </c>
      <c r="D1014" t="inlineStr">
        <is>
          <t>29-May-2025 06:00 PM</t>
        </is>
      </c>
      <c r="E1014" t="inlineStr">
        <is>
          <t>3,84,000</t>
        </is>
      </c>
      <c r="F1014" t="inlineStr">
        <is>
          <t>Collection of wastage in Residential and Commercial Building from all Villages in Gram Panchayat Road, Nali Cleaning and CSC Campus GP Wandar</t>
        </is>
      </c>
      <c r="G1014" t="inlineStr">
        <is>
          <t>GRAM PANCHAYAT WANDAR</t>
        </is>
      </c>
    </row>
    <row r="1015">
      <c r="A1015" s="1" t="n">
        <v>1013</v>
      </c>
      <c r="B1015">
        <f>HYPERLINK("https://eproc.rajasthan.gov.in/nicgep/app?component=%24DirectLink&amp;page=FrontEndViewTender&amp;service=direct&amp;session=T&amp;sp=SHINq1S3uj%2BV4wUkAPpVlHA%3D%3D", "construction matarial GP Sampla")</f>
        <v/>
      </c>
      <c r="C1015" t="inlineStr">
        <is>
          <t>Panchayati Raj Department||Secretary and Commissioner||CEO-AJMER||BDO-SARWAD</t>
        </is>
      </c>
      <c r="D1015" t="inlineStr">
        <is>
          <t>27-May-2025 06:00 PM</t>
        </is>
      </c>
      <c r="E1015" t="inlineStr">
        <is>
          <t>90,00,000</t>
        </is>
      </c>
      <c r="F1015" t="inlineStr">
        <is>
          <t>Construction matarial</t>
        </is>
      </c>
      <c r="G1015" t="inlineStr">
        <is>
          <t>GP Sampla</t>
        </is>
      </c>
    </row>
    <row r="1016">
      <c r="A1016" s="1" t="n">
        <v>1014</v>
      </c>
      <c r="B1016">
        <f>HYPERLINK("https://eproc.rajasthan.gov.in/nicgep/app?component=%24DirectLink&amp;page=FrontEndViewTender&amp;service=direct&amp;session=T&amp;sp=SSS4%2BvlLnScqrrzeEzCWVAw%3D%3D", "Collection of wastage in Residential and Commercial Building from all Villages in Gram Panchayat Road, Nali Cleaning and CSC Campus GP JEEWANDKALAN")</f>
        <v/>
      </c>
      <c r="C1016" t="inlineStr">
        <is>
          <t>Panchayati Raj Department||Secretary and Commissioner||CEO-PALI||BDO-RANISTATION</t>
        </is>
      </c>
      <c r="D1016" t="inlineStr">
        <is>
          <t>29-May-2025 06:00 PM</t>
        </is>
      </c>
      <c r="E1016" t="inlineStr">
        <is>
          <t>4,06,000</t>
        </is>
      </c>
      <c r="F1016" t="inlineStr">
        <is>
          <t>Collection of wastage in Residential and Commercial Building from all Villages in Gram Panchayat Road, Nali Cleaning and CSC Campus GP JEEWANDKALAN</t>
        </is>
      </c>
      <c r="G1016" t="inlineStr">
        <is>
          <t>GRAM PANCHAYAT JEEWANDKALA</t>
        </is>
      </c>
    </row>
    <row r="1017">
      <c r="A1017" s="1" t="n">
        <v>1015</v>
      </c>
      <c r="B1017">
        <f>HYPERLINK("https://eproc.rajasthan.gov.in/nicgep/app?component=%24DirectLink&amp;page=FrontEndViewTender&amp;service=direct&amp;session=T&amp;sp=S5q7ehHQ2FRsrUfUx%2FSjy6w%3D%3D", "Rate contract For Supply of Construction Material and Providing Equipments for MGNREGA and Rural Development and Panchayati Raj departments various schemes at Gram Panchayat Todathekla Panchayat Samiti LALSOT Dist Dausa For FY 2025-26")</f>
        <v/>
      </c>
      <c r="C1017" t="inlineStr">
        <is>
          <t>Panchayati Raj Department||Secretary and Commissioner||CEO-DAUSA||BDO-LALSOT</t>
        </is>
      </c>
      <c r="D1017" t="inlineStr">
        <is>
          <t>30-May-2025 06:00 PM</t>
        </is>
      </c>
      <c r="E1017" t="inlineStr">
        <is>
          <t>1,00,00,000</t>
        </is>
      </c>
      <c r="F1017" t="inlineStr">
        <is>
          <t>Rate contract For Supply of Construction Material and Providing Equipments for MGNREGA and Rural Development and Panchayati Raj departments various schemes at Gram Panchayat Todathekla Panchayat Samiti LALSOT Dist Dausa For FY 2025-26</t>
        </is>
      </c>
      <c r="G1017" t="inlineStr">
        <is>
          <t>Gram Panchayat Todathekla</t>
        </is>
      </c>
    </row>
    <row r="1018">
      <c r="A1018" s="1" t="n">
        <v>1016</v>
      </c>
      <c r="B1018">
        <f>HYPERLINK("https://eproc.rajasthan.gov.in/nicgep/app?component=%24DirectLink&amp;page=FrontEndViewTender&amp;service=direct&amp;session=T&amp;sp=Sp04aGg70vI32NhqxaW0ZRg%3D%3D", "Collection of wastage in Residential and Commercial Building from all Villages in Gram Panchayat Road, Nali Cleaning and CSC Campus GP Neepal")</f>
        <v/>
      </c>
      <c r="C1018" t="inlineStr">
        <is>
          <t>Panchayati Raj Department||Secretary and Commissioner||CEO-PALI||BDO-RANISTATION</t>
        </is>
      </c>
      <c r="D1018" t="inlineStr">
        <is>
          <t>29-May-2025 06:00 PM</t>
        </is>
      </c>
      <c r="E1018" t="inlineStr">
        <is>
          <t>7,06,000</t>
        </is>
      </c>
      <c r="F1018" t="inlineStr">
        <is>
          <t>Collection of wastage in Residential and Commercial Building from all Villages in Gram Panchayat Road, Nali Cleaning and CSC Campus GP Neepal</t>
        </is>
      </c>
      <c r="G1018" t="inlineStr">
        <is>
          <t>GRAM PANCHAYAT NEEPAL</t>
        </is>
      </c>
    </row>
    <row r="1019">
      <c r="A1019" s="1" t="n">
        <v>1017</v>
      </c>
      <c r="B1019">
        <f>HYPERLINK("https://eproc.rajasthan.gov.in/nicgep/app?component=%24DirectLink&amp;page=FrontEndViewTender&amp;service=direct&amp;session=T&amp;sp=SIVd3LXCqzKGqwyh9IbU77g%3D%3D", "Supply of Construction Material with POI Driver in Scheme MNREGA, SFC , FFC and other scheme for Fin Yr 2025-26 in Gram Panchyat TUNDILA PS BAMANWAS")</f>
        <v/>
      </c>
      <c r="C1019" t="inlineStr">
        <is>
          <t>Panchayati Raj Department||Secretary and Commissioner||CEO-S.MADHOPUR||BDO-GANGAPUR</t>
        </is>
      </c>
      <c r="D1019" t="inlineStr">
        <is>
          <t>20-May-2025 06:00 PM</t>
        </is>
      </c>
      <c r="E1019" t="inlineStr">
        <is>
          <t>60,00,000</t>
        </is>
      </c>
      <c r="F1019" t="inlineStr">
        <is>
          <t>8Supply of Construction Material with POI Driver in Scheme MNREGA, SFC , FFC and other scheme for Fin Yr 2025-26 in Gram Panchyat TUNDILA PS BAMANWAS</t>
        </is>
      </c>
      <c r="G1019" t="inlineStr">
        <is>
          <t>GRAM PANCHAYAT TUNDILA</t>
        </is>
      </c>
    </row>
    <row r="1020">
      <c r="A1020" s="1" t="n">
        <v>1018</v>
      </c>
      <c r="B1020">
        <f>HYPERLINK("https://eproc.rajasthan.gov.in/nicgep/app?component=%24DirectLink&amp;page=FrontEndViewTender&amp;service=direct&amp;session=T&amp;sp=SCr1h3qz7Y4teKPceSv3Qvw%3D%3D", "Rate contract for Work Including Garbage Collection and Separation from Households and Commercial Establishments, Road and Drain cleaning, Cleaning of CSCs in all villages of Gram Panchayat Aniyala Panchayat Samiti Malarna Doongar")</f>
        <v/>
      </c>
      <c r="C1020" t="inlineStr">
        <is>
          <t>Panchayati Raj Department||Secretary and Commissioner||CEO-S.MADHOPUR||BDO-MALARANA DUNGAR</t>
        </is>
      </c>
      <c r="D1020" t="inlineStr">
        <is>
          <t>26-May-2025 06:00 PM</t>
        </is>
      </c>
      <c r="E1020" t="inlineStr">
        <is>
          <t>4,93,071</t>
        </is>
      </c>
      <c r="F1020" t="inlineStr">
        <is>
          <t>Rate contract for Work Including Garbage Collection and Separation from Households and Commercial Establishments, Road and Drain cleaning, Cleaning of CSCs in all villages of Gram Panchayat Aniyala Panchayat Samiti Malarna Doongar</t>
        </is>
      </c>
      <c r="G1020" t="inlineStr">
        <is>
          <t>GRAM PANCHAYAT ANIYALA</t>
        </is>
      </c>
    </row>
    <row r="1021">
      <c r="A1021" s="1" t="n">
        <v>1019</v>
      </c>
      <c r="B1021">
        <f>HYPERLINK("https://eproc.rajasthan.gov.in/nicgep/app?component=%24DirectLink&amp;page=FrontEndViewTender&amp;service=direct&amp;session=T&amp;sp=S9Yj1tB9uwnz6FHZt8Rzo7A%3D%3D", "Work including door to door residential and commercial kachra collection and separation road and drainage cleaning and community sanitation complex in all the village of Gram Panchayat area chakeri")</f>
        <v/>
      </c>
      <c r="C1021" t="inlineStr">
        <is>
          <t>Panchayati Raj Department||Secretary and Commissioner||CEO-S.MADHOPUR||BDO-SAWAIMADHOPUR</t>
        </is>
      </c>
      <c r="D1021" t="inlineStr">
        <is>
          <t>21-May-2025 06:00 PM</t>
        </is>
      </c>
      <c r="E1021" t="inlineStr">
        <is>
          <t>10,00,000</t>
        </is>
      </c>
      <c r="F1021" t="inlineStr">
        <is>
          <t>Work including door to door residential and commercial kachra collection and separation road and drainage cleaning and community sanitation complex in all the village of Gram Panchayat area chakeri</t>
        </is>
      </c>
      <c r="G1021" t="inlineStr">
        <is>
          <t>chakeri</t>
        </is>
      </c>
    </row>
    <row r="1022">
      <c r="A1022" s="1" t="n">
        <v>1020</v>
      </c>
      <c r="B1022">
        <f>HYPERLINK("https://eproc.rajasthan.gov.in/nicgep/app?component=%24DirectLink&amp;page=FrontEndViewTender&amp;service=direct&amp;session=T&amp;sp=Sb6tKPKPR4qSyEXPltj81qA%3D%3D", "COLLECTION OF WASTE FROM HOME AND BUSSINES UNIT, CLEANING OF ROADS AND SEWARAGE LINE, CLAENING OF CSC IN SBM-G SCHEME FY 2025-26 AT GRAM PANCHAYAT TEJPALA")</f>
        <v/>
      </c>
      <c r="C1022" t="inlineStr">
        <is>
          <t>Panchayati Raj Department||Secretary and Commissioner||CEO- JAISALMER||BDO-SAM</t>
        </is>
      </c>
      <c r="D1022" t="inlineStr">
        <is>
          <t>26-May-2025 06:00 PM</t>
        </is>
      </c>
      <c r="E1022" t="inlineStr">
        <is>
          <t>18,77,000</t>
        </is>
      </c>
      <c r="F1022" t="inlineStr">
        <is>
          <t>COLLECTION OF WASTE FROM HOME AND BUSSINES UNIT, CLEANING OF ROADS AND SEWARAGE LINE, CLAENING OF CSC IN SBM-G SCHEME FY 2025-26 AT GRAM PANCHAYAT TEJPALA</t>
        </is>
      </c>
      <c r="G1022" t="inlineStr">
        <is>
          <t>JAISALMER</t>
        </is>
      </c>
    </row>
    <row r="1023">
      <c r="A1023" s="1" t="n">
        <v>1021</v>
      </c>
      <c r="B1023">
        <f>HYPERLINK("https://eproc.rajasthan.gov.in/nicgep/app?component=%24DirectLink&amp;page=FrontEndViewTender&amp;service=direct&amp;session=T&amp;sp=SJ74%2F2k8iZg9Q%2F9HWU8VWWQ%3D%3D", "Construction of interlock Kharanja in Government Primary School, Bass Bharind (S.No 01)")</f>
        <v/>
      </c>
      <c r="C1023" t="inlineStr">
        <is>
          <t>Panchayati Raj Department||Secretary and Commissioner||CEO-CHURU||BDO-RAJGARH</t>
        </is>
      </c>
      <c r="D1023" t="inlineStr">
        <is>
          <t>21-May-2025 11:00 AM</t>
        </is>
      </c>
      <c r="E1023" t="inlineStr">
        <is>
          <t>8,00,000</t>
        </is>
      </c>
      <c r="F1023" t="inlineStr">
        <is>
          <t>Construction of interlock Kharanja in Government Primary School, Bass Bharind (S.No 01)</t>
        </is>
      </c>
      <c r="G1023" t="inlineStr">
        <is>
          <t>Gugalwa</t>
        </is>
      </c>
    </row>
    <row r="1024">
      <c r="A1024" s="1" t="n">
        <v>1022</v>
      </c>
      <c r="B1024">
        <f>HYPERLINK("https://eproc.rajasthan.gov.in/nicgep/app?component=%24DirectLink&amp;page=FrontEndViewTender&amp;service=direct&amp;session=T&amp;sp=SscY9agYAoVymAeuKaRhwaw%3D%3D", "RAILY PAR ANICUT NIRMAN KARY, PADEEV")</f>
        <v/>
      </c>
      <c r="C1024" t="inlineStr">
        <is>
          <t>Panchayati Raj Department||Secretary and Commissioner||CEO-SIROHI||BDO-SIROHI</t>
        </is>
      </c>
      <c r="D1024" t="inlineStr">
        <is>
          <t>26-May-2025 06:00 PM</t>
        </is>
      </c>
      <c r="E1024" t="inlineStr">
        <is>
          <t>10,00,000</t>
        </is>
      </c>
      <c r="F1024" t="inlineStr">
        <is>
          <t>RAILY PAR ANICUT NIRMAN KARY, PADEEV</t>
        </is>
      </c>
      <c r="G1024" t="inlineStr">
        <is>
          <t>GRAM PANCHAYAT PADEEV</t>
        </is>
      </c>
    </row>
    <row r="1025">
      <c r="A1025" s="1" t="n">
        <v>1023</v>
      </c>
      <c r="B1025">
        <f>HYPERLINK("https://eproc.rajasthan.gov.in/nicgep/app?component=%24DirectLink&amp;page=FrontEndViewTender&amp;service=direct&amp;session=T&amp;sp=S1lQvVm9%2F53p0zptDBtdzCQ%3D%3D", "Supply of Misc. building Material Lalgarh jattan")</f>
        <v/>
      </c>
      <c r="C1025" t="inlineStr">
        <is>
          <t>Panchayati Raj Department||Secretary and Commissioner||CEO- GANGANAGAR||BDO-SADULSHAHAR</t>
        </is>
      </c>
      <c r="D1025" t="inlineStr">
        <is>
          <t>26-May-2025 05:00 PM</t>
        </is>
      </c>
      <c r="E1025" t="inlineStr">
        <is>
          <t>99,80,000</t>
        </is>
      </c>
      <c r="F1025" t="inlineStr">
        <is>
          <t>Supply of Misc. building Material Lalgarh jattan</t>
        </is>
      </c>
      <c r="G1025" t="inlineStr">
        <is>
          <t>GP Lalgarh jattan</t>
        </is>
      </c>
    </row>
    <row r="1026">
      <c r="A1026" s="1" t="n">
        <v>1024</v>
      </c>
      <c r="B1026">
        <f>HYPERLINK("https://eproc.rajasthan.gov.in/nicgep/app?component=%24DirectLink&amp;page=FrontEndViewTender&amp;service=direct&amp;session=T&amp;sp=S6AuFn9t4MYRhCcbuYkuCAg%3D%3D", "GP MOORIK MATERIAL TENDER FOR FY 2025-26")</f>
        <v/>
      </c>
      <c r="C1026" t="inlineStr">
        <is>
          <t>Panchayati Raj Department||Secretary and Commissioner||CEO-DHOLPUR||BDO-BASEDI</t>
        </is>
      </c>
      <c r="D1026" t="inlineStr">
        <is>
          <t>23-May-2025 10:00 AM</t>
        </is>
      </c>
      <c r="E1026" t="inlineStr">
        <is>
          <t>50,00,000</t>
        </is>
      </c>
      <c r="F1026" t="inlineStr">
        <is>
          <t>GP MOORIK MATERIAL TENDER FOR FY 2025-26</t>
        </is>
      </c>
      <c r="G1026" t="inlineStr">
        <is>
          <t>GP MOORIK</t>
        </is>
      </c>
    </row>
    <row r="1027">
      <c r="A1027" s="1" t="n">
        <v>1025</v>
      </c>
      <c r="B1027">
        <f>HYPERLINK("https://eproc.rajasthan.gov.in/nicgep/app?component=%24DirectLink&amp;page=FrontEndViewTender&amp;service=direct&amp;session=T&amp;sp=SZMsT%2FtVzzG1MgVyo%2FvPXNQ%3D%3D", "GP BHARLI MATERIAL TENDER FOR FY 2025-26")</f>
        <v/>
      </c>
      <c r="C1027" t="inlineStr">
        <is>
          <t>Panchayati Raj Department||Secretary and Commissioner||CEO-DHOLPUR||BDO-BASEDI</t>
        </is>
      </c>
      <c r="D1027" t="inlineStr">
        <is>
          <t>23-May-2025 10:00 AM</t>
        </is>
      </c>
      <c r="E1027" t="inlineStr">
        <is>
          <t>50,00,000</t>
        </is>
      </c>
      <c r="F1027" t="inlineStr">
        <is>
          <t>GP BHARLI MATERIAL TENDER FOR FY 2025-26</t>
        </is>
      </c>
      <c r="G1027" t="inlineStr">
        <is>
          <t>GP BHARLI</t>
        </is>
      </c>
    </row>
    <row r="1028">
      <c r="A1028" s="1" t="n">
        <v>1026</v>
      </c>
      <c r="B1028">
        <f>HYPERLINK("https://eproc.rajasthan.gov.in/nicgep/app?component=%24DirectLink&amp;page=FrontEndViewTender&amp;service=direct&amp;session=T&amp;sp=SlPfytR9qqw%2BOeXw4KwNBvg%3D%3D", "SUPPLY OF CONSTRUCION MATERAIL FOR NREGA AND OTHER SCHEME IN FY 2025-26 IN GP Dhodsar")</f>
        <v/>
      </c>
      <c r="C1028" t="inlineStr">
        <is>
          <t>Panchayati Raj Department||Secretary and Commissioner||CEO- JAIPUR||BDO-GOVINDGARH</t>
        </is>
      </c>
      <c r="D1028" t="inlineStr">
        <is>
          <t>04-Jun-2025 10:00 AM</t>
        </is>
      </c>
      <c r="E1028" t="inlineStr">
        <is>
          <t>50,00,000</t>
        </is>
      </c>
      <c r="F1028" t="inlineStr">
        <is>
          <t>SUPPLY OF CONSTRUCION MATERAIL FOR NREGA AND OTHER SCHEME IN FY 2025-26 IN GP Dhodsar</t>
        </is>
      </c>
      <c r="G1028" t="inlineStr">
        <is>
          <t>Gram panchayat HQ</t>
        </is>
      </c>
    </row>
    <row r="1029">
      <c r="A1029" s="1" t="n">
        <v>1027</v>
      </c>
      <c r="B1029">
        <f>HYPERLINK("https://eproc.rajasthan.gov.in/nicgep/app?component=%24DirectLink&amp;page=FrontEndViewTender&amp;service=direct&amp;session=T&amp;sp=SuSBrwueegGV5cifMu9HXCQ%3D%3D", "SANITATION WORK FY 2025-26 GP 17 KHM")</f>
        <v/>
      </c>
      <c r="C1029" t="inlineStr">
        <is>
          <t>Panchayati Raj Department||Secretary and Commissioner||CEO-BIKANER||BDO-KHAJUWALA</t>
        </is>
      </c>
      <c r="D1029" t="inlineStr">
        <is>
          <t>22-May-2025 06:00 PM</t>
        </is>
      </c>
      <c r="E1029" t="inlineStr">
        <is>
          <t>9,09,000</t>
        </is>
      </c>
      <c r="F1029" t="inlineStr">
        <is>
          <t>Collection and segregation from every house (residential and commercial) in allvillages, collection and segregation fromgroup, road and sanitation work of the area Gram Panchayat 17 KHM</t>
        </is>
      </c>
      <c r="G1029" t="inlineStr">
        <is>
          <t>GP 17 KHM</t>
        </is>
      </c>
    </row>
    <row r="1030">
      <c r="A1030" s="1" t="n">
        <v>1028</v>
      </c>
      <c r="B1030">
        <f>HYPERLINK("https://eproc.rajasthan.gov.in/nicgep/app?component=%24DirectLink&amp;page=FrontEndViewTender&amp;service=direct&amp;session=T&amp;sp=Sa1DWSqCpQ81Lpve0uupiQg%3D%3D", "GP KHANPURA MATERIAL TENDER FOR FY 2025-26")</f>
        <v/>
      </c>
      <c r="C1030" t="inlineStr">
        <is>
          <t>Panchayati Raj Department||Secretary and Commissioner||CEO-DHOLPUR||BDO-BASEDI</t>
        </is>
      </c>
      <c r="D1030" t="inlineStr">
        <is>
          <t>23-May-2025 10:00 AM</t>
        </is>
      </c>
      <c r="E1030" t="inlineStr">
        <is>
          <t>50,00,000</t>
        </is>
      </c>
      <c r="F1030" t="inlineStr">
        <is>
          <t>GP KHANPURA MATERIAL TENDER FOR FY 2025-26</t>
        </is>
      </c>
      <c r="G1030" t="inlineStr">
        <is>
          <t>GP KHANPURA</t>
        </is>
      </c>
    </row>
    <row r="1031">
      <c r="A1031" s="1" t="n">
        <v>1029</v>
      </c>
      <c r="B1031">
        <f>HYPERLINK("https://eproc.rajasthan.gov.in/nicgep/app?component=%24DirectLink&amp;page=FrontEndViewTender&amp;service=direct&amp;session=T&amp;sp=SiLsow%2F4K80ne9k2owU7u3A%3D%3D", "COLLECTION OF WASTE FROM HOME AND BUSSINES UNIT, CLEANING OF ROADS AND SEWARAGE LINE, CLAENING OF CSC IN SBM-G SCHEME FY 2025-26 AT GRAM PANCHAYAT LUNAR")</f>
        <v/>
      </c>
      <c r="C1031" t="inlineStr">
        <is>
          <t>Panchayati Raj Department||Secretary and Commissioner||CEO- JAISALMER||BDO-SAM</t>
        </is>
      </c>
      <c r="D1031" t="inlineStr">
        <is>
          <t>26-May-2025 06:00 PM</t>
        </is>
      </c>
      <c r="E1031" t="inlineStr">
        <is>
          <t>13,10,000</t>
        </is>
      </c>
      <c r="F1031" t="inlineStr">
        <is>
          <t>COLLECTION OF WASTE FROM HOME AND BUSSINES UNIT, CLEANING OF ROADS AND SEWARAGE LINE, CLAENING OF CSC IN SBM-G SCHEME FY 2025-26 AT GRAM PANCHAYAT LUNAR</t>
        </is>
      </c>
      <c r="G1031" t="inlineStr">
        <is>
          <t>JAISALMER</t>
        </is>
      </c>
    </row>
    <row r="1032">
      <c r="A1032" s="1" t="n">
        <v>1030</v>
      </c>
      <c r="B1032">
        <f>HYPERLINK("https://eproc.rajasthan.gov.in/nicgep/app?component=%24DirectLink&amp;page=FrontEndViewTender&amp;service=direct&amp;session=T&amp;sp=S47UANw2AumO9ENO%2Bw2x1JA%3D%3D", "SUPPLY OF CONSTRUCION MATERAIL FOR NREGA AND OTHER SCHEME IN FY 2025-26 IN GP dhobli")</f>
        <v/>
      </c>
      <c r="C1032" t="inlineStr">
        <is>
          <t>Panchayati Raj Department||Secretary and Commissioner||CEO- JAIPUR||BDO-GOVINDGARH</t>
        </is>
      </c>
      <c r="D1032" t="inlineStr">
        <is>
          <t>04-Jun-2025 10:00 AM</t>
        </is>
      </c>
      <c r="E1032" t="inlineStr">
        <is>
          <t>70,00,000</t>
        </is>
      </c>
      <c r="F1032" t="inlineStr">
        <is>
          <t>SUPPLY OF CONSTRUCION MATERAIL FOR NREGA AND OTHER SCHEME IN FY 2025-26 IN GP dhobli</t>
        </is>
      </c>
      <c r="G1032" t="inlineStr">
        <is>
          <t>Gram panchayat HQ</t>
        </is>
      </c>
    </row>
    <row r="1033">
      <c r="A1033" s="1" t="n">
        <v>1031</v>
      </c>
      <c r="B1033">
        <f>HYPERLINK("https://eproc.rajasthan.gov.in/nicgep/app?component=%24DirectLink&amp;page=FrontEndViewTender&amp;service=direct&amp;session=T&amp;sp=StFsMytnaT7UO3mExZFkmmA%3D%3D", "SANITATION WORK FY 2025-26 GP 25 KYD")</f>
        <v/>
      </c>
      <c r="C1033" t="inlineStr">
        <is>
          <t>Panchayati Raj Department||Secretary and Commissioner||CEO-BIKANER||BDO-KHAJUWALA</t>
        </is>
      </c>
      <c r="D1033" t="inlineStr">
        <is>
          <t>22-May-2025 06:00 PM</t>
        </is>
      </c>
      <c r="E1033" t="inlineStr">
        <is>
          <t>9,00,000</t>
        </is>
      </c>
      <c r="F1033" t="inlineStr">
        <is>
          <t>Collection and segregation from every house (residential and commercial) in allvillages, collection and segregation fromgroup, road and sanitation work of the area Gram Panchayat 25 KYD</t>
        </is>
      </c>
      <c r="G1033" t="inlineStr">
        <is>
          <t>GP 25 KYD</t>
        </is>
      </c>
    </row>
    <row r="1034">
      <c r="A1034" s="1" t="n">
        <v>1032</v>
      </c>
      <c r="B1034">
        <f>HYPERLINK("https://eproc.rajasthan.gov.in/nicgep/app?component=%24DirectLink&amp;page=FrontEndViewTender&amp;service=direct&amp;session=T&amp;sp=SdMvVSdirnGZ88uBiWFyGBQ%3D%3D", "SANITATION WORK FY 2025-26 GP 2 KLD")</f>
        <v/>
      </c>
      <c r="C1034" t="inlineStr">
        <is>
          <t>Panchayati Raj Department||Secretary and Commissioner||CEO-BIKANER||BDO-KHAJUWALA</t>
        </is>
      </c>
      <c r="D1034" t="inlineStr">
        <is>
          <t>22-May-2025 06:00 PM</t>
        </is>
      </c>
      <c r="E1034" t="inlineStr">
        <is>
          <t>9,90,000</t>
        </is>
      </c>
      <c r="F1034" t="inlineStr">
        <is>
          <t>Collection and segregation from every house (residential and commercial) in allvillages, collection and segregation fromgroup, road and sanitation work of the area Gram Panchayat 2 KLD</t>
        </is>
      </c>
      <c r="G1034" t="inlineStr">
        <is>
          <t>GP 2 KLD</t>
        </is>
      </c>
    </row>
    <row r="1035">
      <c r="A1035" s="1" t="n">
        <v>1033</v>
      </c>
      <c r="B1035">
        <f>HYPERLINK("https://eproc.rajasthan.gov.in/nicgep/app?component=%24DirectLink&amp;page=FrontEndViewTender&amp;service=direct&amp;session=T&amp;sp=Syi7zZmGy4OR%2BqeUc78eX%2FQ%3D%3D", "GP RATANPUR MATERIAL TENDER FY 2025-26")</f>
        <v/>
      </c>
      <c r="C1035" t="inlineStr">
        <is>
          <t>Panchayati Raj Department||Secretary and Commissioner||CEO-DHOLPUR||BDO-BASEDI</t>
        </is>
      </c>
      <c r="D1035" t="inlineStr">
        <is>
          <t>23-May-2025 10:00 AM</t>
        </is>
      </c>
      <c r="E1035" t="inlineStr">
        <is>
          <t>50,00,000</t>
        </is>
      </c>
      <c r="F1035" t="inlineStr">
        <is>
          <t>GP RATANPUR MATERIAL TENDER FY 2025-26</t>
        </is>
      </c>
      <c r="G1035" t="inlineStr">
        <is>
          <t>GP RATANPUR</t>
        </is>
      </c>
    </row>
    <row r="1036">
      <c r="A1036" s="1" t="n">
        <v>1034</v>
      </c>
      <c r="B1036">
        <f>HYPERLINK("https://eproc.rajasthan.gov.in/nicgep/app?component=%24DirectLink&amp;page=FrontEndViewTender&amp;service=direct&amp;session=T&amp;sp=S0KU8CJ6AkXwxPLI2jhpCJQ%3D%3D", "SANITATION WORK FY 2025-26 GP 22 KYD")</f>
        <v/>
      </c>
      <c r="C1036" t="inlineStr">
        <is>
          <t>Panchayati Raj Department||Secretary and Commissioner||CEO-BIKANER||BDO-KHAJUWALA</t>
        </is>
      </c>
      <c r="D1036" t="inlineStr">
        <is>
          <t>22-May-2025 06:00 PM</t>
        </is>
      </c>
      <c r="E1036" t="inlineStr">
        <is>
          <t>9,52,000</t>
        </is>
      </c>
      <c r="F1036" t="inlineStr">
        <is>
          <t>Collection and segregation from every house (residential and commercial) in allvillages, collection and segregation fromgroup, road and sanitation work of the area Gram Panchayat 22 KYD</t>
        </is>
      </c>
      <c r="G1036" t="inlineStr">
        <is>
          <t>GP 22 KYD</t>
        </is>
      </c>
    </row>
    <row r="1037">
      <c r="A1037" s="1" t="n">
        <v>1035</v>
      </c>
      <c r="B1037">
        <f>HYPERLINK("https://eproc.rajasthan.gov.in/nicgep/app?component=%24DirectLink&amp;page=FrontEndViewTender&amp;service=direct&amp;session=T&amp;sp=SAB%2Be1tJAktrWiJzW5%2BoGGg%3D%3D", "COLLECTION OF WASTE FROM HOME AND BUSSINES UNIT, CLEANING OF ROADS AND SEWARAGE LINE, CLAENING OF CSC IN SBM-G SCHEME FY 2025-26 AT GRAM PANCHAYAT BANDHA")</f>
        <v/>
      </c>
      <c r="C1037" t="inlineStr">
        <is>
          <t>Panchayati Raj Department||Secretary and Commissioner||CEO- JAISALMER||BDO-SAM</t>
        </is>
      </c>
      <c r="D1037" t="inlineStr">
        <is>
          <t>26-May-2025 06:00 PM</t>
        </is>
      </c>
      <c r="E1037" t="inlineStr">
        <is>
          <t>11,33,000</t>
        </is>
      </c>
      <c r="F1037" t="inlineStr">
        <is>
          <t>COLLECTION OF WASTE FROM HOME AND BUSSINES UNIT, CLEANING OF ROADS AND SEWARAGE LINE, CLAENING OF CSC IN SBM-G SCHEME FY 2025-26 AT GRAM PANCHAYAT BANDHA</t>
        </is>
      </c>
      <c r="G1037" t="inlineStr">
        <is>
          <t>JAISALMER</t>
        </is>
      </c>
    </row>
    <row r="1038">
      <c r="A1038" s="1" t="n">
        <v>1036</v>
      </c>
      <c r="B1038">
        <f>HYPERLINK("https://eproc.rajasthan.gov.in/nicgep/app?component=%24DirectLink&amp;page=FrontEndViewTender&amp;service=direct&amp;session=T&amp;sp=Sgi7SQXer6u%2FybXiqEjligg%3D%3D", "COLLECTION OF WASTE FROM HOME AND BUSSINES UNIT, CLEANING OF ROADS AND SEWARAGE LINE, CLAENING OF CSC IN SBM-G SCHEME FY 2025-26 AT GRAM PANCHAYAT POCHINA")</f>
        <v/>
      </c>
      <c r="C1038" t="inlineStr">
        <is>
          <t>Panchayati Raj Department||Secretary and Commissioner||CEO- JAISALMER||BDO-SAM</t>
        </is>
      </c>
      <c r="D1038" t="inlineStr">
        <is>
          <t>26-May-2025 06:00 PM</t>
        </is>
      </c>
      <c r="E1038" t="inlineStr">
        <is>
          <t>10,98,000</t>
        </is>
      </c>
      <c r="F1038" t="inlineStr">
        <is>
          <t>COLLECTION OF WASTE FROM HOME AND BUSSINES UNIT, CLEANING OF ROADS AND SEWARAGE LINE, CLAENING OF CSC IN SBM-G SCHEME FY 2025-26 AT GRAM PANCHAYAT POCHINA</t>
        </is>
      </c>
      <c r="G1038" t="inlineStr">
        <is>
          <t>JAISALMER</t>
        </is>
      </c>
    </row>
    <row r="1039">
      <c r="A1039" s="1" t="n">
        <v>1037</v>
      </c>
      <c r="B1039">
        <f>HYPERLINK("https://eproc.rajasthan.gov.in/nicgep/app?component=%24DirectLink&amp;page=FrontEndViewTender&amp;service=direct&amp;session=T&amp;sp=S4nTSz6o8WXe7FoRlA7V5lg%3D%3D", "COLLECTION OF WASTE FROM HOME AND BUSSINES UNIT, CLEANING OF ROADS AND SEWARAGE LINE, CLAENING OF CSC IN SBM-G SCHEME FY 2025-26 AT GRAM PANCHAYAT KHUIYALA")</f>
        <v/>
      </c>
      <c r="C1039" t="inlineStr">
        <is>
          <t>Panchayati Raj Department||Secretary and Commissioner||CEO- JAISALMER||BDO-SAM</t>
        </is>
      </c>
      <c r="D1039" t="inlineStr">
        <is>
          <t>26-May-2025 06:00 PM</t>
        </is>
      </c>
      <c r="E1039" t="inlineStr">
        <is>
          <t>11,47,000</t>
        </is>
      </c>
      <c r="F1039" t="inlineStr">
        <is>
          <t>COLLECTION OF WASTE FROM HOME AND BUSSINES UNIT, CLEANING OF ROADS AND SEWARAGE LINE, CLAENING OF CSC IN SBM-G SCHEME FY 2025-26 AT GRAM PANCHAYAT KHUIYALA</t>
        </is>
      </c>
      <c r="G1039" t="inlineStr">
        <is>
          <t>JAISALMER</t>
        </is>
      </c>
    </row>
    <row r="1040">
      <c r="A1040" s="1" t="n">
        <v>1038</v>
      </c>
      <c r="B1040">
        <f>HYPERLINK("https://eproc.rajasthan.gov.in/nicgep/app?component=%24DirectLink&amp;page=FrontEndViewTender&amp;service=direct&amp;session=T&amp;sp=SpZC7D3lrlEEcb%2FsPF0tIHw%3D%3D", "COLLECTION OF WASTE FROM HOME AND BUSSINES UNIT, CLEANING OF ROADS AND SEWARAGE LINE, CLAENING OF CSC IN SBM-G SCHEME FY 2025-26 AT GRAM PANCHAYAT RAYMALA")</f>
        <v/>
      </c>
      <c r="C1040" t="inlineStr">
        <is>
          <t>Panchayati Raj Department||Secretary and Commissioner||CEO- JAISALMER||BDO-SAM</t>
        </is>
      </c>
      <c r="D1040" t="inlineStr">
        <is>
          <t>26-May-2025 06:00 PM</t>
        </is>
      </c>
      <c r="E1040" t="inlineStr">
        <is>
          <t>14,60,000</t>
        </is>
      </c>
      <c r="F1040" t="inlineStr">
        <is>
          <t>COLLECTION OF WASTE FROM HOME AND BUSSINES UNIT, CLEANING OF ROADS AND SEWARAGE LINE, CLAENING OF CSC IN SBM-G SCHEME FY 2025-26 AT GRAM PANCHAYAT RAYMALA</t>
        </is>
      </c>
      <c r="G1040" t="inlineStr">
        <is>
          <t>JAISALMER</t>
        </is>
      </c>
    </row>
    <row r="1041">
      <c r="A1041" s="1" t="n">
        <v>1039</v>
      </c>
      <c r="B1041">
        <f>HYPERLINK("https://eproc.rajasthan.gov.in/nicgep/app?component=%24DirectLink&amp;page=FrontEndViewTender&amp;service=direct&amp;session=T&amp;sp=S4TpnXy29cXHOWGJybilBQg%3D%3D", "Material supply of Rdprd schemes panchayat samiti sanganer for 2025-26")</f>
        <v/>
      </c>
      <c r="C1041" t="inlineStr">
        <is>
          <t>Panchayati Raj Department||Secretary and Commissioner||CEO- JAIPUR||BDO-SANGANER</t>
        </is>
      </c>
      <c r="D1041" t="inlineStr">
        <is>
          <t>24-May-2025 11:00 AM</t>
        </is>
      </c>
      <c r="E1041" t="inlineStr">
        <is>
          <t>2,00,00,000</t>
        </is>
      </c>
      <c r="F1041" t="inlineStr">
        <is>
          <t>Material supply of Rdprd schemes panchayat samiti sanganer for 2025-26</t>
        </is>
      </c>
      <c r="G1041" t="inlineStr">
        <is>
          <t>as per nit</t>
        </is>
      </c>
    </row>
    <row r="1042">
      <c r="A1042" s="1" t="n">
        <v>1040</v>
      </c>
      <c r="B1042">
        <f>HYPERLINK("https://eproc.rajasthan.gov.in/nicgep/app?component=%24DirectLink&amp;page=FrontEndViewTender&amp;service=direct&amp;session=T&amp;sp=SrZXkZ5G5jEwmAuf5Oqf7dw%3D%3D", "Rate Contract for Supply of Construction Material and equipment in Gram Panchayat BARSINGHPURA FOR YEAR 2025-26")</f>
        <v/>
      </c>
      <c r="C1042" t="inlineStr">
        <is>
          <t>Panchayati Raj Department||Secretary and Commissioner||CEO-SIKAR||BDO-KHANDELA</t>
        </is>
      </c>
      <c r="D1042" t="inlineStr">
        <is>
          <t>24-May-2025 06:00 PM</t>
        </is>
      </c>
      <c r="E1042" t="inlineStr">
        <is>
          <t>50,00,000</t>
        </is>
      </c>
      <c r="F1042" t="inlineStr">
        <is>
          <t>Rate Contract for Supply of Construction Material and equipment in Gram Panchayat BARSINGHPURA FOR YEAR 2025-26</t>
        </is>
      </c>
      <c r="G1042" t="inlineStr">
        <is>
          <t>GP BARSINGHPURA</t>
        </is>
      </c>
    </row>
    <row r="1043">
      <c r="A1043" s="1" t="n">
        <v>1041</v>
      </c>
      <c r="B1043">
        <f>HYPERLINK("https://eproc.rajasthan.gov.in/nicgep/app?component=%24DirectLink&amp;page=FrontEndViewTender&amp;service=direct&amp;session=T&amp;sp=SyCClrI3%2B228tWED0C5qikQ%3D%3D", "Supply of Construction Materials and Service of Equipments (Financial Year 2025-26) for Gram Panchayat Pachamata.")</f>
        <v/>
      </c>
      <c r="C1043" t="inlineStr">
        <is>
          <t>Panchayati Raj Department||Secretary and Commissioner||CEO-RAJSAMAND||BDO-RAILMAGARA</t>
        </is>
      </c>
      <c r="D1043" t="inlineStr">
        <is>
          <t>26-May-2025 06:00 PM</t>
        </is>
      </c>
      <c r="E1043" t="inlineStr">
        <is>
          <t>50,00,000</t>
        </is>
      </c>
      <c r="F1043" t="inlineStr">
        <is>
          <t>Supply of Construction Materials and Service of Equipments (Financial Year 2025-26) for Gram Panchayat Pachamata.</t>
        </is>
      </c>
      <c r="G1043" t="inlineStr">
        <is>
          <t>GRAM PANCHAYAT PACHAMATA</t>
        </is>
      </c>
    </row>
    <row r="1044">
      <c r="A1044" s="1" t="n">
        <v>1042</v>
      </c>
      <c r="B1044">
        <f>HYPERLINK("https://eproc.rajasthan.gov.in/nicgep/app?component=%24DirectLink&amp;page=FrontEndViewTender&amp;service=direct&amp;session=T&amp;sp=SwNOQQdmAdxYOSUu%2BKOcwTg%3D%3D", "Supply of Misc. building Material Morjadkhari")</f>
        <v/>
      </c>
      <c r="C1044" t="inlineStr">
        <is>
          <t>Panchayati Raj Department||Secretary and Commissioner||CEO- GANGANAGAR||BDO-SADULSHAHAR</t>
        </is>
      </c>
      <c r="D1044" t="inlineStr">
        <is>
          <t>26-May-2025 05:00 PM</t>
        </is>
      </c>
      <c r="E1044" t="inlineStr">
        <is>
          <t>99,80,000</t>
        </is>
      </c>
      <c r="F1044" t="inlineStr">
        <is>
          <t>Supply of Misc. building Material Morjadkhari</t>
        </is>
      </c>
      <c r="G1044" t="inlineStr">
        <is>
          <t>GP Morjandkhari</t>
        </is>
      </c>
    </row>
    <row r="1045">
      <c r="A1045" s="1" t="n">
        <v>1043</v>
      </c>
      <c r="B1045">
        <f>HYPERLINK("https://eproc.rajasthan.gov.in/nicgep/app?component=%24DirectLink&amp;page=FrontEndViewTender&amp;service=direct&amp;session=T&amp;sp=SxDyUhMGSlCQXpU3ftBhSBQ%3D%3D", "Supply of Construction Materials and Service of Equipments (Financial Year 2025-26) for Gram Panchayat Junda.")</f>
        <v/>
      </c>
      <c r="C1045" t="inlineStr">
        <is>
          <t>Panchayati Raj Department||Secretary and Commissioner||CEO-RAJSAMAND||BDO-RAILMAGARA</t>
        </is>
      </c>
      <c r="D1045" t="inlineStr">
        <is>
          <t>26-May-2025 06:00 PM</t>
        </is>
      </c>
      <c r="E1045" t="inlineStr">
        <is>
          <t>50,00,000</t>
        </is>
      </c>
      <c r="F1045" t="inlineStr">
        <is>
          <t>Supply of Construction Materials and Service of Equipments (Financial Year 2025-26) for Gram Panchayat Junda.</t>
        </is>
      </c>
      <c r="G1045" t="inlineStr">
        <is>
          <t>GRAM PANCHAYAT JUNDA</t>
        </is>
      </c>
    </row>
    <row r="1046">
      <c r="A1046" s="1" t="n">
        <v>1044</v>
      </c>
      <c r="B1046">
        <f>HYPERLINK("https://eproc.rajasthan.gov.in/nicgep/app?component=%24DirectLink&amp;page=FrontEndViewTender&amp;service=direct&amp;session=T&amp;sp=StH7dxc8vfkXkLCAJNKADnQ%3D%3D", "Civil work in GP PURA ULAWATI UNDER PS BARI")</f>
        <v/>
      </c>
      <c r="C1046" t="inlineStr">
        <is>
          <t>Panchayati Raj Department||Secretary and Commissioner||CEO-DHOLPUR||BDO-BADI</t>
        </is>
      </c>
      <c r="D1046" t="inlineStr">
        <is>
          <t>23-May-2025 05:00 PM</t>
        </is>
      </c>
      <c r="E1046" t="inlineStr">
        <is>
          <t>6,75,000</t>
        </is>
      </c>
      <c r="F1046" t="inlineStr">
        <is>
          <t>Civil work in GP PURA ULAWATI UNDER PS BARI</t>
        </is>
      </c>
      <c r="G1046" t="inlineStr">
        <is>
          <t>GP PURA ULAWATI PS BARI</t>
        </is>
      </c>
    </row>
    <row r="1047">
      <c r="A1047" s="1" t="n">
        <v>1045</v>
      </c>
      <c r="B1047">
        <f>HYPERLINK("https://eproc.rajasthan.gov.in/nicgep/app?component=%24DirectLink&amp;page=FrontEndViewTender&amp;service=direct&amp;session=T&amp;sp=S0yF5OklMOTtnOY%2F9aVp4qg%3D%3D", "GRAM PANCHAYAT RAMPURA ME AMBEDKAR BHAWAN NIRMAN KARYA")</f>
        <v/>
      </c>
      <c r="C1047" t="inlineStr">
        <is>
          <t>Panchayati Raj Department||Secretary and Commissioner||CEO-JHUNJHUNU||BDO-NAVALGARH</t>
        </is>
      </c>
      <c r="D1047" t="inlineStr">
        <is>
          <t>22-May-2025 06:00 PM</t>
        </is>
      </c>
      <c r="E1047" t="inlineStr">
        <is>
          <t>10,00,000</t>
        </is>
      </c>
      <c r="F1047" t="inlineStr">
        <is>
          <t>GRAM PANCHAYAT RAMPURA ME AMBEDKAR BHAWAN NIRMAN KARYA</t>
        </is>
      </c>
      <c r="G1047" t="inlineStr">
        <is>
          <t>GRAM PANCHAYAT RAMPURA</t>
        </is>
      </c>
    </row>
    <row r="1048">
      <c r="A1048" s="1" t="n">
        <v>1046</v>
      </c>
      <c r="B1048">
        <f>HYPERLINK("https://eproc.rajasthan.gov.in/nicgep/app?component=%24DirectLink&amp;page=FrontEndViewTender&amp;service=direct&amp;session=T&amp;sp=Svyf7Fsgk9s%2BcasWmN8pjcA%3D%3D", "SUPPLY OF MATERIAL PROVIDING EQUIPMENT UNDER MG NREGA , PANCHAYTIRAJ DEPARTMENT SCHEME AND OTHER EACH WORK AT GP SEWARA")</f>
        <v/>
      </c>
      <c r="C1048" t="inlineStr">
        <is>
          <t>Panchayati Raj Department||Secretary and Commissioner||CEO- JALORE||BDO-SARNAU</t>
        </is>
      </c>
      <c r="D1048" t="inlineStr">
        <is>
          <t>24-May-2025 05:00 PM</t>
        </is>
      </c>
      <c r="E1048" t="inlineStr">
        <is>
          <t>80,00,000</t>
        </is>
      </c>
      <c r="F1048" t="inlineStr">
        <is>
          <t>SUPPLY OF MATERIAL PROVIDING EQUIPMENT</t>
        </is>
      </c>
      <c r="G1048" t="inlineStr">
        <is>
          <t>SARNAU</t>
        </is>
      </c>
    </row>
    <row r="1049">
      <c r="A1049" s="1" t="n">
        <v>1047</v>
      </c>
      <c r="B1049">
        <f>HYPERLINK("https://eproc.rajasthan.gov.in/nicgep/app?component=%24DirectLink&amp;page=FrontEndViewTender&amp;service=direct&amp;session=T&amp;sp=SMUghJn%2BPzvrPazf5VUzCbg%3D%3D", "SUPPLY OF CONSTRUCION MATERAIL FOR NREGA AND OTHER SCHEME IN FY 2025-26 IN GP dola ka bas")</f>
        <v/>
      </c>
      <c r="C1049" t="inlineStr">
        <is>
          <t>Panchayati Raj Department||Secretary and Commissioner||CEO- JAIPUR||BDO-GOVINDGARH</t>
        </is>
      </c>
      <c r="D1049" t="inlineStr">
        <is>
          <t>04-Jun-2025 10:00 AM</t>
        </is>
      </c>
      <c r="E1049" t="inlineStr">
        <is>
          <t>60,00,000</t>
        </is>
      </c>
      <c r="F1049" t="inlineStr">
        <is>
          <t>SUPPLY OF CONSTRUCION MATERAIL FOR NREGA AND OTHER SCHEME IN FY 2025-26 IN GP dola ka bas</t>
        </is>
      </c>
      <c r="G1049" t="inlineStr">
        <is>
          <t>Gram panchayat HQ</t>
        </is>
      </c>
    </row>
    <row r="1050">
      <c r="A1050" s="1" t="n">
        <v>1048</v>
      </c>
      <c r="B1050">
        <f>HYPERLINK("https://eproc.rajasthan.gov.in/nicgep/app?component=%24DirectLink&amp;page=FrontEndViewTender&amp;service=direct&amp;session=T&amp;sp=SUknnABmDErZFYgd8eiO1pw%3D%3D", "SANITATION WORK FY 2025-26 GP 3 PWM")</f>
        <v/>
      </c>
      <c r="C1050" t="inlineStr">
        <is>
          <t>Panchayati Raj Department||Secretary and Commissioner||CEO-BIKANER||BDO-KHAJUWALA</t>
        </is>
      </c>
      <c r="D1050" t="inlineStr">
        <is>
          <t>22-May-2025 06:00 PM</t>
        </is>
      </c>
      <c r="E1050" t="inlineStr">
        <is>
          <t>9,00,000</t>
        </is>
      </c>
      <c r="F1050" t="inlineStr">
        <is>
          <t>Collection and segregation from every house (residential and commercial) in allvillages, collection and segregation fromgroup, road and sanitation work of the area Gram Panchayat 3 PWM</t>
        </is>
      </c>
      <c r="G1050" t="inlineStr">
        <is>
          <t>GP 3 PWM</t>
        </is>
      </c>
    </row>
    <row r="1051">
      <c r="A1051" s="1" t="n">
        <v>1049</v>
      </c>
      <c r="B1051">
        <f>HYPERLINK("https://eproc.rajasthan.gov.in/nicgep/app?component=%24DirectLink&amp;page=FrontEndViewTender&amp;service=direct&amp;session=T&amp;sp=S8bWLvh5zld3bVmxECPT%2FNw%3D%3D", "rajkiy uchcha prathamik vidhyalay jhajhar ki pal me 2 kaksha kaksh nirman kary")</f>
        <v/>
      </c>
      <c r="C1051" t="inlineStr">
        <is>
          <t>Panchayati Raj Department||Secretary and Commissioner||CEO-UDAIPUR||BDO-JHADOL</t>
        </is>
      </c>
      <c r="D1051" t="inlineStr">
        <is>
          <t>25-May-2025 06:00 PM</t>
        </is>
      </c>
      <c r="E1051" t="inlineStr">
        <is>
          <t>18,13,000</t>
        </is>
      </c>
      <c r="F1051" t="inlineStr">
        <is>
          <t>rajkiy uchcha prathamik vidhyalay jhajhar ki pal me 2 kaksha kaksh nirman kary</t>
        </is>
      </c>
      <c r="G1051" t="inlineStr">
        <is>
          <t>rajkiy uchcha prathamik vidhyalay jhajhar ki pal m</t>
        </is>
      </c>
    </row>
    <row r="1052">
      <c r="A1052" s="1" t="n">
        <v>1050</v>
      </c>
      <c r="B1052">
        <f>HYPERLINK("https://eproc.rajasthan.gov.in/nicgep/app?component=%24DirectLink&amp;page=FrontEndViewTender&amp;service=direct&amp;session=T&amp;sp=SfLDhDgqks6DOkI2V5s9HIA%3D%3D", "SANITATION WORK FY 2025-26 GP KUNDAL")</f>
        <v/>
      </c>
      <c r="C1052" t="inlineStr">
        <is>
          <t>Panchayati Raj Department||Secretary and Commissioner||CEO-BIKANER||BDO-KHAJUWALA</t>
        </is>
      </c>
      <c r="D1052" t="inlineStr">
        <is>
          <t>22-May-2025 06:00 PM</t>
        </is>
      </c>
      <c r="E1052" t="inlineStr">
        <is>
          <t>9,47,000</t>
        </is>
      </c>
      <c r="F1052" t="inlineStr">
        <is>
          <t>Collection and segregation from every house (residential and commercial) in allvillages, collection and segregation fromgroup, road and sanitation work of the area Gram Panchayat KUNDAL</t>
        </is>
      </c>
      <c r="G1052" t="inlineStr">
        <is>
          <t>GP KUNDAL</t>
        </is>
      </c>
    </row>
    <row r="1053">
      <c r="A1053" s="1" t="n">
        <v>1051</v>
      </c>
      <c r="B1053">
        <f>HYPERLINK("https://eproc.rajasthan.gov.in/nicgep/app?component=%24DirectLink&amp;page=FrontEndViewTender&amp;service=direct&amp;session=T&amp;sp=Sc%2FUeLaR00ivm8mhvaBLWGA%3D%3D", "Supply of Misc. building Material Manniwali")</f>
        <v/>
      </c>
      <c r="C1053" t="inlineStr">
        <is>
          <t>Panchayati Raj Department||Secretary and Commissioner||CEO- GANGANAGAR||BDO-SADULSHAHAR</t>
        </is>
      </c>
      <c r="D1053" t="inlineStr">
        <is>
          <t>26-May-2025 05:00 PM</t>
        </is>
      </c>
      <c r="E1053" t="inlineStr">
        <is>
          <t>99,80,000</t>
        </is>
      </c>
      <c r="F1053" t="inlineStr">
        <is>
          <t>Supply of Misc. building Material Manniwali</t>
        </is>
      </c>
      <c r="G1053" t="inlineStr">
        <is>
          <t>GP Manniwali</t>
        </is>
      </c>
    </row>
    <row r="1054">
      <c r="A1054" s="1" t="n">
        <v>1052</v>
      </c>
      <c r="B1054">
        <f>HYPERLINK("https://eproc.rajasthan.gov.in/nicgep/app?component=%24DirectLink&amp;page=FrontEndViewTender&amp;service=direct&amp;session=T&amp;sp=SpRxxmI33%2FGIFGq2Vc1%2FA2g%3D%3D", "COLLECTION OF WASTE FROM HOME AND BUSSINES UNIT, CLEANING OF ROADS AND SEWARAGE LINE, CLAENING OF CSC IN SBM-G SCHEME FY 2025-26 AT GRAM PANCHAYAT SHAHGARH")</f>
        <v/>
      </c>
      <c r="C1054" t="inlineStr">
        <is>
          <t>Panchayati Raj Department||Secretary and Commissioner||CEO- JAISALMER||BDO-SAM</t>
        </is>
      </c>
      <c r="D1054" t="inlineStr">
        <is>
          <t>26-May-2025 06:00 PM</t>
        </is>
      </c>
      <c r="E1054" t="inlineStr">
        <is>
          <t>6,14,000</t>
        </is>
      </c>
      <c r="F1054" t="inlineStr">
        <is>
          <t>COLLECTION OF WASTE FROM HOME AND BUSSINES UNIT, CLEANING OF ROADS AND SEWARAGE LINE, CLAENING OF CSC IN SBM-G SCHEME FY 2025-26 AT GRAM PANCHAYAT SHAHGARH</t>
        </is>
      </c>
      <c r="G1054" t="inlineStr">
        <is>
          <t>JAISALMER</t>
        </is>
      </c>
    </row>
    <row r="1055">
      <c r="A1055" s="1" t="n">
        <v>1053</v>
      </c>
      <c r="B1055">
        <f>HYPERLINK("https://eproc.rajasthan.gov.in/nicgep/app?component=%24DirectLink&amp;page=FrontEndViewTender&amp;service=direct&amp;session=T&amp;sp=S06IUhh1U070D6%2FnpwUl%2Fxw%3D%3D", "Work including Garbage Collection and Separation from every house (Residential and Commercial), Road and Drain cleaning and Community sanitation complex cleaning in all the villages of Gram Panchayat Khoontla Salona")</f>
        <v/>
      </c>
      <c r="C1055" t="inlineStr">
        <is>
          <t>Panchayati Raj Department||Secretary and Commissioner||CEO-S.MADHOPUR||BDO-GANGAPUR</t>
        </is>
      </c>
      <c r="D1055" t="inlineStr">
        <is>
          <t>27-May-2025 03:00 PM</t>
        </is>
      </c>
      <c r="E1055" t="inlineStr">
        <is>
          <t>7,93,000</t>
        </is>
      </c>
      <c r="F1055" t="inlineStr">
        <is>
          <t>Work including Garbage Collection and Separation from every house (Residential and Commercial), Road and Drain cleaning and Community sanitation complex cleaning in all the villages of Gram Panchayat Khoontla Salona</t>
        </is>
      </c>
      <c r="G1055" t="inlineStr">
        <is>
          <t>GRAM PANCHAYAT KHOONTLA SLAONA</t>
        </is>
      </c>
    </row>
    <row r="1056">
      <c r="A1056" s="1" t="n">
        <v>1054</v>
      </c>
      <c r="B1056">
        <f>HYPERLINK("https://eproc.rajasthan.gov.in/nicgep/app?component=%24DirectLink&amp;page=FrontEndViewTender&amp;service=direct&amp;session=T&amp;sp=S9OBeSJK0AbJgFSxnqzbTlw%3D%3D", "Supply of Misc. building Material Banwali")</f>
        <v/>
      </c>
      <c r="C1056" t="inlineStr">
        <is>
          <t>Panchayati Raj Department||Secretary and Commissioner||CEO- GANGANAGAR||BDO-SADULSHAHAR</t>
        </is>
      </c>
      <c r="D1056" t="inlineStr">
        <is>
          <t>26-May-2025 05:00 PM</t>
        </is>
      </c>
      <c r="E1056" t="inlineStr">
        <is>
          <t>99,80,000</t>
        </is>
      </c>
      <c r="F1056" t="inlineStr">
        <is>
          <t>Supply of Misc. building Material Banwali</t>
        </is>
      </c>
      <c r="G1056" t="inlineStr">
        <is>
          <t>GP Banwali</t>
        </is>
      </c>
    </row>
    <row r="1057">
      <c r="A1057" s="1" t="n">
        <v>1055</v>
      </c>
      <c r="B1057">
        <f>HYPERLINK("https://eproc.rajasthan.gov.in/nicgep/app?component=%24DirectLink&amp;page=FrontEndViewTender&amp;service=direct&amp;session=T&amp;sp=S5QGm1nYKBx4%2FSKueqOY1iQ%3D%3D", "construction matarial GP Chandma")</f>
        <v/>
      </c>
      <c r="C1057" t="inlineStr">
        <is>
          <t>Panchayati Raj Department||Secretary and Commissioner||CEO-AJMER||BDO-SARWAD</t>
        </is>
      </c>
      <c r="D1057" t="inlineStr">
        <is>
          <t>26-May-2025 06:00 PM</t>
        </is>
      </c>
      <c r="E1057" t="inlineStr">
        <is>
          <t>90,00,000</t>
        </is>
      </c>
      <c r="F1057" t="inlineStr">
        <is>
          <t>Construction Matarial</t>
        </is>
      </c>
      <c r="G1057" t="inlineStr">
        <is>
          <t>GP Chandma</t>
        </is>
      </c>
    </row>
    <row r="1058">
      <c r="A1058" s="1" t="n">
        <v>1056</v>
      </c>
      <c r="B1058">
        <f>HYPERLINK("https://eproc.rajasthan.gov.in/nicgep/app?component=%24DirectLink&amp;page=FrontEndViewTender&amp;service=direct&amp;session=T&amp;sp=SwDK7f%2BjztgSchMSg5iiHvw%3D%3D", "SUPPLY OF CONSTRUCION MATERAIL FOR NREGA AND OTHER SCHEME IN FY 2025-26 IN GP devthala")</f>
        <v/>
      </c>
      <c r="C1058" t="inlineStr">
        <is>
          <t>Panchayati Raj Department||Secretary and Commissioner||CEO- JAIPUR||BDO-GOVINDGARH</t>
        </is>
      </c>
      <c r="D1058" t="inlineStr">
        <is>
          <t>04-Jun-2025 10:00 AM</t>
        </is>
      </c>
      <c r="E1058" t="inlineStr">
        <is>
          <t>50,00,000</t>
        </is>
      </c>
      <c r="F1058" t="inlineStr">
        <is>
          <t>SUPPLY OF CONSTRUCION MATERAIL FOR NREGA AND OTHER SCHEME IN FY 2025-26 IN GP devthala</t>
        </is>
      </c>
      <c r="G1058" t="inlineStr">
        <is>
          <t>Gram panchayat HQ</t>
        </is>
      </c>
    </row>
    <row r="1059">
      <c r="A1059" s="1" t="n">
        <v>1057</v>
      </c>
      <c r="B1059">
        <f>HYPERLINK("https://eproc.rajasthan.gov.in/nicgep/app?component=%24DirectLink&amp;page=FrontEndViewTender&amp;service=direct&amp;session=T&amp;sp=SQ8huF7wgjypJbdBEQ%2BpSqw%3D%3D", "Rate contract For Supply of Construction Material and Providing Equipments for NREGA, RD and PR Schemes at Gram Panchayat Kalota Panchayat Samiti DAUSA Dist Dausa For FY 2025-26 up to 31 March 2026")</f>
        <v/>
      </c>
      <c r="C1059" t="inlineStr">
        <is>
          <t>Panchayati Raj Department||Secretary and Commissioner||CEO-DAUSA||BDO-DAUSA</t>
        </is>
      </c>
      <c r="D1059" t="inlineStr">
        <is>
          <t>26-May-2025 09:30 AM</t>
        </is>
      </c>
      <c r="E1059" t="inlineStr">
        <is>
          <t>25,00,000</t>
        </is>
      </c>
      <c r="F1059" t="inlineStr">
        <is>
          <t>Rate contract For Supply of Construction Material and Providing Equipments for NREGA, RD and PR Schemes at Gram Panchayat Kalota Panchayat Samiti DAUSA Dist Dausa For FY 2025-26 up to 31 March 2026</t>
        </is>
      </c>
      <c r="G1059" t="inlineStr">
        <is>
          <t>Kalota</t>
        </is>
      </c>
    </row>
    <row r="1060">
      <c r="A1060" s="1" t="n">
        <v>1058</v>
      </c>
      <c r="B1060">
        <f>HYPERLINK("https://eproc.rajasthan.gov.in/nicgep/app?component=%24DirectLink&amp;page=FrontEndViewTender&amp;service=direct&amp;session=T&amp;sp=SHbg2sI69B9h4WZ4XTzx3Hw%3D%3D", "SANITATION WORK FY 2025-26 GP NOSERA SAMRDA")</f>
        <v/>
      </c>
      <c r="C1060" t="inlineStr">
        <is>
          <t>Panchayati Raj Department||Secretary and Commissioner||CEO-BIKANER||BDO-KHAJUWALA</t>
        </is>
      </c>
      <c r="D1060" t="inlineStr">
        <is>
          <t>22-May-2025 06:00 PM</t>
        </is>
      </c>
      <c r="E1060" t="inlineStr">
        <is>
          <t>7,86,000</t>
        </is>
      </c>
      <c r="F1060" t="inlineStr">
        <is>
          <t>Collection and segregation from every house (residential and commercial) in allvillages, collection and segregation fromgroup, road and sanitation work of the area Gram Panchayat Nosera Samrda</t>
        </is>
      </c>
      <c r="G1060" t="inlineStr">
        <is>
          <t>GP NOSERA SAMRDA</t>
        </is>
      </c>
    </row>
    <row r="1061">
      <c r="A1061" s="1" t="n">
        <v>1059</v>
      </c>
      <c r="B1061">
        <f>HYPERLINK("https://eproc.rajasthan.gov.in/nicgep/app?component=%24DirectLink&amp;page=FrontEndViewTender&amp;service=direct&amp;session=T&amp;sp=Sbj1IXjfSKsSXm0B5PjTxMQ%3D%3D", "SUPPLY OF CONSTRUCION MATERAIL FOR NREGA AND OTHER SCHEME IN FY 2025-26 IN GP chithwadi")</f>
        <v/>
      </c>
      <c r="C1061" t="inlineStr">
        <is>
          <t>Panchayati Raj Department||Secretary and Commissioner||CEO- JAIPUR||BDO-GOVINDGARH</t>
        </is>
      </c>
      <c r="D1061" t="inlineStr">
        <is>
          <t>04-Jun-2025 10:00 AM</t>
        </is>
      </c>
      <c r="E1061" t="inlineStr">
        <is>
          <t>80,00,000</t>
        </is>
      </c>
      <c r="F1061" t="inlineStr">
        <is>
          <t>SUPPLY OF CONSTRUCION MATERAIL FOR NREGA AND OTHER SCHEME IN FY 2025-26 IN GP chithwadi</t>
        </is>
      </c>
      <c r="G1061" t="inlineStr">
        <is>
          <t>Gram panchayat HQ</t>
        </is>
      </c>
    </row>
    <row r="1062">
      <c r="A1062" s="1" t="n">
        <v>1060</v>
      </c>
      <c r="B1062">
        <f>HYPERLINK("https://eproc.rajasthan.gov.in/nicgep/app?component=%24DirectLink&amp;page=FrontEndViewTender&amp;service=direct&amp;session=T&amp;sp=SrbjAWO9yzADOaKscpzTNsg%3D%3D", "Supply of Construction Materials and Service of Equipments (Financial Year 2025-26) for Gram Panchayat Mahenduriya.")</f>
        <v/>
      </c>
      <c r="C1062" t="inlineStr">
        <is>
          <t>Panchayati Raj Department||Secretary and Commissioner||CEO-RAJSAMAND||BDO-RAILMAGARA</t>
        </is>
      </c>
      <c r="D1062" t="inlineStr">
        <is>
          <t>26-May-2025 06:00 PM</t>
        </is>
      </c>
      <c r="E1062" t="inlineStr">
        <is>
          <t>50,00,000</t>
        </is>
      </c>
      <c r="F1062" t="inlineStr">
        <is>
          <t>Supply of Construction Materials and Service of Equipments (Financial Year 2025-26) for Gram Panchayat Mahenduriya.</t>
        </is>
      </c>
      <c r="G1062" t="inlineStr">
        <is>
          <t>GRAM PANCHAYAT MAHENDURIYA</t>
        </is>
      </c>
    </row>
    <row r="1063">
      <c r="A1063" s="1" t="n">
        <v>1061</v>
      </c>
      <c r="B1063">
        <f>HYPERLINK("https://eproc.rajasthan.gov.in/nicgep/app?component=%24DirectLink&amp;page=FrontEndViewTender&amp;service=direct&amp;session=T&amp;sp=SR%2BvIEQqhWQfaRPc%2BhYhp6A%3D%3D", "Supply of Misc. building Material Kheruwala")</f>
        <v/>
      </c>
      <c r="C1063" t="inlineStr">
        <is>
          <t>Panchayati Raj Department||Secretary and Commissioner||CEO- GANGANAGAR||BDO-SADULSHAHAR</t>
        </is>
      </c>
      <c r="D1063" t="inlineStr">
        <is>
          <t>26-May-2025 05:00 PM</t>
        </is>
      </c>
      <c r="E1063" t="inlineStr">
        <is>
          <t>99,80,000</t>
        </is>
      </c>
      <c r="F1063" t="inlineStr">
        <is>
          <t>Supply of Misc. building Material kheruwala</t>
        </is>
      </c>
      <c r="G1063" t="inlineStr">
        <is>
          <t>GP Kheruwala</t>
        </is>
      </c>
    </row>
    <row r="1064">
      <c r="A1064" s="1" t="n">
        <v>1062</v>
      </c>
      <c r="B1064">
        <f>HYPERLINK("https://eproc.rajasthan.gov.in/nicgep/app?component=%24DirectLink&amp;page=FrontEndViewTender&amp;service=direct&amp;session=T&amp;sp=SXeYx52WqY%2B0x1BH6P08j%2Bg%3D%3D", "Supply of Construction Materials and Service of Equipments (Financial Year 2025-26) for Gram Panchayat Khadbamniya.")</f>
        <v/>
      </c>
      <c r="C1064" t="inlineStr">
        <is>
          <t>Panchayati Raj Department||Secretary and Commissioner||CEO-RAJSAMAND||BDO-RAILMAGARA</t>
        </is>
      </c>
      <c r="D1064" t="inlineStr">
        <is>
          <t>27-May-2025 06:00 PM</t>
        </is>
      </c>
      <c r="E1064" t="inlineStr">
        <is>
          <t>50,00,000</t>
        </is>
      </c>
      <c r="F1064" t="inlineStr">
        <is>
          <t>Supply of Construction Materials and Service of Equipments (Financial Year 2025-26) for Gram Panchayat Khadbamniya.</t>
        </is>
      </c>
      <c r="G1064" t="inlineStr">
        <is>
          <t>GRAM PANCHAYAT KHADBAMNIYA</t>
        </is>
      </c>
    </row>
    <row r="1065">
      <c r="A1065" s="1" t="n">
        <v>1063</v>
      </c>
      <c r="B1065">
        <f>HYPERLINK("https://eproc.rajasthan.gov.in/nicgep/app?component=%24DirectLink&amp;page=FrontEndViewTender&amp;service=direct&amp;session=T&amp;sp=SLCaEiVNj667gxQdweINMKw%3D%3D", "rajkiy prathamik vidhyalay kakarmala me 2 kaksha kaksh nirman kary")</f>
        <v/>
      </c>
      <c r="C1065" t="inlineStr">
        <is>
          <t>Panchayati Raj Department||Secretary and Commissioner||CEO-UDAIPUR||BDO-JHADOL</t>
        </is>
      </c>
      <c r="D1065" t="inlineStr">
        <is>
          <t>25-May-2025 06:00 PM</t>
        </is>
      </c>
      <c r="E1065" t="inlineStr">
        <is>
          <t>17,81,000</t>
        </is>
      </c>
      <c r="F1065" t="inlineStr">
        <is>
          <t>rajkiy prathamik vidhyalay kakarmala me 2 kaksha kaksh nirman kary</t>
        </is>
      </c>
      <c r="G1065" t="inlineStr">
        <is>
          <t>rajkiy prathamik vidhyalay kakarmala me 2 kaksha k</t>
        </is>
      </c>
    </row>
    <row r="1066">
      <c r="A1066" s="1" t="n">
        <v>1064</v>
      </c>
      <c r="B1066">
        <f>HYPERLINK("https://eproc.rajasthan.gov.in/nicgep/app?component=%24DirectLink&amp;page=FrontEndViewTender&amp;service=direct&amp;session=T&amp;sp=S%2B9nHLosUyrP%2FKLQRUy2k%2Bw%3D%3D", "Rate Contract for Supply of Construction Material and equipment in Gram Panchayat GURARA FOR YEAR 2025-26")</f>
        <v/>
      </c>
      <c r="C1066" t="inlineStr">
        <is>
          <t>Panchayati Raj Department||Secretary and Commissioner||CEO-SIKAR</t>
        </is>
      </c>
      <c r="D1066" t="inlineStr">
        <is>
          <t>24-May-2025 06:00 PM</t>
        </is>
      </c>
      <c r="E1066" t="inlineStr">
        <is>
          <t>50,00,000</t>
        </is>
      </c>
      <c r="F1066" t="inlineStr">
        <is>
          <t>Rate Contract for Supply of Construction Material and equipment in Gram Panchayat GURARA FOR YEAR 2025-26</t>
        </is>
      </c>
      <c r="G1066" t="inlineStr">
        <is>
          <t>GP GURARA</t>
        </is>
      </c>
    </row>
    <row r="1067">
      <c r="A1067" s="1" t="n">
        <v>1065</v>
      </c>
      <c r="B1067">
        <f>HYPERLINK("https://eproc.rajasthan.gov.in/nicgep/app?component=%24DirectLink&amp;page=FrontEndViewTender&amp;service=direct&amp;session=T&amp;sp=SZQAJ1Hu1DpNw4CoVUb%2FGdA%3D%3D", "MATERIAL SUPPLY FOR MGNREGA YEAR 2025-26")</f>
        <v/>
      </c>
      <c r="C1067" t="inlineStr">
        <is>
          <t>Panchayati Raj Department||Secretary and Commissioner||CEO-BHILWARA||BDO-AASIND</t>
        </is>
      </c>
      <c r="D1067" t="inlineStr">
        <is>
          <t>23-May-2025 06:00 PM</t>
        </is>
      </c>
      <c r="E1067" t="inlineStr">
        <is>
          <t>1,00,00,000</t>
        </is>
      </c>
      <c r="F1067" t="inlineStr">
        <is>
          <t>MATERIAL SUPPLY FOR MGNREGA YEAR 2025-26</t>
        </is>
      </c>
      <c r="G1067" t="inlineStr">
        <is>
          <t>GRAM PANCHAYAT KHATATAR</t>
        </is>
      </c>
    </row>
    <row r="1068">
      <c r="A1068" s="1" t="n">
        <v>1066</v>
      </c>
      <c r="B1068">
        <f>HYPERLINK("https://eproc.rajasthan.gov.in/nicgep/app?component=%24DirectLink&amp;page=FrontEndViewTender&amp;service=direct&amp;session=T&amp;sp=SBQulaz%2BrQzV%2BrvG8SACTzg%3D%3D", "SARY CC BLOCK NALI NIRMAN SUKHARAM MEGHWAL KEGAR SE RAMSINGH KE GAR KI TARAF")</f>
        <v/>
      </c>
      <c r="C1068" t="inlineStr">
        <is>
          <t>Panchayati Raj Department||Secretary and Commissioner||CEO-NAGORE||BDO-JAYAL</t>
        </is>
      </c>
      <c r="D1068" t="inlineStr">
        <is>
          <t>20-May-2025 10:00 AM</t>
        </is>
      </c>
      <c r="E1068" t="inlineStr">
        <is>
          <t>7,00,000</t>
        </is>
      </c>
      <c r="F1068" t="inlineStr">
        <is>
          <t>SARY CC BLOCK NALI NIRMAN SUKHARAM MEGHWAL KEGAR SE RAMSINGH KE GAR KI TARAF</t>
        </is>
      </c>
      <c r="G1068" t="inlineStr">
        <is>
          <t>GP PINDIYA</t>
        </is>
      </c>
    </row>
    <row r="1069">
      <c r="A1069" s="1" t="n">
        <v>1067</v>
      </c>
      <c r="B1069">
        <f>HYPERLINK("https://eproc.rajasthan.gov.in/nicgep/app?component=%24DirectLink&amp;page=FrontEndViewTender&amp;service=direct&amp;session=T&amp;sp=S0P1YSshJ3%2FYdsY5%2BWqf8aw%3D%3D", "SARY CC BLOCK NALI NIRMAN KARY MEGHWALO KE MOHALLA SE SARY KUDA KI TARAF UBASI")</f>
        <v/>
      </c>
      <c r="C1069" t="inlineStr">
        <is>
          <t>Panchayati Raj Department||Secretary and Commissioner||CEO-NAGORE||BDO-JAYAL</t>
        </is>
      </c>
      <c r="D1069" t="inlineStr">
        <is>
          <t>20-May-2025 10:00 AM</t>
        </is>
      </c>
      <c r="E1069" t="inlineStr">
        <is>
          <t>10,00,000</t>
        </is>
      </c>
      <c r="F1069" t="inlineStr">
        <is>
          <t>SARY CC BLOCK NALI NIRMAN KARY MEGHWALO KE MOHALLA SE SARY KUDA KI TARAF UBASI</t>
        </is>
      </c>
      <c r="G1069" t="inlineStr">
        <is>
          <t>GP PINDIYA</t>
        </is>
      </c>
    </row>
    <row r="1070">
      <c r="A1070" s="1" t="n">
        <v>1068</v>
      </c>
      <c r="B1070">
        <f>HYPERLINK("https://eproc.rajasthan.gov.in/nicgep/app?component=%24DirectLink&amp;page=FrontEndViewTender&amp;service=direct&amp;session=T&amp;sp=SoMkTIPQ5fIoPWs71vsBG0Q%3D%3D", "SARY CC BLOCK NALI NIRMAN UP SAWSTHAY KENDRA SE SIMBHUSINGH KE GAR KI TARAF")</f>
        <v/>
      </c>
      <c r="C1070" t="inlineStr">
        <is>
          <t>Panchayati Raj Department||Secretary and Commissioner||CEO-NAGORE||BDO-JAYAL</t>
        </is>
      </c>
      <c r="D1070" t="inlineStr">
        <is>
          <t>20-May-2025 10:00 AM</t>
        </is>
      </c>
      <c r="E1070" t="inlineStr">
        <is>
          <t>10,00,000</t>
        </is>
      </c>
      <c r="F1070" t="inlineStr">
        <is>
          <t>SARY CC BLOCK NALI NIRMAN UP SAWSTHAY KENDRA SE SIMBHUSINGH KE GAR KI TARAF</t>
        </is>
      </c>
      <c r="G1070" t="inlineStr">
        <is>
          <t>GP PINDIYA</t>
        </is>
      </c>
    </row>
    <row r="1071">
      <c r="A1071" s="1" t="n">
        <v>1069</v>
      </c>
      <c r="B1071">
        <f>HYPERLINK("https://eproc.rajasthan.gov.in/nicgep/app?component=%24DirectLink&amp;page=FrontEndViewTender&amp;service=direct&amp;session=T&amp;sp=SzPJYWLTqF3Z7TcLP%2BY86ww%3D%3D", "Civil work Construction Gram RAKSPURIYA ME NEHAR KI PULIYA SE BUYPASS ROAD KI TARAF SADAK NIRMAN KARIYE GANV RAKSPURIYA GRAM PANCHAYAT MAHUA")</f>
        <v/>
      </c>
      <c r="C1071" t="inlineStr">
        <is>
          <t>Panchayati Raj Department||Secretary and Commissioner||CEO-BARAN||BDO-MANGROL</t>
        </is>
      </c>
      <c r="D1071" t="inlineStr">
        <is>
          <t>24-May-2025 06:00 PM</t>
        </is>
      </c>
      <c r="E1071" t="inlineStr">
        <is>
          <t>75,00,000</t>
        </is>
      </c>
      <c r="F1071" t="inlineStr">
        <is>
          <t>Civil work Construction Gram RAKSPURIYA ME NEHAR KI PULIYA SE BUYPASS ROAD KI TARAF SADAK NIRMAN KARIYE GANV RAKSPURIYA GRAM PANCHAYAT MAHUA</t>
        </is>
      </c>
      <c r="G1071" t="inlineStr">
        <is>
          <t>MAHUA</t>
        </is>
      </c>
    </row>
    <row r="1072">
      <c r="A1072" s="1" t="n">
        <v>1070</v>
      </c>
      <c r="B1072">
        <f>HYPERLINK("https://eproc.rajasthan.gov.in/nicgep/app?component=%24DirectLink&amp;page=FrontEndViewTender&amp;service=direct&amp;session=T&amp;sp=ShMrEZeKXOUa0tq0Ji3kuqQ%3D%3D", "Supply of Various Material at Gram Panchayat MANSHA, Panchayat Samiti Kotri 2025-26 (Yearly Rate Contract)")</f>
        <v/>
      </c>
      <c r="C1072" t="inlineStr">
        <is>
          <t>Panchayati Raj Department||Secretary and Commissioner||CEO-PRATAPGARH||BDO-PIPALKHOONT</t>
        </is>
      </c>
      <c r="D1072" t="inlineStr">
        <is>
          <t>25-May-2025 06:00 PM</t>
        </is>
      </c>
      <c r="E1072" t="inlineStr">
        <is>
          <t>1,00,00,000</t>
        </is>
      </c>
      <c r="F1072" t="inlineStr">
        <is>
          <t>Supply of Various Material at Gram Panchayat MANSHA, Panchayat Samiti Kotri 2025-26 (Yearly Rate Contract)</t>
        </is>
      </c>
      <c r="G1072" t="inlineStr">
        <is>
          <t>GP MANSHA PS KOTRI</t>
        </is>
      </c>
    </row>
    <row r="1073">
      <c r="A1073" s="1" t="n">
        <v>1071</v>
      </c>
      <c r="B1073">
        <f>HYPERLINK("https://eproc.rajasthan.gov.in/nicgep/app?component=%24DirectLink&amp;page=FrontEndViewTender&amp;service=direct&amp;session=T&amp;sp=SzJrERwpeyQ3e5WyBKcHdOg%3D%3D", "Rate Contract for Construction Material and Equipments for MGNREGS works for the Year 2025-26 panchayat samiti JHALRAPATAN District Jhalawar At Gram Panchayats TITARWASA")</f>
        <v/>
      </c>
      <c r="C1073" t="inlineStr">
        <is>
          <t>Panchayati Raj Department||Secretary and Commissioner||CEO- JHALAWAR||BDO-JHALRAPATAN</t>
        </is>
      </c>
      <c r="D1073" t="inlineStr">
        <is>
          <t>26-May-2025 05:00 PM</t>
        </is>
      </c>
      <c r="E1073" t="inlineStr">
        <is>
          <t>80,00,000</t>
        </is>
      </c>
      <c r="F1073" t="inlineStr">
        <is>
          <t>Rate Contract for Construction Material and Equipments for MGNREGS works for the Year 2025-26 panchayat samiti JHALRAPATAN District Jhalawar At Gram Panchayats TITARWASA</t>
        </is>
      </c>
      <c r="G1073" t="inlineStr">
        <is>
          <t>JHALAWAR</t>
        </is>
      </c>
    </row>
    <row r="1074">
      <c r="A1074" s="1" t="n">
        <v>1072</v>
      </c>
      <c r="B1074">
        <f>HYPERLINK("https://eproc.rajasthan.gov.in/nicgep/app?component=%24DirectLink&amp;page=FrontEndViewTender&amp;service=direct&amp;session=T&amp;sp=SOBtWZn0%2B9SkWqKJh6LyzAQ%3D%3D", "Rate Contract for Construction Material and Equipments for MGNREGS works for the Year 2025-26 panchayat samiti JHALRAPATAN District Jhalawar At Gram Panchayats KALMANDI KALAN")</f>
        <v/>
      </c>
      <c r="C1074" t="inlineStr">
        <is>
          <t>Panchayati Raj Department||Secretary and Commissioner||CEO- JHALAWAR||BDO-JHALRAPATAN</t>
        </is>
      </c>
      <c r="D1074" t="inlineStr">
        <is>
          <t>26-May-2025 05:00 PM</t>
        </is>
      </c>
      <c r="E1074" t="inlineStr">
        <is>
          <t>80,00,000</t>
        </is>
      </c>
      <c r="F1074" t="inlineStr">
        <is>
          <t>Rate Contract for Construction Material and Equipments for MGNREGS works for the Year 2025-26 panchayat samiti JHALRAPATAN District Jhalawar At Gram Panchayats KALMANDI KALAN</t>
        </is>
      </c>
      <c r="G1074" t="inlineStr">
        <is>
          <t>JHALAWAR</t>
        </is>
      </c>
    </row>
    <row r="1075">
      <c r="A1075" s="1" t="n">
        <v>1073</v>
      </c>
      <c r="B1075">
        <f>HYPERLINK("https://eproc.rajasthan.gov.in/nicgep/app?component=%24DirectLink&amp;page=FrontEndViewTender&amp;service=direct&amp;session=T&amp;sp=SfJ5xEo78hylN%2Bl5vze%2FmFA%3D%3D", "Rate Contract for Construction Material and Equipments for MGNREGS works for the Year 2025-26 panchayat samiti JHALRAPATAN District Jhalawar At Gram Panchayats SALOTIYA")</f>
        <v/>
      </c>
      <c r="C1075" t="inlineStr">
        <is>
          <t>Panchayati Raj Department||Secretary and Commissioner||CEO- JHALAWAR||BDO-JHALRAPATAN</t>
        </is>
      </c>
      <c r="D1075" t="inlineStr">
        <is>
          <t>26-May-2025 05:00 PM</t>
        </is>
      </c>
      <c r="E1075" t="inlineStr">
        <is>
          <t>80,00,000</t>
        </is>
      </c>
      <c r="F1075" t="inlineStr">
        <is>
          <t>Rate Contract for Construction Material and Equipments for MGNREGS works for the Year 2025-26 panchayat samiti JHALRAPATAN District Jhalawar At Gram Panchayats SALOTIYA</t>
        </is>
      </c>
      <c r="G1075" t="inlineStr">
        <is>
          <t>JHALAWAR</t>
        </is>
      </c>
    </row>
    <row r="1076">
      <c r="A1076" s="1" t="n">
        <v>1074</v>
      </c>
      <c r="B1076">
        <f>HYPERLINK("https://eproc.rajasthan.gov.in/nicgep/app?component=%24DirectLink&amp;page=FrontEndViewTender&amp;service=direct&amp;session=T&amp;sp=SXXP%2FhqIPSScXABKkub74bw%3D%3D", "Rate Contract for ConstructAioAn Material and Equipments for MGNREGS works for the Year 2025-26 panchayat samiti JHALRAPATAN District Jhalawar At Gram Panchayats GOVINDPURA")</f>
        <v/>
      </c>
      <c r="C1076" t="inlineStr">
        <is>
          <t>Panchayati Raj Department||Secretary and Commissioner||CEO- JHALAWAR||BDO-JHALRAPATAN</t>
        </is>
      </c>
      <c r="D1076" t="inlineStr">
        <is>
          <t>26-May-2025 05:00 PM</t>
        </is>
      </c>
      <c r="E1076" t="inlineStr">
        <is>
          <t>80,00,000</t>
        </is>
      </c>
      <c r="F1076" t="inlineStr">
        <is>
          <t>Rate Contract for ConstructAioAn Material and Equipments for MGNREGS works for the Year 2025-26 panchayat samiti JHALRAPATAN District Jhalawar At Gram Panchayats GOVINDPURA</t>
        </is>
      </c>
      <c r="G1076" t="inlineStr">
        <is>
          <t>JHALAWAR</t>
        </is>
      </c>
    </row>
    <row r="1077">
      <c r="A1077" s="1" t="n">
        <v>1075</v>
      </c>
      <c r="B1077">
        <f>HYPERLINK("https://eproc.rajasthan.gov.in/nicgep/app?component=%24DirectLink&amp;page=FrontEndViewTender&amp;service=direct&amp;session=T&amp;sp=SQ36nX1JbgwBitrtV1yRLDA%3D%3D", "SUPPLY OF MATERIAL PROVIDING EQUIPMENT UNDER MG NREGA , PANCHAYTIRAJ DEPARTMENT SCHEME AND OTHER EACH WORK AT GP DATA")</f>
        <v/>
      </c>
      <c r="C1077" t="inlineStr">
        <is>
          <t>Panchayati Raj Department||Secretary and Commissioner||CEO- JALORE||BDO-SARNAU</t>
        </is>
      </c>
      <c r="D1077" t="inlineStr">
        <is>
          <t>24-May-2025 05:00 PM</t>
        </is>
      </c>
      <c r="E1077" t="inlineStr">
        <is>
          <t>80,00,000</t>
        </is>
      </c>
      <c r="F1077" t="inlineStr">
        <is>
          <t>SUPPLY OF MATERIAL PROVIDING EQUIPMENT</t>
        </is>
      </c>
      <c r="G1077" t="inlineStr">
        <is>
          <t>sarnau</t>
        </is>
      </c>
    </row>
    <row r="1078">
      <c r="A1078" s="1" t="n">
        <v>1076</v>
      </c>
      <c r="B1078">
        <f>HYPERLINK("https://eproc.rajasthan.gov.in/nicgep/app?component=%24DirectLink&amp;page=FrontEndViewTender&amp;service=direct&amp;session=T&amp;sp=Srt8bvaxmPecL27Fx9ioSEw%3D%3D", "Supply of Various Material at Gram Panchayat BARLA, Panchayat Samiti Kotri 2025-26 (Yearly Rate Contract)")</f>
        <v/>
      </c>
      <c r="C1078" t="inlineStr">
        <is>
          <t>Panchayati Raj Department||Secretary and Commissioner||CEO-PRATAPGARH||BDO-PIPALKHOONT</t>
        </is>
      </c>
      <c r="D1078" t="inlineStr">
        <is>
          <t>25-May-2025 06:00 PM</t>
        </is>
      </c>
      <c r="E1078" t="inlineStr">
        <is>
          <t>1,00,00,000</t>
        </is>
      </c>
      <c r="F1078" t="inlineStr">
        <is>
          <t>Supply of Various Material at Gram Panchayat BARLA, Panchayat Samiti Kotri 2025-26 (Yearly Rate Contract)</t>
        </is>
      </c>
      <c r="G1078" t="inlineStr">
        <is>
          <t>GP BARLA PS KOTRI</t>
        </is>
      </c>
    </row>
    <row r="1079">
      <c r="A1079" s="1" t="n">
        <v>1077</v>
      </c>
      <c r="B1079">
        <f>HYPERLINK("https://eproc.rajasthan.gov.in/nicgep/app?component=%24DirectLink&amp;page=FrontEndViewTender&amp;service=direct&amp;session=T&amp;sp=SMSkoFiMYZdZFUfOkexP1ZA%3D%3D", "Rate Contract for ConstructAioAn Material and Equipments for MGNREGS works for the Year 2025-26 panchayat samiti JHALRAPATAN District Jhalawar At Gram Panchayats ASNAWAR")</f>
        <v/>
      </c>
      <c r="C1079" t="inlineStr">
        <is>
          <t>Panchayati Raj Department||Secretary and Commissioner||CEO- JHALAWAR||BDO-JHALRAPATAN</t>
        </is>
      </c>
      <c r="D1079" t="inlineStr">
        <is>
          <t>26-May-2025 05:00 PM</t>
        </is>
      </c>
      <c r="E1079" t="inlineStr">
        <is>
          <t>80,00,000</t>
        </is>
      </c>
      <c r="F1079" t="inlineStr">
        <is>
          <t>Rate Contract for ConstructAioAn Material and Equipments for MGNREGS works for the Year 2025-26 panchayat samiti JHALRAPATAN District Jhalawar At Gram Panchayats ASNAWAR</t>
        </is>
      </c>
      <c r="G1079" t="inlineStr">
        <is>
          <t>JHALAWAR</t>
        </is>
      </c>
    </row>
    <row r="1080">
      <c r="A1080" s="1" t="n">
        <v>1078</v>
      </c>
      <c r="B1080">
        <f>HYPERLINK("https://eproc.rajasthan.gov.in/nicgep/app?component=%24DirectLink&amp;page=FrontEndViewTender&amp;service=direct&amp;session=T&amp;sp=SYsWdpHF7ueobjWmxXsI4hg%3D%3D", "CC/INTERLOK SADAK MAY NALI NIRMAN KARY GAJRAJ SINGH KI DUKAN SE DHOLA SHAMSAAN GHAT KI AUR GRAM PANCHAYAT RAJNOTA")</f>
        <v/>
      </c>
      <c r="C1080" t="inlineStr">
        <is>
          <t>Panchayati Raj Department||Secretary and Commissioner||CEO- JAIPUR||BDO-PAWTA</t>
        </is>
      </c>
      <c r="D1080" t="inlineStr">
        <is>
          <t>21-May-2025 04:00 PM</t>
        </is>
      </c>
      <c r="E1080" t="inlineStr">
        <is>
          <t>10,00,000</t>
        </is>
      </c>
      <c r="F1080" t="inlineStr">
        <is>
          <t>CC/INTERLOK SADAK MAY NALI NIRMAN KARY GAJRAJ SINGH KI DUKAN SE DHOLA SHAMSAAN GHAT KI AUR GRAM PANCHAYAT RAJNOTA</t>
        </is>
      </c>
      <c r="G1080" t="inlineStr">
        <is>
          <t>GP RAJNOTA</t>
        </is>
      </c>
    </row>
    <row r="1081">
      <c r="A1081" s="1" t="n">
        <v>1079</v>
      </c>
      <c r="B1081">
        <f>HYPERLINK("https://eproc.rajasthan.gov.in/nicgep/app?component=%24DirectLink&amp;page=FrontEndViewTender&amp;service=direct&amp;session=T&amp;sp=SW82rQgfjoFbKln4TIeHtnA%3D%3D", "Rate Contract for Construction Material and Equipments for MGNREGS works for the Year 2025-26 panchayat samiti JHALRAPATAN District Jhalawar At Gram Panchayats KHANPURIYA")</f>
        <v/>
      </c>
      <c r="C1081" t="inlineStr">
        <is>
          <t>Panchayati Raj Department||Secretary and Commissioner||CEO- JHALAWAR||BDO-JHALRAPATAN</t>
        </is>
      </c>
      <c r="D1081" t="inlineStr">
        <is>
          <t>26-May-2025 05:00 PM</t>
        </is>
      </c>
      <c r="E1081" t="inlineStr">
        <is>
          <t>50,00,000</t>
        </is>
      </c>
      <c r="F1081" t="inlineStr">
        <is>
          <t>Rate Contract for Construction Material and Equipments for MGNREGS works for the Year 2025-26 panchayat samiti JHALRAPATAN District Jhalawar At Gram Panchayats KHANPURIYA</t>
        </is>
      </c>
      <c r="G1081" t="inlineStr">
        <is>
          <t>JHALAWAR</t>
        </is>
      </c>
    </row>
    <row r="1082">
      <c r="A1082" s="1" t="n">
        <v>1080</v>
      </c>
      <c r="B1082">
        <f>HYPERLINK("https://eproc.rajasthan.gov.in/nicgep/app?component=%24DirectLink&amp;page=FrontEndViewTender&amp;service=direct&amp;session=T&amp;sp=SXVDnNTobGNZ6ZCd8BtZbLg%3D%3D", "Rate Contract for Construction Material and Equipments for MGNREGS works for the Year 2025-26 panchayat samiti JHALRAPATAN District Jhalawar At Gram Panchayats SALRIYA")</f>
        <v/>
      </c>
      <c r="C1082" t="inlineStr">
        <is>
          <t>Panchayati Raj Department||Secretary and Commissioner||CEO- JHALAWAR||BDO-JHALRAPATAN</t>
        </is>
      </c>
      <c r="D1082" t="inlineStr">
        <is>
          <t>26-May-2025 05:00 PM</t>
        </is>
      </c>
      <c r="E1082" t="inlineStr">
        <is>
          <t>50,00,000</t>
        </is>
      </c>
      <c r="F1082" t="inlineStr">
        <is>
          <t>Rate Contract for Construction Material and Equipments for MGNREGS works for the Year 2025-26 panchayat samiti JHALRAPATAN District Jhalawar At Gram Panchayats SALRIYA</t>
        </is>
      </c>
      <c r="G1082" t="inlineStr">
        <is>
          <t>JHALAWAR</t>
        </is>
      </c>
    </row>
    <row r="1083">
      <c r="A1083" s="1" t="n">
        <v>1081</v>
      </c>
      <c r="B1083">
        <f>HYPERLINK("https://eproc.rajasthan.gov.in/nicgep/app?component=%24DirectLink&amp;page=FrontEndViewTender&amp;service=direct&amp;session=T&amp;sp=SjglOlAFmbY2L0wCY%2FNlpng%3D%3D", "Rate Contract for Construction Material and Equipments for MGNREGS works for the Year 2025-26 panchayat samiti JHALRAPATAN District Jhalawar At Gram Panchayats JUNAKHEDA")</f>
        <v/>
      </c>
      <c r="C1083" t="inlineStr">
        <is>
          <t>Panchayati Raj Department||Secretary and Commissioner||CEO- JHALAWAR||BDO-JHALRAPATAN</t>
        </is>
      </c>
      <c r="D1083" t="inlineStr">
        <is>
          <t>26-May-2025 05:00 PM</t>
        </is>
      </c>
      <c r="E1083" t="inlineStr">
        <is>
          <t>50,00,000</t>
        </is>
      </c>
      <c r="F1083" t="inlineStr">
        <is>
          <t>Rate Contract for Construction Material and Equipments for MGNREGS works for the Year 2025-26 panchayat samiti JHALRAPATAN District Jhalawar At Gram Panchayats JUNAKHEDA</t>
        </is>
      </c>
      <c r="G1083" t="inlineStr">
        <is>
          <t>JHALAWAR</t>
        </is>
      </c>
    </row>
    <row r="1084">
      <c r="A1084" s="1" t="n">
        <v>1082</v>
      </c>
      <c r="B1084">
        <f>HYPERLINK("https://eproc.rajasthan.gov.in/nicgep/app?component=%24DirectLink&amp;page=FrontEndViewTender&amp;service=direct&amp;session=T&amp;sp=SSRtl%2FTNltXRP3xxa4Sh3gw%3D%3D", "MATERIAL SUPPLY TENDER GP RANSISAR JATAN")</f>
        <v/>
      </c>
      <c r="C1084" t="inlineStr">
        <is>
          <t>Panchayati Raj Department||Secretary and Commissioner||CEO-NAGORE||BDO-DIDWANA</t>
        </is>
      </c>
      <c r="D1084" t="inlineStr">
        <is>
          <t>26-May-2025 09:00 AM</t>
        </is>
      </c>
      <c r="E1084" t="inlineStr">
        <is>
          <t>1,00,00,000</t>
        </is>
      </c>
      <c r="F1084" t="inlineStr">
        <is>
          <t>Material and Equipment supply under MGNREGA RD and PRD Schemes in GP RANSISAR JATAN</t>
        </is>
      </c>
      <c r="G1084" t="inlineStr">
        <is>
          <t>GP RANSISAR JATAN</t>
        </is>
      </c>
    </row>
    <row r="1085">
      <c r="A1085" s="1" t="n">
        <v>1083</v>
      </c>
      <c r="B1085">
        <f>HYPERLINK("https://eproc.rajasthan.gov.in/nicgep/app?component=%24DirectLink&amp;page=FrontEndViewTender&amp;service=direct&amp;session=T&amp;sp=SG71xHAqHMvbpubjU2O2ovw%3D%3D", "Rate Contract for Construction Material and Equipments for MGNREGS works for the Year 2025-26 panchayat samiti JHALRAPATAN District Jhalawar At Gram Panchayats BAWDIKHEDA KALAN")</f>
        <v/>
      </c>
      <c r="C1085" t="inlineStr">
        <is>
          <t>Panchayati Raj Department||Secretary and Commissioner||CEO- JHALAWAR||BDO-JHALRAPATAN</t>
        </is>
      </c>
      <c r="D1085" t="inlineStr">
        <is>
          <t>26-May-2025 05:00 PM</t>
        </is>
      </c>
      <c r="E1085" t="inlineStr">
        <is>
          <t>50,00,000</t>
        </is>
      </c>
      <c r="F1085" t="inlineStr">
        <is>
          <t>Rate Contract for Construction Material and Equipments for MGNREGS works for the Year 2025-26 panchayat samiti JHALRAPATAN District Jhalawar At Gram Panchayats BAWDIKHEDA KALAN</t>
        </is>
      </c>
      <c r="G1085" t="inlineStr">
        <is>
          <t>JHALAWAR</t>
        </is>
      </c>
    </row>
    <row r="1086">
      <c r="A1086" s="1" t="n">
        <v>1084</v>
      </c>
      <c r="B1086">
        <f>HYPERLINK("https://eproc.rajasthan.gov.in/nicgep/app?component=%24DirectLink&amp;page=FrontEndViewTender&amp;service=direct&amp;session=T&amp;sp=S%2FUfMz3ATSjDBY%2FcMWJ8uwg%3D%3D", "Gram Panchayat Karangarh Me Mahatma Gandhi Nrega V Anya Yojnantargat Vikas Karyo ke Liye Nirman Samgri Apurti Ka Karya")</f>
        <v/>
      </c>
      <c r="C1086" t="inlineStr">
        <is>
          <t>Panchayati Raj Department||Secretary and Commissioner||CEO- JAIPUR||BDO-TUNGA</t>
        </is>
      </c>
      <c r="D1086" t="inlineStr">
        <is>
          <t>24-May-2025 06:00 PM</t>
        </is>
      </c>
      <c r="E1086" t="inlineStr">
        <is>
          <t>NA</t>
        </is>
      </c>
      <c r="F1086" t="inlineStr">
        <is>
          <t>Gram Panchayat Karangarh Me Mahatma Gandhi Nrega V Anya Yojnantargat Vikas Karyo ke Liye Nirman Samgri Apurti Ka Karya</t>
        </is>
      </c>
      <c r="G1086" t="inlineStr">
        <is>
          <t>KARANGARH</t>
        </is>
      </c>
    </row>
    <row r="1087">
      <c r="A1087" s="1" t="n">
        <v>1085</v>
      </c>
      <c r="B1087">
        <f>HYPERLINK("https://eproc.rajasthan.gov.in/nicgep/app?component=%24DirectLink&amp;page=FrontEndViewTender&amp;service=direct&amp;session=T&amp;sp=S%2BOMinaoQLN0C0WM5w0yFAw%3D%3D", "NREGA TENDER 2025-26 GP MANPURA KHARDA")</f>
        <v/>
      </c>
      <c r="C1087" t="inlineStr">
        <is>
          <t>Panchayati Raj Department||Secretary and Commissioner||CEO-BADMER||BDO-GIDA</t>
        </is>
      </c>
      <c r="D1087" t="inlineStr">
        <is>
          <t>24-May-2025 06:00 PM</t>
        </is>
      </c>
      <c r="E1087" t="inlineStr">
        <is>
          <t>NA</t>
        </is>
      </c>
      <c r="F1087" t="inlineStr">
        <is>
          <t>NREGA TENDER 2025-26 GP MANPURA KHARDA</t>
        </is>
      </c>
      <c r="G1087" t="inlineStr">
        <is>
          <t>MANPURA KHARDA</t>
        </is>
      </c>
    </row>
    <row r="1088">
      <c r="A1088" s="1" t="n">
        <v>1086</v>
      </c>
      <c r="B1088">
        <f>HYPERLINK("https://eproc.rajasthan.gov.in/nicgep/app?component=%24DirectLink&amp;page=FrontEndViewTender&amp;service=direct&amp;session=T&amp;sp=SDr2h8GC8srymEuty6LIykQ%3D%3D", "Work including garbage collection and separation from homes and commercial establishments, road and drain cleaning and community sanitation complex cleaning in all the villages of Gram Panchayat Kesarpur")</f>
        <v/>
      </c>
      <c r="C1088" t="inlineStr">
        <is>
          <t>Panchayati Raj Department||Secretary and Commissioner||CEO-ALWAR||BDO-UMRAIN</t>
        </is>
      </c>
      <c r="D1088" t="inlineStr">
        <is>
          <t>26-May-2025 06:00 PM</t>
        </is>
      </c>
      <c r="E1088" t="inlineStr">
        <is>
          <t>16,00,000</t>
        </is>
      </c>
      <c r="F1088" t="inlineStr">
        <is>
          <t>Work including garbage collection and separation from homes and commercial establishments, road and drain cleaning and community sanitation complex cleaning in all the villages of Gram Panchayat Kesarpur</t>
        </is>
      </c>
      <c r="G1088" t="inlineStr">
        <is>
          <t>GP KESARPUR</t>
        </is>
      </c>
    </row>
    <row r="1089">
      <c r="A1089" s="1" t="n">
        <v>1087</v>
      </c>
      <c r="B1089">
        <f>HYPERLINK("https://eproc.rajasthan.gov.in/nicgep/app?component=%24DirectLink&amp;page=FrontEndViewTender&amp;service=direct&amp;session=T&amp;sp=SCBMkIHrdyksG86UBP7Qr5A%3D%3D", "Rate Contract for Construction Material and Equipments for MGNREGS works for the Year 2025-26 panchayat samiti JHALRAPATAN District Jhalawar At Gram Panchayats MANDAVAR")</f>
        <v/>
      </c>
      <c r="C1089" t="inlineStr">
        <is>
          <t>Panchayati Raj Department||Secretary and Commissioner||CEO- JHALAWAR||BDO-JHALRAPATAN</t>
        </is>
      </c>
      <c r="D1089" t="inlineStr">
        <is>
          <t>26-May-2025 05:00 PM</t>
        </is>
      </c>
      <c r="E1089" t="inlineStr">
        <is>
          <t>50,00,000</t>
        </is>
      </c>
      <c r="F1089" t="inlineStr">
        <is>
          <t>Rate Contract for Construction Material and Equipments for MGNREGS works for the Year 2025-26 panchayat samiti JHALRAPATAN District Jhalawar At Gram Panchayats MANDAVAR</t>
        </is>
      </c>
      <c r="G1089" t="inlineStr">
        <is>
          <t>JHALAWAR</t>
        </is>
      </c>
    </row>
    <row r="1090">
      <c r="A1090" s="1" t="n">
        <v>1088</v>
      </c>
      <c r="B1090">
        <f>HYPERLINK("https://eproc.rajasthan.gov.in/nicgep/app?component=%24DirectLink&amp;page=FrontEndViewTender&amp;service=direct&amp;session=T&amp;sp=S%2BFzmv527QG9vlTUqS6jVuw%3D%3D", "Rate Contract for Construction Material and Equipments for MGNREGS works for the Year 2025-26 panchayat samiti JHALRAPATAN District Jhalawar At Gram Panchayats SAMRAI")</f>
        <v/>
      </c>
      <c r="C1090" t="inlineStr">
        <is>
          <t>Panchayati Raj Department||Secretary and Commissioner||CEO- JHALAWAR||BDO-JHALRAPATAN</t>
        </is>
      </c>
      <c r="D1090" t="inlineStr">
        <is>
          <t>26-May-2025 05:00 PM</t>
        </is>
      </c>
      <c r="E1090" t="inlineStr">
        <is>
          <t>50,00,000</t>
        </is>
      </c>
      <c r="F1090" t="inlineStr">
        <is>
          <t>Rate Contract for Construction Material and Equipments for MGNREGS works for the Year 2025-26 panchayat samiti JHALRAPATAN District Jhalawar At Gram Panchayats SAMRAI</t>
        </is>
      </c>
      <c r="G1090" t="inlineStr">
        <is>
          <t>JHALAWAR</t>
        </is>
      </c>
    </row>
    <row r="1091">
      <c r="A1091" s="1" t="n">
        <v>1089</v>
      </c>
      <c r="B1091">
        <f>HYPERLINK("https://eproc.rajasthan.gov.in/nicgep/app?component=%24DirectLink&amp;page=FrontEndViewTender&amp;service=direct&amp;session=T&amp;sp=ST%2BD8RTlV4UXKwCCcdi9fjw%3D%3D", "RATE CONTRACT FOR SUPPLY OF CONSTRUCTION MATERIAL IN GRAM PANCHAYAT DIVRALA")</f>
        <v/>
      </c>
      <c r="C1091" t="inlineStr">
        <is>
          <t>Panchayati Raj Department||Secretary and Commissioner||CEO-SIKAR||BDO-AJEET GARH</t>
        </is>
      </c>
      <c r="D1091" t="inlineStr">
        <is>
          <t>26-May-2025 06:00 PM</t>
        </is>
      </c>
      <c r="E1091" t="inlineStr">
        <is>
          <t>99,00,000</t>
        </is>
      </c>
      <c r="F1091" t="inlineStr">
        <is>
          <t>RATE CONTRACT FOR SUPPLY OF CONSTRUCTION MATERIAL IN GRAM PANCHAYAT DIVRALA</t>
        </is>
      </c>
      <c r="G1091" t="inlineStr">
        <is>
          <t>GP DIVRALA</t>
        </is>
      </c>
    </row>
    <row r="1092">
      <c r="A1092" s="1" t="n">
        <v>1090</v>
      </c>
      <c r="B1092">
        <f>HYPERLINK("https://eproc.rajasthan.gov.in/nicgep/app?component=%24DirectLink&amp;page=FrontEndViewTender&amp;service=direct&amp;session=T&amp;sp=SiQb6h8f6VnDoK3GTHOPPJw%3D%3D", "Rate Contract for Construction Material and Equipments for MGNREGS works for the Year 2025-26 panchayat samiti JHALRAPATAN District Jhalawar At Gram Panchayats TANDI SOHANPURA")</f>
        <v/>
      </c>
      <c r="C1092" t="inlineStr">
        <is>
          <t>Panchayati Raj Department||Secretary and Commissioner||CEO- JHALAWAR||BDO-JHALRAPATAN</t>
        </is>
      </c>
      <c r="D1092" t="inlineStr">
        <is>
          <t>26-May-2025 05:00 PM</t>
        </is>
      </c>
      <c r="E1092" t="inlineStr">
        <is>
          <t>50,00,000</t>
        </is>
      </c>
      <c r="F1092" t="inlineStr">
        <is>
          <t>Rate Contract for Construction Material and Equipments for MGNREGS works for the Year 2025-26 panchayat samiti JHALRAPATAN District Jhalawar At Gram Panchayats TANDI SOHANPURA</t>
        </is>
      </c>
      <c r="G1092" t="inlineStr">
        <is>
          <t>JHALAWAR</t>
        </is>
      </c>
    </row>
    <row r="1093">
      <c r="A1093" s="1" t="n">
        <v>1091</v>
      </c>
      <c r="B1093">
        <f>HYPERLINK("https://eproc.rajasthan.gov.in/nicgep/app?component=%24DirectLink&amp;page=FrontEndViewTender&amp;service=direct&amp;session=T&amp;sp=S5umHNVyteGdiGUVZO5oi7w%3D%3D", "Rate Contract for Construction Material and Equipments for MGNREGS works for the Year 2025-26 panchayat samiti JHALRAPATAN District Jhalawar At Gram Panchayats BADODIYA")</f>
        <v/>
      </c>
      <c r="C1093" t="inlineStr">
        <is>
          <t>Panchayati Raj Department||Secretary and Commissioner||CEO- JHALAWAR||BDO-JHALRAPATAN</t>
        </is>
      </c>
      <c r="D1093" t="inlineStr">
        <is>
          <t>26-May-2025 05:00 PM</t>
        </is>
      </c>
      <c r="E1093" t="inlineStr">
        <is>
          <t>50,00,000</t>
        </is>
      </c>
      <c r="F1093" t="inlineStr">
        <is>
          <t>Rate Contract for Construction Material and Equipments for MGNREGS works for the Year 2025-26 panchayat samiti JHALRAPATAN District Jhalawar At Gram Panchayats BADODIYA</t>
        </is>
      </c>
      <c r="G1093" t="inlineStr">
        <is>
          <t>JHALAWAR</t>
        </is>
      </c>
    </row>
    <row r="1094">
      <c r="A1094" s="1" t="n">
        <v>1092</v>
      </c>
      <c r="B1094">
        <f>HYPERLINK("https://eproc.rajasthan.gov.in/nicgep/app?component=%24DirectLink&amp;page=FrontEndViewTender&amp;service=direct&amp;session=T&amp;sp=S%2BiCD2CxSRMXUdLuOgNQXSg%3D%3D", "construction matarial GP Harpura")</f>
        <v/>
      </c>
      <c r="C1094" t="inlineStr">
        <is>
          <t>Panchayati Raj Department||Secretary and Commissioner||CEO-AJMER||BDO-SARWAD</t>
        </is>
      </c>
      <c r="D1094" t="inlineStr">
        <is>
          <t>26-May-2025 06:00 PM</t>
        </is>
      </c>
      <c r="E1094" t="inlineStr">
        <is>
          <t>90,00,000</t>
        </is>
      </c>
      <c r="F1094" t="inlineStr">
        <is>
          <t>Construction Matarial</t>
        </is>
      </c>
      <c r="G1094" t="inlineStr">
        <is>
          <t>GP Harpura</t>
        </is>
      </c>
    </row>
    <row r="1095">
      <c r="A1095" s="1" t="n">
        <v>1093</v>
      </c>
      <c r="B1095">
        <f>HYPERLINK("https://eproc.rajasthan.gov.in/nicgep/app?component=%24DirectLink&amp;page=FrontEndViewTender&amp;service=direct&amp;session=T&amp;sp=SBlbNGRc9YatiJIM2XiFzag%3D%3D", "Supply of Construction Material with POI Driver in Scheme MNREGA, SFC , FFC and other scheme for Financial Year 2025-26 in Gram Panchyat Khoontla Salona PS Gangapur city")</f>
        <v/>
      </c>
      <c r="C1095" t="inlineStr">
        <is>
          <t>Panchayati Raj Department||Secretary and Commissioner||CEO-S.MADHOPUR||BDO-GANGAPUR</t>
        </is>
      </c>
      <c r="D1095" t="inlineStr">
        <is>
          <t>27-May-2025 06:00 PM</t>
        </is>
      </c>
      <c r="E1095" t="inlineStr">
        <is>
          <t>50,00,000</t>
        </is>
      </c>
      <c r="F1095" t="inlineStr">
        <is>
          <t>Supply of Construction Material with POI Driver in Scheme MNREGA, SFC , FFC and other scheme for Financial Year 2025-26 in Gram Panchyat Khoontla Salona PS Gangapur city</t>
        </is>
      </c>
      <c r="G1095" t="inlineStr">
        <is>
          <t>GRAM PANCHAYAT KHOONTLA SLAONA</t>
        </is>
      </c>
    </row>
    <row r="1096">
      <c r="A1096" s="1" t="n">
        <v>1094</v>
      </c>
      <c r="B1096">
        <f>HYPERLINK("https://eproc.rajasthan.gov.in/nicgep/app?component=%24DirectLink&amp;page=FrontEndViewTender&amp;service=direct&amp;session=T&amp;sp=Si%2FhWuy%2BPdGRkE2mU91AKkQ%3D%3D", "Rate Contract for Construction Material and Equipments for MGNREGS works for the Year 2025-26 panchayat samiti JHALRAPATAN District Jhalawar At Gram Panchayats KHEDLA")</f>
        <v/>
      </c>
      <c r="C1096" t="inlineStr">
        <is>
          <t>Panchayati Raj Department||Secretary and Commissioner||CEO- JHALAWAR||BDO-JHALRAPATAN</t>
        </is>
      </c>
      <c r="D1096" t="inlineStr">
        <is>
          <t>26-May-2025 05:00 PM</t>
        </is>
      </c>
      <c r="E1096" t="inlineStr">
        <is>
          <t>50,00,000</t>
        </is>
      </c>
      <c r="F1096" t="inlineStr">
        <is>
          <t>Rate Contract for Construction Material and Equipments for MGNREGS works for the Year 2025-26 panchayat samiti JHALRAPATAN District Jhalawar At Gram Panchayats KHEDLA</t>
        </is>
      </c>
      <c r="G1096" t="inlineStr">
        <is>
          <t>JHALAWAR</t>
        </is>
      </c>
    </row>
    <row r="1097">
      <c r="A1097" s="1" t="n">
        <v>1095</v>
      </c>
      <c r="B1097">
        <f>HYPERLINK("https://eproc.rajasthan.gov.in/nicgep/app?component=%24DirectLink&amp;page=FrontEndViewTender&amp;service=direct&amp;session=T&amp;sp=SGE4U1QsZ1iC2259IsXhLVg%3D%3D", "Rate Contract for Construction Material and Equipments for MGNREGS works for the Year 2025-26 panchayat samiti JHALRAPATAN District Jhalawar At Gram Panchayats DONDA")</f>
        <v/>
      </c>
      <c r="C1097" t="inlineStr">
        <is>
          <t>Panchayati Raj Department||Secretary and Commissioner||CEO- JHALAWAR||BDO-JHALRAPATAN</t>
        </is>
      </c>
      <c r="D1097" t="inlineStr">
        <is>
          <t>26-May-2025 05:00 PM</t>
        </is>
      </c>
      <c r="E1097" t="inlineStr">
        <is>
          <t>50,00,000</t>
        </is>
      </c>
      <c r="F1097" t="inlineStr">
        <is>
          <t>Rate Contract for Construction Material and Equipments for MGNREGS works for the Year 2025-26 panchayat samiti JHALRAPATAN District Jhalawar At Gram Panchayats DONDA</t>
        </is>
      </c>
      <c r="G1097" t="inlineStr">
        <is>
          <t>JHALAWAR</t>
        </is>
      </c>
    </row>
    <row r="1098">
      <c r="A1098" s="1" t="n">
        <v>1096</v>
      </c>
      <c r="B1098">
        <f>HYPERLINK("https://eproc.rajasthan.gov.in/nicgep/app?component=%24DirectLink&amp;page=FrontEndViewTender&amp;service=direct&amp;session=T&amp;sp=SvgybGgmc4%2BOcNtShFr2d1g%3D%3D", "CC/INTERLOK SADAK MAY NALI NIRM,AN KARY BIRJU SINGH KE MKAAN SE WALA ROHITASH SINGH KE MKAAN SE HOTE HUYE BHWANI SINMGH KE MKAAN KI AUR GRAM PANCHAYAT RAJNOTA")</f>
        <v/>
      </c>
      <c r="C1098" t="inlineStr">
        <is>
          <t>Panchayati Raj Department||Secretary and Commissioner||CEO- JAIPUR||BDO-PAWTA</t>
        </is>
      </c>
      <c r="D1098" t="inlineStr">
        <is>
          <t>21-May-2025 04:00 PM</t>
        </is>
      </c>
      <c r="E1098" t="inlineStr">
        <is>
          <t>5,00,000</t>
        </is>
      </c>
      <c r="F1098" t="inlineStr">
        <is>
          <t>CC/INTERLOK SADAK MAY NALI NIRM,AN KARY BIRJU SINGH KE MKAAN SE WALA ROHITASH SINGH KE MKAAN SE HOTE HUYE BHWANI SINMGH KE MKAAN KI AUR GRAM PANCHAYAT RAJNOTA</t>
        </is>
      </c>
      <c r="G1098" t="inlineStr">
        <is>
          <t>GP RAJNOTA</t>
        </is>
      </c>
    </row>
    <row r="1099">
      <c r="A1099" s="1" t="n">
        <v>1097</v>
      </c>
      <c r="B1099">
        <f>HYPERLINK("https://eproc.rajasthan.gov.in/nicgep/app?component=%24DirectLink&amp;page=FrontEndViewTender&amp;service=direct&amp;session=T&amp;sp=SzsLNNUF1BAYapWTK85z5lQ%3D%3D", "Rate Contract for Construction Material and Equipments for MGNREGS works for the Year 2025-26 panchayat samiti JHALRAPATAN District Jhalawar At Gram Panchayats LAVASAL")</f>
        <v/>
      </c>
      <c r="C1099" t="inlineStr">
        <is>
          <t>Panchayati Raj Department||Secretary and Commissioner||CEO- JHALAWAR||BDO-JHALRAPATAN</t>
        </is>
      </c>
      <c r="D1099" t="inlineStr">
        <is>
          <t>26-May-2025 05:00 PM</t>
        </is>
      </c>
      <c r="E1099" t="inlineStr">
        <is>
          <t>50,00,000</t>
        </is>
      </c>
      <c r="F1099" t="inlineStr">
        <is>
          <t>Rate Contract for Construction Material and Equipments for MGNREGS works for the Year 2025-26 panchayat samiti JHALRAPATAN District Jhalawar At Gram Panchayats LAVASAL</t>
        </is>
      </c>
      <c r="G1099" t="inlineStr">
        <is>
          <t>JHALAWAR</t>
        </is>
      </c>
    </row>
    <row r="1100">
      <c r="A1100" s="1" t="n">
        <v>1098</v>
      </c>
      <c r="B1100">
        <f>HYPERLINK("https://eproc.rajasthan.gov.in/nicgep/app?component=%24DirectLink&amp;page=FrontEndViewTender&amp;service=direct&amp;session=T&amp;sp=SYnWRc%2BZLpA5m1Xavt71Yqg%3D%3D", "Rate Contract for Construction Material and Equipments for MGNREGS works for the Year 2025-26 panchayat samiti JHALRAPATAN District Jhalawar At Gram Panchayats RUNDLAO")</f>
        <v/>
      </c>
      <c r="C1100" t="inlineStr">
        <is>
          <t>Panchayati Raj Department||Secretary and Commissioner||CEO- JHALAWAR||BDO-JHALRAPATAN</t>
        </is>
      </c>
      <c r="D1100" t="inlineStr">
        <is>
          <t>26-May-2025 05:00 PM</t>
        </is>
      </c>
      <c r="E1100" t="inlineStr">
        <is>
          <t>50,00,000</t>
        </is>
      </c>
      <c r="F1100" t="inlineStr">
        <is>
          <t>Rate Contract for Construction Material and Equipments for MGNREGS works for the Year 2025-26 panchayat samiti JHALRAPATAN District Jhalawar At Gram Panchayats RUNDLAO</t>
        </is>
      </c>
      <c r="G1100" t="inlineStr">
        <is>
          <t>JHALAWAR</t>
        </is>
      </c>
    </row>
    <row r="1101">
      <c r="A1101" s="1" t="n">
        <v>1099</v>
      </c>
      <c r="B1101">
        <f>HYPERLINK("https://eproc.rajasthan.gov.in/nicgep/app?component=%24DirectLink&amp;page=FrontEndViewTender&amp;service=direct&amp;session=T&amp;sp=S8edtgdDFV8h9f8vHr0wzJg%3D%3D", "SUPPLY OF CONSTRUCION MATERAIL FOR NREGA AND OTHER SCHEME IN FY 2025-26 IN GP aastikala")</f>
        <v/>
      </c>
      <c r="C1101" t="inlineStr">
        <is>
          <t>Panchayati Raj Department||Secretary and Commissioner||CEO- JAIPUR||BDO-GOVINDGARH</t>
        </is>
      </c>
      <c r="D1101" t="inlineStr">
        <is>
          <t>04-Jun-2025 10:00 AM</t>
        </is>
      </c>
      <c r="E1101" t="inlineStr">
        <is>
          <t>80,00,000</t>
        </is>
      </c>
      <c r="F1101" t="inlineStr">
        <is>
          <t>SUPPLY OF CONSTRUCION MATERAIL FOR NREGA AND OTHER SCHEME IN FY 2025-26 IN GP aastikala</t>
        </is>
      </c>
      <c r="G1101" t="inlineStr">
        <is>
          <t>Gram panchayat HQ</t>
        </is>
      </c>
    </row>
    <row r="1102">
      <c r="A1102" s="1" t="n">
        <v>1100</v>
      </c>
      <c r="B1102">
        <f>HYPERLINK("https://eproc.rajasthan.gov.in/nicgep/app?component=%24DirectLink&amp;page=FrontEndViewTender&amp;service=direct&amp;session=T&amp;sp=SO2PU6%2FFcYENMNNnlgXp2iw%3D%3D", "MATERIAL SUPPLY TENDER GP SINGHANA")</f>
        <v/>
      </c>
      <c r="C1102" t="inlineStr">
        <is>
          <t>Panchayati Raj Department||Secretary and Commissioner||CEO-NAGORE||BDO-DIDWANA</t>
        </is>
      </c>
      <c r="D1102" t="inlineStr">
        <is>
          <t>26-May-2025 09:00 AM</t>
        </is>
      </c>
      <c r="E1102" t="inlineStr">
        <is>
          <t>1,00,00,000</t>
        </is>
      </c>
      <c r="F1102" t="inlineStr">
        <is>
          <t>Material and Equipment supply under MGNREGA RD and PRD Schemes in GP SINGHANA</t>
        </is>
      </c>
      <c r="G1102" t="inlineStr">
        <is>
          <t>GP SINGHANA</t>
        </is>
      </c>
    </row>
    <row r="1103">
      <c r="A1103" s="1" t="n">
        <v>1101</v>
      </c>
      <c r="B1103">
        <f>HYPERLINK("https://eproc.rajasthan.gov.in/nicgep/app?component=%24DirectLink&amp;page=FrontEndViewTender&amp;service=direct&amp;session=T&amp;sp=S%2BFHSvk3zBmQC0420FveLqQ%3D%3D", "SARVJNIK SAMUDAYIK BHWAN MAY CHARDIWARI NIRMAN KARY GRAM LUNAJI GRAM PANCHAYAT KERODI")</f>
        <v/>
      </c>
      <c r="C1103" t="inlineStr">
        <is>
          <t>Panchayati Raj Department||Secretary and Commissioner||CEO- JAIPUR||BDO-PAWTA</t>
        </is>
      </c>
      <c r="D1103" t="inlineStr">
        <is>
          <t>21-May-2025 04:00 PM</t>
        </is>
      </c>
      <c r="E1103" t="inlineStr">
        <is>
          <t>9,99,880</t>
        </is>
      </c>
      <c r="F1103" t="inlineStr">
        <is>
          <t>SARVJNIK SAMUDAYIK BHWAN MAY CHARDIWARI NIRMAN KARY GRAM LUNAJI GRAM PANCHAYAT KERODI</t>
        </is>
      </c>
      <c r="G1103" t="inlineStr">
        <is>
          <t>GP KERODI</t>
        </is>
      </c>
    </row>
    <row r="1104">
      <c r="A1104" s="1" t="n">
        <v>1102</v>
      </c>
      <c r="B1104">
        <f>HYPERLINK("https://eproc.rajasthan.gov.in/nicgep/app?component=%24DirectLink&amp;page=FrontEndViewTender&amp;service=direct&amp;session=T&amp;sp=SybqgZe1qG8U0KFcJMteMqw%3D%3D", "Rate Contract for Construction Material and Equipments for MGNREGS works for the Year 2025-26 panchayat samiti JHALRAPATAN District Jhalawar At Gram Panchayats PIPLOD")</f>
        <v/>
      </c>
      <c r="C1104" t="inlineStr">
        <is>
          <t>Panchayati Raj Department||Secretary and Commissioner||CEO- JHALAWAR||BDO-JHALRAPATAN</t>
        </is>
      </c>
      <c r="D1104" t="inlineStr">
        <is>
          <t>26-May-2025 05:00 PM</t>
        </is>
      </c>
      <c r="E1104" t="inlineStr">
        <is>
          <t>50,00,000</t>
        </is>
      </c>
      <c r="F1104" t="inlineStr">
        <is>
          <t>Rate Contract for Construction Material and Equipments for MGNREGS works for the Year 2025-26 panchayat samiti JHALRAPATAN District Jhalawar At Gram Panchayats PIPLOD</t>
        </is>
      </c>
      <c r="G1104" t="inlineStr">
        <is>
          <t>JHALAWAR</t>
        </is>
      </c>
    </row>
    <row r="1105">
      <c r="A1105" s="1" t="n">
        <v>1103</v>
      </c>
      <c r="B1105">
        <f>HYPERLINK("https://eproc.rajasthan.gov.in/nicgep/app?component=%24DirectLink&amp;page=FrontEndViewTender&amp;service=direct&amp;session=T&amp;sp=SMP%2FYkiJVSFHh6iRJ%2B4hbQw%3D%3D", "Rate Contract for Construction Material and Equipments for MGNREGS works for the Year 2025-26 panchayat samiti JHALRAPATAN District Jhalawar At Gram Panchayats GORDHANPURA")</f>
        <v/>
      </c>
      <c r="C1105" t="inlineStr">
        <is>
          <t>Panchayati Raj Department||Secretary and Commissioner||CEO- JHALAWAR||BDO-JHALRAPATAN</t>
        </is>
      </c>
      <c r="D1105" t="inlineStr">
        <is>
          <t>26-May-2025 05:00 PM</t>
        </is>
      </c>
      <c r="E1105" t="inlineStr">
        <is>
          <t>50,00,000</t>
        </is>
      </c>
      <c r="F1105" t="inlineStr">
        <is>
          <t>Rate Contract for Construction Material and Equipments for MGNREGS works for the Year 2025-26 panchayat samiti JHALRAPATAN District Jhalawar At Gram Panchayats GORDHANPURA</t>
        </is>
      </c>
      <c r="G1105" t="inlineStr">
        <is>
          <t>JHALAWAR</t>
        </is>
      </c>
    </row>
    <row r="1106">
      <c r="A1106" s="1" t="n">
        <v>1104</v>
      </c>
      <c r="B1106">
        <f>HYPERLINK("https://eproc.rajasthan.gov.in/nicgep/app?component=%24DirectLink&amp;page=FrontEndViewTender&amp;service=direct&amp;session=T&amp;sp=SdsF5FBXVycA%2BRKtsQw8f%2Bg%3D%3D", "Rate Contract for Construction Material and Equipments for MGNREGS works for the Year 2025-26 panchayat samiti JHALRAPATAN District Jhalawar At Gram Panchayats KANWARA")</f>
        <v/>
      </c>
      <c r="C1106" t="inlineStr">
        <is>
          <t>Panchayati Raj Department||Secretary and Commissioner||CEO- JHALAWAR||BDO-JHALRAPATAN</t>
        </is>
      </c>
      <c r="D1106" t="inlineStr">
        <is>
          <t>26-May-2025 05:00 PM</t>
        </is>
      </c>
      <c r="E1106" t="inlineStr">
        <is>
          <t>50,00,000</t>
        </is>
      </c>
      <c r="F1106" t="inlineStr">
        <is>
          <t>Rate Contract for Construction Material and Equipments for MGNREGS works for the Year 2025-26 panchayat samiti JHALRAPATAN District Jhalawar At Gram Panchayats KANWARA</t>
        </is>
      </c>
      <c r="G1106" t="inlineStr">
        <is>
          <t>JHALAWAR</t>
        </is>
      </c>
    </row>
    <row r="1107">
      <c r="A1107" s="1" t="n">
        <v>1105</v>
      </c>
      <c r="B1107">
        <f>HYPERLINK("https://eproc.rajasthan.gov.in/nicgep/app?component=%24DirectLink&amp;page=FrontEndViewTender&amp;service=direct&amp;session=T&amp;sp=SYlFF7TVc4z%2FG9suxpPK4NA%3D%3D", "Rate Contract for Construction Material and Equipments for MGNREGS works for the Year 2025-26 panchayat samiti JHALRAPATAN District Jhalawar At Gram Panchayats JHUMKI")</f>
        <v/>
      </c>
      <c r="C1107" t="inlineStr">
        <is>
          <t>Panchayati Raj Department||Secretary and Commissioner||CEO- JHALAWAR||BDO-JHALRAPATAN</t>
        </is>
      </c>
      <c r="D1107" t="inlineStr">
        <is>
          <t>26-May-2025 05:00 PM</t>
        </is>
      </c>
      <c r="E1107" t="inlineStr">
        <is>
          <t>50,00,000</t>
        </is>
      </c>
      <c r="F1107" t="inlineStr">
        <is>
          <t>Rate Contract for Construction Material and Equipments for MGNREGS works for the Year 2025-26 panchayat samiti JHALRAPATAN District Jhalawar At Gram Panchayats JHUMKI</t>
        </is>
      </c>
      <c r="G1107" t="inlineStr">
        <is>
          <t>JHALAWAR</t>
        </is>
      </c>
    </row>
    <row r="1108">
      <c r="A1108" s="1" t="n">
        <v>1106</v>
      </c>
      <c r="B1108">
        <f>HYPERLINK("https://eproc.rajasthan.gov.in/nicgep/app?component=%24DirectLink&amp;page=FrontEndViewTender&amp;service=direct&amp;session=T&amp;sp=S4g9AaAyVdicdLjUS0O2HHA%3D%3D", "MATERIAL SUPPLY TENDER GP KALWANI")</f>
        <v/>
      </c>
      <c r="C1108" t="inlineStr">
        <is>
          <t>Panchayati Raj Department||Secretary and Commissioner||CEO-NAGORE||BDO-DIDWANA</t>
        </is>
      </c>
      <c r="D1108" t="inlineStr">
        <is>
          <t>26-May-2025 09:00 AM</t>
        </is>
      </c>
      <c r="E1108" t="inlineStr">
        <is>
          <t>1,00,00,000</t>
        </is>
      </c>
      <c r="F1108" t="inlineStr">
        <is>
          <t>Material and Equipment supply under MGNREGA RD and PRD Schemes in GP KALWANI</t>
        </is>
      </c>
      <c r="G1108" t="inlineStr">
        <is>
          <t>GP KALWANI</t>
        </is>
      </c>
    </row>
    <row r="1109">
      <c r="A1109" s="1" t="n">
        <v>1107</v>
      </c>
      <c r="B1109">
        <f>HYPERLINK("https://eproc.rajasthan.gov.in/nicgep/app?component=%24DirectLink&amp;page=FrontEndViewTender&amp;service=direct&amp;session=T&amp;sp=SlEHwji6uQWfeK1ZDOIbhlA%3D%3D", "Work including garbage collection and separation from every house (residential and commercial), road and drain cleaning, and cleaning of community sanitation complex in all the villages of Gram Panchayat mahukhurd")</f>
        <v/>
      </c>
      <c r="C1109" t="inlineStr">
        <is>
          <t>Panchayati Raj Department||Secretary and Commissioner||CEO-DAUSA||BDO-BAIJUPADA</t>
        </is>
      </c>
      <c r="D1109" t="inlineStr">
        <is>
          <t>22-May-2025 06:00 PM</t>
        </is>
      </c>
      <c r="E1109" t="inlineStr">
        <is>
          <t>3,54,000</t>
        </is>
      </c>
      <c r="F1109" t="inlineStr">
        <is>
          <t>Work including garbage collection and separation from every house (residential and commercial), road and drain cleaning, and cleaning of community sanitation complex in all the villages of Gram Panchayat mahukhurd</t>
        </is>
      </c>
      <c r="G1109" t="inlineStr">
        <is>
          <t>Gram Panchayat mahukhurd</t>
        </is>
      </c>
    </row>
    <row r="1110">
      <c r="A1110" s="1" t="n">
        <v>1108</v>
      </c>
      <c r="B1110">
        <f>HYPERLINK("https://eproc.rajasthan.gov.in/nicgep/app?component=%24DirectLink&amp;page=FrontEndViewTender&amp;service=direct&amp;session=T&amp;sp=SyGxlF5N9XwUwDI6ZTLy4XA%3D%3D", "Rate Contract for ConstructAioAn Material and Equipments for MGNREGS works for the Year 2025-26 panchayat samiti JHALRAPATAN District Jhalawar At Gram Panchayats DUNGARGAON")</f>
        <v/>
      </c>
      <c r="C1110" t="inlineStr">
        <is>
          <t>Panchayati Raj Department||Secretary and Commissioner||CEO- JHALAWAR||BDO-JHALRAPATAN</t>
        </is>
      </c>
      <c r="D1110" t="inlineStr">
        <is>
          <t>26-May-2025 05:00 PM</t>
        </is>
      </c>
      <c r="E1110" t="inlineStr">
        <is>
          <t>50,00,000</t>
        </is>
      </c>
      <c r="F1110" t="inlineStr">
        <is>
          <t>Rate Contract for ConstructAioAn Material and Equipments for MGNREGS works for the Year 2025-26 panchayat samiti JHALRAPATAN District Jhalawar At Gram Panchayats DUNGARGAON</t>
        </is>
      </c>
      <c r="G1110" t="inlineStr">
        <is>
          <t>JHALAWAR</t>
        </is>
      </c>
    </row>
    <row r="1111">
      <c r="A1111" s="1" t="n">
        <v>1109</v>
      </c>
      <c r="B1111">
        <f>HYPERLINK("https://eproc.rajasthan.gov.in/nicgep/app?component=%24DirectLink&amp;page=FrontEndViewTender&amp;service=direct&amp;session=T&amp;sp=SbMg%2BrsJ%2Fi4b%2FSUFfOmuw3A%3D%3D", "Rate Contract for ConstructAioAn Material and Equipments for MGNREGS works for the Year 2025-26 panchayat samiti JHALRAPATAN District Jhalawar At Gram Panchayats GAGRON")</f>
        <v/>
      </c>
      <c r="C1111" t="inlineStr">
        <is>
          <t>Panchayati Raj Department||Secretary and Commissioner||CEO- JHALAWAR||BDO-JHALRAPATAN</t>
        </is>
      </c>
      <c r="D1111" t="inlineStr">
        <is>
          <t>26-May-2025 05:00 PM</t>
        </is>
      </c>
      <c r="E1111" t="inlineStr">
        <is>
          <t>50,00,000</t>
        </is>
      </c>
      <c r="F1111" t="inlineStr">
        <is>
          <t>Rate Contract for ConstructAioAn Material and Equipments for MGNREGS works for the Year 2025-26 panchayat samiti JHALRAPATAN District Jhalawar At Gram Panchayats GAGRON</t>
        </is>
      </c>
      <c r="G1111" t="inlineStr">
        <is>
          <t>JHALAWAR</t>
        </is>
      </c>
    </row>
    <row r="1112">
      <c r="A1112" s="1" t="n">
        <v>1110</v>
      </c>
      <c r="B1112">
        <f>HYPERLINK("https://eproc.rajasthan.gov.in/nicgep/app?component=%24DirectLink&amp;page=FrontEndViewTender&amp;service=direct&amp;session=T&amp;sp=S7r4VjPnSoU8rOYZmeLRcIg%3D%3D", "Rate Contract for ConstructAioAn Material and Equipments for MGNREGS works for the Year 2025-26 panchayat samiti JHALRAPATAN District Jhalawar At Gram Panchayats RUPARAIL")</f>
        <v/>
      </c>
      <c r="C1112" t="inlineStr">
        <is>
          <t>Panchayati Raj Department||Secretary and Commissioner||CEO- JHALAWAR||BDO-JHALRAPATAN</t>
        </is>
      </c>
      <c r="D1112" t="inlineStr">
        <is>
          <t>26-May-2025 05:00 PM</t>
        </is>
      </c>
      <c r="E1112" t="inlineStr">
        <is>
          <t>50,00,000</t>
        </is>
      </c>
      <c r="F1112" t="inlineStr">
        <is>
          <t>Rate Contract for ConstructAioAn Material and Equipments for MGNREGS works for the Year 2025-26 panchayat samiti JHALRAPATAN District Jhalawar At Gram Panchayats RUPARAIL</t>
        </is>
      </c>
      <c r="G1112" t="inlineStr">
        <is>
          <t>JHALAWAR</t>
        </is>
      </c>
    </row>
    <row r="1113">
      <c r="A1113" s="1" t="n">
        <v>1111</v>
      </c>
      <c r="B1113">
        <f>HYPERLINK("https://eproc.rajasthan.gov.in/nicgep/app?component=%24DirectLink&amp;page=FrontEndViewTender&amp;service=direct&amp;session=T&amp;sp=S70Z6so3ZX2xuL3YYcaNo3Q%3D%3D", "Rate Contract for ConstructAioAn Material and Equipments for MGNREGS works for the Year 2025-26 panchayat samiti JHALRAPATAN District Jhalawar At Gram Panchayats BORDA")</f>
        <v/>
      </c>
      <c r="C1113" t="inlineStr">
        <is>
          <t>Panchayati Raj Department||Secretary and Commissioner||CEO- JHALAWAR||BDO-JHALRAPATAN</t>
        </is>
      </c>
      <c r="D1113" t="inlineStr">
        <is>
          <t>26-May-2025 05:00 PM</t>
        </is>
      </c>
      <c r="E1113" t="inlineStr">
        <is>
          <t>50,00,000</t>
        </is>
      </c>
      <c r="F1113" t="inlineStr">
        <is>
          <t>Rate Contract for ConstructAioAn Material and Equipments for MGNREGS works for the Year 2025-26 panchayat samiti JHALRAPATAN District Jhalawar At Gram Panchayats BORDA</t>
        </is>
      </c>
      <c r="G1113" t="inlineStr">
        <is>
          <t>JHALAWAR</t>
        </is>
      </c>
    </row>
    <row r="1114">
      <c r="A1114" s="1" t="n">
        <v>1112</v>
      </c>
      <c r="B1114">
        <f>HYPERLINK("https://eproc.rajasthan.gov.in/nicgep/app?component=%24DirectLink&amp;page=FrontEndViewTender&amp;service=direct&amp;session=T&amp;sp=SRNRcc%2F0NnncsZgdxTbSiXQ%3D%3D", "Rate Contract for ConstructAioAn Material and Equipments for MGNREGS works for the Year 2025-26 panchayat samiti JHALRAPATAN District Jhalawar At Gram Panchayats KOLANA")</f>
        <v/>
      </c>
      <c r="C1114" t="inlineStr">
        <is>
          <t>Panchayati Raj Department||Secretary and Commissioner||CEO- JHALAWAR||BDO-JHALRAPATAN</t>
        </is>
      </c>
      <c r="D1114" t="inlineStr">
        <is>
          <t>26-May-2025 05:00 PM</t>
        </is>
      </c>
      <c r="E1114" t="inlineStr">
        <is>
          <t>50,00,000</t>
        </is>
      </c>
      <c r="F1114" t="inlineStr">
        <is>
          <t>Rate Contract for ConstructAioAn Material and Equipments for MGNREGS works for the Year 2025-26 panchayat samiti JHALRAPATAN District Jhalawar At Gram Panchayats KOLANA</t>
        </is>
      </c>
      <c r="G1114" t="inlineStr">
        <is>
          <t>JHALAWAR</t>
        </is>
      </c>
    </row>
    <row r="1115">
      <c r="A1115" s="1" t="n">
        <v>1113</v>
      </c>
      <c r="B1115">
        <f>HYPERLINK("https://eproc.rajasthan.gov.in/nicgep/app?component=%24DirectLink&amp;page=FrontEndViewTender&amp;service=direct&amp;session=T&amp;sp=SU9hACMFJS7gHpCCXYRWZcQ%3D%3D", "SUPPLY OF CONSTRUCION MATERAIL FOR NREGA AND OTHER SCHEME IN FY 2025-26 IN GP bhuteda")</f>
        <v/>
      </c>
      <c r="C1115" t="inlineStr">
        <is>
          <t>Panchayati Raj Department||Secretary and Commissioner||CEO- JAIPUR||BDO-GOVINDGARH</t>
        </is>
      </c>
      <c r="D1115" t="inlineStr">
        <is>
          <t>04-Jun-2025 10:00 AM</t>
        </is>
      </c>
      <c r="E1115" t="inlineStr">
        <is>
          <t>50,00,000</t>
        </is>
      </c>
      <c r="F1115" t="inlineStr">
        <is>
          <t>SUPPLY OF CONSTRUCION MATERAIL FOR NREGA AND OTHER SCHEME IN FY 2025-26 IN GP bhuteda</t>
        </is>
      </c>
      <c r="G1115" t="inlineStr">
        <is>
          <t>Gram panchayat HQ</t>
        </is>
      </c>
    </row>
    <row r="1116">
      <c r="A1116" s="1" t="n">
        <v>1114</v>
      </c>
      <c r="B1116">
        <f>HYPERLINK("https://eproc.rajasthan.gov.in/nicgep/app?component=%24DirectLink&amp;page=FrontEndViewTender&amp;service=direct&amp;session=T&amp;sp=SaGyDf%2BBWft3bwFiF7NkQog%3D%3D", "Rate Contract for ConstructAioAn Material and Equipments for MGNREGS works for the Year 2025-26 panchayat samiti JHALRAPATAN District Jhalawar At Gram Panchayats EKTASA")</f>
        <v/>
      </c>
      <c r="C1116" t="inlineStr">
        <is>
          <t>Panchayati Raj Department||Secretary and Commissioner||CEO- JHALAWAR||BDO-JHALRAPATAN</t>
        </is>
      </c>
      <c r="D1116" t="inlineStr">
        <is>
          <t>26-May-2025 05:00 PM</t>
        </is>
      </c>
      <c r="E1116" t="inlineStr">
        <is>
          <t>50,00,000</t>
        </is>
      </c>
      <c r="F1116" t="inlineStr">
        <is>
          <t>Rate Contract for ConstructAioAn Material and Equipments for MGNREGS works for the Year 2025-26 panchayat samiti JHALRAPATAN District Jhalawar At Gram Panchayats EKTASA</t>
        </is>
      </c>
      <c r="G1116" t="inlineStr">
        <is>
          <t>JHALAWAR</t>
        </is>
      </c>
    </row>
    <row r="1117">
      <c r="A1117" s="1" t="n">
        <v>1115</v>
      </c>
      <c r="B1117">
        <f>HYPERLINK("https://eproc.rajasthan.gov.in/nicgep/app?component=%24DirectLink&amp;page=FrontEndViewTender&amp;service=direct&amp;session=T&amp;sp=SHoZ6NU%2FAr9hbPsOaj7MxUg%3D%3D", "Rate Contract for ConstructAioAn Material and Equipments for MGNREGS works for the Year 2025-26 panchayat samiti JHALRAPATAN District Jhalawar At Gram Panchayats PANWASA")</f>
        <v/>
      </c>
      <c r="C1117" t="inlineStr">
        <is>
          <t>Panchayati Raj Department||Secretary and Commissioner||CEO- JHALAWAR||BDO-JHALRAPATAN</t>
        </is>
      </c>
      <c r="D1117" t="inlineStr">
        <is>
          <t>26-May-2025 05:00 PM</t>
        </is>
      </c>
      <c r="E1117" t="inlineStr">
        <is>
          <t>50,00,000</t>
        </is>
      </c>
      <c r="F1117" t="inlineStr">
        <is>
          <t>Rate Contract for ConstructAioAn Material and Equipments for MGNREGS works for the Year 2025-26 panchayat samiti JHALRAPATAN District Jhalawar At Gram Panchayats PANWASA</t>
        </is>
      </c>
      <c r="G1117" t="inlineStr">
        <is>
          <t>JHALAWAR</t>
        </is>
      </c>
    </row>
    <row r="1118">
      <c r="A1118" s="1" t="n">
        <v>1116</v>
      </c>
      <c r="B1118">
        <f>HYPERLINK("https://eproc.rajasthan.gov.in/nicgep/app?component=%24DirectLink&amp;page=FrontEndViewTender&amp;service=direct&amp;session=T&amp;sp=S%2FJETrnz%2BcW%2BDIfeIn3JDwA%3D%3D", "Rate Contract for ConstructAioAn Material and Equipments for MGNREGS works for the Year 2025-26 panchayat samiti JHALRAPATAN District Jhalawar At Gram Panchayats DURAGPURA")</f>
        <v/>
      </c>
      <c r="C1118" t="inlineStr">
        <is>
          <t>Panchayati Raj Department||Secretary and Commissioner||CEO- JHALAWAR||BDO-JHALRAPATAN</t>
        </is>
      </c>
      <c r="D1118" t="inlineStr">
        <is>
          <t>26-May-2025 05:00 PM</t>
        </is>
      </c>
      <c r="E1118" t="inlineStr">
        <is>
          <t>50,00,000</t>
        </is>
      </c>
      <c r="F1118" t="inlineStr">
        <is>
          <t>Rate Contract for ConstructAioAn Material and Equipments for MGNREGS works for the Year 2025-26 panchayat samiti JHALRAPATAN District Jhalawar At Gram Panchayats DURAGPURA</t>
        </is>
      </c>
      <c r="G1118" t="inlineStr">
        <is>
          <t>JHALAWAR</t>
        </is>
      </c>
    </row>
    <row r="1119">
      <c r="A1119" s="1" t="n">
        <v>1117</v>
      </c>
      <c r="B1119">
        <f>HYPERLINK("https://eproc.rajasthan.gov.in/nicgep/app?component=%24DirectLink&amp;page=FrontEndViewTender&amp;service=direct&amp;session=T&amp;sp=So%2FoYAK5YYdoFpLK0CAOgXA%3D%3D", "Rate Contract for ConstructAion Material and Equipments for MGNREGS works for the Year 2025-26 panchayat samiti JHALRAPATAN District Jhalawar At Gram Panchayats GIRDHARPURA")</f>
        <v/>
      </c>
      <c r="C1119" t="inlineStr">
        <is>
          <t>Panchayati Raj Department||Secretary and Commissioner||CEO- JHALAWAR||BDO-JHALRAPATAN</t>
        </is>
      </c>
      <c r="D1119" t="inlineStr">
        <is>
          <t>26-May-2025 05:00 PM</t>
        </is>
      </c>
      <c r="E1119" t="inlineStr">
        <is>
          <t>50,00,000</t>
        </is>
      </c>
      <c r="F1119" t="inlineStr">
        <is>
          <t>Rate Contract for ConstructAion Material and Equipments for MGNREGS works for the Year 2025-26 panchayat samiti JHALRAPATAN District Jhalawar At Gram Panchayats GIRDHARPURA</t>
        </is>
      </c>
      <c r="G1119" t="inlineStr">
        <is>
          <t>JHALAWAR</t>
        </is>
      </c>
    </row>
    <row r="1120">
      <c r="A1120" s="1" t="n">
        <v>1118</v>
      </c>
      <c r="B1120">
        <f>HYPERLINK("https://eproc.rajasthan.gov.in/nicgep/app?component=%24DirectLink&amp;page=FrontEndViewTender&amp;service=direct&amp;session=T&amp;sp=Silp82yaJgA5w%2B4BanIcIIw%3D%3D", "cleaning and sanitation work for gp NADANPUR")</f>
        <v/>
      </c>
      <c r="C1120" t="inlineStr">
        <is>
          <t>Panchayati Raj Department||Secretary and Commissioner||CEO-DHOLPUR||BDO-SARMATHURA</t>
        </is>
      </c>
      <c r="D1120" t="inlineStr">
        <is>
          <t>23-May-2025 06:15 PM</t>
        </is>
      </c>
      <c r="E1120" t="inlineStr">
        <is>
          <t>4,53,200</t>
        </is>
      </c>
      <c r="F1120" t="inlineStr">
        <is>
          <t>cleaning and sanitation work for gp NADANPUR</t>
        </is>
      </c>
      <c r="G1120" t="inlineStr">
        <is>
          <t>PS SARMATHURA</t>
        </is>
      </c>
    </row>
    <row r="1121">
      <c r="A1121" s="1" t="n">
        <v>1119</v>
      </c>
      <c r="B1121">
        <f>HYPERLINK("https://eproc.rajasthan.gov.in/nicgep/app?component=%24DirectLink&amp;page=FrontEndViewTender&amp;service=direct&amp;session=T&amp;sp=SGN8E7pQpjPHQgp%2FzzcKNgg%3D%3D", "cleaning and sanitation work for gp bharkunjara")</f>
        <v/>
      </c>
      <c r="C1121" t="inlineStr">
        <is>
          <t>Panchayati Raj Department||Secretary and Commissioner||CEO-DHOLPUR||BDO-SARMATHURA</t>
        </is>
      </c>
      <c r="D1121" t="inlineStr">
        <is>
          <t>23-May-2025 06:00 PM</t>
        </is>
      </c>
      <c r="E1121" t="inlineStr">
        <is>
          <t>5,36,000</t>
        </is>
      </c>
      <c r="F1121" t="inlineStr">
        <is>
          <t>cleaning and sanitation work for gp bharkunjara</t>
        </is>
      </c>
      <c r="G1121" t="inlineStr">
        <is>
          <t>PS SARMATHURA</t>
        </is>
      </c>
    </row>
    <row r="1122">
      <c r="A1122" s="1" t="n">
        <v>1120</v>
      </c>
      <c r="B1122">
        <f>HYPERLINK("https://eproc.rajasthan.gov.in/nicgep/app?component=%24DirectLink&amp;page=FrontEndViewTender&amp;service=direct&amp;session=T&amp;sp=SXkiKcCFQsxTcFeUGgVP83g%3D%3D", "SUPPLY OF CONSTRUCION MATERAIL FOR NREGA AND OTHER SCHEME IN FY 2025-26 IN GP anatpura jetpura")</f>
        <v/>
      </c>
      <c r="C1122" t="inlineStr">
        <is>
          <t>Panchayati Raj Department||Secretary and Commissioner||CEO- JAIPUR||BDO-GOVINDGARH</t>
        </is>
      </c>
      <c r="D1122" t="inlineStr">
        <is>
          <t>04-Jun-2025 10:00 AM</t>
        </is>
      </c>
      <c r="E1122" t="inlineStr">
        <is>
          <t>50,00,000</t>
        </is>
      </c>
      <c r="F1122" t="inlineStr">
        <is>
          <t>SUPPLY OF CONSTRUCION MATERAIL FOR NREGA AND OTHER SCHEME IN FY 2025-26 IN GP anatpura jetpura</t>
        </is>
      </c>
      <c r="G1122" t="inlineStr">
        <is>
          <t>Gram panchayat HQ</t>
        </is>
      </c>
    </row>
    <row r="1123">
      <c r="A1123" s="1" t="n">
        <v>1121</v>
      </c>
      <c r="B1123">
        <f>HYPERLINK("https://eproc.rajasthan.gov.in/nicgep/app?component=%24DirectLink&amp;page=FrontEndViewTender&amp;service=direct&amp;session=T&amp;sp=SxKrWIq7kowOKq94pXk8i2A%3D%3D", "gram panchayat girdharpura sahpura me mahatma gandhi govt school ki char diwari my gate nirman karya")</f>
        <v/>
      </c>
      <c r="C1123" t="inlineStr">
        <is>
          <t>Panchayati Raj Department||Secretary and Commissioner||CEO-JHUNJHUNU||BDO-NAVALGARH</t>
        </is>
      </c>
      <c r="D1123" t="inlineStr">
        <is>
          <t>26-May-2025 06:00 PM</t>
        </is>
      </c>
      <c r="E1123" t="inlineStr">
        <is>
          <t>9,00,000</t>
        </is>
      </c>
      <c r="F1123" t="inlineStr">
        <is>
          <t>gram panchayat girdharpura sahpura me mahatma gandhi govt school ki char diwari my gate nirman karya</t>
        </is>
      </c>
      <c r="G1123" t="inlineStr">
        <is>
          <t>GRAM PANCHAYAT GIRDHARPURA SAHPURA</t>
        </is>
      </c>
    </row>
    <row r="1124">
      <c r="A1124" s="1" t="n">
        <v>1122</v>
      </c>
      <c r="B1124">
        <f>HYPERLINK("https://eproc.rajasthan.gov.in/nicgep/app?component=%24DirectLink&amp;page=FrontEndViewTender&amp;service=direct&amp;session=T&amp;sp=Sa3Wo%2BVTz%2FWdK60rtOWyTAg%3D%3D", "COLLECTION OF WASTE FROM HOME AND BUSSINES UNIT, CLEANING OF ROADS AND SEWARAGE LINE, CLAENING OF CSC IN SBM-G SCHEME FY 2025-26 AT GRAM PANCHAYAT SALKHA")</f>
        <v/>
      </c>
      <c r="C1124" t="inlineStr">
        <is>
          <t>Panchayati Raj Department||Secretary and Commissioner||CEO- JAISALMER||BDO-SAM</t>
        </is>
      </c>
      <c r="D1124" t="inlineStr">
        <is>
          <t>26-May-2025 06:00 PM</t>
        </is>
      </c>
      <c r="E1124" t="inlineStr">
        <is>
          <t>11,64,000</t>
        </is>
      </c>
      <c r="F1124" t="inlineStr">
        <is>
          <t>COLLECTION OF WASTE FROM HOME AND BUSSINES UNIT, CLEANING OF ROADS AND SEWARAGE LINE, CLAENING OF CSC IN SBM-G SCHEME FY 2025-26 AT GRAM PANCHAYAT SALKHA</t>
        </is>
      </c>
      <c r="G1124" t="inlineStr">
        <is>
          <t>JAISALMER</t>
        </is>
      </c>
    </row>
    <row r="1125">
      <c r="A1125" s="1" t="n">
        <v>1123</v>
      </c>
      <c r="B1125">
        <f>HYPERLINK("https://eproc.rajasthan.gov.in/nicgep/app?component=%24DirectLink&amp;page=FrontEndViewTender&amp;service=direct&amp;session=T&amp;sp=S9e%2BNbJ5PA9Z4wYvDyC1bCQ%3D%3D", "COLLECTION OF WASTE FROM HOME AND BUSSINES UNIT, CLEANING OF ROADS AND SEWARAGE LINE, CLAENING OF CSC IN SBM-G SCHEME FY 2025-26 AT GRAM PANCHAYAT DABARI")</f>
        <v/>
      </c>
      <c r="C1125" t="inlineStr">
        <is>
          <t>Panchayati Raj Department||Secretary and Commissioner||CEO- JAISALMER||BDO-SAM</t>
        </is>
      </c>
      <c r="D1125" t="inlineStr">
        <is>
          <t>26-May-2025 06:00 PM</t>
        </is>
      </c>
      <c r="E1125" t="inlineStr">
        <is>
          <t>16,83,000</t>
        </is>
      </c>
      <c r="F1125" t="inlineStr">
        <is>
          <t>COLLECTION OF WASTE FROM HOME AND BUSSINES UNIT, CLEANING OF ROADS AND SEWARAGE LINE, CLAENING OF CSC IN SBM-G SCHEME FY 2025-26 AT GRAM PANCHAYAT DABARI</t>
        </is>
      </c>
      <c r="G1125" t="inlineStr">
        <is>
          <t>JAISALMER</t>
        </is>
      </c>
    </row>
    <row r="1126">
      <c r="A1126" s="1" t="n">
        <v>1124</v>
      </c>
      <c r="B1126">
        <f>HYPERLINK("https://eproc.rajasthan.gov.in/nicgep/app?component=%24DirectLink&amp;page=FrontEndViewTender&amp;service=direct&amp;session=T&amp;sp=SjmIDUgovk%2B%2BDovy8vzOM3Q%3D%3D", "TUBEWEL WITH SOLAR LIGHT JAJWA")</f>
        <v/>
      </c>
      <c r="C1126" t="inlineStr">
        <is>
          <t>Panchayati Raj Department||Secretary and Commissioner||CEO-BADMER||BDO-BARMER</t>
        </is>
      </c>
      <c r="D1126" t="inlineStr">
        <is>
          <t>30-May-2025 03:00 PM</t>
        </is>
      </c>
      <c r="E1126" t="inlineStr">
        <is>
          <t>10,99,908</t>
        </is>
      </c>
      <c r="F1126" t="inlineStr">
        <is>
          <t>TUBEWEL WITH SOLAR LIGHT JAJWA</t>
        </is>
      </c>
      <c r="G1126" t="inlineStr">
        <is>
          <t>BARMER</t>
        </is>
      </c>
    </row>
    <row r="1127">
      <c r="A1127" s="1" t="n">
        <v>1125</v>
      </c>
      <c r="B1127">
        <f>HYPERLINK("https://eproc.rajasthan.gov.in/nicgep/app?component=%24DirectLink&amp;page=FrontEndViewTender&amp;service=direct&amp;session=T&amp;sp=SQra0Myj5KjbfYSV%2FNXJJLA%3D%3D", "NAREGA AND OTHER SCHEME METERIAL SUPPLY RAIPUR PATAN FY 2025-26")</f>
        <v/>
      </c>
      <c r="C1127" t="inlineStr">
        <is>
          <t>Panchayati Raj Department||Secretary and Commissioner||CEO-SIKAR||BDO-PATAN</t>
        </is>
      </c>
      <c r="D1127" t="inlineStr">
        <is>
          <t>27-May-2025 06:00 PM</t>
        </is>
      </c>
      <c r="E1127" t="inlineStr">
        <is>
          <t>25,00,000</t>
        </is>
      </c>
      <c r="F1127" t="inlineStr">
        <is>
          <t>NAREGA AND OTHER SCHEME METERIAL SUPPLY RAIPUR PATAN FY 2025-26</t>
        </is>
      </c>
      <c r="G1127" t="inlineStr">
        <is>
          <t>GP RAIPUR PATAN</t>
        </is>
      </c>
    </row>
    <row r="1128">
      <c r="A1128" s="1" t="n">
        <v>1126</v>
      </c>
      <c r="B1128">
        <f>HYPERLINK("https://eproc.rajasthan.gov.in/nicgep/app?component=%24DirectLink&amp;page=FrontEndViewTender&amp;service=direct&amp;session=T&amp;sp=SVm6vJAwu6xtXBvhh%2FtroEg%3D%3D", "Work including garbage collection and separation from every house (residential and commercial), road and drain cleaning, and cleaning of community sanitation complex in all the villages of Gram Panchayat jolar panchayat samiti dhamotar")</f>
        <v/>
      </c>
      <c r="C1128" t="inlineStr">
        <is>
          <t>Panchayati Raj Department||Secretary and Commissioner||CEO-PRATAPGARH||BDO-DHAMOTAR</t>
        </is>
      </c>
      <c r="D1128" t="inlineStr">
        <is>
          <t>19-May-2025 02:00 PM</t>
        </is>
      </c>
      <c r="E1128" t="inlineStr">
        <is>
          <t>2,60,000</t>
        </is>
      </c>
      <c r="F1128" t="inlineStr">
        <is>
          <t>Work including garbage collection and separation from every house (residential and commercial), road and drain cleaning, and cleaning of community sanitation complex in all the villages of Gram Panchayat jolar panchayat samiti dhamotar</t>
        </is>
      </c>
      <c r="G1128" t="inlineStr">
        <is>
          <t>jolar</t>
        </is>
      </c>
    </row>
    <row r="1129">
      <c r="A1129" s="1" t="n">
        <v>1127</v>
      </c>
      <c r="B1129">
        <f>HYPERLINK("https://eproc.rajasthan.gov.in/nicgep/app?component=%24DirectLink&amp;page=FrontEndViewTender&amp;service=direct&amp;session=T&amp;sp=SerDlLYTbAngLKcoXQ%2FHULA%3D%3D", "METERIAL SUPPLY WORKS GP ODRA")</f>
        <v/>
      </c>
      <c r="C1129" t="inlineStr">
        <is>
          <t>Panchayati Raj Department||Secretary and Commissioner||CEO-ALWAR||BDO-KISHANGARHWAS</t>
        </is>
      </c>
      <c r="D1129" t="inlineStr">
        <is>
          <t>21-May-2025 06:00 PM</t>
        </is>
      </c>
      <c r="E1129" t="inlineStr">
        <is>
          <t>NA</t>
        </is>
      </c>
      <c r="F1129" t="inlineStr">
        <is>
          <t>METERIAL SUPPLY WORKS GP ODRA</t>
        </is>
      </c>
      <c r="G1129" t="inlineStr">
        <is>
          <t>GP ODRA</t>
        </is>
      </c>
    </row>
    <row r="1130">
      <c r="A1130" s="1" t="n">
        <v>1128</v>
      </c>
      <c r="B1130">
        <f>HYPERLINK("https://eproc.rajasthan.gov.in/nicgep/app?component=%24DirectLink&amp;page=FrontEndViewTender&amp;service=direct&amp;session=T&amp;sp=SASPTCt9jqMLnez27yS4%2BPQ%3D%3D", "construction matarial GP Syar")</f>
        <v/>
      </c>
      <c r="C1130" t="inlineStr">
        <is>
          <t>Panchayati Raj Department||Secretary and Commissioner||CEO-AJMER||BDO-SARWAD</t>
        </is>
      </c>
      <c r="D1130" t="inlineStr">
        <is>
          <t>26-May-2025 06:00 PM</t>
        </is>
      </c>
      <c r="E1130" t="inlineStr">
        <is>
          <t>90,00,000</t>
        </is>
      </c>
      <c r="F1130" t="inlineStr">
        <is>
          <t>Construction matarial</t>
        </is>
      </c>
      <c r="G1130" t="inlineStr">
        <is>
          <t>GP Syar</t>
        </is>
      </c>
    </row>
    <row r="1131">
      <c r="A1131" s="1" t="n">
        <v>1129</v>
      </c>
      <c r="B1131">
        <f>HYPERLINK("https://eproc.rajasthan.gov.in/nicgep/app?component=%24DirectLink&amp;page=FrontEndViewTender&amp;service=direct&amp;session=T&amp;sp=SSEPXngsyHlNrLCvCzNCwrg%3D%3D", "Garbage collection, separation, road and drain cleaning and community sanitation, campus cleaning work GP CHARNET PS DEOLI")</f>
        <v/>
      </c>
      <c r="C1131" t="inlineStr">
        <is>
          <t>Panchayati Raj Department||Secretary and Commissioner||CEO-TONK||BDO-DEOLI</t>
        </is>
      </c>
      <c r="D1131" t="inlineStr">
        <is>
          <t>22-May-2025 06:00 PM</t>
        </is>
      </c>
      <c r="E1131" t="inlineStr">
        <is>
          <t>12,99,000</t>
        </is>
      </c>
      <c r="F1131" t="inlineStr">
        <is>
          <t>Garbage collection, separation, road and drain cleaning and community sanitation, campus cleaning work GP CHARNET PS DEOLI</t>
        </is>
      </c>
      <c r="G1131" t="inlineStr">
        <is>
          <t>GP CHARNET</t>
        </is>
      </c>
    </row>
    <row r="1132">
      <c r="A1132" s="1" t="n">
        <v>1130</v>
      </c>
      <c r="B1132">
        <f>HYPERLINK("https://eproc.rajasthan.gov.in/nicgep/app?component=%24DirectLink&amp;page=FrontEndViewTender&amp;service=direct&amp;session=T&amp;sp=SV0fgGM8xMXUxWjTS%2B%2FmO1A%3D%3D", "Garbage collection, separation, road and drain cleaning and community sanitation, campus cleaning work GP JUNIYA PS DEOLI")</f>
        <v/>
      </c>
      <c r="C1132" t="inlineStr">
        <is>
          <t>Panchayati Raj Department||Secretary and Commissioner||CEO-TONK||BDO-DEOLI</t>
        </is>
      </c>
      <c r="D1132" t="inlineStr">
        <is>
          <t>22-May-2025 06:00 PM</t>
        </is>
      </c>
      <c r="E1132" t="inlineStr">
        <is>
          <t>13,22,000</t>
        </is>
      </c>
      <c r="F1132" t="inlineStr">
        <is>
          <t>Garbage collection, separation, road and drain cleaning and community sanitation, campus cleaning work GP JUNIYA PS DEOLI</t>
        </is>
      </c>
      <c r="G1132" t="inlineStr">
        <is>
          <t>GP JUNIYA</t>
        </is>
      </c>
    </row>
    <row r="1133">
      <c r="A1133" s="1" t="n">
        <v>1131</v>
      </c>
      <c r="B1133">
        <f>HYPERLINK("https://eproc.rajasthan.gov.in/nicgep/app?component=%24DirectLink&amp;page=FrontEndViewTender&amp;service=direct&amp;session=T&amp;sp=SI6yxKJZ80WBextkHbiP15g%3D%3D", "cleaning and sanitation work for gp MADASHIL")</f>
        <v/>
      </c>
      <c r="C1133" t="inlineStr">
        <is>
          <t>Panchayati Raj Department||Secretary and Commissioner||CEO-DHOLPUR||BDO-SARMATHURA</t>
        </is>
      </c>
      <c r="D1133" t="inlineStr">
        <is>
          <t>23-May-2025 06:00 PM</t>
        </is>
      </c>
      <c r="E1133" t="inlineStr">
        <is>
          <t>6,67,600</t>
        </is>
      </c>
      <c r="F1133" t="inlineStr">
        <is>
          <t>cleaning and sanitation work for gp MADASHIL</t>
        </is>
      </c>
      <c r="G1133" t="inlineStr">
        <is>
          <t>PS SARMATHURA</t>
        </is>
      </c>
    </row>
    <row r="1134">
      <c r="A1134" s="1" t="n">
        <v>1132</v>
      </c>
      <c r="B1134">
        <f>HYPERLINK("https://eproc.rajasthan.gov.in/nicgep/app?component=%24DirectLink&amp;page=FrontEndViewTender&amp;service=direct&amp;session=T&amp;sp=SfXcR0gdyBu1aMvftViPc0w%3D%3D", "RATE CONTRACT FOR WORK INCLUDING DOOR TO DOOR (RESIDENTIAL AND COMMERCIAL) GARBAGE COLLECTION AND SEPARATION AND ROAD, DRAIN AND CSC CLEANING ALL VILLAGE OF GRAM PANCHAYAT RAIWASA PS PALSANA DIST SIKAR (RAJ)")</f>
        <v/>
      </c>
      <c r="C1134" t="inlineStr">
        <is>
          <t>Panchayati Raj Department||Secretary and Commissioner||CEO-SIKAR||BDO-PALSANA</t>
        </is>
      </c>
      <c r="D1134" t="inlineStr">
        <is>
          <t>24-May-2025 06:00 PM</t>
        </is>
      </c>
      <c r="E1134" t="inlineStr">
        <is>
          <t>6,00,000</t>
        </is>
      </c>
      <c r="F1134" t="inlineStr">
        <is>
          <t>RATE CONTRACT FOR WORK INCLUDING DOOR TO DOOR (RESIDENTIAL AND COMMERCIAL) GARBAGE COLLECTION AND SEPARATION AND ROAD, DRAIN AND CSC CLEANING ALL VILLAGE OF GRAM PANCHAYAT RAIWASA PS PALSANA DIST SIKAR (RAJ)</t>
        </is>
      </c>
      <c r="G1134" t="inlineStr">
        <is>
          <t>GRAM PANCHAYAT RAIWASA</t>
        </is>
      </c>
    </row>
    <row r="1135">
      <c r="A1135" s="1" t="n">
        <v>1133</v>
      </c>
      <c r="B1135">
        <f>HYPERLINK("https://eproc.rajasthan.gov.in/nicgep/app?component=%24DirectLink&amp;page=FrontEndViewTender&amp;service=direct&amp;session=T&amp;sp=SB%2FkaU9nbVN9rr7DxbxYK4Q%3D%3D", "SUPPLY OF CONSTRUCION MATERAIL FOR NREGA AND OTHER SCHEME IN FY 2025-26 IN GP AMARPURA")</f>
        <v/>
      </c>
      <c r="C1135" t="inlineStr">
        <is>
          <t>Panchayati Raj Department||Secretary and Commissioner||CEO- JAIPUR||BDO-GOVINDGARH</t>
        </is>
      </c>
      <c r="D1135" t="inlineStr">
        <is>
          <t>04-Jun-2025 10:00 AM</t>
        </is>
      </c>
      <c r="E1135" t="inlineStr">
        <is>
          <t>80,00,000</t>
        </is>
      </c>
      <c r="F1135" t="inlineStr">
        <is>
          <t>SUPPLY OF CONSTRUCION MATERAIL FOR NREGA AND OTHER SCHEME IN FY 2025-26 IN GP AMARPURA</t>
        </is>
      </c>
      <c r="G1135" t="inlineStr">
        <is>
          <t>Gram panchayat HQ</t>
        </is>
      </c>
    </row>
    <row r="1136">
      <c r="A1136" s="1" t="n">
        <v>1134</v>
      </c>
      <c r="B1136">
        <f>HYPERLINK("https://eproc.rajasthan.gov.in/nicgep/app?component=%24DirectLink&amp;page=FrontEndViewTender&amp;service=direct&amp;session=T&amp;sp=SdENY20VUq7Gd4Tc8sptn2Q%3D%3D", "SUPPLY OF CONSTRUCION MATERAIL FOR NREGA AND OTHER SCHEME IN FY 2025-26 IN GP anatpura chimanpura")</f>
        <v/>
      </c>
      <c r="C1136" t="inlineStr">
        <is>
          <t>Panchayati Raj Department||Secretary and Commissioner||CEO- JAIPUR||BDO-GOVINDGARH</t>
        </is>
      </c>
      <c r="D1136" t="inlineStr">
        <is>
          <t>04-Jun-2025 10:00 AM</t>
        </is>
      </c>
      <c r="E1136" t="inlineStr">
        <is>
          <t>50,00,000</t>
        </is>
      </c>
      <c r="F1136" t="inlineStr">
        <is>
          <t>SUPPLY OF CONSTRUCION MATERAIL FOR NREGA AND OTHER SCHEME IN FY 2025-26 IN GP anatpura chimanpura</t>
        </is>
      </c>
      <c r="G1136" t="inlineStr">
        <is>
          <t>Gram panchayat HQ</t>
        </is>
      </c>
    </row>
    <row r="1137">
      <c r="A1137" s="1" t="n">
        <v>1135</v>
      </c>
      <c r="B1137">
        <f>HYPERLINK("https://eproc.rajasthan.gov.in/nicgep/app?component=%24DirectLink&amp;page=FrontEndViewTender&amp;service=direct&amp;session=T&amp;sp=SmKLUBnM6TYkC%2Bc%2FFhPtAsA%3D%3D", "cleaning and sanitation work for gp BADARIYA")</f>
        <v/>
      </c>
      <c r="C1137" t="inlineStr">
        <is>
          <t>Panchayati Raj Department||Secretary and Commissioner||CEO-DHOLPUR||BDO-SARMATHURA</t>
        </is>
      </c>
      <c r="D1137" t="inlineStr">
        <is>
          <t>23-May-2025 06:00 PM</t>
        </is>
      </c>
      <c r="E1137" t="inlineStr">
        <is>
          <t>5,68,200</t>
        </is>
      </c>
      <c r="F1137" t="inlineStr">
        <is>
          <t>cleaning and sanitation work for gp BADARIYA</t>
        </is>
      </c>
      <c r="G1137" t="inlineStr">
        <is>
          <t>PS SARMATHURA</t>
        </is>
      </c>
    </row>
    <row r="1138">
      <c r="A1138" s="1" t="n">
        <v>1136</v>
      </c>
      <c r="B1138">
        <f>HYPERLINK("https://eproc.rajasthan.gov.in/nicgep/app?component=%24DirectLink&amp;page=FrontEndViewTender&amp;service=direct&amp;session=T&amp;sp=Sl0DaC%2FKGB1lTFHgcCT0f3A%3D%3D", "Rate contract For supply of Construcation Material and Providing Equipments for MGNREGA in Gram panchayat PATOLI Panchayat samiti Mahwa For FY 2025-26 UP to 31 March 2026 (ITEM WISE RATE AS PEAR ATTACHED G SCHEDULE")</f>
        <v/>
      </c>
      <c r="C1138" t="inlineStr">
        <is>
          <t>Panchayati Raj Department||Secretary and Commissioner||CEO-DAUSA||BDO-MAHUVA</t>
        </is>
      </c>
      <c r="D1138" t="inlineStr">
        <is>
          <t>29-May-2025 05:00 PM</t>
        </is>
      </c>
      <c r="E1138" t="inlineStr">
        <is>
          <t>35,00,000</t>
        </is>
      </c>
      <c r="F1138" t="inlineStr">
        <is>
          <t>Rate contract For supply of Construcation Material and Providing Equipments for MGNREGA in Gram panchayat PATOLI Panchayat samiti Mahwa For FY 2025-26 UP to 31 March 2026 (ITEM WISE RATE AS PEAR ATTACHED G SCHEDULE</t>
        </is>
      </c>
      <c r="G1138" t="inlineStr">
        <is>
          <t>Gram panchayat PATOLI</t>
        </is>
      </c>
    </row>
    <row r="1139">
      <c r="A1139" s="1" t="n">
        <v>1137</v>
      </c>
      <c r="B1139">
        <f>HYPERLINK("https://eproc.rajasthan.gov.in/nicgep/app?component=%24DirectLink&amp;page=FrontEndViewTender&amp;service=direct&amp;session=T&amp;sp=SS2%2FKNzxBUeHQlKhuQiBV5g%3D%3D", "COLLECTION OF WASTE FROM HOME AND BUSSINES UNIT, CLEANING OF ROADS AND SEWARAGE LINE, CLAENING OF CSC IN SBM-G SCHEME FY 2025-26 AT GRAM PANCHAYAT DAV")</f>
        <v/>
      </c>
      <c r="C1139" t="inlineStr">
        <is>
          <t>Panchayati Raj Department||Secretary and Commissioner||CEO- JAISALMER||BDO-SAM</t>
        </is>
      </c>
      <c r="D1139" t="inlineStr">
        <is>
          <t>26-May-2025 06:00 PM</t>
        </is>
      </c>
      <c r="E1139" t="inlineStr">
        <is>
          <t>7,40,000</t>
        </is>
      </c>
      <c r="F1139" t="inlineStr">
        <is>
          <t>COLLECTION OF WASTE FROM HOME AND BUSSINES UNIT, CLEANING OF ROADS AND SEWARAGE LINE, CLAENING OF CSC IN SBM-G SCHEME FY 2025-26 AT GRAM PANCHAYAT DAV</t>
        </is>
      </c>
      <c r="G1139" t="inlineStr">
        <is>
          <t>JAISALMER</t>
        </is>
      </c>
    </row>
    <row r="1140">
      <c r="A1140" s="1" t="n">
        <v>1138</v>
      </c>
      <c r="B1140">
        <f>HYPERLINK("https://eproc.rajasthan.gov.in/nicgep/app?component=%24DirectLink&amp;page=FrontEndViewTender&amp;service=direct&amp;session=T&amp;sp=SDjQsK5jVDdg9DWl%2BcO8eGA%3D%3D", "cleaning and sanitation work for gp LILOTHI")</f>
        <v/>
      </c>
      <c r="C1140" t="inlineStr">
        <is>
          <t>Panchayati Raj Department||Secretary and Commissioner||CEO-DHOLPUR||BDO-SARMATHURA</t>
        </is>
      </c>
      <c r="D1140" t="inlineStr">
        <is>
          <t>23-May-2025 06:00 PM</t>
        </is>
      </c>
      <c r="E1140" t="inlineStr">
        <is>
          <t>5,14,947</t>
        </is>
      </c>
      <c r="F1140" t="inlineStr">
        <is>
          <t>cleaning and sanitation work for gp LILOTHI</t>
        </is>
      </c>
      <c r="G1140" t="inlineStr">
        <is>
          <t>PS SARMATHURA</t>
        </is>
      </c>
    </row>
    <row r="1141">
      <c r="A1141" s="1" t="n">
        <v>1139</v>
      </c>
      <c r="B1141">
        <f>HYPERLINK("https://eproc.rajasthan.gov.in/nicgep/app?component=%24DirectLink&amp;page=FrontEndViewTender&amp;service=direct&amp;session=T&amp;sp=SwWF72wHYXWJq1grfU%2FkOkg%3D%3D", "SUPPLY OF BUILDING MATERIAL AND EQUIPMENT IN GP DEDAWAS JAGIR PS GUDAMALANI")</f>
        <v/>
      </c>
      <c r="C1141" t="inlineStr">
        <is>
          <t>Panchayati Raj Department||Secretary and Commissioner||CEO-BADMER||BDO-GUDHAMALANI</t>
        </is>
      </c>
      <c r="D1141" t="inlineStr">
        <is>
          <t>26-May-2025 06:00 PM</t>
        </is>
      </c>
      <c r="E1141" t="inlineStr">
        <is>
          <t>50,00,000</t>
        </is>
      </c>
      <c r="F1141" t="inlineStr">
        <is>
          <t>SUPPLY OF BUILDING MATERIAL AND EQUIPMENT IN GP DEDAWAS JAGIR PS GUDAMALANI</t>
        </is>
      </c>
      <c r="G1141" t="inlineStr">
        <is>
          <t>GRAM PANCHAYAT DEDAWAS JAGIR PS GUDAMALANI</t>
        </is>
      </c>
    </row>
    <row r="1142">
      <c r="A1142" s="1" t="n">
        <v>1140</v>
      </c>
      <c r="B1142">
        <f>HYPERLINK("https://eproc.rajasthan.gov.in/nicgep/app?component=%24DirectLink&amp;page=FrontEndViewTender&amp;service=direct&amp;session=T&amp;sp=S8TJajbEDapkBol2NXvXiJQ%3D%3D", "Rate Contract for Construction Material and Equipments for MGNREGS works for the Year 2025-26 panchayat samiti BAKANIDistrict Jhalawar At Gram Panchayats DEVRI")</f>
        <v/>
      </c>
      <c r="C1142" t="inlineStr">
        <is>
          <t>Panchayati Raj Department||Secretary and Commissioner||CEO- JHALAWAR||BDO-JHALRAPATAN</t>
        </is>
      </c>
      <c r="D1142" t="inlineStr">
        <is>
          <t>25-May-2025 04:00 PM</t>
        </is>
      </c>
      <c r="E1142" t="inlineStr">
        <is>
          <t>60,00,000</t>
        </is>
      </c>
      <c r="F1142" t="inlineStr">
        <is>
          <t>Rate Contract for Construction Material and Equipments for MGNREGS works for the Year 2025-26 panchayat samiti BAKANIDistrict Jhalawar At Gram Panchayats DEVRI</t>
        </is>
      </c>
      <c r="G1142" t="inlineStr">
        <is>
          <t>JHALAWAR</t>
        </is>
      </c>
    </row>
    <row r="1143">
      <c r="A1143" s="1" t="n">
        <v>1141</v>
      </c>
      <c r="B1143">
        <f>HYPERLINK("https://eproc.rajasthan.gov.in/nicgep/app?component=%24DirectLink&amp;page=FrontEndViewTender&amp;service=direct&amp;session=T&amp;sp=SFCEkqBHu7GxnNPyTwkXBFg%3D%3D", "SUPPLY OF CONSTRUCION MATERAIL FOR NREGA AND OTHER SCHEME IN FY 2025-26 IN GP AALISAR")</f>
        <v/>
      </c>
      <c r="C1143" t="inlineStr">
        <is>
          <t>Panchayati Raj Department||Secretary and Commissioner||CEO- JAIPUR||BDO-GOVINDGARH</t>
        </is>
      </c>
      <c r="D1143" t="inlineStr">
        <is>
          <t>04-Jun-2025 10:00 AM</t>
        </is>
      </c>
      <c r="E1143" t="inlineStr">
        <is>
          <t>60,00,000</t>
        </is>
      </c>
      <c r="F1143" t="inlineStr">
        <is>
          <t>SUPPLY OF CONSTRUCION MATERAIL FOR NREGA AND OTHER SCHEME IN FY 2025-26 IN GP AALISAR</t>
        </is>
      </c>
      <c r="G1143" t="inlineStr">
        <is>
          <t>Gram panchayat HQ</t>
        </is>
      </c>
    </row>
    <row r="1144">
      <c r="A1144" s="1" t="n">
        <v>1142</v>
      </c>
      <c r="B1144">
        <f>HYPERLINK("https://eproc.rajasthan.gov.in/nicgep/app?component=%24DirectLink&amp;page=FrontEndViewTender&amp;service=direct&amp;session=T&amp;sp=SogobfdtIQinitfe8690XhA%3D%3D", "Work including door-to-door residential and commercial garbage collection and separation road and drain cleaning and community sanitation premises cleaning in all villages of Gram Panchayat Patoli Panchayat Samiti Mandawar Dist. Dausa For FY 2025-26")</f>
        <v/>
      </c>
      <c r="C1144" t="inlineStr">
        <is>
          <t>Panchayati Raj Department||Secretary and Commissioner||CEO-DAUSA||BDO-MAHUVA</t>
        </is>
      </c>
      <c r="D1144" t="inlineStr">
        <is>
          <t>24-May-2025 05:00 PM</t>
        </is>
      </c>
      <c r="E1144" t="inlineStr">
        <is>
          <t>6,77,427</t>
        </is>
      </c>
      <c r="F1144" t="inlineStr">
        <is>
          <t>Work including door-to-door residential and commercial garbage collection and separation road and drain cleaning and community sanitation premises cleaning in all villages of Gram Panchayat Patoli Panchayat Samiti Mandawar Dist. Dausa For FY 2025-26</t>
        </is>
      </c>
      <c r="G1144" t="inlineStr">
        <is>
          <t>Gram Panchayat Patoli</t>
        </is>
      </c>
    </row>
    <row r="1145">
      <c r="A1145" s="1" t="n">
        <v>1143</v>
      </c>
      <c r="B1145">
        <f>HYPERLINK("https://eproc.rajasthan.gov.in/nicgep/app?component=%24DirectLink&amp;page=FrontEndViewTender&amp;service=direct&amp;session=T&amp;sp=SaMDTinnTfKAkVyKlbkZnpw%3D%3D", "COLLECTION OF WASTE FROM HOME AND BUSSINES UNIT, CLEANING OF ROADS AND SEWARAGE LINE, CLAENING OF CSC IN SBM-G SCHEME FY 2025-26 AT GRAM PANCHAYAT DHANANA")</f>
        <v/>
      </c>
      <c r="C1145" t="inlineStr">
        <is>
          <t>Panchayati Raj Department||Secretary and Commissioner||CEO- JAISALMER||BDO-SAM</t>
        </is>
      </c>
      <c r="D1145" t="inlineStr">
        <is>
          <t>26-May-2025 06:00 PM</t>
        </is>
      </c>
      <c r="E1145" t="inlineStr">
        <is>
          <t>9,17,000</t>
        </is>
      </c>
      <c r="F1145" t="inlineStr">
        <is>
          <t>COLLECTION OF WASTE FROM HOME AND BUSSINES UNIT, CLEANING OF ROADS AND SEWARAGE LINE, CLAENING OF CSC IN SBM-G SCHEME FY 2025-26 AT GRAM PANCHAYAT DHANANA</t>
        </is>
      </c>
      <c r="G1145" t="inlineStr">
        <is>
          <t>JAISALMER</t>
        </is>
      </c>
    </row>
    <row r="1146">
      <c r="A1146" s="1" t="n">
        <v>1144</v>
      </c>
      <c r="B1146">
        <f>HYPERLINK("https://eproc.rajasthan.gov.in/nicgep/app?component=%24DirectLink&amp;page=FrontEndViewTender&amp;service=direct&amp;session=T&amp;sp=SEMJ7Jw5TvowwL9cNh4LwKA%3D%3D", "Rate Contract for Construction Material and Equipments for MGNREGS works for the Year 2025-26 panchayat samiti BAKANIDistrict Jhalawar At Gram Panchayats KISHANPURA")</f>
        <v/>
      </c>
      <c r="C1146" t="inlineStr">
        <is>
          <t>Panchayati Raj Department||Secretary and Commissioner||CEO- JHALAWAR||BDO-JHALRAPATAN</t>
        </is>
      </c>
      <c r="D1146" t="inlineStr">
        <is>
          <t>25-May-2025 04:00 PM</t>
        </is>
      </c>
      <c r="E1146" t="inlineStr">
        <is>
          <t>60,00,000</t>
        </is>
      </c>
      <c r="F1146" t="inlineStr">
        <is>
          <t>Rate Contract for Construction Material and Equipments for MGNREGS works for the Year 2025-26 panchayat samiti BAKANIDistrict Jhalawar At Gram Panchayats KISHANPURA</t>
        </is>
      </c>
      <c r="G1146" t="inlineStr">
        <is>
          <t>JHALAWAR</t>
        </is>
      </c>
    </row>
    <row r="1147">
      <c r="A1147" s="1" t="n">
        <v>1145</v>
      </c>
      <c r="B1147">
        <f>HYPERLINK("https://eproc.rajasthan.gov.in/nicgep/app?component=%24DirectLink&amp;page=FrontEndViewTender&amp;service=direct&amp;session=T&amp;sp=S197ue%2BLVQ089q09svwhMDw%3D%3D", "COLLECTION OF WASTE FROM HOME AND BUSSINES UNIT, CLEANING OF ROADS AND SEWARAGE LINE, CLAENING OF CSC IN SBM-G SCHEME FY 2025-26 AT GRAM PANCHAYAT BEEDA")</f>
        <v/>
      </c>
      <c r="C1147" t="inlineStr">
        <is>
          <t>Panchayati Raj Department||Secretary and Commissioner||CEO- JAISALMER||BDO-SAM</t>
        </is>
      </c>
      <c r="D1147" t="inlineStr">
        <is>
          <t>26-May-2025 06:00 PM</t>
        </is>
      </c>
      <c r="E1147" t="inlineStr">
        <is>
          <t>23,64,000</t>
        </is>
      </c>
      <c r="F1147" t="inlineStr">
        <is>
          <t>COLLECTION OF WASTE FROM HOME AND BUSSINES UNIT, CLEANING OF ROADS AND SEWARAGE LINE, CLAENING OF CSC IN SBM-G SCHEME FY 2025-26 AT GRAM PANCHAYAT BEEDA</t>
        </is>
      </c>
      <c r="G1147" t="inlineStr">
        <is>
          <t>JAISALMER</t>
        </is>
      </c>
    </row>
    <row r="1148">
      <c r="A1148" s="1" t="n">
        <v>1146</v>
      </c>
      <c r="B1148">
        <f>HYPERLINK("https://eproc.rajasthan.gov.in/nicgep/app?component=%24DirectLink&amp;page=FrontEndViewTender&amp;service=direct&amp;session=T&amp;sp=SD8MKTJWeVEviNidXxwMtKw%3D%3D", "Rate Contract for Construction Material and Equipments for MGNREGS works for the Year 2025-26 panchayat samiti BAKANIDistrict Jhalawar At Gram Panchayats PATLIYAKULMI")</f>
        <v/>
      </c>
      <c r="C1148" t="inlineStr">
        <is>
          <t>Panchayati Raj Department||Secretary and Commissioner||CEO- JHALAWAR||BDO-JHALRAPATAN</t>
        </is>
      </c>
      <c r="D1148" t="inlineStr">
        <is>
          <t>25-May-2025 04:00 PM</t>
        </is>
      </c>
      <c r="E1148" t="inlineStr">
        <is>
          <t>60,00,000</t>
        </is>
      </c>
      <c r="F1148" t="inlineStr">
        <is>
          <t>Rate Contract for Construction Material and Equipments for MGNREGS works for the Year 2025-26 panchayat samiti BAKANIDistrict Jhalawar At Gram Panchayats PATLIYAKULMI</t>
        </is>
      </c>
      <c r="G1148" t="inlineStr">
        <is>
          <t>JHALAWAR</t>
        </is>
      </c>
    </row>
    <row r="1149">
      <c r="A1149" s="1" t="n">
        <v>1147</v>
      </c>
      <c r="B1149">
        <f>HYPERLINK("https://eproc.rajasthan.gov.in/nicgep/app?component=%24DirectLink&amp;page=FrontEndViewTender&amp;service=direct&amp;session=T&amp;sp=Sg6JeJ5be49XHviZ3n2blYg%3D%3D", "Rate Contract for Construction Material and Equipments for MGNREGS works for the Year 2025-26 panchayat samiti BAKANIDistrict Jhalawar At Gram Panchayats KARAL GAON")</f>
        <v/>
      </c>
      <c r="C1149" t="inlineStr">
        <is>
          <t>Panchayati Raj Department||Secretary and Commissioner||CEO- JHALAWAR||BDO-JHALRAPATAN</t>
        </is>
      </c>
      <c r="D1149" t="inlineStr">
        <is>
          <t>25-May-2025 04:00 PM</t>
        </is>
      </c>
      <c r="E1149" t="inlineStr">
        <is>
          <t>60,00,000</t>
        </is>
      </c>
      <c r="F1149" t="inlineStr">
        <is>
          <t>Rate Contract for Construction Material and Equipments for MGNREGS works for the Year 2025-26 panchayat samiti BAKANIDistrict Jhalawar At Gram Panchayats KARAL GAON</t>
        </is>
      </c>
      <c r="G1149" t="inlineStr">
        <is>
          <t>JHALAWAR</t>
        </is>
      </c>
    </row>
    <row r="1150">
      <c r="A1150" s="1" t="n">
        <v>1148</v>
      </c>
      <c r="B1150">
        <f>HYPERLINK("https://eproc.rajasthan.gov.in/nicgep/app?component=%24DirectLink&amp;page=FrontEndViewTender&amp;service=direct&amp;session=T&amp;sp=SZQ3dTF8io8YaDGTZ6UMilA%3D%3D", "Work including garbage collection and separation from every house (residential and commercial), road and drain cleaning, and cleaning of community sanitation complex in all the villages of Gram Panchayat khuntgarh panchayat samiti dhamotar")</f>
        <v/>
      </c>
      <c r="C1150" t="inlineStr">
        <is>
          <t>Panchayati Raj Department||Secretary and Commissioner||CEO-PRATAPGARH||BDO-DHAMOTAR</t>
        </is>
      </c>
      <c r="D1150" t="inlineStr">
        <is>
          <t>19-May-2025 02:00 PM</t>
        </is>
      </c>
      <c r="E1150" t="inlineStr">
        <is>
          <t>2,10,000</t>
        </is>
      </c>
      <c r="F1150" t="inlineStr">
        <is>
          <t>Work including garbage collection and separation from every house (residential and commercial), road and drain cleaning, and cleaning of community sanitation complex in all the villages of Gram Panchayat khuntgarh panchayat samiti dhamotar</t>
        </is>
      </c>
      <c r="G1150" t="inlineStr">
        <is>
          <t>khuntgarh</t>
        </is>
      </c>
    </row>
    <row r="1151">
      <c r="A1151" s="1" t="n">
        <v>1149</v>
      </c>
      <c r="B1151">
        <f>HYPERLINK("https://eproc.rajasthan.gov.in/nicgep/app?component=%24DirectLink&amp;page=FrontEndViewTender&amp;service=direct&amp;session=T&amp;sp=SGW%2BPV1gK8oEWxHLeO48cEg%3D%3D", "Rate Contract for Construction Material and Equipments for MGNREGS works for the Year 2025-26 panchayat samiti BAKANIDistrict Jhalawar At Gram Panchayats DEV AGAR")</f>
        <v/>
      </c>
      <c r="C1151" t="inlineStr">
        <is>
          <t>Panchayati Raj Department||Secretary and Commissioner||CEO- JHALAWAR||BDO-JHALRAPATAN</t>
        </is>
      </c>
      <c r="D1151" t="inlineStr">
        <is>
          <t>25-May-2025 04:00 PM</t>
        </is>
      </c>
      <c r="E1151" t="inlineStr">
        <is>
          <t>60,00,000</t>
        </is>
      </c>
      <c r="F1151" t="inlineStr">
        <is>
          <t>Rate Contract for Construction Material and Equipments for MGNREGS works for the Year 2025-26 panchayat samiti BAKANIDistrict Jhalawar At Gram Panchayats DEV NAGAR</t>
        </is>
      </c>
      <c r="G1151" t="inlineStr">
        <is>
          <t>JHALAWAR</t>
        </is>
      </c>
    </row>
    <row r="1152">
      <c r="A1152" s="1" t="n">
        <v>1150</v>
      </c>
      <c r="B1152">
        <f>HYPERLINK("https://eproc.rajasthan.gov.in/nicgep/app?component=%24DirectLink&amp;page=FrontEndViewTender&amp;service=direct&amp;session=T&amp;sp=SVZcN5j5HzLrTXH3ElFArWw%3D%3D", "Rate Contract for Construction Material and Equipments for MGNREGS works for the Year 2025-26 panchayat samiti BAKANIDistrict Jhalawar At Gram Panchayats NANOR")</f>
        <v/>
      </c>
      <c r="C1152" t="inlineStr">
        <is>
          <t>Panchayati Raj Department||Secretary and Commissioner||CEO- JHALAWAR||BDO-JHALRAPATAN</t>
        </is>
      </c>
      <c r="D1152" t="inlineStr">
        <is>
          <t>25-May-2025 04:00 PM</t>
        </is>
      </c>
      <c r="E1152" t="inlineStr">
        <is>
          <t>60,00,000</t>
        </is>
      </c>
      <c r="F1152" t="inlineStr">
        <is>
          <t>Rate Contract for Construction Material and Equipments for MGNREGS works for the Year 2025-26 panchayat samiti BAKANIDistrict Jhalawar At Gram Panchayats NANOR</t>
        </is>
      </c>
      <c r="G1152" t="inlineStr">
        <is>
          <t>JHALAWAR</t>
        </is>
      </c>
    </row>
    <row r="1153">
      <c r="A1153" s="1" t="n">
        <v>1151</v>
      </c>
      <c r="B1153">
        <f>HYPERLINK("https://eproc.rajasthan.gov.in/nicgep/app?component=%24DirectLink&amp;page=FrontEndViewTender&amp;service=direct&amp;session=T&amp;sp=SWnRMsxJ%2F1K9K35zXidrtaw%3D%3D", "Rate Contract for Construction Material and Equipments for MGNREGS works for the Year 2025-26 panchayat samiti BAKANIDistrict Jhalawar At Gram Panchayats MODI")</f>
        <v/>
      </c>
      <c r="C1153" t="inlineStr">
        <is>
          <t>Panchayati Raj Department||Secretary and Commissioner||CEO- JHALAWAR||BDO-JHALRAPATAN</t>
        </is>
      </c>
      <c r="D1153" t="inlineStr">
        <is>
          <t>25-May-2025 04:00 PM</t>
        </is>
      </c>
      <c r="E1153" t="inlineStr">
        <is>
          <t>60,00,000</t>
        </is>
      </c>
      <c r="F1153" t="inlineStr">
        <is>
          <t>Rate Contract for Construction Material and Equipments for MGNREGS works for the Year 2025-26 panchayat samiti BAKANIDistrict Jhalawar At Gram Panchayats MODI</t>
        </is>
      </c>
      <c r="G1153" t="inlineStr">
        <is>
          <t>JHALAWAR</t>
        </is>
      </c>
    </row>
    <row r="1154">
      <c r="A1154" s="1" t="n">
        <v>1152</v>
      </c>
      <c r="B1154">
        <f>HYPERLINK("https://eproc.rajasthan.gov.in/nicgep/app?component=%24DirectLink&amp;page=FrontEndViewTender&amp;service=direct&amp;session=T&amp;sp=Sv0Z6H%2B5s61K%2BOljHmRJjFQ%3D%3D", "Work including garbage collection and separation from every house (residential and commercial), road and drain cleaning, and cleaning of community sanitation complex in all the villages of Gram Panchayat kheda naharsinghmata panchayat samiti dhamota")</f>
        <v/>
      </c>
      <c r="C1154" t="inlineStr">
        <is>
          <t>Panchayati Raj Department||Secretary and Commissioner||CEO-PRATAPGARH||BDO-DHAMOTAR</t>
        </is>
      </c>
      <c r="D1154" t="inlineStr">
        <is>
          <t>19-May-2025 02:00 PM</t>
        </is>
      </c>
      <c r="E1154" t="inlineStr">
        <is>
          <t>2,40,000</t>
        </is>
      </c>
      <c r="F1154" t="inlineStr">
        <is>
          <t>Work including garbage collection and separation from every house (residential and commercial), road and drain cleaning, and cleaning of community sanitation complex in all the villages of Gram Panchayat kheda naharsinghmata panchayat samiti dhamota</t>
        </is>
      </c>
      <c r="G1154" t="inlineStr">
        <is>
          <t>kheda nahar shingh mata</t>
        </is>
      </c>
    </row>
    <row r="1155">
      <c r="A1155" s="1" t="n">
        <v>1153</v>
      </c>
      <c r="B1155">
        <f>HYPERLINK("https://eproc.rajasthan.gov.in/nicgep/app?component=%24DirectLink&amp;page=FrontEndViewTender&amp;service=direct&amp;session=T&amp;sp=SGncxPpfbl%2BML%2Bp6TmNtmdQ%3D%3D", "COLLECTION OF WASTE FROM HOME AND BUSSINES UNIT, CLEANING OF ROADS AND SEWARAGE LINE, CLAENING OF CSC IN SBM-G SCHEME FY 2025-26 AT GRAM PANCHAYAT HABUR")</f>
        <v/>
      </c>
      <c r="C1155" t="inlineStr">
        <is>
          <t>Panchayati Raj Department||Secretary and Commissioner||CEO- JAISALMER||BDO-SAM</t>
        </is>
      </c>
      <c r="D1155" t="inlineStr">
        <is>
          <t>26-May-2025 06:00 PM</t>
        </is>
      </c>
      <c r="E1155" t="inlineStr">
        <is>
          <t>17,03,000</t>
        </is>
      </c>
      <c r="F1155" t="inlineStr">
        <is>
          <t>COLLECTION OF WASTE FROM HOME AND BUSSINES UNIT, CLEANING OF ROADS AND SEWARAGE LINE, CLAENING OF CSC IN SBM-G SCHEME FY 2025-26 AT GRAM PANCHAYAT HABUR</t>
        </is>
      </c>
      <c r="G1155" t="inlineStr">
        <is>
          <t>JAISALMER</t>
        </is>
      </c>
    </row>
    <row r="1156">
      <c r="A1156" s="1" t="n">
        <v>1154</v>
      </c>
      <c r="B1156">
        <f>HYPERLINK("https://eproc.rajasthan.gov.in/nicgep/app?component=%24DirectLink&amp;page=FrontEndViewTender&amp;service=direct&amp;session=T&amp;sp=Sw5oDpu3vT0YKH%2Big83y%2F7w%3D%3D", "Rate Contract for Construction Material and Equipments for MGNREGS works for the Year 2025-26 panchayat samiti BAKANIDistrict Jhalawar At Gram Panchayats JHIJHNIYA")</f>
        <v/>
      </c>
      <c r="C1156" t="inlineStr">
        <is>
          <t>Panchayati Raj Department||Secretary and Commissioner||CEO- JHALAWAR||BDO-JHALRAPATAN</t>
        </is>
      </c>
      <c r="D1156" t="inlineStr">
        <is>
          <t>25-May-2025 04:00 PM</t>
        </is>
      </c>
      <c r="E1156" t="inlineStr">
        <is>
          <t>60,00,000</t>
        </is>
      </c>
      <c r="F1156" t="inlineStr">
        <is>
          <t>Rate Contract for Construction Material and Equipments for MGNREGS works for the Year 2025-26 panchayat samiti BAKANIDistrict Jhalawar At Gram Panchayats JHIJHNIYA</t>
        </is>
      </c>
      <c r="G1156" t="inlineStr">
        <is>
          <t>JHALAWAR</t>
        </is>
      </c>
    </row>
    <row r="1157">
      <c r="A1157" s="1" t="n">
        <v>1155</v>
      </c>
      <c r="B1157">
        <f>HYPERLINK("https://eproc.rajasthan.gov.in/nicgep/app?component=%24DirectLink&amp;page=FrontEndViewTender&amp;service=direct&amp;session=T&amp;sp=SzIKSZ6Ws0%2FGeah8vMOwRnA%3D%3D", "Rate Contract for Construction Material and Equipments for MGNREGS works for the Year 2025-26 panchayat samiti BAKANIDistrict Jhalawar At Gram Panchayats RIJHON")</f>
        <v/>
      </c>
      <c r="C1157" t="inlineStr">
        <is>
          <t>Panchayati Raj Department||Secretary and Commissioner||CEO- JHALAWAR||BDO-JHALRAPATAN</t>
        </is>
      </c>
      <c r="D1157" t="inlineStr">
        <is>
          <t>25-May-2025 04:00 PM</t>
        </is>
      </c>
      <c r="E1157" t="inlineStr">
        <is>
          <t>60,00,000</t>
        </is>
      </c>
      <c r="F1157" t="inlineStr">
        <is>
          <t>Rate Contract for Construction Material and Equipments for MGNREGS works for the Year 2025-26 panchayat samiti BAKANIDistrict Jhalawar At Gram Panchayats RIJHON</t>
        </is>
      </c>
      <c r="G1157" t="inlineStr">
        <is>
          <t>JHALAWAR</t>
        </is>
      </c>
    </row>
    <row r="1158">
      <c r="A1158" s="1" t="n">
        <v>1156</v>
      </c>
      <c r="B1158">
        <f>HYPERLINK("https://eproc.rajasthan.gov.in/nicgep/app?component=%24DirectLink&amp;page=FrontEndViewTender&amp;service=direct&amp;session=T&amp;sp=SOpK0f914vnx3KKYGqpdLTQ%3D%3D", "Rate Contract for Construction Material and Equipments for MGNREGS works for the Year 2025-26 panchayat samiti BAKANIDistrict Jhalawar At Gram Panchayats BADBAD")</f>
        <v/>
      </c>
      <c r="C1158" t="inlineStr">
        <is>
          <t>Panchayati Raj Department||Secretary and Commissioner||CEO- JHALAWAR||BDO-JHALRAPATAN</t>
        </is>
      </c>
      <c r="D1158" t="inlineStr">
        <is>
          <t>25-May-2025 04:00 PM</t>
        </is>
      </c>
      <c r="E1158" t="inlineStr">
        <is>
          <t>60,00,000</t>
        </is>
      </c>
      <c r="F1158" t="inlineStr">
        <is>
          <t>Rate Contract for Construction Material and Equipments for MGNREGS works for the Year 2025-26 panchayat samiti BAKANIDistrict Jhalawar At Gram Panchayats BADBAD</t>
        </is>
      </c>
      <c r="G1158" t="inlineStr">
        <is>
          <t>JHALAWAR</t>
        </is>
      </c>
    </row>
    <row r="1159">
      <c r="A1159" s="1" t="n">
        <v>1157</v>
      </c>
      <c r="B1159">
        <f>HYPERLINK("https://eproc.rajasthan.gov.in/nicgep/app?component=%24DirectLink&amp;page=FrontEndViewTender&amp;service=direct&amp;session=T&amp;sp=S%2FjNgxWzlm48JLcw79wF7dg%3D%3D", "Rate Contract for Construction Material and Equipments for MGNREGS works for the Year 2025-26 panchayat samiti BAKANIDistrict Jhalawar At Gram Panchayats GARWADA")</f>
        <v/>
      </c>
      <c r="C1159" t="inlineStr">
        <is>
          <t>Panchayati Raj Department||Secretary and Commissioner||CEO- JHALAWAR||BDO-JHALRAPATAN</t>
        </is>
      </c>
      <c r="D1159" t="inlineStr">
        <is>
          <t>25-May-2025 04:00 PM</t>
        </is>
      </c>
      <c r="E1159" t="inlineStr">
        <is>
          <t>60,00,000</t>
        </is>
      </c>
      <c r="F1159" t="inlineStr">
        <is>
          <t>Rate Contract for Construction Material and Equipments for MGNREGS works for the Year 2025-26 panchayat samiti BAKANIDistrict Jhalawar At Gram Panchayats GARWADA</t>
        </is>
      </c>
      <c r="G1159" t="inlineStr">
        <is>
          <t>JHALAWAR</t>
        </is>
      </c>
    </row>
    <row r="1160">
      <c r="A1160" s="1" t="n">
        <v>1158</v>
      </c>
      <c r="B1160">
        <f>HYPERLINK("https://eproc.rajasthan.gov.in/nicgep/app?component=%24DirectLink&amp;page=FrontEndViewTender&amp;service=direct&amp;session=T&amp;sp=STUsGi7X1JNDzC4aAiW6ynA%3D%3D", "Rate Contract for Construction Material and Equipments for MGNREGS works for the Year 2025-26 panchayat samiti BAKANIDistrict Jhalawar At Gram Panchayats THOBDIYA")</f>
        <v/>
      </c>
      <c r="C1160" t="inlineStr">
        <is>
          <t>Panchayati Raj Department||Secretary and Commissioner||CEO- JHALAWAR||BDO-JHALRAPATAN</t>
        </is>
      </c>
      <c r="D1160" t="inlineStr">
        <is>
          <t>25-May-2025 04:00 PM</t>
        </is>
      </c>
      <c r="E1160" t="inlineStr">
        <is>
          <t>60,00,000</t>
        </is>
      </c>
      <c r="F1160" t="inlineStr">
        <is>
          <t>Rate Contract for Construction Material and Equipments for MGNREGS works for the Year 2025-26 panchayat samiti BAKANIDistrict Jhalawar At Gram Panchayats THOBDIYA</t>
        </is>
      </c>
      <c r="G1160" t="inlineStr">
        <is>
          <t>JHALAWAR</t>
        </is>
      </c>
    </row>
    <row r="1161">
      <c r="A1161" s="1" t="n">
        <v>1159</v>
      </c>
      <c r="B1161">
        <f>HYPERLINK("https://eproc.rajasthan.gov.in/nicgep/app?component=%24DirectLink&amp;page=FrontEndViewTender&amp;service=direct&amp;session=T&amp;sp=Sjc%2F8j4du%2BKowpdnCg1WUYw%3D%3D", "Work including garbage collection and separation from every house (residential and commercial), road and drain cleaning, and cleaning of community sanitation complex in all the villages of Gram Panchayat khedi")</f>
        <v/>
      </c>
      <c r="C1161" t="inlineStr">
        <is>
          <t>Panchayati Raj Department||Secretary and Commissioner||CEO-DAUSA||BDO-BAIJUPADA</t>
        </is>
      </c>
      <c r="D1161" t="inlineStr">
        <is>
          <t>22-May-2025 05:00 PM</t>
        </is>
      </c>
      <c r="E1161" t="inlineStr">
        <is>
          <t>3,19,000</t>
        </is>
      </c>
      <c r="F1161" t="inlineStr">
        <is>
          <t>Work including garbage collection and separation from every house (residential and commercial), road and drain cleaning, and cleaning of community sanitation complex in all the villages of Gram Panchayat khedi</t>
        </is>
      </c>
      <c r="G1161" t="inlineStr">
        <is>
          <t>Gram Panchayat khedi</t>
        </is>
      </c>
    </row>
    <row r="1162">
      <c r="A1162" s="1" t="n">
        <v>1160</v>
      </c>
      <c r="B1162">
        <f>HYPERLINK("https://eproc.rajasthan.gov.in/nicgep/app?component=%24DirectLink&amp;page=FrontEndViewTender&amp;service=direct&amp;session=T&amp;sp=SnslBazl9CHulpQ0VJgGo1w%3D%3D", "Rate Contract for Construction Material and Equipments for MGNREGS works for the Year 2025-26 panchayat samiti BAKANIDistrict Jhalawar At Gram Panchayats KHAIRIYA")</f>
        <v/>
      </c>
      <c r="C1162" t="inlineStr">
        <is>
          <t>Panchayati Raj Department||Secretary and Commissioner||CEO- JHALAWAR||BDO-JHALRAPATAN</t>
        </is>
      </c>
      <c r="D1162" t="inlineStr">
        <is>
          <t>25-May-2025 04:00 PM</t>
        </is>
      </c>
      <c r="E1162" t="inlineStr">
        <is>
          <t>60,00,000</t>
        </is>
      </c>
      <c r="F1162" t="inlineStr">
        <is>
          <t>Rate Contract for Construction Material and Equipments for MGNREGS works for the Year 2025-26 panchayat samiti BAKANIDistrict Jhalawar At Gram Panchayats KHAIRIYA</t>
        </is>
      </c>
      <c r="G1162" t="inlineStr">
        <is>
          <t>JHALAWAR</t>
        </is>
      </c>
    </row>
    <row r="1163">
      <c r="A1163" s="1" t="n">
        <v>1161</v>
      </c>
      <c r="B1163">
        <f>HYPERLINK("https://eproc.rajasthan.gov.in/nicgep/app?component=%24DirectLink&amp;page=FrontEndViewTender&amp;service=direct&amp;session=T&amp;sp=SsDfVfxKH7DtJnGcWUD63qA%3D%3D", "Work including garbage collection and separation from every house (residential and commercial), road and drain cleaning, and cleaning of community sanitation complex in all the villages of Gram Panchayat devgarh panchayat samiti dhamotar")</f>
        <v/>
      </c>
      <c r="C1163" t="inlineStr">
        <is>
          <t>Panchayati Raj Department||Secretary and Commissioner||CEO-PRATAPGARH||BDO-DHAMOTAR</t>
        </is>
      </c>
      <c r="D1163" t="inlineStr">
        <is>
          <t>19-May-2025 02:00 PM</t>
        </is>
      </c>
      <c r="E1163" t="inlineStr">
        <is>
          <t>5,00,000</t>
        </is>
      </c>
      <c r="F1163" t="inlineStr">
        <is>
          <t>Work including garbage collection and separation from every house (residential and commercial), road and drain cleaning, and cleaning of community sanitation complex in all the villages of Gram Panchayat devgarh panchayat samiti dhamotar</t>
        </is>
      </c>
      <c r="G1163" t="inlineStr">
        <is>
          <t>DEVGARH</t>
        </is>
      </c>
    </row>
    <row r="1164">
      <c r="A1164" s="1" t="n">
        <v>1162</v>
      </c>
      <c r="B1164">
        <f>HYPERLINK("https://eproc.rajasthan.gov.in/nicgep/app?component=%24DirectLink&amp;page=FrontEndViewTender&amp;service=direct&amp;session=T&amp;sp=SfW4MIQiuT2YzuTHpsYaXug%3D%3D", "supply of construction metarial and providing equipment in NREGA and other RDPR scheme at G.P toga P S FATEHGARH Financial year 2025-26")</f>
        <v/>
      </c>
      <c r="C1164" t="inlineStr">
        <is>
          <t>Panchayati Raj Department||Secretary and Commissioner||CEO- JAISALMER||BDO-FATEH GARH</t>
        </is>
      </c>
      <c r="D1164" t="inlineStr">
        <is>
          <t>26-May-2025 09:00 AM</t>
        </is>
      </c>
      <c r="E1164" t="inlineStr">
        <is>
          <t>60,00,000</t>
        </is>
      </c>
      <c r="F1164" t="inlineStr">
        <is>
          <t>supply of construction metarial and providing equipment in NREGA and other RDPR scheme at G.P toga P S FATEHGARH Financial year 2025-26</t>
        </is>
      </c>
      <c r="G1164" t="inlineStr">
        <is>
          <t>SARPANCH GRAM PANCHAYAT TOGA</t>
        </is>
      </c>
    </row>
    <row r="1165">
      <c r="A1165" s="1" t="n">
        <v>1163</v>
      </c>
      <c r="B1165">
        <f>HYPERLINK("https://eproc.rajasthan.gov.in/nicgep/app?component=%24DirectLink&amp;page=FrontEndViewTender&amp;service=direct&amp;session=T&amp;sp=SBXOtlrtAY%2FC1D4fPH9yTtg%3D%3D", "Rate Contract for Construction Material and Equipments for MGNREGS works for the Year 2025-26 panchayat samiti BAKANIDistrict Jhalawar At Gram Panchayats BARKHEDA KALAN")</f>
        <v/>
      </c>
      <c r="C1165" t="inlineStr">
        <is>
          <t>Panchayati Raj Department||Secretary and Commissioner||CEO- JHALAWAR||BDO-JHALRAPATAN</t>
        </is>
      </c>
      <c r="D1165" t="inlineStr">
        <is>
          <t>25-May-2025 04:00 PM</t>
        </is>
      </c>
      <c r="E1165" t="inlineStr">
        <is>
          <t>60,00,000</t>
        </is>
      </c>
      <c r="F1165" t="inlineStr">
        <is>
          <t>Rate Contract for Construction Material and Equipments for MGNREGS works for the Year 2025-26 panchayat samiti BAKANIDistrict Jhalawar At Gram Panchayats BARKHEDA KALAN</t>
        </is>
      </c>
      <c r="G1165" t="inlineStr">
        <is>
          <t>JHALAWAR</t>
        </is>
      </c>
    </row>
    <row r="1166">
      <c r="A1166" s="1" t="n">
        <v>1164</v>
      </c>
      <c r="B1166">
        <f>HYPERLINK("https://eproc.rajasthan.gov.in/nicgep/app?component=%24DirectLink&amp;page=FrontEndViewTender&amp;service=direct&amp;session=T&amp;sp=SAOXoqfHtExed71P9Y1IFWA%3D%3D", "Rate Contract for Construction Material and Equipments for MGNREGS works for the Year 2025-26 panchayat samiti BAKANIDistrict Jhalawar At Gram Panchayats RAPLA")</f>
        <v/>
      </c>
      <c r="C1166" t="inlineStr">
        <is>
          <t>Panchayati Raj Department||Secretary and Commissioner||CEO- JHALAWAR||BDO-JHALRAPATAN</t>
        </is>
      </c>
      <c r="D1166" t="inlineStr">
        <is>
          <t>25-May-2025 04:00 PM</t>
        </is>
      </c>
      <c r="E1166" t="inlineStr">
        <is>
          <t>60,00,000</t>
        </is>
      </c>
      <c r="F1166" t="inlineStr">
        <is>
          <t>Rate Contract for Construction Material and Equipments for MGNREGS works for the Year 2025-26 panchayat samiti BAKANIDistrict Jhalawar At Gram Panchayats RAPLA</t>
        </is>
      </c>
      <c r="G1166" t="inlineStr">
        <is>
          <t>JHALAWAR</t>
        </is>
      </c>
    </row>
    <row r="1167">
      <c r="A1167" s="1" t="n">
        <v>1165</v>
      </c>
      <c r="B1167">
        <f>HYPERLINK("https://eproc.rajasthan.gov.in/nicgep/app?component=%24DirectLink&amp;page=FrontEndViewTender&amp;service=direct&amp;session=T&amp;sp=SLaQE28z74%2FpnPC%2BjYPmlNQ%3D%3D", "Rate Contract for Construction Material and Equipments for MGNREGS works for the Year 2025-26 panchayat samiti BAKANIDistrict Jhalawar At Gram Panchayats RATLAI")</f>
        <v/>
      </c>
      <c r="C1167" t="inlineStr">
        <is>
          <t>Panchayati Raj Department||Secretary and Commissioner||CEO- JHALAWAR||BDO-JHALRAPATAN</t>
        </is>
      </c>
      <c r="D1167" t="inlineStr">
        <is>
          <t>25-May-2025 04:00 PM</t>
        </is>
      </c>
      <c r="E1167" t="inlineStr">
        <is>
          <t>60,00,000</t>
        </is>
      </c>
      <c r="F1167" t="inlineStr">
        <is>
          <t>Rate Contract for Construction Material and Equipments for MGNREGS works for the Year 2025-26 panchayat samiti BAKANIDistrict Jhalawar At Gram Panchayats RATLAI</t>
        </is>
      </c>
      <c r="G1167" t="inlineStr">
        <is>
          <t>JHALAWAR</t>
        </is>
      </c>
    </row>
    <row r="1168">
      <c r="A1168" s="1" t="n">
        <v>1166</v>
      </c>
      <c r="B1168">
        <f>HYPERLINK("https://eproc.rajasthan.gov.in/nicgep/app?component=%24DirectLink&amp;page=FrontEndViewTender&amp;service=direct&amp;session=T&amp;sp=SHTJO%2Fg4WObVspmIbg5LjXw%3D%3D", "Rate Contract for Construction Material and Equipments for MGNREGS works for the Year 2025-26 panchayat samiti BAKANIDistrict Jhalawar At Gram Panchayats BAKANI")</f>
        <v/>
      </c>
      <c r="C1168" t="inlineStr">
        <is>
          <t>Panchayati Raj Department||Secretary and Commissioner||CEO- JHALAWAR||BDO-JHALRAPATAN</t>
        </is>
      </c>
      <c r="D1168" t="inlineStr">
        <is>
          <t>25-May-2025 04:00 PM</t>
        </is>
      </c>
      <c r="E1168" t="inlineStr">
        <is>
          <t>60,00,000</t>
        </is>
      </c>
      <c r="F1168" t="inlineStr">
        <is>
          <t>Rate Contract for Construction Material and Equipments for MGNREGS works for the Year 2025-26 panchayat samiti BAKANIDistrict Jhalawar At Gram Panchayats BAKANI</t>
        </is>
      </c>
      <c r="G1168" t="inlineStr">
        <is>
          <t>JHALAWAR</t>
        </is>
      </c>
    </row>
    <row r="1169">
      <c r="A1169" s="1" t="n">
        <v>1167</v>
      </c>
      <c r="B1169">
        <f>HYPERLINK("https://eproc.rajasthan.gov.in/nicgep/app?component=%24DirectLink&amp;page=FrontEndViewTender&amp;service=direct&amp;session=T&amp;sp=SaQUZEN8LNWIjkm5URBjIFw%3D%3D", "Rate Contract for Construction Material and Equipments for MGNREGS works for the Year 2025-26 panchayat samiti BAKANIDistrict Jhalawar At Gram Panchayats BADAY")</f>
        <v/>
      </c>
      <c r="C1169" t="inlineStr">
        <is>
          <t>Panchayati Raj Department||Secretary and Commissioner||CEO- JHALAWAR||BDO-JHALRAPATAN</t>
        </is>
      </c>
      <c r="D1169" t="inlineStr">
        <is>
          <t>25-May-2025 04:00 PM</t>
        </is>
      </c>
      <c r="E1169" t="inlineStr">
        <is>
          <t>60,00,000</t>
        </is>
      </c>
      <c r="F1169" t="inlineStr">
        <is>
          <t>Rate Contract for Construction Material and Equipments for MGNREGS works for the Year 2025-26 panchayat samiti BAKANIDistrict Jhalawar At Gram Panchayats BADAY</t>
        </is>
      </c>
      <c r="G1169" t="inlineStr">
        <is>
          <t>JHALAWAR</t>
        </is>
      </c>
    </row>
    <row r="1170">
      <c r="A1170" s="1" t="n">
        <v>1168</v>
      </c>
      <c r="B1170">
        <f>HYPERLINK("https://eproc.rajasthan.gov.in/nicgep/app?component=%24DirectLink&amp;page=FrontEndViewTender&amp;service=direct&amp;session=T&amp;sp=StDY3rucVH9jeM%2F0tmxesuQ%3D%3D", "COLLECTION OF WASTE FROM HOME AND BUSSINES UNIT, CLEANING OF ROADS AND SEWARAGE LINE, CLAENING OF CSC IN SBM-G SCHEME FY 2025-26 AT GRAM PANCHAYAT DHOBA")</f>
        <v/>
      </c>
      <c r="C1170" t="inlineStr">
        <is>
          <t>Panchayati Raj Department||Secretary and Commissioner||CEO- JAISALMER||BDO-SAM</t>
        </is>
      </c>
      <c r="D1170" t="inlineStr">
        <is>
          <t>26-May-2025 06:00 PM</t>
        </is>
      </c>
      <c r="E1170" t="inlineStr">
        <is>
          <t>14,00,000</t>
        </is>
      </c>
      <c r="F1170" t="inlineStr">
        <is>
          <t>COLLECTION OF WASTE FROM HOME AND BUSSINES UNIT, CLEANING OF ROADS AND SEWARAGE LINE, CLAENING OF CSC IN SBM-G SCHEME FY 2025-26 AT GRAM PANCHAYAT DHOBA</t>
        </is>
      </c>
      <c r="G1170" t="inlineStr">
        <is>
          <t>JAISALMER</t>
        </is>
      </c>
    </row>
    <row r="1171">
      <c r="A1171" s="1" t="n">
        <v>1169</v>
      </c>
      <c r="B1171">
        <f>HYPERLINK("https://eproc.rajasthan.gov.in/nicgep/app?component=%24DirectLink&amp;page=FrontEndViewTender&amp;service=direct&amp;session=T&amp;sp=SSQwW0K8GcDcvLJYRe9WBdQ%3D%3D", "Rate Contract for Construction Material and Equipments for MGNREGS works for the Year 2025-26 panchayat samiti BAKANIDistrict Jhalawar At Gram Panchayats NASIRABAD")</f>
        <v/>
      </c>
      <c r="C1171" t="inlineStr">
        <is>
          <t>Panchayati Raj Department||Secretary and Commissioner||CEO- JHALAWAR||BDO-JHALRAPATAN</t>
        </is>
      </c>
      <c r="D1171" t="inlineStr">
        <is>
          <t>25-May-2025 04:00 PM</t>
        </is>
      </c>
      <c r="E1171" t="inlineStr">
        <is>
          <t>60,00,000</t>
        </is>
      </c>
      <c r="F1171" t="inlineStr">
        <is>
          <t>Rate Contract for Construction Material and Equipments for MGNREGS works for the Year 2025-26 panchayat samiti BAKANIDistrict Jhalawar At Gram Panchayats NASIRABAD</t>
        </is>
      </c>
      <c r="G1171" t="inlineStr">
        <is>
          <t>JHALAWAR</t>
        </is>
      </c>
    </row>
    <row r="1172">
      <c r="A1172" s="1" t="n">
        <v>1170</v>
      </c>
      <c r="B1172">
        <f>HYPERLINK("https://eproc.rajasthan.gov.in/nicgep/app?component=%24DirectLink&amp;page=FrontEndViewTender&amp;service=direct&amp;session=T&amp;sp=Siez%2Ba6J4QujeiBWLYiUy2g%3D%3D", "Rate Contract for Construction Material and Equipments for MGNREGS works for the Year 2025-26 panchayat samiti BAKANIDistrict Jhalawar At Gram Panchayats SALAWAD")</f>
        <v/>
      </c>
      <c r="C1172" t="inlineStr">
        <is>
          <t>Panchayati Raj Department||Secretary and Commissioner||CEO- JHALAWAR||BDO-JHALRAPATAN</t>
        </is>
      </c>
      <c r="D1172" t="inlineStr">
        <is>
          <t>25-May-2025 04:00 PM</t>
        </is>
      </c>
      <c r="E1172" t="inlineStr">
        <is>
          <t>60,00,000</t>
        </is>
      </c>
      <c r="F1172" t="inlineStr">
        <is>
          <t>Rate Contract for Construction Material and Equipments for MGNREGS works for the Year 2025-26 panchayat samiti BAKANIDistrict Jhalawar At Gram Panchayats SALAWAD</t>
        </is>
      </c>
      <c r="G1172" t="inlineStr">
        <is>
          <t>JHALAWAR</t>
        </is>
      </c>
    </row>
    <row r="1173">
      <c r="A1173" s="1" t="n">
        <v>1171</v>
      </c>
      <c r="B1173">
        <f>HYPERLINK("https://eproc.rajasthan.gov.in/nicgep/app?component=%24DirectLink&amp;page=FrontEndViewTender&amp;service=direct&amp;session=T&amp;sp=Sxak7qH5Aq92gu2ZUlZWGdQ%3D%3D", "Rate Contract for Construction Material and Equipments for MGNREGS works for the Year 2025-26 panchayat samiti BAKANIDistrict Jhalawar At Gram Panchayats GURADKHEDA")</f>
        <v/>
      </c>
      <c r="C1173" t="inlineStr">
        <is>
          <t>Panchayati Raj Department||Secretary and Commissioner||CEO- JHALAWAR||BDO-JHALRAPATAN</t>
        </is>
      </c>
      <c r="D1173" t="inlineStr">
        <is>
          <t>25-May-2025 04:00 PM</t>
        </is>
      </c>
      <c r="E1173" t="inlineStr">
        <is>
          <t>60,00,000</t>
        </is>
      </c>
      <c r="F1173" t="inlineStr">
        <is>
          <t>Rate Contract for Construction Material and Equipments for MGNREGS works for the Year 2025-26 panchayat samiti BAKANIDistrict Jhalawar At Gram Panchayats GURADKHEDA</t>
        </is>
      </c>
      <c r="G1173" t="inlineStr">
        <is>
          <t>JHALAWAR</t>
        </is>
      </c>
    </row>
    <row r="1174">
      <c r="A1174" s="1" t="n">
        <v>1172</v>
      </c>
      <c r="B1174">
        <f>HYPERLINK("https://eproc.rajasthan.gov.in/nicgep/app?component=%24DirectLink&amp;page=FrontEndViewTender&amp;service=direct&amp;session=T&amp;sp=SPJu3N2edJfB%2BXe7cGQGENA%3D%3D", "Rate contract For Supply of Construction Material and Providing Equipments for NREGA, RD and PR Schemes at Gram Panchayat Nimali Panchayat Samiti DAUSA Dist Dausa For FY 2025-26 up to 31 March 2026")</f>
        <v/>
      </c>
      <c r="C1174" t="inlineStr">
        <is>
          <t>Panchayati Raj Department||Secretary and Commissioner||CEO-DAUSA||BDO-DAUSA</t>
        </is>
      </c>
      <c r="D1174" t="inlineStr">
        <is>
          <t>26-May-2025 09:30 AM</t>
        </is>
      </c>
      <c r="E1174" t="inlineStr">
        <is>
          <t>70,00,000</t>
        </is>
      </c>
      <c r="F1174" t="inlineStr">
        <is>
          <t>Rate contract For Supply of Construction Material and Providing Equipments for NREGA, RD and PR Schemes at Gram Panchayat Nimali Panchayat Samiti DAUSA Dist Dausa For FY 2025-26 up to 31 March 2026</t>
        </is>
      </c>
      <c r="G1174" t="inlineStr">
        <is>
          <t>Nimali</t>
        </is>
      </c>
    </row>
    <row r="1175">
      <c r="A1175" s="1" t="n">
        <v>1173</v>
      </c>
      <c r="B1175">
        <f>HYPERLINK("https://eproc.rajasthan.gov.in/nicgep/app?component=%24DirectLink&amp;page=FrontEndViewTender&amp;service=direct&amp;session=T&amp;sp=Sz%2FI2SOP%2B9gno9LzUa7WFeA%3D%3D", "Rate Contract for Construction Material and Equipments for MGNREGS works for the Year 2025-26 panchayat samiti BAKANIDistrict Jhalawar At Gram Panchayats JHIKDIYA")</f>
        <v/>
      </c>
      <c r="C1175" t="inlineStr">
        <is>
          <t>Panchayati Raj Department||Secretary and Commissioner||CEO- JHALAWAR||BDO-JHALRAPATAN</t>
        </is>
      </c>
      <c r="D1175" t="inlineStr">
        <is>
          <t>25-May-2025 04:00 PM</t>
        </is>
      </c>
      <c r="E1175" t="inlineStr">
        <is>
          <t>60,00,000</t>
        </is>
      </c>
      <c r="F1175" t="inlineStr">
        <is>
          <t>Rate Contract for Construction Material and Equipments for MGNREGS works for the Year 2025-26 panchayat samiti BAKANIDistrict Jhalawar At Gram Panchayats JHIKDIYA</t>
        </is>
      </c>
      <c r="G1175" t="inlineStr">
        <is>
          <t>JHALAWAR</t>
        </is>
      </c>
    </row>
    <row r="1176">
      <c r="A1176" s="1" t="n">
        <v>1174</v>
      </c>
      <c r="B1176">
        <f>HYPERLINK("https://eproc.rajasthan.gov.in/nicgep/app?component=%24DirectLink&amp;page=FrontEndViewTender&amp;service=direct&amp;session=T&amp;sp=SADigFxyX7QkSGz4kluXdkQ%3D%3D", "supply of construction metarial and providing equipment in NREGA and other RDPR scheme at G.P MANDAI P S FATEHGARH Financial year 2025-26")</f>
        <v/>
      </c>
      <c r="C1176" t="inlineStr">
        <is>
          <t>Panchayati Raj Department||Secretary and Commissioner||CEO- JAISALMER||BDO-FATEH GARH</t>
        </is>
      </c>
      <c r="D1176" t="inlineStr">
        <is>
          <t>26-May-2025 09:00 AM</t>
        </is>
      </c>
      <c r="E1176" t="inlineStr">
        <is>
          <t>1,00,00,000</t>
        </is>
      </c>
      <c r="F1176" t="inlineStr">
        <is>
          <t>supply of construction metarial and providing equipment in NREGA and other RDPR scheme at G.P MANDAI P S FATEHGARH Financial year 2025-26</t>
        </is>
      </c>
      <c r="G1176" t="inlineStr">
        <is>
          <t>SARPANCH GRAM PANCHAYAT MANDAI P S FATEHGARH</t>
        </is>
      </c>
    </row>
    <row r="1177">
      <c r="A1177" s="1" t="n">
        <v>1175</v>
      </c>
      <c r="B1177">
        <f>HYPERLINK("https://eproc.rajasthan.gov.in/nicgep/app?component=%24DirectLink&amp;page=FrontEndViewTender&amp;service=direct&amp;session=T&amp;sp=Sgt8nx4Xlmy2aFMZLn%2BH11g%3D%3D", "Work including garbage collection and separation from every house (residential and commercial), road and drain cleaning, and cleaning of community sanitation complex in all the villages of Gram Panchayat gyaspur panchayat samiti dhamotar")</f>
        <v/>
      </c>
      <c r="C1177" t="inlineStr">
        <is>
          <t>Panchayati Raj Department||Secretary and Commissioner||CEO-PRATAPGARH||BDO-DHAMOTAR</t>
        </is>
      </c>
      <c r="D1177" t="inlineStr">
        <is>
          <t>19-May-2025 02:00 PM</t>
        </is>
      </c>
      <c r="E1177" t="inlineStr">
        <is>
          <t>4,00,000</t>
        </is>
      </c>
      <c r="F1177" t="inlineStr">
        <is>
          <t>Work including garbage collection and separation from every house (residential and commercial), road and drain cleaning, and cleaning of community sanitation complex in all the villages of Gram Panchayat gyaspur panchayat samiti dhamotar</t>
        </is>
      </c>
      <c r="G1177" t="inlineStr">
        <is>
          <t>gyaspur</t>
        </is>
      </c>
    </row>
    <row r="1178">
      <c r="A1178" s="1" t="n">
        <v>1176</v>
      </c>
      <c r="B1178">
        <f>HYPERLINK("https://eproc.rajasthan.gov.in/nicgep/app?component=%24DirectLink&amp;page=FrontEndViewTender&amp;service=direct&amp;session=T&amp;sp=Sv8GN0An%2BAiOizpBtA%2BBIvA%3D%3D", "Rate Contract for Construction Material and Equipments for MGNREGS works for the Year 2025-26 panchayat samiti BAKANIDistrict Jhalawar At Gram Panchayats AAGRIYA")</f>
        <v/>
      </c>
      <c r="C1178" t="inlineStr">
        <is>
          <t>Panchayati Raj Department||Secretary and Commissioner||CEO- JHALAWAR||BDO-JHALRAPATAN</t>
        </is>
      </c>
      <c r="D1178" t="inlineStr">
        <is>
          <t>25-May-2025 04:00 PM</t>
        </is>
      </c>
      <c r="E1178" t="inlineStr">
        <is>
          <t>60,00,000</t>
        </is>
      </c>
      <c r="F1178" t="inlineStr">
        <is>
          <t>Rate Contract for Construction Material and Equipments for MGNREGS works for the Year 2025-26 panchayat samiti BAKANIDistrict Jhalawar At Gram Panchayats AAGRIYA</t>
        </is>
      </c>
      <c r="G1178" t="inlineStr">
        <is>
          <t>JHALAWAR</t>
        </is>
      </c>
    </row>
    <row r="1179">
      <c r="A1179" s="1" t="n">
        <v>1177</v>
      </c>
      <c r="B1179">
        <f>HYPERLINK("https://eproc.rajasthan.gov.in/nicgep/app?component=%24DirectLink&amp;page=FrontEndViewTender&amp;service=direct&amp;session=T&amp;sp=S1ZshGGncXrp8afCLxINvOg%3D%3D", "SHAMSHAN GHAT PARIKRAMA MARG INTARLOKING TAILS NIRMAN MUNDIYA")</f>
        <v/>
      </c>
      <c r="C1179" t="inlineStr">
        <is>
          <t>Panchayati Raj Department||Secretary and Commissioner||CEO-BHARATPUR||BDO-NAGAR</t>
        </is>
      </c>
      <c r="D1179" t="inlineStr">
        <is>
          <t>18-May-2025 05:00 PM</t>
        </is>
      </c>
      <c r="E1179" t="inlineStr">
        <is>
          <t>9,99,916</t>
        </is>
      </c>
      <c r="F1179" t="inlineStr">
        <is>
          <t>SHAMSHAN GHAT PARIKRAMA MARG INTARLOKING TAILS NIRMAN MUNDIYA</t>
        </is>
      </c>
      <c r="G1179" t="inlineStr">
        <is>
          <t>GRAM PANCHAYAT MUNDIYA</t>
        </is>
      </c>
    </row>
    <row r="1180">
      <c r="A1180" s="1" t="n">
        <v>1178</v>
      </c>
      <c r="B1180">
        <f>HYPERLINK("https://eproc.rajasthan.gov.in/nicgep/app?component=%24DirectLink&amp;page=FrontEndViewTender&amp;service=direct&amp;session=T&amp;sp=SMv7omZ9s1ccEaPsTgvfZGQ%3D%3D", "Rate Contract for Construction Material and Equipments for MGNREGS works for the Year 2025-26 panchayat samiti BAKANIDistrict Jhalawar At Gram Panchayats KUSHALPURA")</f>
        <v/>
      </c>
      <c r="C1180" t="inlineStr">
        <is>
          <t>Panchayati Raj Department||Secretary and Commissioner||CEO- JHALAWAR||BDO-JHALRAPATAN</t>
        </is>
      </c>
      <c r="D1180" t="inlineStr">
        <is>
          <t>25-May-2025 04:00 PM</t>
        </is>
      </c>
      <c r="E1180" t="inlineStr">
        <is>
          <t>60,00,000</t>
        </is>
      </c>
      <c r="F1180" t="inlineStr">
        <is>
          <t>Rate Contract for Construction Material and Equipments for MGNREGS works for the Year 2025-26 panchayat samiti BAKANIDistrict Jhalawar At Gram Panchayats KUSHALPURA</t>
        </is>
      </c>
      <c r="G1180" t="inlineStr">
        <is>
          <t>JHALAWAR</t>
        </is>
      </c>
    </row>
    <row r="1181">
      <c r="A1181" s="1" t="n">
        <v>1179</v>
      </c>
      <c r="B1181">
        <f>HYPERLINK("https://eproc.rajasthan.gov.in/nicgep/app?component=%24DirectLink&amp;page=FrontEndViewTender&amp;service=direct&amp;session=T&amp;sp=SEhvy0%2BF9sp8B3dAAg%2B9XtQ%3D%3D", "Rate contract For Supply of Construction Material and Providing Equipments for NREGA, RD and PR Schemes at Gram Panchayat Kableshwar Panchayat Samiti DAUSA Dist Dausa For FY 2025-26 up to 31 March 2026")</f>
        <v/>
      </c>
      <c r="C1181" t="inlineStr">
        <is>
          <t>Panchayati Raj Department||Secretary and Commissioner||CEO-DAUSA||BDO-DAUSA</t>
        </is>
      </c>
      <c r="D1181" t="inlineStr">
        <is>
          <t>26-May-2025 09:30 AM</t>
        </is>
      </c>
      <c r="E1181" t="inlineStr">
        <is>
          <t>50,00,000</t>
        </is>
      </c>
      <c r="F1181" t="inlineStr">
        <is>
          <t>Rate contract For Supply of Construction Material and Providing Equipments for NREGA, RD and PR Schemes at Gram Panchayat Kableshwar Panchayat Samiti DAUSA Dist Dausa For FY 2025-26 up to 31 March 2026</t>
        </is>
      </c>
      <c r="G1181" t="inlineStr">
        <is>
          <t>Kableshwar</t>
        </is>
      </c>
    </row>
    <row r="1182">
      <c r="A1182" s="1" t="n">
        <v>1180</v>
      </c>
      <c r="B1182">
        <f>HYPERLINK("https://eproc.rajasthan.gov.in/nicgep/app?component=%24DirectLink&amp;page=FrontEndViewTender&amp;service=direct&amp;session=T&amp;sp=SMlThBwwNN7dFtfMBacUA%2Fg%3D%3D", "cleaning and sanitation work for gp PAVAINI")</f>
        <v/>
      </c>
      <c r="C1182" t="inlineStr">
        <is>
          <t>Panchayati Raj Department||Secretary and Commissioner||CEO-DHOLPUR||BDO-SARMATHURA</t>
        </is>
      </c>
      <c r="D1182" t="inlineStr">
        <is>
          <t>23-May-2025 06:00 PM</t>
        </is>
      </c>
      <c r="E1182" t="inlineStr">
        <is>
          <t>9,20,000</t>
        </is>
      </c>
      <c r="F1182" t="inlineStr">
        <is>
          <t>cleaning and sanitation work for gp PAVAINI</t>
        </is>
      </c>
      <c r="G1182" t="inlineStr">
        <is>
          <t>PS SARMATHURA</t>
        </is>
      </c>
    </row>
    <row r="1183">
      <c r="A1183" s="1" t="n">
        <v>1181</v>
      </c>
      <c r="B1183">
        <f>HYPERLINK("https://eproc.rajasthan.gov.in/nicgep/app?component=%24DirectLink&amp;page=FrontEndViewTender&amp;service=direct&amp;session=T&amp;sp=SSCeKQHEhc9KhDhjWEWFibg%3D%3D", "GRAM GOPALPURA ME TALAB PAR 2 GHATO KA NIRMAN KARYA")</f>
        <v/>
      </c>
      <c r="C1183" t="inlineStr">
        <is>
          <t>Panchayati Raj Department||Secretary and Commissioner||CEO- JAIPUR||BDO-MADHORAJ PURA</t>
        </is>
      </c>
      <c r="D1183" t="inlineStr">
        <is>
          <t>21-May-2025 04:00 PM</t>
        </is>
      </c>
      <c r="E1183" t="inlineStr">
        <is>
          <t>9,99,807</t>
        </is>
      </c>
      <c r="F1183" t="inlineStr">
        <is>
          <t>GRAM GOPALPURA ME TALAB PAR 2 GHATO KA NIRMAN KARYA</t>
        </is>
      </c>
      <c r="G1183" t="inlineStr">
        <is>
          <t>GRAM PANCHAYAT</t>
        </is>
      </c>
    </row>
    <row r="1184">
      <c r="A1184" s="1" t="n">
        <v>1182</v>
      </c>
      <c r="B1184">
        <f>HYPERLINK("https://eproc.rajasthan.gov.in/nicgep/app?component=%24DirectLink&amp;page=FrontEndViewTender&amp;service=direct&amp;session=T&amp;sp=SWpQp%2BGHoLHWgMEYuHyFccg%3D%3D", "PUSTKALYA BHAWAN NIRMAN KARYA CHITORA")</f>
        <v/>
      </c>
      <c r="C1184" t="inlineStr">
        <is>
          <t>Panchayati Raj Department||Secretary and Commissioner||CEO- JAIPUR||BDO-MADHORAJ PURA</t>
        </is>
      </c>
      <c r="D1184" t="inlineStr">
        <is>
          <t>21-May-2025 03:00 PM</t>
        </is>
      </c>
      <c r="E1184" t="inlineStr">
        <is>
          <t>9,00,000</t>
        </is>
      </c>
      <c r="F1184" t="inlineStr">
        <is>
          <t>PUSTKALYA BHAWAN NIRMAN KARYA CHITORA</t>
        </is>
      </c>
      <c r="G1184" t="inlineStr">
        <is>
          <t>gram panchayat</t>
        </is>
      </c>
    </row>
    <row r="1185">
      <c r="A1185" s="1" t="n">
        <v>1183</v>
      </c>
      <c r="B1185">
        <f>HYPERLINK("https://eproc.rajasthan.gov.in/nicgep/app?component=%24DirectLink&amp;page=FrontEndViewTender&amp;service=direct&amp;session=T&amp;sp=SGT0jryZxlpwj5U4hd3iGSQ%3D%3D", "COLLECTION OF WASTE FROM HOME AND BUSSINES UNIT, CLEANING OF ROADS AND SEWARAGE LINE, CLAENING OF CSC IN SBM-G SCHEME FY 2025-26 AT GRAM PANCHAYAT HATAR")</f>
        <v/>
      </c>
      <c r="C1185" t="inlineStr">
        <is>
          <t>Panchayati Raj Department||Secretary and Commissioner||CEO- JAISALMER||BDO-SAM</t>
        </is>
      </c>
      <c r="D1185" t="inlineStr">
        <is>
          <t>26-May-2025 06:00 PM</t>
        </is>
      </c>
      <c r="E1185" t="inlineStr">
        <is>
          <t>12,18,000</t>
        </is>
      </c>
      <c r="F1185" t="inlineStr">
        <is>
          <t>COLLECTION OF WASTE FROM HOME AND BUSSINES UNIT, CLEANING OF ROADS AND SEWARAGE LINE, CLAENING OF CSC IN SBM-G SCHEME FY 2025-26 AT GRAM PANCHAYAT HATAR</t>
        </is>
      </c>
      <c r="G1185" t="inlineStr">
        <is>
          <t>JAISALMER</t>
        </is>
      </c>
    </row>
    <row r="1186">
      <c r="A1186" s="1" t="n">
        <v>1184</v>
      </c>
      <c r="B1186">
        <f>HYPERLINK("https://eproc.rajasthan.gov.in/nicgep/app?component=%24DirectLink&amp;page=FrontEndViewTender&amp;service=direct&amp;session=T&amp;sp=Sl3oQ%2FCe%2F2d89AUGxYQWDOw%3D%3D", "cleaning and sanitation work for gp KHURDIYA")</f>
        <v/>
      </c>
      <c r="C1186" t="inlineStr">
        <is>
          <t>Panchayati Raj Department||Secretary and Commissioner||CEO-DHOLPUR||BDO-SARMATHURA</t>
        </is>
      </c>
      <c r="D1186" t="inlineStr">
        <is>
          <t>23-May-2025 06:00 PM</t>
        </is>
      </c>
      <c r="E1186" t="inlineStr">
        <is>
          <t>6,85,000</t>
        </is>
      </c>
      <c r="F1186" t="inlineStr">
        <is>
          <t>cleaning and sanitation work for gp KHURDIYA</t>
        </is>
      </c>
      <c r="G1186" t="inlineStr">
        <is>
          <t>PS SARMATHURA</t>
        </is>
      </c>
    </row>
    <row r="1187">
      <c r="A1187" s="1" t="n">
        <v>1185</v>
      </c>
      <c r="B1187">
        <f>HYPERLINK("https://eproc.rajasthan.gov.in/nicgep/app?component=%24DirectLink&amp;page=FrontEndViewTender&amp;service=direct&amp;session=T&amp;sp=Sf0GyGiZYqnsI5iP9rBoHHg%3D%3D", "Work Including Garbage Collection and Separation from Households and Commercial Establishments, Road and Drain Cleaning, Cleaning of CSCs in all villages of Gram Panchay karel")</f>
        <v/>
      </c>
      <c r="C1187" t="inlineStr">
        <is>
          <t>Panchayati Raj Department||Secretary and Commissioner||CEO-S.MADHOPUR||BDO-MALARANA DUNGAR</t>
        </is>
      </c>
      <c r="D1187" t="inlineStr">
        <is>
          <t>21-May-2025 12:00 PM</t>
        </is>
      </c>
      <c r="E1187" t="inlineStr">
        <is>
          <t>7,46,357</t>
        </is>
      </c>
      <c r="F1187" t="inlineStr">
        <is>
          <t>Work Including Garbage Collection and Separation from Households and Commercial Establishments, Road and Drain Cleaning, Cleaning of CSCs in all villages of Gram Panchay karel</t>
        </is>
      </c>
      <c r="G1187" t="inlineStr">
        <is>
          <t>GP KAREL</t>
        </is>
      </c>
    </row>
    <row r="1188">
      <c r="A1188" s="1" t="n">
        <v>1186</v>
      </c>
      <c r="B1188">
        <f>HYPERLINK("https://eproc.rajasthan.gov.in/nicgep/app?component=%24DirectLink&amp;page=FrontEndViewTender&amp;service=direct&amp;session=T&amp;sp=SD9UaiKNARyU%2FaPd9sutOoQ%3D%3D", "Work including garbage collection and separation from homes and commercial establishments, road and drain cleaning and community sanitation complex cleaning in all the villages of Gram Panchayat Hajipur")</f>
        <v/>
      </c>
      <c r="C1188" t="inlineStr">
        <is>
          <t>Panchayati Raj Department||Secretary and Commissioner||CEO-ALWAR||BDO-UMRAIN</t>
        </is>
      </c>
      <c r="D1188" t="inlineStr">
        <is>
          <t>27-May-2025 06:00 PM</t>
        </is>
      </c>
      <c r="E1188" t="inlineStr">
        <is>
          <t>20,00,000</t>
        </is>
      </c>
      <c r="F1188" t="inlineStr">
        <is>
          <t>Work including garbage collection and separation from homes and commercial establishments, road and drain cleaning and community sanitation complex cleaning in all the villages of Gram Panchayat Hajipur</t>
        </is>
      </c>
      <c r="G1188" t="inlineStr">
        <is>
          <t>GP HAJIPUR</t>
        </is>
      </c>
    </row>
    <row r="1189">
      <c r="A1189" s="1" t="n">
        <v>1187</v>
      </c>
      <c r="B1189">
        <f>HYPERLINK("https://eproc.rajasthan.gov.in/nicgep/app?component=%24DirectLink&amp;page=FrontEndViewTender&amp;service=direct&amp;session=T&amp;sp=S%2Fg4uB9DA%2FpRgQhB3mkoGRw%3D%3D", "COLLECTION OF WASTE FROM HOME AND BUSSINES UNIT, CLEANING OF ROADS AND SEWARAGE LINE, CLAENING OF CSC IN SBM-G SCHEME FY 2025-26 AT GRAM PANCHAYAT FULIYA")</f>
        <v/>
      </c>
      <c r="C1189" t="inlineStr">
        <is>
          <t>Panchayati Raj Department||Secretary and Commissioner||CEO- JAISALMER||BDO-SAM</t>
        </is>
      </c>
      <c r="D1189" t="inlineStr">
        <is>
          <t>26-May-2025 06:00 PM</t>
        </is>
      </c>
      <c r="E1189" t="inlineStr">
        <is>
          <t>5,35,000</t>
        </is>
      </c>
      <c r="F1189" t="inlineStr">
        <is>
          <t>COLLECTION OF WASTE FROM HOME AND BUSSINES UNIT, CLEANING OF ROADS AND SEWARAGE LINE, CLAENING OF CSC IN SBM-G SCHEME FY 2025-26 AT GRAM PANCHAYAT FULIYA</t>
        </is>
      </c>
      <c r="G1189" t="inlineStr">
        <is>
          <t>JAISALMER</t>
        </is>
      </c>
    </row>
    <row r="1190">
      <c r="A1190" s="1" t="n">
        <v>1188</v>
      </c>
      <c r="B1190">
        <f>HYPERLINK("https://eproc.rajasthan.gov.in/nicgep/app?component=%24DirectLink&amp;page=FrontEndViewTender&amp;service=direct&amp;session=T&amp;sp=S4fDM8qT3oAK0gPCgWd2tyg%3D%3D", "CONSTRUCTION OF CC ROAD Kalu moga ke khet se damar road ki or GP Chalkatalai")</f>
        <v/>
      </c>
      <c r="C1190" t="inlineStr">
        <is>
          <t>Panchayati Raj Department||Secretary and Commissioner||CEO-BANSWARA||BDO-GANGADTALAI</t>
        </is>
      </c>
      <c r="D1190" t="inlineStr">
        <is>
          <t>19-May-2025 03:00 PM</t>
        </is>
      </c>
      <c r="E1190" t="inlineStr">
        <is>
          <t>8,92,000</t>
        </is>
      </c>
      <c r="F1190" t="inlineStr">
        <is>
          <t>CONSTRUCTION OF CC ROAD Kalu moga ke khet se damar road ki or GP Chalkatalai</t>
        </is>
      </c>
      <c r="G1190" t="inlineStr">
        <is>
          <t>gangadtalai</t>
        </is>
      </c>
    </row>
    <row r="1191">
      <c r="A1191" s="1" t="n">
        <v>1189</v>
      </c>
      <c r="B1191">
        <f>HYPERLINK("https://eproc.rajasthan.gov.in/nicgep/app?component=%24DirectLink&amp;page=FrontEndViewTender&amp;service=direct&amp;session=T&amp;sp=Sv6AV42JYs0T1ry9u61BIaw%3D%3D", "cleaning and sanitation work for gp DOMAI")</f>
        <v/>
      </c>
      <c r="C1191" t="inlineStr">
        <is>
          <t>Panchayati Raj Department||Secretary and Commissioner||CEO-DHOLPUR||BDO-SARMATHURA</t>
        </is>
      </c>
      <c r="D1191" t="inlineStr">
        <is>
          <t>23-May-2025 06:00 PM</t>
        </is>
      </c>
      <c r="E1191" t="inlineStr">
        <is>
          <t>9,92,500</t>
        </is>
      </c>
      <c r="F1191" t="inlineStr">
        <is>
          <t>cleaning and sanitation work for gp DOMAI</t>
        </is>
      </c>
      <c r="G1191" t="inlineStr">
        <is>
          <t>PS SARMATHURA</t>
        </is>
      </c>
    </row>
    <row r="1192">
      <c r="A1192" s="1" t="n">
        <v>1190</v>
      </c>
      <c r="B1192">
        <f>HYPERLINK("https://eproc.rajasthan.gov.in/nicgep/app?component=%24DirectLink&amp;page=FrontEndViewTender&amp;service=direct&amp;session=T&amp;sp=Sd%2FkLuzYWs4w326UWhauT7w%3D%3D", "Rate Contract for BSR 2025-26 FOR MATERIAL AND EQUIPMENT SUPPLY FOR GRAM PANCHAYAT KANOD")</f>
        <v/>
      </c>
      <c r="C1192" t="inlineStr">
        <is>
          <t>Panchayati Raj Department||Secretary and Commissioner||CEO- JAISALMER||BDO-MOHANGARH</t>
        </is>
      </c>
      <c r="D1192" t="inlineStr">
        <is>
          <t>24-May-2025 06:00 PM</t>
        </is>
      </c>
      <c r="E1192" t="inlineStr">
        <is>
          <t>NA</t>
        </is>
      </c>
      <c r="F1192" t="inlineStr">
        <is>
          <t>Rate Contract for BSR 2025-26 FOR MATERIAL AND EQUIPMENT SUPPLY FOR GRAM PANCHAYAT KANOD</t>
        </is>
      </c>
      <c r="G1192" t="inlineStr">
        <is>
          <t>GRAM PANCHAYAT KANOD</t>
        </is>
      </c>
    </row>
    <row r="1193">
      <c r="A1193" s="1" t="n">
        <v>1191</v>
      </c>
      <c r="B1193">
        <f>HYPERLINK("https://eproc.rajasthan.gov.in/nicgep/app?component=%24DirectLink&amp;page=FrontEndViewTender&amp;service=direct&amp;session=T&amp;sp=SOayL5Ek9Xyd8bHAN8mNr8Q%3D%3D", "COLLECTION OF WASTE FROM HOME AND BUSSINES UNIT, CLEANING OF ROADS AND SEWARAGE LINE, CLAENING OF CSC IN SBM-G SCHEME FY 2025-26 AT GRAM PANCHAYAT JANRA")</f>
        <v/>
      </c>
      <c r="C1193" t="inlineStr">
        <is>
          <t>Panchayati Raj Department||Secretary and Commissioner||CEO- JAISALMER||BDO-SAM</t>
        </is>
      </c>
      <c r="D1193" t="inlineStr">
        <is>
          <t>26-May-2025 06:00 PM</t>
        </is>
      </c>
      <c r="E1193" t="inlineStr">
        <is>
          <t>9,80,000</t>
        </is>
      </c>
      <c r="F1193" t="inlineStr">
        <is>
          <t>COLLECTION OF WASTE FROM HOME AND BUSSINES UNIT, CLEANING OF ROADS AND SEWARAGE LINE, CLAENING OF CSC IN SBM-G SCHEME FY 2025-26 AT GRAM PANCHAYAT JANRA</t>
        </is>
      </c>
      <c r="G1193" t="inlineStr">
        <is>
          <t>JAISALMER</t>
        </is>
      </c>
    </row>
    <row r="1194">
      <c r="A1194" s="1" t="n">
        <v>1192</v>
      </c>
      <c r="B1194">
        <f>HYPERLINK("https://eproc.rajasthan.gov.in/nicgep/app?component=%24DirectLink&amp;page=FrontEndViewTender&amp;service=direct&amp;session=T&amp;sp=S5LmMC4W%2FdOpK3E1riCH65w%3D%3D", "Work Including Garbage Collection and Separation from Households and Commercial Establishments, Road and Drain Cleaning, Cleaning of CSCs in all villages of Gram Panchay didwara")</f>
        <v/>
      </c>
      <c r="C1194" t="inlineStr">
        <is>
          <t>Panchayati Raj Department||Secretary and Commissioner||CEO-S.MADHOPUR||BDO-MALARANA DUNGAR</t>
        </is>
      </c>
      <c r="D1194" t="inlineStr">
        <is>
          <t>21-May-2025 12:00 PM</t>
        </is>
      </c>
      <c r="E1194" t="inlineStr">
        <is>
          <t>5,54,009</t>
        </is>
      </c>
      <c r="F1194" t="inlineStr">
        <is>
          <t>Work Including Garbage Collection and Separation from Households and Commercial Establishments, Road and Drain Cleaning, Cleaning of CSCs in all villages of Gram Panchay didwara</t>
        </is>
      </c>
      <c r="G1194" t="inlineStr">
        <is>
          <t>GP DIDWARA</t>
        </is>
      </c>
    </row>
    <row r="1195">
      <c r="A1195" s="1" t="n">
        <v>1193</v>
      </c>
      <c r="B1195">
        <f>HYPERLINK("https://eproc.rajasthan.gov.in/nicgep/app?component=%24DirectLink&amp;page=FrontEndViewTender&amp;service=direct&amp;session=T&amp;sp=Sj3Vt5g%2FR1h0UNwjZRhEaYA%3D%3D", "COLLECTION OF WASTE FROM HOME AND BUSSINES UNIT, CLEANING OF ROADS AND SEWARAGE LINE, CLAENING OF CSC IN SBM-G SCHEME FY 2025-26 AT GRAM PANCHAYAT CHATAGARH")</f>
        <v/>
      </c>
      <c r="C1195" t="inlineStr">
        <is>
          <t>Panchayati Raj Department||Secretary and Commissioner||CEO- JAISALMER||BDO-SAM</t>
        </is>
      </c>
      <c r="D1195" t="inlineStr">
        <is>
          <t>26-May-2025 06:00 PM</t>
        </is>
      </c>
      <c r="E1195" t="inlineStr">
        <is>
          <t>8,45,000</t>
        </is>
      </c>
      <c r="F1195" t="inlineStr">
        <is>
          <t>COLLECTION OF WASTE FROM HOME AND BUSSINES UNIT, CLEANING OF ROADS AND SEWARAGE LINE, CLAENING OF CSC IN SBM-G SCHEME FY 2025-26 AT GRAM PANCHAYAT CHATAGARH</t>
        </is>
      </c>
      <c r="G1195" t="inlineStr">
        <is>
          <t>JAISALMER</t>
        </is>
      </c>
    </row>
    <row r="1196">
      <c r="A1196" s="1" t="n">
        <v>1194</v>
      </c>
      <c r="B1196">
        <f>HYPERLINK("https://eproc.rajasthan.gov.in/nicgep/app?component=%24DirectLink&amp;page=FrontEndViewTender&amp;service=direct&amp;session=T&amp;sp=SZzZYYDIdnr0PJ5U3tq8TTw%3D%3D", "Gram Panchyat Astroli May Sonpur Panchyat Samiti Gangapur City ke Samsat gavon me ghar ghar (Residential and Commercial) se kachara Sangrahan aur prathakkaran , sadak aur nail safai aur samudayik swaksta parisar ki safai sahit karya")</f>
        <v/>
      </c>
      <c r="C1196" t="inlineStr">
        <is>
          <t>Panchayati Raj Department||Secretary and Commissioner||CEO-S.MADHOPUR||BDO-GANGAPUR</t>
        </is>
      </c>
      <c r="D1196" t="inlineStr">
        <is>
          <t>19-May-2025 06:00 PM</t>
        </is>
      </c>
      <c r="E1196" t="inlineStr">
        <is>
          <t>9,12,000</t>
        </is>
      </c>
      <c r="F1196" t="inlineStr">
        <is>
          <t>Gram Panchyat Astroli May Sonpur Panchyat Samiti Gangapur City ke Samsat gavon me ghar ghar (Residential and Commercial) se kachara Sangrahan aur prathakkaran , sadak aur nail safai aur samudayik swaksta parisar ki safai sahit karya</t>
        </is>
      </c>
      <c r="G1196" t="inlineStr">
        <is>
          <t>GRAM PANCHYAT ASTROLI MAY SONPUR</t>
        </is>
      </c>
    </row>
    <row r="1197">
      <c r="A1197" s="1" t="n">
        <v>1195</v>
      </c>
      <c r="B1197">
        <f>HYPERLINK("https://eproc.rajasthan.gov.in/nicgep/app?component=%24DirectLink&amp;page=FrontEndViewTender&amp;service=direct&amp;session=T&amp;sp=SS69RHgGKDgff77kUJWyQBg%3D%3D", "COLLECTION OF WASTE FROM HOME AND BUSSINES UNIT, CLEANING OF ROADS AND SEWARAGE LINE, CLAENING OF CSC IN SBM-G SCHEME FY 2025-26 AT GRAM PANCHAYAT SATTO")</f>
        <v/>
      </c>
      <c r="C1197" t="inlineStr">
        <is>
          <t>Panchayati Raj Department||Secretary and Commissioner||CEO- JAISALMER||BDO-SAM</t>
        </is>
      </c>
      <c r="D1197" t="inlineStr">
        <is>
          <t>26-May-2025 06:00 PM</t>
        </is>
      </c>
      <c r="E1197" t="inlineStr">
        <is>
          <t>12,41,000</t>
        </is>
      </c>
      <c r="F1197" t="inlineStr">
        <is>
          <t>COLLECTION OF WASTE FROM HOME AND BUSSINES UNIT, CLEANING OF ROADS AND SEWARAGE LINE, CLAENING OF CSC IN SBM-G SCHEME FY 2025-26 AT GRAM PANCHAYAT SATTO</t>
        </is>
      </c>
      <c r="G1197" t="inlineStr">
        <is>
          <t>JAISALMER</t>
        </is>
      </c>
    </row>
    <row r="1198">
      <c r="A1198" s="1" t="n">
        <v>1196</v>
      </c>
      <c r="B1198">
        <f>HYPERLINK("https://eproc.rajasthan.gov.in/nicgep/app?component=%24DirectLink&amp;page=FrontEndViewTender&amp;service=direct&amp;session=T&amp;sp=S2rXoAabAfZifBAK550%2BTPg%3D%3D", "COLLECTION OF WASTE FROM HOME AND BUSSINES UNIT, CLEANING OF ROADS AND SEWARAGE LINE, CLAENING OF CSC IN SBM-G SCHEME FY 2025-26 AT GRAM PANCHAYAT SIYAMBER")</f>
        <v/>
      </c>
      <c r="C1198" t="inlineStr">
        <is>
          <t>Panchayati Raj Department||Secretary and Commissioner||CEO- JAISALMER||BDO-SAM</t>
        </is>
      </c>
      <c r="D1198" t="inlineStr">
        <is>
          <t>26-May-2025 06:00 PM</t>
        </is>
      </c>
      <c r="E1198" t="inlineStr">
        <is>
          <t>14,29,000</t>
        </is>
      </c>
      <c r="F1198" t="inlineStr">
        <is>
          <t>COLLECTION OF WASTE FROM HOME AND BUSSINES UNIT, CLEANING OF ROADS AND SEWARAGE LINE, CLAENING OF CSC IN SBM-G SCHEME FY 2025-26 AT GRAM PANCHAYAT SIYAMBER</t>
        </is>
      </c>
      <c r="G1198" t="inlineStr">
        <is>
          <t>JAISALMER</t>
        </is>
      </c>
    </row>
    <row r="1199">
      <c r="A1199" s="1" t="n">
        <v>1197</v>
      </c>
      <c r="B1199">
        <f>HYPERLINK("https://eproc.rajasthan.gov.in/nicgep/app?component=%24DirectLink&amp;page=FrontEndViewTender&amp;service=direct&amp;session=T&amp;sp=SQBJL02goonQUSuQvajfTxA%3D%3D", "NAREGA MATERIAL SUPPLY RATE CONTRACT NIT FOR FY 2025-26 GRAMPANCHAYAT RATEU")</f>
        <v/>
      </c>
      <c r="C1199" t="inlineStr">
        <is>
          <t>Panchayati Raj Department||Secretary and Commissioner||CEO-BADMER||BDO-GIDA</t>
        </is>
      </c>
      <c r="D1199" t="inlineStr">
        <is>
          <t>24-May-2025 06:00 PM</t>
        </is>
      </c>
      <c r="E1199" t="inlineStr">
        <is>
          <t>NA</t>
        </is>
      </c>
      <c r="F1199" t="inlineStr">
        <is>
          <t>NAREGA MATERIAL SUPPLY RATE CONTRACT NIT FOR FY 2025-26 GRAMPANCHAYAT RATEU (PLP2526GLRC00044)</t>
        </is>
      </c>
      <c r="G1199" t="inlineStr">
        <is>
          <t>rateu</t>
        </is>
      </c>
    </row>
    <row r="1200">
      <c r="A1200" s="1" t="n">
        <v>1198</v>
      </c>
      <c r="B1200">
        <f>HYPERLINK("https://eproc.rajasthan.gov.in/nicgep/app?component=%24DirectLink&amp;page=FrontEndViewTender&amp;service=direct&amp;session=T&amp;sp=SAtTL7H9qOufnAmdhRaBT9A%3D%3D", "Financial Year 2025-26 me Gram Panchyat RIWALI Panchyat Samiti Bamanwas Me MNREGA AUR OTHER SCHEME ke nirman karya hetu Rate contract par samagri aur upkaran apurti karya")</f>
        <v/>
      </c>
      <c r="C1200" t="inlineStr">
        <is>
          <t>Panchayati Raj Department||Secretary and Commissioner||CEO-S.MADHOPUR||BDO-BAMANWAS</t>
        </is>
      </c>
      <c r="D1200" t="inlineStr">
        <is>
          <t>19-May-2025 06:00 PM</t>
        </is>
      </c>
      <c r="E1200" t="inlineStr">
        <is>
          <t>50,00,000</t>
        </is>
      </c>
      <c r="F1200" t="inlineStr">
        <is>
          <t>Financial Year 2025-26 me Gram Panchyat RIWALI Panchyat Samiti Bamanwas Me MNREGA AUR OTHER SCHEME ke nirman karya hetu Rate contract par samagri aur upkaran apurti karya</t>
        </is>
      </c>
      <c r="G1200" t="inlineStr">
        <is>
          <t>GRAM PANCHYAT RIWALI</t>
        </is>
      </c>
    </row>
    <row r="1201">
      <c r="A1201" s="1" t="n">
        <v>1199</v>
      </c>
      <c r="B1201">
        <f>HYPERLINK("https://eproc.rajasthan.gov.in/nicgep/app?component=%24DirectLink&amp;page=FrontEndViewTender&amp;service=direct&amp;session=T&amp;sp=SBco9GeRpVwgjg5TAyI8q1g%3D%3D", "COLLECTION OF WASTE FROM HOME AND BUSSINES UNIT, CLEANING OF ROADS AND SEWARAGE LINE, CLAENING OF CSC IN SBM-G SCHEME FY 2025-26 AT GRAM PANCHAYAT ASUTAR")</f>
        <v/>
      </c>
      <c r="C1201" t="inlineStr">
        <is>
          <t>Panchayati Raj Department||Secretary and Commissioner||CEO- JAISALMER||BDO-SAM</t>
        </is>
      </c>
      <c r="D1201" t="inlineStr">
        <is>
          <t>26-May-2025 06:00 PM</t>
        </is>
      </c>
      <c r="E1201" t="inlineStr">
        <is>
          <t>7,85,000</t>
        </is>
      </c>
      <c r="F1201" t="inlineStr">
        <is>
          <t>COLLECTION OF WASTE FROM HOME AND BUSSINES UNIT, CLEANING OF ROADS AND SEWARAGE LINE, CLAENING OF CSC IN SBM-G SCHEME FY 2025-26 AT GRAM PANCHAYAT ASUTAR</t>
        </is>
      </c>
      <c r="G1201" t="inlineStr">
        <is>
          <t>JAISALMER</t>
        </is>
      </c>
    </row>
    <row r="1202">
      <c r="A1202" s="1" t="n">
        <v>1200</v>
      </c>
      <c r="B1202">
        <f>HYPERLINK("https://eproc.rajasthan.gov.in/nicgep/app?component=%24DirectLink&amp;page=FrontEndViewTender&amp;service=direct&amp;session=T&amp;sp=S4q1mxh9vs13cjutqgf%2FDbA%3D%3D", "MATERIAL SUPPLY TENDER 2025-26 GP KALAT")</f>
        <v/>
      </c>
      <c r="C1202" t="inlineStr">
        <is>
          <t>Panchayati Raj Department||Secretary and Commissioner||CEO-UDAIPUR||BDO-SARADA</t>
        </is>
      </c>
      <c r="D1202" t="inlineStr">
        <is>
          <t>22-May-2025 06:00 PM</t>
        </is>
      </c>
      <c r="E1202" t="inlineStr">
        <is>
          <t>30,00,000</t>
        </is>
      </c>
      <c r="F1202" t="inlineStr">
        <is>
          <t>KALAT</t>
        </is>
      </c>
      <c r="G1202" t="inlineStr">
        <is>
          <t>GP KALAT</t>
        </is>
      </c>
    </row>
    <row r="1203">
      <c r="A1203" s="1" t="n">
        <v>1201</v>
      </c>
      <c r="B1203">
        <f>HYPERLINK("https://eproc.rajasthan.gov.in/nicgep/app?component=%24DirectLink&amp;page=FrontEndViewTender&amp;service=direct&amp;session=T&amp;sp=SOGWvkeofhrtUn%2BSoNpnMWg%3D%3D", "material supply dingari")</f>
        <v/>
      </c>
      <c r="C1203" t="inlineStr">
        <is>
          <t>Panchayati Raj Department||Secretary and Commissioner||CEO-UDAIPUR||BDO-SARADA</t>
        </is>
      </c>
      <c r="D1203" t="inlineStr">
        <is>
          <t>26-May-2025 06:00 PM</t>
        </is>
      </c>
      <c r="E1203" t="inlineStr">
        <is>
          <t>30,00,000</t>
        </is>
      </c>
      <c r="F1203" t="inlineStr">
        <is>
          <t>material supply</t>
        </is>
      </c>
      <c r="G1203" t="inlineStr">
        <is>
          <t>dingari</t>
        </is>
      </c>
    </row>
    <row r="1204">
      <c r="A1204" s="1" t="n">
        <v>1202</v>
      </c>
      <c r="B1204">
        <f>HYPERLINK("https://eproc.rajasthan.gov.in/nicgep/app?component=%24DirectLink&amp;page=FrontEndViewTender&amp;service=direct&amp;session=T&amp;sp=SGfu%2BUGc3%2FocTCT5WGc7RAw%3D%3D", "material supply tender delwas")</f>
        <v/>
      </c>
      <c r="C1204" t="inlineStr">
        <is>
          <t>Panchayati Raj Department||Secretary and Commissioner||CEO-UDAIPUR||BDO-SARADA</t>
        </is>
      </c>
      <c r="D1204" t="inlineStr">
        <is>
          <t>26-May-2025 06:00 PM</t>
        </is>
      </c>
      <c r="E1204" t="inlineStr">
        <is>
          <t>30,00,000</t>
        </is>
      </c>
      <c r="F1204" t="inlineStr">
        <is>
          <t>delwas</t>
        </is>
      </c>
      <c r="G1204" t="inlineStr">
        <is>
          <t>gp delwas</t>
        </is>
      </c>
    </row>
    <row r="1205">
      <c r="A1205" s="1" t="n">
        <v>1203</v>
      </c>
      <c r="B1205">
        <f>HYPERLINK("https://eproc.rajasthan.gov.in/nicgep/app?component=%24DirectLink&amp;page=FrontEndViewTender&amp;service=direct&amp;session=T&amp;sp=SdtD4etIKBt2zLJOIZpw%2BNA%3D%3D", "COLLECTION OF WASTE FROM HOME AND BUSSINES UNIT, CLEANING OF ROADS AND SEWARAGE LINE, CLAENING OF CSC IN SBM-G SCHEME FY 2025-26 AT GRAM PANCHAYAT TURKE KI BASTI")</f>
        <v/>
      </c>
      <c r="C1205" t="inlineStr">
        <is>
          <t>Panchayati Raj Department||Secretary and Commissioner||CEO- JAISALMER||BDO-SAM</t>
        </is>
      </c>
      <c r="D1205" t="inlineStr">
        <is>
          <t>26-May-2025 06:00 PM</t>
        </is>
      </c>
      <c r="E1205" t="inlineStr">
        <is>
          <t>6,88,000</t>
        </is>
      </c>
      <c r="F1205" t="inlineStr">
        <is>
          <t>COLLECTION OF WASTE FROM HOME AND BUSSINES UNIT, CLEANING OF ROADS AND SEWARAGE LINE, CLAENING OF CSC IN SBM-G SCHEME FY 2025-26 AT GRAM PANCHAYAT TURKE KI BASTI</t>
        </is>
      </c>
      <c r="G1205" t="inlineStr">
        <is>
          <t>JAISALMER</t>
        </is>
      </c>
    </row>
    <row r="1206">
      <c r="A1206" s="1" t="n">
        <v>1204</v>
      </c>
      <c r="B1206">
        <f>HYPERLINK("https://eproc.rajasthan.gov.in/nicgep/app?component=%24DirectLink&amp;page=FrontEndViewTender&amp;service=direct&amp;session=T&amp;sp=Si0g8uOCF9ju5JCgk%2BG8zeg%3D%3D", "MATERIAL SUPPLY IN GP KAJALIYA FOR NAREGA AND RD/PRD")</f>
        <v/>
      </c>
      <c r="C1206" t="inlineStr">
        <is>
          <t>Panchayati Raj Department||Secretary and Commissioner||CEO-BANSWARA||BDO-ANANDPURI</t>
        </is>
      </c>
      <c r="D1206" t="inlineStr">
        <is>
          <t>24-May-2025 06:00 PM</t>
        </is>
      </c>
      <c r="E1206" t="inlineStr">
        <is>
          <t>50,00,000</t>
        </is>
      </c>
      <c r="F1206" t="inlineStr">
        <is>
          <t>MATERIAL SUPPLY IN GP KAJALIYA FOR NAREGA AND RD/PRD</t>
        </is>
      </c>
      <c r="G1206" t="inlineStr">
        <is>
          <t>GRAM PANCHAYAT KAJALIYA</t>
        </is>
      </c>
    </row>
    <row r="1207">
      <c r="A1207" s="1" t="n">
        <v>1205</v>
      </c>
      <c r="B1207">
        <f>HYPERLINK("https://eproc.rajasthan.gov.in/nicgep/app?component=%24DirectLink&amp;page=FrontEndViewTender&amp;service=direct&amp;session=T&amp;sp=SU5rEMkg2nqXmt%2Fi5%2B37qDQ%3D%3D", "COLLECTION OF WASTE FROM HOME AND BUSSINES UNIT, CLEANING OF ROADS AND SEWARAGE LINE, CLAENING OF CSC IN SBM-G SCHEME FY 2025-26 AT GRAM PANCHAYAT KOHARIYO KA GANV")</f>
        <v/>
      </c>
      <c r="C1207" t="inlineStr">
        <is>
          <t>Panchayati Raj Department||Secretary and Commissioner||CEO- JAISALMER||BDO-SAM</t>
        </is>
      </c>
      <c r="D1207" t="inlineStr">
        <is>
          <t>26-May-2025 06:00 PM</t>
        </is>
      </c>
      <c r="E1207" t="inlineStr">
        <is>
          <t>6,22,000</t>
        </is>
      </c>
      <c r="F1207" t="inlineStr">
        <is>
          <t>COLLECTION OF WASTE FROM HOME AND BUSSINES UNIT, CLEANING OF ROADS AND SEWARAGE LINE, CLAENING OF CSC IN SBM-G SCHEME FY 2025-26 AT GRAM PANCHAYAT KOHARIYO KA GANV</t>
        </is>
      </c>
      <c r="G1207" t="inlineStr">
        <is>
          <t>JAISALMER</t>
        </is>
      </c>
    </row>
    <row r="1208">
      <c r="A1208" s="1" t="n">
        <v>1206</v>
      </c>
      <c r="B1208">
        <f>HYPERLINK("https://eproc.rajasthan.gov.in/nicgep/app?component=%24DirectLink&amp;page=FrontEndViewTender&amp;service=direct&amp;session=T&amp;sp=SLfT60EnjMcvyeTqcRG2%2Fxw%3D%3D", "COLLECTION OF WASTE FROM HOME AND BUSSINES UNIT, CLEANING OF ROADS AND SEWARAGE LINE, CLAENING OF CSC IN SBM-G SCHEME FY 2025-26 AT GRAM PANCHAYAT SIPLA")</f>
        <v/>
      </c>
      <c r="C1208" t="inlineStr">
        <is>
          <t>Panchayati Raj Department||Secretary and Commissioner||CEO- JAISALMER||BDO-SAM</t>
        </is>
      </c>
      <c r="D1208" t="inlineStr">
        <is>
          <t>26-May-2025 06:00 PM</t>
        </is>
      </c>
      <c r="E1208" t="inlineStr">
        <is>
          <t>15,73,000</t>
        </is>
      </c>
      <c r="F1208" t="inlineStr">
        <is>
          <t>COLLECTION OF WASTE FROM HOME AND BUSSINES UNIT, CLEANING OF ROADS AND SEWARAGE LINE, CLAENING OF CSC IN SBM-G SCHEME FY 2025-26 AT GRAM PANCHAYAT SIPLA</t>
        </is>
      </c>
      <c r="G1208" t="inlineStr">
        <is>
          <t>JAISALMER</t>
        </is>
      </c>
    </row>
    <row r="1209">
      <c r="A1209" s="1" t="n">
        <v>1207</v>
      </c>
      <c r="B1209">
        <f>HYPERLINK("https://eproc.rajasthan.gov.in/nicgep/app?component=%24DirectLink&amp;page=FrontEndViewTender&amp;service=direct&amp;session=T&amp;sp=S1HtfZ%2ByCHHv9GHOnLOg8rg%3D%3D", "CC/Tiles road construction work main population Diwanchali Kalan Gram Panchayat Khedla Khurd")</f>
        <v/>
      </c>
      <c r="C1209" t="inlineStr">
        <is>
          <t>Panchayati Raj Department||Secretary and Commissioner||CEO-DAUSA||BDO-LALSOT</t>
        </is>
      </c>
      <c r="D1209" t="inlineStr">
        <is>
          <t>22-May-2025 06:00 PM</t>
        </is>
      </c>
      <c r="E1209" t="inlineStr">
        <is>
          <t>10,00,000</t>
        </is>
      </c>
      <c r="F1209" t="inlineStr">
        <is>
          <t>CC/Tiles road construction work main population Diwanchali Kalan Gram Panchayat Khedla Khurd</t>
        </is>
      </c>
      <c r="G1209" t="inlineStr">
        <is>
          <t>Gram Panchayat Khedla Khurd</t>
        </is>
      </c>
    </row>
    <row r="1210">
      <c r="A1210" s="1" t="n">
        <v>1208</v>
      </c>
      <c r="B1210">
        <f>HYPERLINK("https://eproc.rajasthan.gov.in/nicgep/app?component=%24DirectLink&amp;page=FrontEndViewTender&amp;service=direct&amp;session=T&amp;sp=SLLXS58OQcdMofm3vjP10qA%3D%3D", "SUPPLY OF CONSTRUCTION MATERIAL AND PROVIDING EQUIPMENT IN GP JANWALI PS PEEPLU")</f>
        <v/>
      </c>
      <c r="C1210" t="inlineStr">
        <is>
          <t>Panchayati Raj Department||Secretary and Commissioner||CEO-TONK||BDO-PEEPLU</t>
        </is>
      </c>
      <c r="D1210" t="inlineStr">
        <is>
          <t>22-May-2025 06:00 PM</t>
        </is>
      </c>
      <c r="E1210" t="inlineStr">
        <is>
          <t>90,00,000</t>
        </is>
      </c>
      <c r="F1210" t="inlineStr">
        <is>
          <t>SUPPLY OF CONSTRUCTION MATERIAL AND PROVIDING EQUIPMENT IN GP JANWALI PS PEEPLU</t>
        </is>
      </c>
      <c r="G1210" t="inlineStr">
        <is>
          <t>GP JANWALI</t>
        </is>
      </c>
    </row>
    <row r="1211">
      <c r="A1211" s="1" t="n">
        <v>1209</v>
      </c>
      <c r="B1211">
        <f>HYPERLINK("https://eproc.rajasthan.gov.in/nicgep/app?component=%24DirectLink&amp;page=FrontEndViewTender&amp;service=direct&amp;session=T&amp;sp=SXVwwvmbZcqBHMNbzO3MbpA%3D%3D", "Rajashwork1500")</f>
        <v/>
      </c>
      <c r="C1211" t="inlineStr">
        <is>
          <t>Panchayati Raj Department||Secretary and Commissioner||CEO-SIKAR||BDO-LAXMANGARH</t>
        </is>
      </c>
      <c r="D1211" t="inlineStr">
        <is>
          <t>28-May-2025 06:00 PM</t>
        </is>
      </c>
      <c r="E1211" t="inlineStr">
        <is>
          <t>15,00,000</t>
        </is>
      </c>
      <c r="F1211" t="inlineStr">
        <is>
          <t>Resthouse</t>
        </is>
      </c>
      <c r="G1211" t="inlineStr">
        <is>
          <t>Rajash</t>
        </is>
      </c>
    </row>
    <row r="1212">
      <c r="A1212" s="1" t="n">
        <v>1210</v>
      </c>
      <c r="B1212">
        <f>HYPERLINK("https://eproc.rajasthan.gov.in/nicgep/app?component=%24DirectLink&amp;page=FrontEndViewTender&amp;service=direct&amp;session=T&amp;sp=S%2BEYDOTunQQ6BDBb%2BK6xLUw%3D%3D", "SUPPLY OF BUILDING MATERIAL AND EQUIPMENT IN GP PIPRALI PS GUDAMALANI")</f>
        <v/>
      </c>
      <c r="C1212" t="inlineStr">
        <is>
          <t>Panchayati Raj Department||Secretary and Commissioner||CEO-BADMER||BDO-GUDHAMALANI</t>
        </is>
      </c>
      <c r="D1212" t="inlineStr">
        <is>
          <t>26-May-2025 06:00 PM</t>
        </is>
      </c>
      <c r="E1212" t="inlineStr">
        <is>
          <t>50,00,000</t>
        </is>
      </c>
      <c r="F1212" t="inlineStr">
        <is>
          <t>SUPPLY OF BUILDING MATERIAL AND EQUIPMENT IN GP PIPRALI PS GUDAMALANI</t>
        </is>
      </c>
      <c r="G1212" t="inlineStr">
        <is>
          <t>GRAM PANCHAYAT PIPRALI PS GUDAMALANI</t>
        </is>
      </c>
    </row>
    <row r="1213">
      <c r="A1213" s="1" t="n">
        <v>1211</v>
      </c>
      <c r="B1213">
        <f>HYPERLINK("https://eproc.rajasthan.gov.in/nicgep/app?component=%24DirectLink&amp;page=FrontEndViewTender&amp;service=direct&amp;session=T&amp;sp=SIYyY9Xc27cSDKtw4fP6%2FiA%3D%3D", "Supply of Construction Material RDPR Scheme MNREGA, SFC , FFC and other scheme for Financial Year 2025-26 in Gram Panchyat Bhagwatgarh PS Chauth Ka Barwara")</f>
        <v/>
      </c>
      <c r="C1213" t="inlineStr">
        <is>
          <t>Panchayati Raj Department||Secretary and Commissioner||CEO-S.MADHOPUR||BDO-CHOTH KA BARWADA</t>
        </is>
      </c>
      <c r="D1213" t="inlineStr">
        <is>
          <t>29-May-2025 06:00 PM</t>
        </is>
      </c>
      <c r="E1213" t="inlineStr">
        <is>
          <t>80,00,000</t>
        </is>
      </c>
      <c r="F1213" t="inlineStr">
        <is>
          <t>Supply of Construction Material RDPR Scheme MNREGA, SFC , FFC and other scheme for Financial Year 2025-26 in Gram Panchyat Bhagwatgarh PS Chauth Ka Barwara</t>
        </is>
      </c>
      <c r="G1213" t="inlineStr">
        <is>
          <t>GRAM PANCHYAT BHAGWATGARH</t>
        </is>
      </c>
    </row>
    <row r="1214">
      <c r="A1214" s="1" t="n">
        <v>1212</v>
      </c>
      <c r="B1214">
        <f>HYPERLINK("https://eproc.rajasthan.gov.in/nicgep/app?component=%24DirectLink&amp;page=FrontEndViewTender&amp;service=direct&amp;session=T&amp;sp=Se7fXyqJfd5NtlMqGagfgFg%3D%3D", "SUPPLY OF CONSTRUCTION MATERIAL AND PROVIDING EQUIPMENT IN GP CHOGAI PS PEEPLU")</f>
        <v/>
      </c>
      <c r="C1214" t="inlineStr">
        <is>
          <t>Panchayati Raj Department||Secretary and Commissioner||CEO-TONK||BDO-PEEPLU</t>
        </is>
      </c>
      <c r="D1214" t="inlineStr">
        <is>
          <t>22-May-2025 06:00 PM</t>
        </is>
      </c>
      <c r="E1214" t="inlineStr">
        <is>
          <t>90,00,000</t>
        </is>
      </c>
      <c r="F1214" t="inlineStr">
        <is>
          <t>SUPPLY OF CONSTRUCTION MATERIAL AND PROVIDING EQUIPMENT IN GP CHOGAI PS PEEPLU</t>
        </is>
      </c>
      <c r="G1214" t="inlineStr">
        <is>
          <t>GP CHOGAI</t>
        </is>
      </c>
    </row>
    <row r="1215">
      <c r="A1215" s="1" t="n">
        <v>1213</v>
      </c>
      <c r="B1215">
        <f>HYPERLINK("https://eproc.rajasthan.gov.in/nicgep/app?component=%24DirectLink&amp;page=FrontEndViewTender&amp;service=direct&amp;session=T&amp;sp=SIri1kBk6p1Z3mI4MaQx5Ew%3D%3D", "SUPPLY OF CONSTRUCTION MATERIAL AND PROVIDING EQUIPMENT IN GP BANWADA PS PEEPLU")</f>
        <v/>
      </c>
      <c r="C1215" t="inlineStr">
        <is>
          <t>Panchayati Raj Department||Secretary and Commissioner||CEO-TONK||BDO-PEEPLU</t>
        </is>
      </c>
      <c r="D1215" t="inlineStr">
        <is>
          <t>22-May-2025 06:00 PM</t>
        </is>
      </c>
      <c r="E1215" t="inlineStr">
        <is>
          <t>90,00,000</t>
        </is>
      </c>
      <c r="F1215" t="inlineStr">
        <is>
          <t>SUPPLY OF CONSTRUCTION MATERIAL AND PROVIDING EQUIPMENT IN GP BANWADA PS PEEPLU</t>
        </is>
      </c>
      <c r="G1215" t="inlineStr">
        <is>
          <t>GP BANWADA</t>
        </is>
      </c>
    </row>
    <row r="1216">
      <c r="A1216" s="1" t="n">
        <v>1214</v>
      </c>
      <c r="B1216">
        <f>HYPERLINK("https://eproc.rajasthan.gov.in/nicgep/app?component=%24DirectLink&amp;page=FrontEndViewTender&amp;service=direct&amp;session=T&amp;sp=SHCA%2BsBKelSBAQU7lr%2BYNcg%3D%3D", "Supply of Construction Material RDPR Scheme MNREGA, SFC , FFC and other scheme for Financial Year 2025-26 in Gram Panchyat Chouth Ka Barwara PS Chauth Ka Barwara")</f>
        <v/>
      </c>
      <c r="C1216" t="inlineStr">
        <is>
          <t>Panchayati Raj Department||Secretary and Commissioner||CEO-S.MADHOPUR||BDO-CHOTH KA BARWADA</t>
        </is>
      </c>
      <c r="D1216" t="inlineStr">
        <is>
          <t>29-May-2025 06:00 PM</t>
        </is>
      </c>
      <c r="E1216" t="inlineStr">
        <is>
          <t>80,00,000</t>
        </is>
      </c>
      <c r="F1216" t="inlineStr">
        <is>
          <t>Supply of Construction Material RDPR Scheme MNREGA, SFC , FFC and other scheme for Financial Year 2025-26 in Gram Panchyat Chouth Ka Barwara PS Chauth Ka Barwara</t>
        </is>
      </c>
      <c r="G1216" t="inlineStr">
        <is>
          <t>GRAM PANCHYAT CHOUTH KA BARWARA</t>
        </is>
      </c>
    </row>
    <row r="1217">
      <c r="A1217" s="1" t="n">
        <v>1215</v>
      </c>
      <c r="B1217">
        <f>HYPERLINK("https://eproc.rajasthan.gov.in/nicgep/app?component=%24DirectLink&amp;page=FrontEndViewTender&amp;service=direct&amp;session=T&amp;sp=SN7axjnlIpXy32lIwhtut%2FA%3D%3D", "Work of supply of material and equipment for Mgnarega and other development schemes in Gram panchayat RAMPURA PS Chitalwana For fy 2025-26")</f>
        <v/>
      </c>
      <c r="C1217" t="inlineStr">
        <is>
          <t>Panchayati Raj Department||Secretary and Commissioner||CEO- JALORE||BDO-CHITALWANA</t>
        </is>
      </c>
      <c r="D1217" t="inlineStr">
        <is>
          <t>26-May-2025 12:40 PM</t>
        </is>
      </c>
      <c r="E1217" t="inlineStr">
        <is>
          <t>49,00,000</t>
        </is>
      </c>
      <c r="F1217" t="inlineStr">
        <is>
          <t>Work of supply of material and equipment for Mgnarega and other development schemes in Gram panchayat RAMPURA PS Chitalwana For fy 2025-26</t>
        </is>
      </c>
      <c r="G1217" t="inlineStr">
        <is>
          <t>GRAM PANCHAYAT RAMPURA PS CHITALWANA</t>
        </is>
      </c>
    </row>
    <row r="1218">
      <c r="A1218" s="1" t="n">
        <v>1216</v>
      </c>
      <c r="B1218">
        <f>HYPERLINK("https://eproc.rajasthan.gov.in/nicgep/app?component=%24DirectLink&amp;page=FrontEndViewTender&amp;service=direct&amp;session=T&amp;sp=SZwOQw0HjtVcRsnRY6muz6g%3D%3D", "supply of construction metarial and providing equipment in NREGA and other RDPR scheme at G.P SANGAR P S FATEHGARH Financial year 2025-26")</f>
        <v/>
      </c>
      <c r="C1218" t="inlineStr">
        <is>
          <t>Panchayati Raj Department||Secretary and Commissioner||CEO- JAISALMER||BDO-FATEH GARH</t>
        </is>
      </c>
      <c r="D1218" t="inlineStr">
        <is>
          <t>24-May-2025 12:00 PM</t>
        </is>
      </c>
      <c r="E1218" t="inlineStr">
        <is>
          <t>55,00,000</t>
        </is>
      </c>
      <c r="F1218" t="inlineStr">
        <is>
          <t>supply of construction metarial and providing equipment in NREGA and other RDPR scheme at G.P SANGAR P S FATEHGARH Financial year 2025-26</t>
        </is>
      </c>
      <c r="G1218" t="inlineStr">
        <is>
          <t>SARPANCH GRAM PANCHAYAT SANGAR P S FATEHGARH</t>
        </is>
      </c>
    </row>
    <row r="1219">
      <c r="A1219" s="1" t="n">
        <v>1217</v>
      </c>
      <c r="B1219">
        <f>HYPERLINK("https://eproc.rajasthan.gov.in/nicgep/app?component=%24DirectLink&amp;page=FrontEndViewTender&amp;service=direct&amp;session=T&amp;sp=SlljoGKqr%2FX5S3MRGZbrKAA%3D%3D", "MATERIAL SUPPLY IN GP NAHARPURA FOR NAREGA AND RD/PRD")</f>
        <v/>
      </c>
      <c r="C1219" t="inlineStr">
        <is>
          <t>Panchayati Raj Department||Secretary and Commissioner||CEO-BANSWARA||BDO-ANANDPURI</t>
        </is>
      </c>
      <c r="D1219" t="inlineStr">
        <is>
          <t>24-May-2025 06:00 PM</t>
        </is>
      </c>
      <c r="E1219" t="inlineStr">
        <is>
          <t>50,00,000</t>
        </is>
      </c>
      <c r="F1219" t="inlineStr">
        <is>
          <t>MATERIAL SUPPLY IN GP NAHARPURA FOR NAREGA AND RD/PRD</t>
        </is>
      </c>
      <c r="G1219" t="inlineStr">
        <is>
          <t>GRAM PANCHAYAT NAHARPURA</t>
        </is>
      </c>
    </row>
    <row r="1220">
      <c r="A1220" s="1" t="n">
        <v>1218</v>
      </c>
      <c r="B1220">
        <f>HYPERLINK("https://eproc.rajasthan.gov.in/nicgep/app?component=%24DirectLink&amp;page=FrontEndViewTender&amp;service=direct&amp;session=T&amp;sp=Su0HotjKkN90nKEQPKpezwg%3D%3D", "COLLECTION OF WASTE FROM HOME AND BUSSINES UNIT, CLEANING OF ROADS AND SEWARAGE LINE, CLAENING OF CSC IN SBM-G SCHEME FY 2025-26 AT GRAM PANCHAYAT TANOT")</f>
        <v/>
      </c>
      <c r="C1220" t="inlineStr">
        <is>
          <t>Panchayati Raj Department||Secretary and Commissioner||CEO- JAISALMER||BDO-SAM</t>
        </is>
      </c>
      <c r="D1220" t="inlineStr">
        <is>
          <t>26-May-2025 06:00 PM</t>
        </is>
      </c>
      <c r="E1220" t="inlineStr">
        <is>
          <t>7,28,000</t>
        </is>
      </c>
      <c r="F1220" t="inlineStr">
        <is>
          <t>COLLECTION OF WASTE FROM HOME AND BUSSINES UNIT, CLEANING OF ROADS AND SEWARAGE LINE, CLAENING OF CSC IN SBM-G SCHEME FY 2025-26 AT GRAM PANCHAYAT TANOT</t>
        </is>
      </c>
      <c r="G1220" t="inlineStr">
        <is>
          <t>JAISALMER</t>
        </is>
      </c>
    </row>
    <row r="1221">
      <c r="A1221" s="1" t="n">
        <v>1219</v>
      </c>
      <c r="B1221">
        <f>HYPERLINK("https://eproc.rajasthan.gov.in/nicgep/app?component=%24DirectLink&amp;page=FrontEndViewTender&amp;service=direct&amp;session=T&amp;sp=SsAOd2tk%2Fdefep%2Bz7Tog4nw%3D%3D", "COLLECTION OF WASTE FROM HOME AND BUSSINES UNIT, CLEANING OF ROADS AND SEWARAGE LINE, CLAENING OF CSC IN SBM-G SCHEME FY 2025-26 AT GRAM PANCHAYAT KHURI")</f>
        <v/>
      </c>
      <c r="C1221" t="inlineStr">
        <is>
          <t>Panchayati Raj Department||Secretary and Commissioner||CEO- JAISALMER||BDO-SAM</t>
        </is>
      </c>
      <c r="D1221" t="inlineStr">
        <is>
          <t>26-May-2025 06:00 PM</t>
        </is>
      </c>
      <c r="E1221" t="inlineStr">
        <is>
          <t>21,36,000</t>
        </is>
      </c>
      <c r="F1221" t="inlineStr">
        <is>
          <t>COLLECTION OF WASTE FROM HOME AND BUSSINES UNIT, CLEANING OF ROADS AND SEWARAGE LINE, CLAENING OF CSC IN SBM-G SCHEME FY 2025-26 AT GRAM PANCHAYAT KHURI</t>
        </is>
      </c>
      <c r="G1221" t="inlineStr">
        <is>
          <t>JAISALMER</t>
        </is>
      </c>
    </row>
    <row r="1222">
      <c r="A1222" s="1" t="n">
        <v>1220</v>
      </c>
      <c r="B1222">
        <f>HYPERLINK("https://eproc.rajasthan.gov.in/nicgep/app?component=%24DirectLink&amp;page=FrontEndViewTender&amp;service=direct&amp;session=T&amp;sp=Ste3yUTdvPOuUKQJguTkLcA%3D%3D", "COLLECTION OF WASTE FROM HOME AND BUSSINES UNIT, CLEANING OF ROADS AND SEWARAGE LINE, CLAENING OF CSC IN SBM-G SCHEME FY 2025-26 AT GRAM PANCHAYAT DAMODARA")</f>
        <v/>
      </c>
      <c r="C1222" t="inlineStr">
        <is>
          <t>Panchayati Raj Department||Secretary and Commissioner||CEO- JAISALMER||BDO-SAM</t>
        </is>
      </c>
      <c r="D1222" t="inlineStr">
        <is>
          <t>26-May-2025 06:00 PM</t>
        </is>
      </c>
      <c r="E1222" t="inlineStr">
        <is>
          <t>13,21,000</t>
        </is>
      </c>
      <c r="F1222" t="inlineStr">
        <is>
          <t>COLLECTION OF WASTE FROM HOME AND BUSSINES UNIT, CLEANING OF ROADS AND SEWARAGE LINE, CLAENING OF CSC IN SBM-G SCHEME FY 2025-26 AT GRAM PANCHAYAT DAMODARA</t>
        </is>
      </c>
      <c r="G1222" t="inlineStr">
        <is>
          <t>JAISALMER</t>
        </is>
      </c>
    </row>
    <row r="1223">
      <c r="A1223" s="1" t="n">
        <v>1221</v>
      </c>
      <c r="B1223">
        <f>HYPERLINK("https://eproc.rajasthan.gov.in/nicgep/app?component=%24DirectLink&amp;page=FrontEndViewTender&amp;service=direct&amp;session=T&amp;sp=So7vKsiH%2B1KcCRVlPWVHOjg%3D%3D", "COLLECTION OF WASTE FROM HOME AND BUSSINES UNIT, CLEANING OF ROADS AND SEWARAGE LINE, CLAENING OF CSC IN SBM-G SCHEME FY 2025-26 AT GRAM PANCHAYAT SONU")</f>
        <v/>
      </c>
      <c r="C1223" t="inlineStr">
        <is>
          <t>Panchayati Raj Department||Secretary and Commissioner||CEO- JAISALMER||BDO-SAM</t>
        </is>
      </c>
      <c r="D1223" t="inlineStr">
        <is>
          <t>26-May-2025 06:00 PM</t>
        </is>
      </c>
      <c r="E1223" t="inlineStr">
        <is>
          <t>14,49,000</t>
        </is>
      </c>
      <c r="F1223" t="inlineStr">
        <is>
          <t>COLLECTION OF WASTE FROM HOME AND BUSSINES UNIT, CLEANING OF ROADS AND SEWARAGE LINE, CLAENING OF CSC IN SBM-G SCHEME FY 2025-26 AT GRAM PANCHAYAT SONU</t>
        </is>
      </c>
      <c r="G1223" t="inlineStr">
        <is>
          <t>JAISALMER</t>
        </is>
      </c>
    </row>
    <row r="1224">
      <c r="A1224" s="1" t="n">
        <v>1222</v>
      </c>
      <c r="B1224">
        <f>HYPERLINK("https://eproc.rajasthan.gov.in/nicgep/app?component=%24DirectLink&amp;page=FrontEndViewTender&amp;service=direct&amp;session=T&amp;sp=S9fudJ7fQpZYImZq69omj3Q%3D%3D", "Works Including Door-To-Door (Residential And Commercial) Waste Collection And Segregation, Road And Drain Cleaning, And Community Sanitation Premises Cleaning In All Villages Of The Gram Panchayat deepawas")</f>
        <v/>
      </c>
      <c r="C1224" t="inlineStr">
        <is>
          <t>Panchayati Raj Department||Secretary and Commissioner||CEO-SIKAR||BDO-AJEET GARH</t>
        </is>
      </c>
      <c r="D1224" t="inlineStr">
        <is>
          <t>21-May-2025 06:00 PM</t>
        </is>
      </c>
      <c r="E1224" t="inlineStr">
        <is>
          <t>8,50,000</t>
        </is>
      </c>
      <c r="F1224" t="inlineStr">
        <is>
          <t>Works Including Door-To-Door (Residential And Commercial) Waste Collection And Segregation, Road And Drain Cleaning, And Community Sanitation Premises Cleaning In All Villages Of The Gram Panchayat deepawas</t>
        </is>
      </c>
      <c r="G1224" t="inlineStr">
        <is>
          <t>gp deepawas</t>
        </is>
      </c>
    </row>
    <row r="1225">
      <c r="A1225" s="1" t="n">
        <v>1223</v>
      </c>
      <c r="B1225">
        <f>HYPERLINK("https://eproc.rajasthan.gov.in/nicgep/app?component=%24DirectLink&amp;page=FrontEndViewTender&amp;service=direct&amp;session=T&amp;sp=SqSJ0e9y87doj%2Fq3Q%2Blo2Ew%3D%3D", "Gram Panchayat Khorashyamdas ke Samast Ganvo me Ghar avm Vyavsayik Pratishthano se Kachra sangrahan avm Prithakkaran sadak avm Nail Safai tatha Samudayik Sawachhata Parisar ki Safai Sahit Karya")</f>
        <v/>
      </c>
      <c r="C1225" t="inlineStr">
        <is>
          <t>Panchayati Raj Department||Secretary and Commissioner||CEO- JAIPUR||BDO-JALSU</t>
        </is>
      </c>
      <c r="D1225" t="inlineStr">
        <is>
          <t>22-May-2025 01:00 PM</t>
        </is>
      </c>
      <c r="E1225" t="inlineStr">
        <is>
          <t>8,88,000</t>
        </is>
      </c>
      <c r="F1225" t="inlineStr">
        <is>
          <t>Gram Panchayat Khorashyamdas ke Samast Ganvo me Ghar avm Vyavsayik Pratishthano se Kachra sangrahan avm Prithakkaran sadak avm Nail Safai tatha Samudayik Sawachhata Parisar ki Safai Sahit Karya</t>
        </is>
      </c>
      <c r="G1225" t="inlineStr">
        <is>
          <t>KHORASHYAMDAS</t>
        </is>
      </c>
    </row>
    <row r="1226">
      <c r="A1226" s="1" t="n">
        <v>1224</v>
      </c>
      <c r="B1226">
        <f>HYPERLINK("https://eproc.rajasthan.gov.in/nicgep/app?component=%24DirectLink&amp;page=FrontEndViewTender&amp;service=direct&amp;session=T&amp;sp=SY2XiZtdYQdRKdxdpkuPogA%3D%3D", "Gram Panchayat Khora Bisal ke Samast Ganvo me Ghar avm Vyavsayik Pratishthano se Kachra sangrahan avm Prithakkaran sadak avm Nail Safai tatha Samudayik Sawachhata Parisar ki Safai Sahit Karya")</f>
        <v/>
      </c>
      <c r="C1226" t="inlineStr">
        <is>
          <t>Panchayati Raj Department||Secretary and Commissioner||CEO- JAIPUR||BDO-JALSU</t>
        </is>
      </c>
      <c r="D1226" t="inlineStr">
        <is>
          <t>22-May-2025 01:00 PM</t>
        </is>
      </c>
      <c r="E1226" t="inlineStr">
        <is>
          <t>9,90,000</t>
        </is>
      </c>
      <c r="F1226" t="inlineStr">
        <is>
          <t>Gram Panchayat Khora Bisal ke Samast Ganvo me Ghar avm Vyavsayik Pratishthano se Kachra sangrahan avm Prithakkaran sadak avm Nail Safai tatha Samudayik Sawachhata Parisar ki Safai Sahit Karya</t>
        </is>
      </c>
      <c r="G1226" t="inlineStr">
        <is>
          <t>KHORA BISAL</t>
        </is>
      </c>
    </row>
    <row r="1227">
      <c r="A1227" s="1" t="n">
        <v>1225</v>
      </c>
      <c r="B1227">
        <f>HYPERLINK("https://eproc.rajasthan.gov.in/nicgep/app?component=%24DirectLink&amp;page=FrontEndViewTender&amp;service=direct&amp;session=T&amp;sp=SNDW%2FxNJoR%2BotssakPoxRQA%3D%3D", "Gram Panchayat Khannipura ke Samast Ganvo me Ghar avm Vyavsayik Pratishthano se Kachra sangrahan avm Prithakkaran sadak avm Nail Safai tatha Samudayik Sawachhata Parisar ki Safai Sahit Karya")</f>
        <v/>
      </c>
      <c r="C1227" t="inlineStr">
        <is>
          <t>Panchayati Raj Department||Secretary and Commissioner||CEO- JAIPUR||BDO-JALSU</t>
        </is>
      </c>
      <c r="D1227" t="inlineStr">
        <is>
          <t>22-May-2025 01:00 PM</t>
        </is>
      </c>
      <c r="E1227" t="inlineStr">
        <is>
          <t>6,80,000</t>
        </is>
      </c>
      <c r="F1227" t="inlineStr">
        <is>
          <t>Gram Panchayat Khannipura ke Samast Ganvo me Ghar avm Vyavsayik Pratishthano se Kachra sangrahan avm Prithakkaran sadak avm Nail Safai tatha Samudayik Sawachhata Parisar ki Safai Sahit Karya</t>
        </is>
      </c>
      <c r="G1227" t="inlineStr">
        <is>
          <t>KHANNIPURA</t>
        </is>
      </c>
    </row>
    <row r="1228">
      <c r="A1228" s="1" t="n">
        <v>1226</v>
      </c>
      <c r="B1228">
        <f>HYPERLINK("https://eproc.rajasthan.gov.in/nicgep/app?component=%24DirectLink&amp;page=FrontEndViewTender&amp;service=direct&amp;session=T&amp;sp=SH4wiZCRq43e0JfoDwiDCGA%3D%3D", "COLLECTION OF WASTE FROM HOME AND BUSSINES UNIT, CLEANING OF ROADS AND SEWARAGE LINE, CLAENING OF CSC IN SBM-G SCHEME FY 2025-26 AT GRAM PANCHAYAT KANOI")</f>
        <v/>
      </c>
      <c r="C1228" t="inlineStr">
        <is>
          <t>Panchayati Raj Department||Secretary and Commissioner||CEO- JAISALMER||BDO-SAM</t>
        </is>
      </c>
      <c r="D1228" t="inlineStr">
        <is>
          <t>26-May-2025 06:00 PM</t>
        </is>
      </c>
      <c r="E1228" t="inlineStr">
        <is>
          <t>28,84,000</t>
        </is>
      </c>
      <c r="F1228" t="inlineStr">
        <is>
          <t>COLLECTION OF WASTE FROM HOME AND BUSSINES UNIT, CLEANING OF ROADS AND SEWARAGE LINE, CLAENING OF CSC IN SBM-G SCHEME FY 2025-26 AT GRAM PANCHAYAT KANOI</t>
        </is>
      </c>
      <c r="G1228" t="inlineStr">
        <is>
          <t>JAISALMER</t>
        </is>
      </c>
    </row>
    <row r="1229">
      <c r="A1229" s="1" t="n">
        <v>1227</v>
      </c>
      <c r="B1229">
        <f>HYPERLINK("https://eproc.rajasthan.gov.in/nicgep/app?component=%24DirectLink&amp;page=FrontEndViewTender&amp;service=direct&amp;session=T&amp;sp=S7vlojxqmhbtCba5lXcGgEQ%3D%3D", "Work including door-to-door (residential and commercial) garbage collection and segregation, road and drain cleaning and community sanitation premises cleaning in all villages of Gram Panchayat Kishorpura")</f>
        <v/>
      </c>
      <c r="C1229" t="inlineStr">
        <is>
          <t>Panchayati Raj Department||Secretary and Commissioner||CEO-DAUSA||BDO-LALSOT</t>
        </is>
      </c>
      <c r="D1229" t="inlineStr">
        <is>
          <t>22-May-2025 06:00 PM</t>
        </is>
      </c>
      <c r="E1229" t="inlineStr">
        <is>
          <t>4,99,627</t>
        </is>
      </c>
      <c r="F1229" t="inlineStr">
        <is>
          <t>Work including door-to-door (residential and commercial) garbage collection and segregation, road and drain cleaning and community sanitation premises cleaning in all villages of Gram Panchayat Kishorpura</t>
        </is>
      </c>
      <c r="G1229" t="inlineStr">
        <is>
          <t>Gram Panchayat Kishorpura</t>
        </is>
      </c>
    </row>
    <row r="1230">
      <c r="A1230" s="1" t="n">
        <v>1228</v>
      </c>
      <c r="B1230">
        <f>HYPERLINK("https://eproc.rajasthan.gov.in/nicgep/app?component=%24DirectLink&amp;page=FrontEndViewTender&amp;service=direct&amp;session=T&amp;sp=SOrCwy7JRBl987jodvZ4DtQ%3D%3D", "COLLECTION OF WASTE FROM HOME AND BUSSINES UNIT, CLEANING OF ROADS AND SEWARAGE LINE, CLAENING OF CSC IN SBM-G SCHEME FY 2025-26 AT GRAM PANCHAYAT BERSIYALA")</f>
        <v/>
      </c>
      <c r="C1230" t="inlineStr">
        <is>
          <t>Panchayati Raj Department||Secretary and Commissioner||CEO- JAISALMER||BDO-SAM</t>
        </is>
      </c>
      <c r="D1230" t="inlineStr">
        <is>
          <t>26-May-2025 06:00 PM</t>
        </is>
      </c>
      <c r="E1230" t="inlineStr">
        <is>
          <t>7,83,000</t>
        </is>
      </c>
      <c r="F1230" t="inlineStr">
        <is>
          <t>COLLECTION OF WASTE FROM HOME AND BUSSINES UNIT, CLEANING OF ROADS AND SEWARAGE LINE, CLAENING OF CSC IN SBM-G SCHEME FY 2025-26 AT GRAM PANCHAYAT BERSIYALA</t>
        </is>
      </c>
      <c r="G1230" t="inlineStr">
        <is>
          <t>JAISALMER</t>
        </is>
      </c>
    </row>
    <row r="1231">
      <c r="A1231" s="1" t="n">
        <v>1229</v>
      </c>
      <c r="B1231">
        <f>HYPERLINK("https://eproc.rajasthan.gov.in/nicgep/app?component=%24DirectLink&amp;page=FrontEndViewTender&amp;service=direct&amp;session=T&amp;sp=SH0FMRAj4Qi5gc7fEgUh9lA%3D%3D", "WORK INCLUDING DOOR TO DOOR RESIDENTAL AND COMERICAL KACHRA COLLECTION AND SEPRATION ROAD AND DRAIN CLEANING AND COMMUNITY SENCATION COMPLEX CLEANING IN ALL THE VILLAGE OF GRAM PANCHAYAT makholi IN PS SAWAI MADHOPUR FOR THE FY 2025-26")</f>
        <v/>
      </c>
      <c r="C1231" t="inlineStr">
        <is>
          <t>Panchayati Raj Department||Secretary and Commissioner||CEO-S.MADHOPUR||BDO-SAWAIMADHOPUR</t>
        </is>
      </c>
      <c r="D1231" t="inlineStr">
        <is>
          <t>22-May-2025 11:00 AM</t>
        </is>
      </c>
      <c r="E1231" t="inlineStr">
        <is>
          <t>7,00,000</t>
        </is>
      </c>
      <c r="F1231" t="inlineStr">
        <is>
          <t>WORK INCLUDING DOOR TO DOOR RESIDENTAL AND COMERICAL KACHRA COLLECTION AND SEPRATION ROAD AND DRAIN CLEANING AND COMMUNITY SENCATION COMPLEX CLEANING IN ALL THE VILLAGE OF GRAM PANCHAYAT makholi IN PS SAWAI MADHOPUR FOR THE FY 2025-26</t>
        </is>
      </c>
      <c r="G1231" t="inlineStr">
        <is>
          <t>makholi</t>
        </is>
      </c>
    </row>
    <row r="1232">
      <c r="A1232" s="1" t="n">
        <v>1230</v>
      </c>
      <c r="B1232">
        <f>HYPERLINK("https://eproc.rajasthan.gov.in/nicgep/app?component=%24DirectLink&amp;page=FrontEndViewTender&amp;service=direct&amp;session=T&amp;sp=S4jbuEAG2%2F0FxtLsovzey8w%3D%3D", "Gram Panchayat Bhurthal ke Samast Ganvo me Ghar avm Vyavsayik Pratishthano se Kachra sangrahan avm Prithakkaran sadak avm Nail Safai tatha Samudayik Sawachhata Parisar ki Safai Sahit Karya")</f>
        <v/>
      </c>
      <c r="C1232" t="inlineStr">
        <is>
          <t>Panchayati Raj Department||Secretary and Commissioner||CEO- JAIPUR||BDO-JALSU</t>
        </is>
      </c>
      <c r="D1232" t="inlineStr">
        <is>
          <t>22-May-2025 01:00 PM</t>
        </is>
      </c>
      <c r="E1232" t="inlineStr">
        <is>
          <t>9,28,000</t>
        </is>
      </c>
      <c r="F1232" t="inlineStr">
        <is>
          <t>Gram Panchayat Bhurthal ke Samast Ganvo me Ghar avm Vyavsayik Pratishthano se Kachra sangrahan avm Prithakkaran sadak avm Nail Safai tatha Samudayik Sawachhata Parisar ki Safai Sahit Karya</t>
        </is>
      </c>
      <c r="G1232" t="inlineStr">
        <is>
          <t>BHURTHAL</t>
        </is>
      </c>
    </row>
    <row r="1233">
      <c r="A1233" s="1" t="n">
        <v>1231</v>
      </c>
      <c r="B1233">
        <f>HYPERLINK("https://eproc.rajasthan.gov.in/nicgep/app?component=%24DirectLink&amp;page=FrontEndViewTender&amp;service=direct&amp;session=T&amp;sp=SVTF5k4nhdZ9WIhMfiIaInQ%3D%3D", "METERIAL SUPPLY WORKS GP KHEDA")</f>
        <v/>
      </c>
      <c r="C1233" t="inlineStr">
        <is>
          <t>Panchayati Raj Department||Secretary and Commissioner||CEO-ALWAR||BDO-KISHANGARHWAS</t>
        </is>
      </c>
      <c r="D1233" t="inlineStr">
        <is>
          <t>21-May-2025 06:00 PM</t>
        </is>
      </c>
      <c r="E1233" t="inlineStr">
        <is>
          <t>NA</t>
        </is>
      </c>
      <c r="F1233" t="inlineStr">
        <is>
          <t>METERIAL SUPPLY WORKS GP KHEDA</t>
        </is>
      </c>
      <c r="G1233" t="inlineStr">
        <is>
          <t>GP KHEDA</t>
        </is>
      </c>
    </row>
    <row r="1234">
      <c r="A1234" s="1" t="n">
        <v>1232</v>
      </c>
      <c r="B1234">
        <f>HYPERLINK("https://eproc.rajasthan.gov.in/nicgep/app?component=%24DirectLink&amp;page=FrontEndViewTender&amp;service=direct&amp;session=T&amp;sp=SmAvpOhNNDbQIojC%2F%2BUKzVw%3D%3D", "Gram Panchayat Bhatton ki gali ke Samast Ganvo me Ghar avm Vyavsayik Pratishthano se Kachra sangrahan avm Prithakkaran sadak avm Nail Safai tatha Samudayik Sawachhata Parisar ki Safai Sahit Karya")</f>
        <v/>
      </c>
      <c r="C1234" t="inlineStr">
        <is>
          <t>Panchayati Raj Department||Secretary and Commissioner||CEO- JAIPUR||BDO-JALSU</t>
        </is>
      </c>
      <c r="D1234" t="inlineStr">
        <is>
          <t>22-May-2025 01:00 PM</t>
        </is>
      </c>
      <c r="E1234" t="inlineStr">
        <is>
          <t>9,52,000</t>
        </is>
      </c>
      <c r="F1234" t="inlineStr">
        <is>
          <t>Gram Panchayat Bhatton ki gali ke Samast Ganvo me Ghar avm Vyavsayik Pratishthano se Kachra sangrahan avm Prithakkaran sadak avm Nail Safai tatha Samudayik Sawachhata Parisar ki Safai Sahit Karya</t>
        </is>
      </c>
      <c r="G1234" t="inlineStr">
        <is>
          <t>Bhatton ki gali</t>
        </is>
      </c>
    </row>
    <row r="1235">
      <c r="A1235" s="1" t="n">
        <v>1233</v>
      </c>
      <c r="B1235">
        <f>HYPERLINK("https://eproc.rajasthan.gov.in/nicgep/app?component=%24DirectLink&amp;page=FrontEndViewTender&amp;service=direct&amp;session=T&amp;sp=SQh5IPiH2CJRXkFVcRfRspQ%3D%3D", "Gram Panchayat Chatarpura ke Samast Ganvo me Ghar avm Vyavsayik Pratishthano se Kachra sangrahan avm Prithakkaran sadak avm Nail Safai tatha Samudayik Sawachhata Parisar ki Safai Sahit Karya")</f>
        <v/>
      </c>
      <c r="C1235" t="inlineStr">
        <is>
          <t>Panchayati Raj Department||Secretary and Commissioner||CEO- JAIPUR||BDO-JALSU</t>
        </is>
      </c>
      <c r="D1235" t="inlineStr">
        <is>
          <t>22-May-2025 01:00 PM</t>
        </is>
      </c>
      <c r="E1235" t="inlineStr">
        <is>
          <t>9,10,000</t>
        </is>
      </c>
      <c r="F1235" t="inlineStr">
        <is>
          <t>Gram Panchayat Chatarpura ke Samast Ganvo me Ghar avm Vyavsayik Pratishthano se Kachra sangrahan avm Prithakkaran sadak avm Nail Safai tatha Samudayik Sawachhata Parisar ki Safai Sahit Karya</t>
        </is>
      </c>
      <c r="G1235" t="inlineStr">
        <is>
          <t>CHATARPURA</t>
        </is>
      </c>
    </row>
    <row r="1236">
      <c r="A1236" s="1" t="n">
        <v>1234</v>
      </c>
      <c r="B1236">
        <f>HYPERLINK("https://eproc.rajasthan.gov.in/nicgep/app?component=%24DirectLink&amp;page=FrontEndViewTender&amp;service=direct&amp;session=T&amp;sp=SNYK6HHUezCDsYlBjCJWFKQ%3D%3D", "Gram Panchayat Jaisinghpura ke Samast Ganvo me Ghar avm Vyavsayik Pratishthano se Kachra sangrahan avm Prithakkaran sadak avm Nail Safai tatha Samudayik Sawachhata Parisar ki Safai Sahit Karya")</f>
        <v/>
      </c>
      <c r="C1236" t="inlineStr">
        <is>
          <t>Panchayati Raj Department||Secretary and Commissioner||CEO- JAIPUR||BDO-JALSU</t>
        </is>
      </c>
      <c r="D1236" t="inlineStr">
        <is>
          <t>22-May-2025 01:00 PM</t>
        </is>
      </c>
      <c r="E1236" t="inlineStr">
        <is>
          <t>9,64,000</t>
        </is>
      </c>
      <c r="F1236" t="inlineStr">
        <is>
          <t>Gram Panchayat Jaisinghpura ke Samast Ganvo me Ghar avm Vyavsayik Pratishthano se Kachra sangrahan avm Prithakkaran sadak avm Nail Safai tatha Samudayik Sawachhata Parisar ki Safai Sahit Karya</t>
        </is>
      </c>
      <c r="G1236" t="inlineStr">
        <is>
          <t>JAISINGHPURA</t>
        </is>
      </c>
    </row>
    <row r="1237">
      <c r="A1237" s="1" t="n">
        <v>1235</v>
      </c>
      <c r="B1237">
        <f>HYPERLINK("https://eproc.rajasthan.gov.in/nicgep/app?component=%24DirectLink&amp;page=FrontEndViewTender&amp;service=direct&amp;session=T&amp;sp=S%2BiC2cVkx237atk0RC7vJgA%3D%3D", "Works Including Door-To-Door (Residential And Commercial) Waste Collection And Segregation, Road And Drain Cleaning, And Community Sanitation Premises Cleaning In All Villages Of The Gram Panchayat cheeplata")</f>
        <v/>
      </c>
      <c r="C1237" t="inlineStr">
        <is>
          <t>Panchayati Raj Department||Secretary and Commissioner||CEO-SIKAR||BDO-AJEET GARH</t>
        </is>
      </c>
      <c r="D1237" t="inlineStr">
        <is>
          <t>21-May-2025 06:00 PM</t>
        </is>
      </c>
      <c r="E1237" t="inlineStr">
        <is>
          <t>9,00,000</t>
        </is>
      </c>
      <c r="F1237" t="inlineStr">
        <is>
          <t>Works Including Door-To-Door (Residential And Commercial) Waste Collection And Segregation, Road And Drain Cleaning, And Community Sanitation Premises Cleaning In All Villages Of The Gram Panchayat cheeplata</t>
        </is>
      </c>
      <c r="G1237" t="inlineStr">
        <is>
          <t>gp cheeplata</t>
        </is>
      </c>
    </row>
    <row r="1238">
      <c r="A1238" s="1" t="n">
        <v>1236</v>
      </c>
      <c r="B1238">
        <f>HYPERLINK("https://eproc.rajasthan.gov.in/nicgep/app?component=%24DirectLink&amp;page=FrontEndViewTender&amp;service=direct&amp;session=T&amp;sp=SLn0X2rAhc7m3pOz7hMKD4Q%3D%3D", "Works Including Door-To-Door (Residential And Commercial) Waste Collection And Segregation, Road And Drain Cleaning, And Community Sanitation Premises Cleaning In All Villages Of The Gram Panchayat aspura")</f>
        <v/>
      </c>
      <c r="C1238" t="inlineStr">
        <is>
          <t>Panchayati Raj Department||Secretary and Commissioner||CEO-SIKAR||BDO-AJEET GARH</t>
        </is>
      </c>
      <c r="D1238" t="inlineStr">
        <is>
          <t>21-May-2025 06:00 PM</t>
        </is>
      </c>
      <c r="E1238" t="inlineStr">
        <is>
          <t>8,35,000</t>
        </is>
      </c>
      <c r="F1238" t="inlineStr">
        <is>
          <t>Works Including Door-To-Door (Residential And Commercial) Waste Collection And Segregation, Road And Drain Cleaning, And Community Sanitation Premises Cleaning In All Villages Of The Gram Panchayat aspura</t>
        </is>
      </c>
      <c r="G1238" t="inlineStr">
        <is>
          <t>gp aspura</t>
        </is>
      </c>
    </row>
    <row r="1239">
      <c r="A1239" s="1" t="n">
        <v>1237</v>
      </c>
      <c r="B1239">
        <f>HYPERLINK("https://eproc.rajasthan.gov.in/nicgep/app?component=%24DirectLink&amp;page=FrontEndViewTender&amp;service=direct&amp;session=T&amp;sp=SqJ0FffVlShviWqAfJv6DxQ%3D%3D", "RajashMS")</f>
        <v/>
      </c>
      <c r="C1239" t="inlineStr">
        <is>
          <t>Panchayati Raj Department||Secretary and Commissioner||CEO-SIKAR||BDO-LAXMANGARH</t>
        </is>
      </c>
      <c r="D1239" t="inlineStr">
        <is>
          <t>28-May-2025 06:00 PM</t>
        </is>
      </c>
      <c r="E1239" t="inlineStr">
        <is>
          <t>40,00,000</t>
        </is>
      </c>
      <c r="F1239" t="inlineStr">
        <is>
          <t>MaterialSupply</t>
        </is>
      </c>
      <c r="G1239" t="inlineStr">
        <is>
          <t>Rajash</t>
        </is>
      </c>
    </row>
    <row r="1240">
      <c r="A1240" s="1" t="n">
        <v>1238</v>
      </c>
      <c r="B1240">
        <f>HYPERLINK("https://eproc.rajasthan.gov.in/nicgep/app?component=%24DirectLink&amp;page=FrontEndViewTender&amp;service=direct&amp;session=T&amp;sp=S1LlOjTnpPH8u1MEetSmK6g%3D%3D", "Gram Panchayat Hardattpura ke Samast Ganvo me Ghar avm Vyavsayik Pratishthano se Kachra sangrahan avm Prithakkaran sadak avm Nail Safai tatha Samudayik Sawachhata Parisar ki Safai Sahit Karya")</f>
        <v/>
      </c>
      <c r="C1240" t="inlineStr">
        <is>
          <t>Panchayati Raj Department||Secretary and Commissioner||CEO- JAIPUR||BDO-JALSU</t>
        </is>
      </c>
      <c r="D1240" t="inlineStr">
        <is>
          <t>22-May-2025 01:00 PM</t>
        </is>
      </c>
      <c r="E1240" t="inlineStr">
        <is>
          <t>7,50,000</t>
        </is>
      </c>
      <c r="F1240" t="inlineStr">
        <is>
          <t>Gram Panchayat Hardattpura ke Samast Ganvo me Ghar avm Vyavsayik Pratishthano se Kachra sangrahan avm Prithakkaran sadak avm Nail Safai tatha Samudayik Sawachhata Parisar ki Safai Sahit Karya</t>
        </is>
      </c>
      <c r="G1240" t="inlineStr">
        <is>
          <t>HARDATTPURA</t>
        </is>
      </c>
    </row>
    <row r="1241">
      <c r="A1241" s="1" t="n">
        <v>1239</v>
      </c>
      <c r="B1241">
        <f>HYPERLINK("https://eproc.rajasthan.gov.in/nicgep/app?component=%24DirectLink&amp;page=FrontEndViewTender&amp;service=direct&amp;session=T&amp;sp=SbU7o%2FHuB6Ri58Q8Wio4XZA%3D%3D", "CONSTRUCTION OF TWO NEW CLASS ROOM AT GOVERNMENT UPPER PRIMARY SCHOOL KEVADIYA PS BAGIDORA DISTT BANSWARA")</f>
        <v/>
      </c>
      <c r="C1241" t="inlineStr">
        <is>
          <t>Panchayati Raj Department||Secretary and Commissioner||CEO-BANSWARA||BDO-BAGIDORA</t>
        </is>
      </c>
      <c r="D1241" t="inlineStr">
        <is>
          <t>26-May-2025 06:00 PM</t>
        </is>
      </c>
      <c r="E1241" t="inlineStr">
        <is>
          <t>19,70,000</t>
        </is>
      </c>
      <c r="F1241" t="inlineStr">
        <is>
          <t>CONSTRUCTION OF TWO NEW CLASS ROOM AT GOVERNMENT UPPER PRIMARY SCHOOL KEVADIYA PS BAGIDORA DISTT BANSWARA</t>
        </is>
      </c>
      <c r="G1241" t="inlineStr">
        <is>
          <t>BAGIDORA</t>
        </is>
      </c>
    </row>
    <row r="1242">
      <c r="A1242" s="1" t="n">
        <v>1240</v>
      </c>
      <c r="B1242">
        <f>HYPERLINK("https://eproc.rajasthan.gov.in/nicgep/app?component=%24DirectLink&amp;page=FrontEndViewTender&amp;service=direct&amp;session=T&amp;sp=S4HYkfiqfOkV0rV7ygxv5Cw%3D%3D", "Gram Panchayat Bheelpura ke Samast Ganvo me Ghar avm Vyavsayik Pratishthano se Kachra sangrahan avm Prithakkaran sadak avm Nail Safai tatha Samudayik Sawachhata Parisar ki Safai Sahit Karya")</f>
        <v/>
      </c>
      <c r="C1242" t="inlineStr">
        <is>
          <t>Panchayati Raj Department||Secretary and Commissioner||CEO- JAIPUR||BDO-JALSU</t>
        </is>
      </c>
      <c r="D1242" t="inlineStr">
        <is>
          <t>22-May-2025 01:00 PM</t>
        </is>
      </c>
      <c r="E1242" t="inlineStr">
        <is>
          <t>5,76,000</t>
        </is>
      </c>
      <c r="F1242" t="inlineStr">
        <is>
          <t>Gram Panchayat Bheelpura ke Samast Ganvo me Ghar avm Vyavsayik Pratishthano se Kachra sangrahan avm Prithakkaran sadak avm Nail Safai tatha Samudayik Sawachhata Parisar ki Safai Sahit Karya</t>
        </is>
      </c>
      <c r="G1242" t="inlineStr">
        <is>
          <t>BHEELPURA</t>
        </is>
      </c>
    </row>
    <row r="1243">
      <c r="A1243" s="1" t="n">
        <v>1241</v>
      </c>
      <c r="B1243">
        <f>HYPERLINK("https://eproc.rajasthan.gov.in/nicgep/app?component=%24DirectLink&amp;page=FrontEndViewTender&amp;service=direct&amp;session=T&amp;sp=SRUGZDq85uya4I0rhN%2F9Zvg%3D%3D", "Gram Panchayat Jairampura ke Samast Ganvo me Ghar avm Vyavsayik Pratishthano se Kachra sangrahan avm Prithakkaran sadak avm Nail Safai tatha Samudayik Sawachhata Parisar ki Safai Sahit Karya")</f>
        <v/>
      </c>
      <c r="C1243" t="inlineStr">
        <is>
          <t>Panchayati Raj Department||Secretary and Commissioner||CEO- JAIPUR||BDO-JALSU</t>
        </is>
      </c>
      <c r="D1243" t="inlineStr">
        <is>
          <t>22-May-2025 01:00 PM</t>
        </is>
      </c>
      <c r="E1243" t="inlineStr">
        <is>
          <t>9,31,000</t>
        </is>
      </c>
      <c r="F1243" t="inlineStr">
        <is>
          <t>Gram Panchayat Jairampura ke Samast Ganvo me Ghar avm Vyavsayik Pratishthano se Kachra sangrahan avm Prithakkaran sadak avm Nail Safai tatha Samudayik Sawachhata Parisar ki Safai Sahit Karya</t>
        </is>
      </c>
      <c r="G1243" t="inlineStr">
        <is>
          <t>JAIRAMPURA</t>
        </is>
      </c>
    </row>
    <row r="1244">
      <c r="A1244" s="1" t="n">
        <v>1242</v>
      </c>
      <c r="B1244">
        <f>HYPERLINK("https://eproc.rajasthan.gov.in/nicgep/app?component=%24DirectLink&amp;page=FrontEndViewTender&amp;service=direct&amp;session=T&amp;sp=SiXwooelfj9khj7r1jktVdQ%3D%3D", "Gram Panchayat Nangal Siras ke Samast Ganvo me Ghar avm Vyavsayik Pratishthano se Kachra sangrahan avm Prithakkaran sadak avm Nail Safai tatha Samudayik Sawachhata Parisar ki Safai Sahit Karya")</f>
        <v/>
      </c>
      <c r="C1244" t="inlineStr">
        <is>
          <t>Panchayati Raj Department||Secretary and Commissioner||CEO- JAIPUR||BDO-JALSU</t>
        </is>
      </c>
      <c r="D1244" t="inlineStr">
        <is>
          <t>22-May-2025 01:00 PM</t>
        </is>
      </c>
      <c r="E1244" t="inlineStr">
        <is>
          <t>8,00,000</t>
        </is>
      </c>
      <c r="F1244" t="inlineStr">
        <is>
          <t>Gram Panchayat Nangal Siras ke Samast Ganvo me Ghar avm Vyavsayik Pratishthano se Kachra sangrahan avm Prithakkaran sadak avm Nail Safai tatha Samudayik Sawachhata Parisar ki Safai Sahit Karya</t>
        </is>
      </c>
      <c r="G1244" t="inlineStr">
        <is>
          <t>NANGAL SIRAS</t>
        </is>
      </c>
    </row>
    <row r="1245">
      <c r="A1245" s="1" t="n">
        <v>1243</v>
      </c>
      <c r="B1245">
        <f>HYPERLINK("https://eproc.rajasthan.gov.in/nicgep/app?component=%24DirectLink&amp;page=FrontEndViewTender&amp;service=direct&amp;session=T&amp;sp=SfvU871V6OB0SRNcqW0JaGw%3D%3D", "Gram Panchayat Nangal Purohitan ke Samast Ganvo me Ghar avm Vyavsayik Pratishthano se Kachra sangrahan avm Prithakkaran sadak avm Nail Safai tatha Samudayik Sawachhata Parisar ki Safai Sahit Karya")</f>
        <v/>
      </c>
      <c r="C1245" t="inlineStr">
        <is>
          <t>Panchayati Raj Department||Secretary and Commissioner||CEO- JAIPUR||BDO-JALSU</t>
        </is>
      </c>
      <c r="D1245" t="inlineStr">
        <is>
          <t>22-May-2025 01:00 PM</t>
        </is>
      </c>
      <c r="E1245" t="inlineStr">
        <is>
          <t>8,61,000</t>
        </is>
      </c>
      <c r="F1245" t="inlineStr">
        <is>
          <t>Gram Panchayat Nangal Purohitan ke Samast Ganvo me Ghar avm Vyavsayik Pratishthano se Kachra sangrahan avm Prithakkaran sadak avm Nail Safai tatha Samudayik Sawachhata Parisar ki Safai Sahit Karya</t>
        </is>
      </c>
      <c r="G1245" t="inlineStr">
        <is>
          <t>NANGAL PUROHITAN</t>
        </is>
      </c>
    </row>
    <row r="1246">
      <c r="A1246" s="1" t="n">
        <v>1244</v>
      </c>
      <c r="B1246">
        <f>HYPERLINK("https://eproc.rajasthan.gov.in/nicgep/app?component=%24DirectLink&amp;page=FrontEndViewTender&amp;service=direct&amp;session=T&amp;sp=Sf%2FYKkIz840c2PNO7fSjEyQ%3D%3D", "Gram Panchayat Punana ke Samast Ganvo me Ghar avm Vyavsayik Pratishthano se Kachra sangrahan avm Prithakkaran sadak avm Nail Safai tatha Samudayik Sawachhata Parisar ki Safai Sahit Karya")</f>
        <v/>
      </c>
      <c r="C1246" t="inlineStr">
        <is>
          <t>Panchayati Raj Department||Secretary and Commissioner||CEO- JAIPUR||BDO-JALSU</t>
        </is>
      </c>
      <c r="D1246" t="inlineStr">
        <is>
          <t>22-May-2025 01:00 PM</t>
        </is>
      </c>
      <c r="E1246" t="inlineStr">
        <is>
          <t>6,80,000</t>
        </is>
      </c>
      <c r="F1246" t="inlineStr">
        <is>
          <t>Gram Panchayat Punana ke Samast Ganvo me Ghar avm Vyavsayik Pratishthano se Kachra sangrahan avm Prithakkaran sadak avm Nail Safai tatha Samudayik Sawachhata Parisar ki Safai Sahit Karya</t>
        </is>
      </c>
      <c r="G1246" t="inlineStr">
        <is>
          <t>PUNANA</t>
        </is>
      </c>
    </row>
    <row r="1247">
      <c r="A1247" s="1" t="n">
        <v>1245</v>
      </c>
      <c r="B1247">
        <f>HYPERLINK("https://eproc.rajasthan.gov.in/nicgep/app?component=%24DirectLink&amp;page=FrontEndViewTender&amp;service=direct&amp;session=T&amp;sp=SgyU7LQmbzL%2FXdzFWWKK%2FuA%3D%3D", "Gram Panchayat Rajawas ke Samast Ganvo me Ghar avm Vyavsayik Pratishthano se Kachra sangrahan avm Prithakkaran sadak avm Nail Safai tatha Samudayik Sawachhata Parisar ki Safai Sahit Karya")</f>
        <v/>
      </c>
      <c r="C1247" t="inlineStr">
        <is>
          <t>Panchayati Raj Department||Secretary and Commissioner||CEO- JAIPUR||BDO-JALSU</t>
        </is>
      </c>
      <c r="D1247" t="inlineStr">
        <is>
          <t>22-May-2025 01:00 PM</t>
        </is>
      </c>
      <c r="E1247" t="inlineStr">
        <is>
          <t>8,91,000</t>
        </is>
      </c>
      <c r="F1247" t="inlineStr">
        <is>
          <t>Gram Panchayat Rajawas ke Samast Ganvo me Ghar avm Vyavsayik Pratishthano se Kachra sangrahan avm Prithakkaran sadak avm Nail Safai tatha Samudayik Sawachhata Parisar ki Safai Sahit Karya</t>
        </is>
      </c>
      <c r="G1247" t="inlineStr">
        <is>
          <t>RAJAWAS</t>
        </is>
      </c>
    </row>
    <row r="1248">
      <c r="A1248" s="1" t="n">
        <v>1246</v>
      </c>
      <c r="B1248">
        <f>HYPERLINK("https://eproc.rajasthan.gov.in/nicgep/app?component=%24DirectLink&amp;page=FrontEndViewTender&amp;service=direct&amp;session=T&amp;sp=SsA29tS5bcasJWCb4XGAcjQ%3D%3D", "Gram Panchayat Gudha Surjan ke Samast Ganvo me Ghar avm Vyavsayik Pratishthano se Kachra sangrahan avm Prithakkaran sadak avm Nail Safai tatha Samudayik Sawachhata Parisar ki Safai Sahit Karya")</f>
        <v/>
      </c>
      <c r="C1248" t="inlineStr">
        <is>
          <t>Panchayati Raj Department||Secretary and Commissioner||CEO- JAIPUR||BDO-JALSU</t>
        </is>
      </c>
      <c r="D1248" t="inlineStr">
        <is>
          <t>22-May-2025 01:00 PM</t>
        </is>
      </c>
      <c r="E1248" t="inlineStr">
        <is>
          <t>8,34,000</t>
        </is>
      </c>
      <c r="F1248" t="inlineStr">
        <is>
          <t>Gram Panchayat Gudha Surjan ke Samast Ganvo me Ghar avm Vyavsayik Pratishthano se Kachra sangrahan avm Prithakkaran sadak avm Nail Safai tatha Samudayik Sawachhata Parisar ki Safai Sahit Karya</t>
        </is>
      </c>
      <c r="G1248" t="inlineStr">
        <is>
          <t>GUDHA SURJAN</t>
        </is>
      </c>
    </row>
    <row r="1249">
      <c r="A1249" s="1" t="n">
        <v>1247</v>
      </c>
      <c r="B1249">
        <f>HYPERLINK("https://eproc.rajasthan.gov.in/nicgep/app?component=%24DirectLink&amp;page=FrontEndViewTender&amp;service=direct&amp;session=T&amp;sp=SFEMfL34N7SnFKodWMOTP9w%3D%3D", "Gram Panchayat Jalsu ke Samast Ganvo me Ghar avm Vyavsayik Pratishthano se Kachra sangrahan avm Prithakkaran sadak avm Nail Safai tatha Samudayik Sawachhata Parisar ki Safai Sahit Karya")</f>
        <v/>
      </c>
      <c r="C1249" t="inlineStr">
        <is>
          <t>Panchayati Raj Department||Secretary and Commissioner||CEO- JAIPUR||BDO-JALSU</t>
        </is>
      </c>
      <c r="D1249" t="inlineStr">
        <is>
          <t>22-May-2025 01:00 PM</t>
        </is>
      </c>
      <c r="E1249" t="inlineStr">
        <is>
          <t>9,57,000</t>
        </is>
      </c>
      <c r="F1249" t="inlineStr">
        <is>
          <t>Gram Panchayat Jalsu ke Samast Ganvo me Ghar avm Vyavsayik Pratishthano se Kachra sangrahan avm Prithakkaran sadak avm Nail Safai tatha Samudayik Sawachhata Parisar ki Safai Sahit Karya</t>
        </is>
      </c>
      <c r="G1249" t="inlineStr">
        <is>
          <t>JALSU</t>
        </is>
      </c>
    </row>
    <row r="1250">
      <c r="A1250" s="1" t="n">
        <v>1248</v>
      </c>
      <c r="B1250">
        <f>HYPERLINK("https://eproc.rajasthan.gov.in/nicgep/app?component=%24DirectLink&amp;page=FrontEndViewTender&amp;service=direct&amp;session=T&amp;sp=SHSJIToeGb%2BadfqHKh0iCtQ%3D%3D", "Gram Panchayat Rampura Dabari ke Samast Ganvo me Ghar avm Vyavsayik Pratishthano se Kachra sangrahan avm Prithakkaran sadak avm Nail Safai tatha Samudayik Sawachhata Parisar ki Safai Sahit Karya")</f>
        <v/>
      </c>
      <c r="C1250" t="inlineStr">
        <is>
          <t>Panchayati Raj Department||Secretary and Commissioner||CEO- JAIPUR||BDO-JALSU</t>
        </is>
      </c>
      <c r="D1250" t="inlineStr">
        <is>
          <t>22-May-2025 01:00 PM</t>
        </is>
      </c>
      <c r="E1250" t="inlineStr">
        <is>
          <t>9,87,000</t>
        </is>
      </c>
      <c r="F1250" t="inlineStr">
        <is>
          <t>Gram Panchayat Rampura Dabari ke Samast Ganvo me Ghar avm Vyavsayik Pratishthano se Kachra sangrahan avm Prithakkaran sadak avm Nail Safai tatha Samudayik Sawachhata Parisar ki Safai Sahit Karya</t>
        </is>
      </c>
      <c r="G1250" t="inlineStr">
        <is>
          <t>RAMPURA DABARI</t>
        </is>
      </c>
    </row>
    <row r="1251">
      <c r="A1251" s="1" t="n">
        <v>1249</v>
      </c>
      <c r="B1251">
        <f>HYPERLINK("https://eproc.rajasthan.gov.in/nicgep/app?component=%24DirectLink&amp;page=FrontEndViewTender&amp;service=direct&amp;session=T&amp;sp=Smj4txbt0QNE4caE2xIc3vw%3D%3D", "Gram Panchayat Maheshwas Kalan ke Samast Ganvo me Ghar avm Vyavsayik Pratishthano se Kachra sangrahan avm Prithakkaran sadak avm Nail Safai tatha Samudayik Sawachhata Parisar ki Safai Sahit Karya")</f>
        <v/>
      </c>
      <c r="C1251" t="inlineStr">
        <is>
          <t>Panchayati Raj Department||Secretary and Commissioner||CEO- JAIPUR||BDO-JALSU</t>
        </is>
      </c>
      <c r="D1251" t="inlineStr">
        <is>
          <t>22-May-2025 01:00 PM</t>
        </is>
      </c>
      <c r="E1251" t="inlineStr">
        <is>
          <t>5,55,000</t>
        </is>
      </c>
      <c r="F1251" t="inlineStr">
        <is>
          <t>Gram Panchayat Maheshwas Kalan ke Samast Ganvo me Ghar avm Vyavsayik Pratishthano se Kachra sangrahan avm Prithakkaran sadak avm Nail Safai tatha Samudayik Sawachhata Parisar ki Safai Sahit Karya</t>
        </is>
      </c>
      <c r="G1251" t="inlineStr">
        <is>
          <t>MAHESHWAS KALAN</t>
        </is>
      </c>
    </row>
    <row r="1252">
      <c r="A1252" s="1" t="n">
        <v>1250</v>
      </c>
      <c r="B1252">
        <f>HYPERLINK("https://eproc.rajasthan.gov.in/nicgep/app?component=%24DirectLink&amp;page=FrontEndViewTender&amp;service=direct&amp;session=T&amp;sp=SpYwvPV4SiIEPrnvaWIOISQ%3D%3D", "Collection and separation of garbage from every house and business establishment in the villages under G.Panchayat Nizampura under P. S.Ramgarh Pachwara, cleaning of roads and drains in the villages and cleaning work of community sanitation complex")</f>
        <v/>
      </c>
      <c r="C1252" t="inlineStr">
        <is>
          <t>Panchayati Raj Department||Secretary and Commissioner||CEO-DAUSA||BDO-RAMGARH PACHWARA</t>
        </is>
      </c>
      <c r="D1252" t="inlineStr">
        <is>
          <t>26-May-2025 06:00 PM</t>
        </is>
      </c>
      <c r="E1252" t="inlineStr">
        <is>
          <t>7,00,000</t>
        </is>
      </c>
      <c r="F1252" t="inlineStr">
        <is>
          <t>Collection and separation of garbage from every house and business establishment in the villages under G.Panchayat Nizampura under P. S.Ramgarh Pachwara, cleaning of roads and drains in the villages and cleaning work of community sanitation complex</t>
        </is>
      </c>
      <c r="G1252" t="inlineStr">
        <is>
          <t>GRAM PANCHAYAT NIZAMPURA</t>
        </is>
      </c>
    </row>
    <row r="1253">
      <c r="A1253" s="1" t="n">
        <v>1251</v>
      </c>
      <c r="B1253">
        <f>HYPERLINK("https://eproc.rajasthan.gov.in/nicgep/app?component=%24DirectLink&amp;page=FrontEndViewTender&amp;service=direct&amp;session=T&amp;sp=SbdY1vK6nrPLRJI3nBpSuPg%3D%3D", "Collection and separation of garbage from every house and business establishment in the villages under G.Panchayat DOB under P. S.Ramgarh Pachwara, cleaning of roads and drains in the villages and cleaning work of community sanitation complex")</f>
        <v/>
      </c>
      <c r="C1253" t="inlineStr">
        <is>
          <t>Panchayati Raj Department||Secretary and Commissioner||CEO-DAUSA||BDO-RAMGARH PACHWARA</t>
        </is>
      </c>
      <c r="D1253" t="inlineStr">
        <is>
          <t>26-May-2025 06:00 PM</t>
        </is>
      </c>
      <c r="E1253" t="inlineStr">
        <is>
          <t>5,91,000</t>
        </is>
      </c>
      <c r="F1253" t="inlineStr">
        <is>
          <t>Collection and separation of garbage from every house and business establishment in the villages under G.Panchayat DOB under P. S.Ramgarh Pachwara, cleaning of roads and drains in the villages and cleaning work of community sanitation complex</t>
        </is>
      </c>
      <c r="G1253" t="inlineStr">
        <is>
          <t>GRAM PANCHAYAT DOB</t>
        </is>
      </c>
    </row>
    <row r="1254">
      <c r="A1254" s="1" t="n">
        <v>1252</v>
      </c>
      <c r="B1254">
        <f>HYPERLINK("https://eproc.rajasthan.gov.in/nicgep/app?component=%24DirectLink&amp;page=FrontEndViewTender&amp;service=direct&amp;session=T&amp;sp=S6BwXwkFWUXLa%2B167cG2zug%3D%3D", "Gram Panchayat Radhakishanpura ke Samast Ganvo me Ghar avm Vyavsayik Pratishthano se Kachra sangrahan avm Prithakkaran sadak avm Nail Safai tatha Samudayik Sawachhata Parisar ki Safai Sahit Karya")</f>
        <v/>
      </c>
      <c r="C1254" t="inlineStr">
        <is>
          <t>Panchayati Raj Department||Secretary and Commissioner||CEO- JAIPUR||BDO-JALSU</t>
        </is>
      </c>
      <c r="D1254" t="inlineStr">
        <is>
          <t>22-May-2025 01:00 PM</t>
        </is>
      </c>
      <c r="E1254" t="inlineStr">
        <is>
          <t>8,14,000</t>
        </is>
      </c>
      <c r="F1254" t="inlineStr">
        <is>
          <t>Gram Panchayat Radhakishanpura ke Samast Ganvo me Ghar avm Vyavsayik Pratishthano se Kachra sangrahan avm Prithakkaran sadak avm Nail Safai tatha Samudayik Sawachhata Parisar ki Safai Sahit Karya</t>
        </is>
      </c>
      <c r="G1254" t="inlineStr">
        <is>
          <t>RADHAKISHANPURA</t>
        </is>
      </c>
    </row>
    <row r="1255">
      <c r="A1255" s="1" t="n">
        <v>1253</v>
      </c>
      <c r="B1255">
        <f>HYPERLINK("https://eproc.rajasthan.gov.in/nicgep/app?component=%24DirectLink&amp;page=FrontEndViewTender&amp;service=direct&amp;session=T&amp;sp=SeYaxf9MG%2F1i%2FEETsArs8LQ%3D%3D", "Gram Panchayat Sirsali ke Samast Ganvo me Ghar avm Vyavsayik Pratishthano se Kachra sangrahan avm Prithakkaran sadak avm Nail Safai tatha Samudayik Sawachhata Parisar ki Safai Sahit Karya")</f>
        <v/>
      </c>
      <c r="C1255" t="inlineStr">
        <is>
          <t>Panchayati Raj Department||Secretary and Commissioner||CEO- JAIPUR||BDO-JALSU</t>
        </is>
      </c>
      <c r="D1255" t="inlineStr">
        <is>
          <t>22-May-2025 01:00 PM</t>
        </is>
      </c>
      <c r="E1255" t="inlineStr">
        <is>
          <t>8,87,000</t>
        </is>
      </c>
      <c r="F1255" t="inlineStr">
        <is>
          <t>Gram Panchayat Sirsali ke Samast Ganvo me Ghar avm Vyavsayik Pratishthano se Kachra sangrahan avm Prithakkaran sadak avm Nail Safai tatha Samudayik Sawachhata Parisar ki Safai Sahit Karya</t>
        </is>
      </c>
      <c r="G1255" t="inlineStr">
        <is>
          <t>SIRSALI</t>
        </is>
      </c>
    </row>
    <row r="1256">
      <c r="A1256" s="1" t="n">
        <v>1254</v>
      </c>
      <c r="B1256">
        <f>HYPERLINK("https://eproc.rajasthan.gov.in/nicgep/app?component=%24DirectLink&amp;page=FrontEndViewTender&amp;service=direct&amp;session=T&amp;sp=SNL7eQ5YshwEvenxLtFZRtw%3D%3D", "Gram Panchayat Devgudha ke Samast Ganvo me Ghar avm Vyavsayik Pratishthano se Kachra sangrahan avm Prithakkaran sadak avm Nail Safai tatha Samudayik Sawachhata Parisar ki Safai Sahit Karya")</f>
        <v/>
      </c>
      <c r="C1256" t="inlineStr">
        <is>
          <t>Panchayati Raj Department||Secretary and Commissioner||CEO- JAIPUR||BDO-JALSU</t>
        </is>
      </c>
      <c r="D1256" t="inlineStr">
        <is>
          <t>22-May-2025 01:00 PM</t>
        </is>
      </c>
      <c r="E1256" t="inlineStr">
        <is>
          <t>8,63,000</t>
        </is>
      </c>
      <c r="F1256" t="inlineStr">
        <is>
          <t>Gram Panchayat Devgudha ke Samast Ganvo me Ghar avm Vyavsayik Pratishthano se Kachra sangrahan avm Prithakkaran sadak avm Nail Safai tatha Samudayik Sawachhata Parisar ki Safai Sahit Karya</t>
        </is>
      </c>
      <c r="G1256" t="inlineStr">
        <is>
          <t>DEVGUDHA</t>
        </is>
      </c>
    </row>
    <row r="1257">
      <c r="A1257" s="1" t="n">
        <v>1255</v>
      </c>
      <c r="B1257">
        <f>HYPERLINK("https://eproc.rajasthan.gov.in/nicgep/app?component=%24DirectLink&amp;page=FrontEndViewTender&amp;service=direct&amp;session=T&amp;sp=SdP5%2FGp7PX26iai%2Fd4HFhsQ%3D%3D", "Gram Panchayat Durga ka bas ke Samast Ganvo me Ghar avm Vyavsayik Pratishthano se Kachra sangrahan avm Prithakkaran sadak avm Nail Safai tatha Samudayik Sawachhata Parisar ki Safai Sahit Karya")</f>
        <v/>
      </c>
      <c r="C1257" t="inlineStr">
        <is>
          <t>Panchayati Raj Department||Secretary and Commissioner||CEO- JAIPUR||BDO-JALSU</t>
        </is>
      </c>
      <c r="D1257" t="inlineStr">
        <is>
          <t>22-May-2025 01:00 PM</t>
        </is>
      </c>
      <c r="E1257" t="inlineStr">
        <is>
          <t>8,26,000</t>
        </is>
      </c>
      <c r="F1257" t="inlineStr">
        <is>
          <t>Gram Panchayat Durga ka bas ke Samast Ganvo me Ghar avm Vyavsayik Pratishthano se Kachra sangrahan avm Prithakkaran sadak avm Nail Safai tatha Samudayik Sawachhata Parisar ki Safai Sahit Karya</t>
        </is>
      </c>
      <c r="G1257" t="inlineStr">
        <is>
          <t>DURGA KA BAS</t>
        </is>
      </c>
    </row>
    <row r="1258">
      <c r="A1258" s="1" t="n">
        <v>1256</v>
      </c>
      <c r="B1258">
        <f>HYPERLINK("https://eproc.rajasthan.gov.in/nicgep/app?component=%24DirectLink&amp;page=FrontEndViewTender&amp;service=direct&amp;session=T&amp;sp=S1T6VZckZEDUA5ikcmHvfEg%3D%3D", "Gram Panchayat Sewapura ke Samast Ganvo me Ghar avm Vyavsayik Pratishthano se Kachra sangrahan avm Prithakkaran sadak avm Nail Safai tatha Samudayik Sawachhata Parisar ki Safai Sahit Karya")</f>
        <v/>
      </c>
      <c r="C1258" t="inlineStr">
        <is>
          <t>Panchayati Raj Department||Secretary and Commissioner||CEO- JAIPUR||BDO-JALSU</t>
        </is>
      </c>
      <c r="D1258" t="inlineStr">
        <is>
          <t>22-May-2025 01:00 PM</t>
        </is>
      </c>
      <c r="E1258" t="inlineStr">
        <is>
          <t>8,72,000</t>
        </is>
      </c>
      <c r="F1258" t="inlineStr">
        <is>
          <t>Gram Panchayat Sewapura ke Samast Ganvo me Ghar avm Vyavsayik Pratishthano se Kachra sangrahan avm Prithakkaran sadak avm Nail Safai tatha Samudayik Sawachhata Parisar ki Safai Sahit Karya</t>
        </is>
      </c>
      <c r="G1258" t="inlineStr">
        <is>
          <t>SEWAPURA</t>
        </is>
      </c>
    </row>
    <row r="1259">
      <c r="A1259" s="1" t="n">
        <v>1257</v>
      </c>
      <c r="B1259">
        <f>HYPERLINK("https://eproc.rajasthan.gov.in/nicgep/app?component=%24DirectLink&amp;page=FrontEndViewTender&amp;service=direct&amp;session=T&amp;sp=Sc2zF749urOsVHXxeAX9tbQ%3D%3D", "Gram Panchayat Mundota ke Samast Ganvo me Ghar avm Vyavsayik Pratishthano se Kachra sangrahan avm Prithakkaran sadak avm Nail Safai tatha Samudayik Sawachhata Parisar ki Safai Sahit Karya")</f>
        <v/>
      </c>
      <c r="C1259" t="inlineStr">
        <is>
          <t>Panchayati Raj Department||Secretary and Commissioner||CEO- JAIPUR||BDO-JALSU</t>
        </is>
      </c>
      <c r="D1259" t="inlineStr">
        <is>
          <t>22-May-2025 01:00 PM</t>
        </is>
      </c>
      <c r="E1259" t="inlineStr">
        <is>
          <t>8,80,000</t>
        </is>
      </c>
      <c r="F1259" t="inlineStr">
        <is>
          <t>Gram Panchayat Mundota ke Samast Ganvo me Ghar avm Vyavsayik Pratishthano se Kachra sangrahan avm Prithakkaran sadak avm Nail Safai tatha Samudayik Sawachhata Parisar ki Safai Sahit Karya</t>
        </is>
      </c>
      <c r="G1259" t="inlineStr">
        <is>
          <t>MUNDOTA</t>
        </is>
      </c>
    </row>
    <row r="1260">
      <c r="A1260" s="1" t="n">
        <v>1258</v>
      </c>
      <c r="B1260">
        <f>HYPERLINK("https://eproc.rajasthan.gov.in/nicgep/app?component=%24DirectLink&amp;page=FrontEndViewTender&amp;service=direct&amp;session=T&amp;sp=Sv2M32sMXcuOQHv2DJ%2FyCdA%3D%3D", "Gram Panchayat Raithal ke Samast Ganvo me Ghar avm Vyavsayik Pratishthano se Kachra sangrahan avm Prithakkaran sadak avm Nail Safai tatha Samudayik Sawachhata Parisar ki Safai Sahit Karya")</f>
        <v/>
      </c>
      <c r="C1260" t="inlineStr">
        <is>
          <t>Panchayati Raj Department||Secretary and Commissioner||CEO- JAIPUR||BDO-JALSU</t>
        </is>
      </c>
      <c r="D1260" t="inlineStr">
        <is>
          <t>22-May-2025 01:00 PM</t>
        </is>
      </c>
      <c r="E1260" t="inlineStr">
        <is>
          <t>9,90,000</t>
        </is>
      </c>
      <c r="F1260" t="inlineStr">
        <is>
          <t>Gram Panchayat Raithal ke Samast Ganvo me Ghar avm Vyavsayik Pratishthano se Kachra sangrahan avm Prithakkaran sadak avm Nail Safai tatha Samudayik Sawachhata Parisar ki Safai Sahit Karya</t>
        </is>
      </c>
      <c r="G1260" t="inlineStr">
        <is>
          <t>RAITHAL</t>
        </is>
      </c>
    </row>
    <row r="1261">
      <c r="A1261" s="1" t="n">
        <v>1259</v>
      </c>
      <c r="B1261">
        <f>HYPERLINK("https://eproc.rajasthan.gov.in/nicgep/app?component=%24DirectLink&amp;page=FrontEndViewTender&amp;service=direct&amp;session=T&amp;sp=S3o3LJ%2F2lNA4RTDOXifN99w%3D%3D", "Gram Panchayat Udaypuriya ke Samast Ganvo me Ghar avm Vyavsayik Pratishthano se Kachra sangrahan avm Prithakkaran sadak avm Nail Safai tatha Samudayik Sawachhata Parisar ki Safai Sahit Karya")</f>
        <v/>
      </c>
      <c r="C1261" t="inlineStr">
        <is>
          <t>Panchayati Raj Department||Secretary and Commissioner||CEO- JAIPUR||BDO-JALSU</t>
        </is>
      </c>
      <c r="D1261" t="inlineStr">
        <is>
          <t>22-May-2025 01:00 PM</t>
        </is>
      </c>
      <c r="E1261" t="inlineStr">
        <is>
          <t>8,95,000</t>
        </is>
      </c>
      <c r="F1261" t="inlineStr">
        <is>
          <t>Gram Panchayat Udaypuriya ke Samast Ganvo me Ghar avm Vyavsayik Pratishthano se Kachra sangrahan avm Prithakkaran sadak avm Nail Safai tatha Samudayik Sawachhata Parisar ki Safai Sahit Karya</t>
        </is>
      </c>
      <c r="G1261" t="inlineStr">
        <is>
          <t>UDAYPURIYA</t>
        </is>
      </c>
    </row>
    <row r="1262">
      <c r="A1262" s="1" t="n">
        <v>1260</v>
      </c>
      <c r="B1262">
        <f>HYPERLINK("https://eproc.rajasthan.gov.in/nicgep/app?component=%24DirectLink&amp;page=FrontEndViewTender&amp;service=direct&amp;session=T&amp;sp=Sj3acHLIhJ7LA2dwCh6XMKQ%3D%3D", "Gram Panchayat Rojda ke Samast Ganvo me Ghar avm Vyavsayik Pratishthano se Kachra sangrahan avm Prithakkaran sadak avm Nail Safai tatha Samudayik Sawachhata Parisar ki Safai Sahit Karya")</f>
        <v/>
      </c>
      <c r="C1262" t="inlineStr">
        <is>
          <t>Panchayati Raj Department||Secretary and Commissioner||CEO- JAIPUR||BDO-JALSU</t>
        </is>
      </c>
      <c r="D1262" t="inlineStr">
        <is>
          <t>22-May-2025 01:00 PM</t>
        </is>
      </c>
      <c r="E1262" t="inlineStr">
        <is>
          <t>8,80,000</t>
        </is>
      </c>
      <c r="F1262" t="inlineStr">
        <is>
          <t>Gram Panchayat Rojda ke Samast Ganvo me Ghar avm Vyavsayik Pratishthano se Kachra sangrahan avm Prithakkaran sadak avm Nail Safai tatha Samudayik Sawachhata Parisar ki Safai Sahit Karya</t>
        </is>
      </c>
      <c r="G1262" t="inlineStr">
        <is>
          <t>ROJDA</t>
        </is>
      </c>
    </row>
    <row r="1263">
      <c r="A1263" s="1" t="n">
        <v>1261</v>
      </c>
      <c r="B1263">
        <f>HYPERLINK("https://eproc.rajasthan.gov.in/nicgep/app?component=%24DirectLink&amp;page=FrontEndViewTender&amp;service=direct&amp;session=T&amp;sp=S9LkmJ3%2F8RdkS7ICcQdFBng%3D%3D", "Gram Panchayat Nangal Bichpadi ke Samast Ganvo me Ghar avm Vyavsayik Pratishthano se Kachra sangrahan avm Prithakkaran sadak avm Nail Safai tatha Samudayik Sawachhata Parisar ki Safai Sahit Karya")</f>
        <v/>
      </c>
      <c r="C1263" t="inlineStr">
        <is>
          <t>Panchayati Raj Department||Secretary and Commissioner||CEO- JAIPUR||BDO-JALSU</t>
        </is>
      </c>
      <c r="D1263" t="inlineStr">
        <is>
          <t>22-May-2025 01:00 PM</t>
        </is>
      </c>
      <c r="E1263" t="inlineStr">
        <is>
          <t>7,61,000</t>
        </is>
      </c>
      <c r="F1263" t="inlineStr">
        <is>
          <t>Gram Panchayat Nangal Bichpadi ke Samast Ganvo me Ghar avm Vyavsayik Pratishthano se Kachra sangrahan avm Prithakkaran sadak avm Nail Safai tatha Samudayik Sawachhata Parisar ki Safai Sahit Karya</t>
        </is>
      </c>
      <c r="G1263" t="inlineStr">
        <is>
          <t>NANGAL BICHPADI</t>
        </is>
      </c>
    </row>
    <row r="1264">
      <c r="A1264" s="1" t="n">
        <v>1262</v>
      </c>
      <c r="B1264">
        <f>HYPERLINK("https://eproc.rajasthan.gov.in/nicgep/app?component=%24DirectLink&amp;page=FrontEndViewTender&amp;service=direct&amp;session=T&amp;sp=SWqa2jSz4dmXl2zOBQb%2FUbA%3D%3D", "Gram Panchayat Barna ke Samast Ganvo me Ghar avm Vyavsayik Pratishthano se Kachra sangrahan avm Prithakkaran sadak avm Nail Safai tatha Samudayik Sawachhata Parisar ki Safai Sahit Karya")</f>
        <v/>
      </c>
      <c r="C1264" t="inlineStr">
        <is>
          <t>Panchayati Raj Department||Secretary and Commissioner||CEO- JAIPUR||BDO-JALSU</t>
        </is>
      </c>
      <c r="D1264" t="inlineStr">
        <is>
          <t>22-May-2025 01:00 PM</t>
        </is>
      </c>
      <c r="E1264" t="inlineStr">
        <is>
          <t>8,52,000</t>
        </is>
      </c>
      <c r="F1264" t="inlineStr">
        <is>
          <t>Gram Panchayat Barna ke Samast Ganvo me Ghar avm Vyavsayik Pratishthano se Kachra sangrahan avm Prithakkaran sadak avm Nail Safai tatha Samudayik Sawachhata Parisar ki Safai Sahit Karya</t>
        </is>
      </c>
      <c r="G1264" t="inlineStr">
        <is>
          <t>BARNA</t>
        </is>
      </c>
    </row>
    <row r="1265">
      <c r="A1265" s="1" t="n">
        <v>1263</v>
      </c>
      <c r="B1265">
        <f>HYPERLINK("https://eproc.rajasthan.gov.in/nicgep/app?component=%24DirectLink&amp;page=FrontEndViewTender&amp;service=direct&amp;session=T&amp;sp=SarINb3wGpZEHM5lIFqlrfA%3D%3D", "Gram Panchayat Anoppura ke Samast Ganvo me Ghar avm Vyavsayik Pratishthano se Kachra sangrahan avm Prithakkaran sadak avm Nail Safai tatha Samudayik Sawachhata Parisar ki Safai Sahit Karya")</f>
        <v/>
      </c>
      <c r="C1265" t="inlineStr">
        <is>
          <t>Panchayati Raj Department||Secretary and Commissioner||CEO- JAIPUR||BDO-JALSU</t>
        </is>
      </c>
      <c r="D1265" t="inlineStr">
        <is>
          <t>22-May-2025 01:00 PM</t>
        </is>
      </c>
      <c r="E1265" t="inlineStr">
        <is>
          <t>8,73,000</t>
        </is>
      </c>
      <c r="F1265" t="inlineStr">
        <is>
          <t>Gram Panchayat Anoppura ke Samast Ganvo me Ghar avm Vyavsayik Pratishthano se Kachra sangrahan avm Prithakkaran sadak avm Nail Safai tatha Samudayik Sawachhata Parisar ki Safai Sahit Karya</t>
        </is>
      </c>
      <c r="G1265" t="inlineStr">
        <is>
          <t>ANOPPURA</t>
        </is>
      </c>
    </row>
    <row r="1266">
      <c r="A1266" s="1" t="n">
        <v>1264</v>
      </c>
      <c r="B1266">
        <f>HYPERLINK("https://eproc.rajasthan.gov.in/nicgep/app?component=%24DirectLink&amp;page=FrontEndViewTender&amp;service=direct&amp;session=T&amp;sp=S64809%2BUqiJeS8M5osSHL5g%3D%3D", "Gram Panchayat Jahota ke Samast Ganvo me Ghar avm Vyavsayik Pratishthano se Kachra sangrahan avm Prithakkaran sadak avm Nail Safai tatha Samudayik Sawachhata Parisar ki Safai Sahit Karya")</f>
        <v/>
      </c>
      <c r="C1266" t="inlineStr">
        <is>
          <t>Panchayati Raj Department||Secretary and Commissioner||CEO- JAIPUR||BDO-JALSU</t>
        </is>
      </c>
      <c r="D1266" t="inlineStr">
        <is>
          <t>22-May-2025 01:00 PM</t>
        </is>
      </c>
      <c r="E1266" t="inlineStr">
        <is>
          <t>8,59,000</t>
        </is>
      </c>
      <c r="F1266" t="inlineStr">
        <is>
          <t>Gram Panchayat Jahota ke Samast Ganvo me Ghar avm Vyavsayik Pratishthano se Kachra sangrahan avm Prithakkaran sadak avm Nail Safai tatha Samudayik Sawachhata Parisar ki Safai Sahit Karya</t>
        </is>
      </c>
      <c r="G1266" t="inlineStr">
        <is>
          <t>JAHOTA</t>
        </is>
      </c>
    </row>
    <row r="1267">
      <c r="A1267" s="1" t="n">
        <v>1265</v>
      </c>
      <c r="B1267">
        <f>HYPERLINK("https://eproc.rajasthan.gov.in/nicgep/app?component=%24DirectLink&amp;page=FrontEndViewTender&amp;service=direct&amp;session=T&amp;sp=SSz3ykf4RG9J78VGY6s9OTA%3D%3D", "Gram Panchayat Biharipura ke Samast Ganvo me Ghar avm Vyavsayik Pratishthano se Kachra sangrahan avm Prithakkaran sadak avm Nail Safai tatha Samudayik Sawachhata Parisar ki Safai Sahit Karya")</f>
        <v/>
      </c>
      <c r="C1267" t="inlineStr">
        <is>
          <t>Panchayati Raj Department||Secretary and Commissioner||CEO- JAIPUR||BDO-JALSU</t>
        </is>
      </c>
      <c r="D1267" t="inlineStr">
        <is>
          <t>22-May-2025 01:00 PM</t>
        </is>
      </c>
      <c r="E1267" t="inlineStr">
        <is>
          <t>8,05,000</t>
        </is>
      </c>
      <c r="F1267" t="inlineStr">
        <is>
          <t>Gram Panchayat Biharipura ke Samast Ganvo me Ghar avm Vyavsayik Pratishthano se Kachra sangrahan avm Prithakkaran sadak avm Nail Safai tatha Samudayik Sawachhata Parisar ki Safai Sahit Karya</t>
        </is>
      </c>
      <c r="G1267" t="inlineStr">
        <is>
          <t>BIHARIPURA</t>
        </is>
      </c>
    </row>
    <row r="1268">
      <c r="A1268" s="1" t="n">
        <v>1266</v>
      </c>
      <c r="B1268">
        <f>HYPERLINK("https://eproc.rajasthan.gov.in/nicgep/app?component=%24DirectLink&amp;page=FrontEndViewTender&amp;service=direct&amp;session=T&amp;sp=S4dAW0Vm%2FfnFMgcLH5Of%2ByA%3D%3D", "Gram Panchayat Bugaliya ke Samast Ganvo me Ghar avm Vyavsayik Pratishthano se Kachra sangrahan avm Prithakkaran sadak avm Nail Safai tatha Samudayik Sawachhata Parisar ki Safai Sahit Karya")</f>
        <v/>
      </c>
      <c r="C1268" t="inlineStr">
        <is>
          <t>Panchayati Raj Department||Secretary and Commissioner||CEO- JAIPUR||BDO-JALSU</t>
        </is>
      </c>
      <c r="D1268" t="inlineStr">
        <is>
          <t>22-May-2025 01:00 PM</t>
        </is>
      </c>
      <c r="E1268" t="inlineStr">
        <is>
          <t>4,00,000</t>
        </is>
      </c>
      <c r="F1268" t="inlineStr">
        <is>
          <t>Gram Panchayat Bugaliya ke Samast Ganvo me Ghar avm Vyavsayik Pratishthano se Kachra sangrahan avm Prithakkaran sadak avm Nail Safai tatha Samudayik Sawachhata Parisar ki Safai Sahit Karya</t>
        </is>
      </c>
      <c r="G1268" t="inlineStr">
        <is>
          <t>BUGALIYA</t>
        </is>
      </c>
    </row>
    <row r="1269">
      <c r="A1269" s="1" t="n">
        <v>1267</v>
      </c>
      <c r="B1269">
        <f>HYPERLINK("https://eproc.rajasthan.gov.in/nicgep/app?component=%24DirectLink&amp;page=FrontEndViewTender&amp;service=direct&amp;session=T&amp;sp=SCrzvbszW4DiWgWu1xzFiSQ%3D%3D", "Gram Panchayat Govindpura ke Samast Ganvo me Ghar avm Vyavsayik Pratishthano se Kachra sangrahan avm Prithakkaran sadak avm Nail Safai tatha Samudayik Sawachhata Parisar ki Safai Sahit Karya")</f>
        <v/>
      </c>
      <c r="C1269" t="inlineStr">
        <is>
          <t>Panchayati Raj Department||Secretary and Commissioner||CEO- JAIPUR||BDO-JALSU</t>
        </is>
      </c>
      <c r="D1269" t="inlineStr">
        <is>
          <t>22-May-2025 01:00 PM</t>
        </is>
      </c>
      <c r="E1269" t="inlineStr">
        <is>
          <t>6,40,000</t>
        </is>
      </c>
      <c r="F1269" t="inlineStr">
        <is>
          <t>Gram Panchayat Govindpura ke Samast Ganvo me Ghar avm Vyavsayik Pratishthano se Kachra sangrahan avm Prithakkaran sadak avm Nail Safai tatha Samudayik Sawachhata Parisar ki Safai Sahit Karya</t>
        </is>
      </c>
      <c r="G1269" t="inlineStr">
        <is>
          <t>GOVINDPURA</t>
        </is>
      </c>
    </row>
    <row r="1270">
      <c r="A1270" s="1" t="n">
        <v>1268</v>
      </c>
      <c r="B1270">
        <f>HYPERLINK("https://eproc.rajasthan.gov.in/nicgep/app?component=%24DirectLink&amp;page=FrontEndViewTender&amp;service=direct&amp;session=T&amp;sp=SZzNDg4HPSk77hP8uVBQMRQ%3D%3D", "COLLECTION OF WASTE FROM HOME AND BUSSINES UNIT, CLEANING OF ROADS AND SEWARAGE LINE, CLAENING OF CSC IN SBM-G SCHEME FY 2025-26 AT GRAM PANCHAYAT MYAJLAR")</f>
        <v/>
      </c>
      <c r="C1270" t="inlineStr">
        <is>
          <t>Panchayati Raj Department||Secretary and Commissioner||CEO- JAISALMER||BDO-SAM</t>
        </is>
      </c>
      <c r="D1270" t="inlineStr">
        <is>
          <t>26-May-2025 06:00 PM</t>
        </is>
      </c>
      <c r="E1270" t="inlineStr">
        <is>
          <t>13,19,000</t>
        </is>
      </c>
      <c r="F1270" t="inlineStr">
        <is>
          <t>COLLECTION OF WASTE FROM HOME AND BUSSINES UNIT, CLEANING OF ROADS AND SEWARAGE LINE, CLAENING OF CSC IN SBM-G SCHEME FY 2025-26 AT GRAM PANCHAYAT MYAJLAR</t>
        </is>
      </c>
      <c r="G1270" t="inlineStr">
        <is>
          <t>JAISALMER</t>
        </is>
      </c>
    </row>
    <row r="1271">
      <c r="A1271" s="1" t="n">
        <v>1269</v>
      </c>
      <c r="B1271">
        <f>HYPERLINK("https://eproc.rajasthan.gov.in/nicgep/app?component=%24DirectLink&amp;page=FrontEndViewTender&amp;service=direct&amp;session=T&amp;sp=SO7IFedi%2Fa%2BauYyGixRVf6g%3D%3D", "COLLECTION OF WASTE FROM HOME AND BUSSINES UNIT, CLEANING OF ROADS AND SEWARAGE LINE, CLAENING OF CSC IN SBM-G SCHEME FY 2025-26 AT GRAM PANCHAYAT SAM")</f>
        <v/>
      </c>
      <c r="C1271" t="inlineStr">
        <is>
          <t>Panchayati Raj Department||Secretary and Commissioner||CEO- JAISALMER||BDO-SAM</t>
        </is>
      </c>
      <c r="D1271" t="inlineStr">
        <is>
          <t>26-May-2025 06:00 PM</t>
        </is>
      </c>
      <c r="E1271" t="inlineStr">
        <is>
          <t>14,18,000</t>
        </is>
      </c>
      <c r="F1271" t="inlineStr">
        <is>
          <t>COLLECTION OF WASTE FROM HOME AND BUSSINES UNIT, CLEANING OF ROADS AND SEWARAGE LINE, CLAENING OF CSC IN SBM-G SCHEME FY 2025-26 AT GRAM PANCHAYAT SAM</t>
        </is>
      </c>
      <c r="G1271" t="inlineStr">
        <is>
          <t>JAISALMER</t>
        </is>
      </c>
    </row>
    <row r="1272">
      <c r="A1272" s="1" t="n">
        <v>1270</v>
      </c>
      <c r="B1272">
        <f>HYPERLINK("https://eproc.rajasthan.gov.in/nicgep/app?component=%24DirectLink&amp;page=FrontEndViewTender&amp;service=direct&amp;session=T&amp;sp=SXONGwU%2B24raNu%2Bmsv4LaKg%3D%3D", "COLLECTION OF WASTE FROM HOME AND BUSSINES UNIT, CLEANING OF ROADS AND SEWARAGE LINE, CLAENING OF CSC IN SBM-G SCHEME FY 2025-26 AT GRAM PANCHAYAT RAMGARH")</f>
        <v/>
      </c>
      <c r="C1272" t="inlineStr">
        <is>
          <t>Panchayati Raj Department||Secretary and Commissioner||CEO- JAISALMER||BDO-SAM</t>
        </is>
      </c>
      <c r="D1272" t="inlineStr">
        <is>
          <t>26-May-2025 06:00 PM</t>
        </is>
      </c>
      <c r="E1272" t="inlineStr">
        <is>
          <t>33,96,000</t>
        </is>
      </c>
      <c r="F1272" t="inlineStr">
        <is>
          <t>COLLECTION OF WASTE FROM HOME AND BUSSINES UNIT, CLEANING OF ROADS AND SEWARAGE LINE, CLAENING OF CSC IN SBM-G SCHEME FY 2025-26 AT GRAM PANCHAYAT RAMGARH</t>
        </is>
      </c>
      <c r="G1272" t="inlineStr">
        <is>
          <t>JAISALMER</t>
        </is>
      </c>
    </row>
    <row r="1273">
      <c r="A1273" s="1" t="n">
        <v>1271</v>
      </c>
      <c r="B1273">
        <f>HYPERLINK("https://eproc.rajasthan.gov.in/nicgep/app?component=%24DirectLink&amp;page=FrontEndViewTender&amp;service=direct&amp;session=T&amp;sp=SDeAT2QhIA9hH2d8VjxaBQg%3D%3D", "Material Supply Work in Mahatma Gandhi Nerga Yojana And Various Rural Devlopment Scheme in Gram Panchayat Rasoolpura Panchayat Samiti Ajmer Rural")</f>
        <v/>
      </c>
      <c r="C1273" t="inlineStr">
        <is>
          <t>Panchayati Raj Department||Secretary and Commissioner||CEO-AJMER||BDO-AJMER RURAL</t>
        </is>
      </c>
      <c r="D1273" t="inlineStr">
        <is>
          <t>21-May-2025 05:00 PM</t>
        </is>
      </c>
      <c r="E1273" t="inlineStr">
        <is>
          <t>60,00,000</t>
        </is>
      </c>
      <c r="F1273" t="inlineStr">
        <is>
          <t>Material Supply Work in Mahatma Gandhi Nerga Yojana And Various Rural Devlopment Scheme in Gram Panchayat Rasoolpura Panchayat Samiti Ajmer Rural</t>
        </is>
      </c>
      <c r="G1273" t="inlineStr">
        <is>
          <t>Gram Panchayat Rasoolpura</t>
        </is>
      </c>
    </row>
    <row r="1274">
      <c r="A1274" s="1" t="n">
        <v>1272</v>
      </c>
      <c r="B1274">
        <f>HYPERLINK("https://eproc.rajasthan.gov.in/nicgep/app?component=%24DirectLink&amp;page=FrontEndViewTender&amp;service=direct&amp;session=T&amp;sp=Sox9gy83OI20i75M%2FO4XApg%3D%3D", "Works Including Door-To-Door (Residential And Commercial) Waste Collection And Segregation, Road And Drain Cleaning, And Community Sanitation Premises Cleaning In All Villages Of The Gram Panchayat hathora")</f>
        <v/>
      </c>
      <c r="C1274" t="inlineStr">
        <is>
          <t>Panchayati Raj Department||Secretary and Commissioner||CEO-SIKAR||BDO-AJEET GARH</t>
        </is>
      </c>
      <c r="D1274" t="inlineStr">
        <is>
          <t>21-May-2025 06:00 PM</t>
        </is>
      </c>
      <c r="E1274" t="inlineStr">
        <is>
          <t>7,58,000</t>
        </is>
      </c>
      <c r="F1274" t="inlineStr">
        <is>
          <t>Works Including Door-To-Door (Residential And Commercial) Waste Collection And Segregation, Road And Drain Cleaning, And Community Sanitation Premises Cleaning In All Villages Of The Gram Panchayat hathora</t>
        </is>
      </c>
      <c r="G1274" t="inlineStr">
        <is>
          <t>gp hathora</t>
        </is>
      </c>
    </row>
    <row r="1275">
      <c r="A1275" s="1" t="n">
        <v>1273</v>
      </c>
      <c r="B1275">
        <f>HYPERLINK("https://eproc.rajasthan.gov.in/nicgep/app?component=%24DirectLink&amp;page=FrontEndViewTender&amp;service=direct&amp;session=T&amp;sp=S9vGAfEoFONqUZPICTsFyXA%3D%3D", "Work including door to door residential and commercial kachra collection and separation road and drainage cleaning and community sanitation complex in all the village of Gram Panchayat area GONGOR")</f>
        <v/>
      </c>
      <c r="C1275" t="inlineStr">
        <is>
          <t>Panchayati Raj Department||Secretary and Commissioner||CEO-S.MADHOPUR||BDO-SAWAIMADHOPUR</t>
        </is>
      </c>
      <c r="D1275" t="inlineStr">
        <is>
          <t>21-May-2025 06:00 PM</t>
        </is>
      </c>
      <c r="E1275" t="inlineStr">
        <is>
          <t>6,20,000</t>
        </is>
      </c>
      <c r="F1275" t="inlineStr">
        <is>
          <t>Work including door to door residential and commercial kachra collection and separation road and drainage cleaning and community sanitation complex in all the village of Gram Panchayat area GONGOR</t>
        </is>
      </c>
      <c r="G1275" t="inlineStr">
        <is>
          <t>GONGOR</t>
        </is>
      </c>
    </row>
    <row r="1276">
      <c r="A1276" s="1" t="n">
        <v>1274</v>
      </c>
      <c r="B1276">
        <f>HYPERLINK("https://eproc.rajasthan.gov.in/nicgep/app?component=%24DirectLink&amp;page=FrontEndViewTender&amp;service=direct&amp;session=T&amp;sp=SacHYrfTYKTmYEG44%2B04R%2Bg%3D%3D", "Material purchase at BSR 2025-26 in RD and MGNREGA scheme GP ISROL")</f>
        <v/>
      </c>
      <c r="C1276" t="inlineStr">
        <is>
          <t>Panchayati Raj Department||Secretary and Commissioner||CEO-BADMER||BDO-CHOHTAN</t>
        </is>
      </c>
      <c r="D1276" t="inlineStr">
        <is>
          <t>24-May-2025 05:00 PM</t>
        </is>
      </c>
      <c r="E1276" t="inlineStr">
        <is>
          <t>1,00,00,000</t>
        </is>
      </c>
      <c r="F1276" t="inlineStr">
        <is>
          <t>Material purchase at BSR 2025-26 in RD and MGNREGA scheme GP ISROL</t>
        </is>
      </c>
      <c r="G1276" t="inlineStr">
        <is>
          <t>GRAM PANCHAYAT ISROL</t>
        </is>
      </c>
    </row>
    <row r="1277">
      <c r="A1277" s="1" t="n">
        <v>1275</v>
      </c>
      <c r="B1277">
        <f>HYPERLINK("https://eproc.rajasthan.gov.in/nicgep/app?component=%24DirectLink&amp;page=FrontEndViewTender&amp;service=direct&amp;session=T&amp;sp=S9OzsOeqw%2Bu9adzGjQHktKQ%3D%3D", "MATERIAL SUPPLY IN GRAM PANCHAYAT NETARWAS PS DHOD FOR MGNREGA AND OTHER SCHEME")</f>
        <v/>
      </c>
      <c r="C1277" t="inlineStr">
        <is>
          <t>Panchayati Raj Department||Secretary and Commissioner||CEO-SIKAR||BDO-DHOD</t>
        </is>
      </c>
      <c r="D1277" t="inlineStr">
        <is>
          <t>27-May-2025 06:00 PM</t>
        </is>
      </c>
      <c r="E1277" t="inlineStr">
        <is>
          <t>45,00,000</t>
        </is>
      </c>
      <c r="F1277" t="inlineStr">
        <is>
          <t>MATERIAL SUPPLY IN GRAM PANCHAYAT NETARWAS PS DHOD FOR MGNREGA AND OTHER SCHEME</t>
        </is>
      </c>
      <c r="G1277" t="inlineStr">
        <is>
          <t>GRAM PANCHAYAT NETARWAS</t>
        </is>
      </c>
    </row>
    <row r="1278">
      <c r="A1278" s="1" t="n">
        <v>1276</v>
      </c>
      <c r="B1278">
        <f>HYPERLINK("https://eproc.rajasthan.gov.in/nicgep/app?component=%24DirectLink&amp;page=FrontEndViewTender&amp;service=direct&amp;session=T&amp;sp=SD0lVhhrwK0YSLggOa2ZLPQ%3D%3D", "Works Including Door-To-Door (Residential And Commercial) Waste Collection And Segregation, Road And Drain Cleaning, And Community Sanitation Premises Cleaning In All Villages Of The Gram Panchayat garhtaknet")</f>
        <v/>
      </c>
      <c r="C1278" t="inlineStr">
        <is>
          <t>Panchayati Raj Department||Secretary and Commissioner||CEO-SIKAR||BDO-AJEET GARH</t>
        </is>
      </c>
      <c r="D1278" t="inlineStr">
        <is>
          <t>21-May-2025 06:00 PM</t>
        </is>
      </c>
      <c r="E1278" t="inlineStr">
        <is>
          <t>8,77,000</t>
        </is>
      </c>
      <c r="F1278" t="inlineStr">
        <is>
          <t>Works Including Door-To-Door (Residential And Commercial) Waste Collection And Segregation, Road And Drain Cleaning, And Community Sanitation Premises Cleaning In All Villages Of The Gram Panchayat garhtaknet</t>
        </is>
      </c>
      <c r="G1278" t="inlineStr">
        <is>
          <t>gp garhtaknet</t>
        </is>
      </c>
    </row>
    <row r="1279">
      <c r="A1279" s="1" t="n">
        <v>1277</v>
      </c>
      <c r="B1279">
        <f>HYPERLINK("https://eproc.rajasthan.gov.in/nicgep/app?component=%24DirectLink&amp;page=FrontEndViewTender&amp;service=direct&amp;session=T&amp;sp=Saxi%2Fr31ZSl8dHZziagnjEQ%3D%3D", "GRAM PANCHAYAT KE SAMAST GAVO ME GHR GRH SE KACHRA SANGRHAN V PRATHAKKRAN V NALI SAFAI V CSC SAFAI GP dindoli")</f>
        <v/>
      </c>
      <c r="C1279" t="inlineStr">
        <is>
          <t>Panchayati Raj Department||Secretary and Commissioner||CEO-CHITTORGARH||BDO-RASHMI</t>
        </is>
      </c>
      <c r="D1279" t="inlineStr">
        <is>
          <t>23-May-2025 10:00 AM</t>
        </is>
      </c>
      <c r="E1279" t="inlineStr">
        <is>
          <t>6,76,649</t>
        </is>
      </c>
      <c r="F1279" t="inlineStr">
        <is>
          <t>GRAM PANCHAYAT KE SAMAST GAVO ME GHR GRH SE KACHRA SANGRHAN V PRATHAKKRAN V NALI SAFAI V CSC SAFAI GP dindoli</t>
        </is>
      </c>
      <c r="G1279" t="inlineStr">
        <is>
          <t>Gram panchayat Dindoli</t>
        </is>
      </c>
    </row>
    <row r="1280">
      <c r="A1280" s="1" t="n">
        <v>1278</v>
      </c>
      <c r="B1280">
        <f>HYPERLINK("https://eproc.rajasthan.gov.in/nicgep/app?component=%24DirectLink&amp;page=FrontEndViewTender&amp;service=direct&amp;session=T&amp;sp=S3ndFJHHsJT%2Fw2b2BfP7vMw%3D%3D", "Works Including Door-To-Door (Residential And Commercial) Waste Collection And Segregation, Road And Drain Cleaning, And Community Sanitation Premises Cleaning In All Villages Of The Gram Panchayat sawanpura")</f>
        <v/>
      </c>
      <c r="C1280" t="inlineStr">
        <is>
          <t>Panchayati Raj Department||Secretary and Commissioner||CEO-SIKAR||BDO-AJEET GARH</t>
        </is>
      </c>
      <c r="D1280" t="inlineStr">
        <is>
          <t>21-May-2025 06:00 PM</t>
        </is>
      </c>
      <c r="E1280" t="inlineStr">
        <is>
          <t>8,36,000</t>
        </is>
      </c>
      <c r="F1280" t="inlineStr">
        <is>
          <t>Works Including Door-To-Door (Residential And Commercial) Waste Collection And Segregation, Road And Drain Cleaning, And Community Sanitation Premises Cleaning In All Villages Of The Gram Panchayat swanpura</t>
        </is>
      </c>
      <c r="G1280" t="inlineStr">
        <is>
          <t>gp swanpura tawran</t>
        </is>
      </c>
    </row>
    <row r="1281">
      <c r="A1281" s="1" t="n">
        <v>1279</v>
      </c>
      <c r="B1281">
        <f>HYPERLINK("https://eproc.rajasthan.gov.in/nicgep/app?component=%24DirectLink&amp;page=FrontEndViewTender&amp;service=direct&amp;session=T&amp;sp=SQysO970aK%2BxiGxImJmFHaQ%3D%3D", "Supply of Various Construction Materials and Equipment Service Gram Panchayat Dindoli P.S. Rashmi")</f>
        <v/>
      </c>
      <c r="C1281" t="inlineStr">
        <is>
          <t>Panchayati Raj Department||Secretary and Commissioner||CEO-CHITTORGARH||BDO-RASHMI</t>
        </is>
      </c>
      <c r="D1281" t="inlineStr">
        <is>
          <t>26-May-2025 10:00 AM</t>
        </is>
      </c>
      <c r="E1281" t="inlineStr">
        <is>
          <t>45,30,000</t>
        </is>
      </c>
      <c r="F1281" t="inlineStr">
        <is>
          <t>Supply of Various Construction Materials and Equipment Service Gram Panchayat Dindoli P.S. Rashmi</t>
        </is>
      </c>
      <c r="G1281" t="inlineStr">
        <is>
          <t>Gram panchayat Dindoli</t>
        </is>
      </c>
    </row>
    <row r="1282">
      <c r="A1282" s="1" t="n">
        <v>1280</v>
      </c>
      <c r="B1282">
        <f>HYPERLINK("https://eproc.rajasthan.gov.in/nicgep/app?component=%24DirectLink&amp;page=FrontEndViewTender&amp;service=direct&amp;session=T&amp;sp=Sq9sPN4HAUv27AvIKzxoWOw%3D%3D", "MATERIAL SUPPLY IN GRAM PANCHAYAT SEWAD BARI PS DHOD FOR MGNREGA AND OTHER SCHEME")</f>
        <v/>
      </c>
      <c r="C1282" t="inlineStr">
        <is>
          <t>Panchayati Raj Department||Secretary and Commissioner||CEO-SIKAR||BDO-DHOD</t>
        </is>
      </c>
      <c r="D1282" t="inlineStr">
        <is>
          <t>27-May-2025 06:00 PM</t>
        </is>
      </c>
      <c r="E1282" t="inlineStr">
        <is>
          <t>45,00,000</t>
        </is>
      </c>
      <c r="F1282" t="inlineStr">
        <is>
          <t>MATERIAL SUPPLY IN GRAM PANCHAYAT SEWAD BARI PS DHOD FOR MGNREGA AND OTHER SCHEME</t>
        </is>
      </c>
      <c r="G1282" t="inlineStr">
        <is>
          <t>GRAM PANCHAYAT SEWAD BARI</t>
        </is>
      </c>
    </row>
    <row r="1283">
      <c r="A1283" s="1" t="n">
        <v>1281</v>
      </c>
      <c r="B1283">
        <f>HYPERLINK("https://eproc.rajasthan.gov.in/nicgep/app?component=%24DirectLink&amp;page=FrontEndViewTender&amp;service=direct&amp;session=T&amp;sp=SgCbpraujZRE2D23htH6jRg%3D%3D", "Rate contract For supply of Construcation Material and Providing Equipments for MGNREGA in Gram panchayat Bavdikheda Panchayat samiti Mandawar For FY 2025-26 UP to 31 March 2026 (ITEM WISE RATE AS PEAR ATTACHED G SCHEDULE")</f>
        <v/>
      </c>
      <c r="C1283" t="inlineStr">
        <is>
          <t>Panchayati Raj Department||Secretary and Commissioner||CEO-DAUSA||BDO-MAHUVA</t>
        </is>
      </c>
      <c r="D1283" t="inlineStr">
        <is>
          <t>29-May-2025 05:00 PM</t>
        </is>
      </c>
      <c r="E1283" t="inlineStr">
        <is>
          <t>35,00,000</t>
        </is>
      </c>
      <c r="F1283" t="inlineStr">
        <is>
          <t>Rate contract For supply of Construcation Material and Providing Equipments for MGNREGA in Gram panchayat Bavdikheda Panchayat samiti Mandawar For FY 2025-26 UP to 31 March 2026 (ITEM WISE RATE AS PEAR ATTACHED G SCHEDULE</t>
        </is>
      </c>
      <c r="G1283" t="inlineStr">
        <is>
          <t>Gram panchayat Bavdikheda</t>
        </is>
      </c>
    </row>
    <row r="1284">
      <c r="A1284" s="1" t="n">
        <v>1282</v>
      </c>
      <c r="B1284">
        <f>HYPERLINK("https://eproc.rajasthan.gov.in/nicgep/app?component=%24DirectLink&amp;page=FrontEndViewTender&amp;service=direct&amp;session=T&amp;sp=SzNKMoKoeY8CC1zSnKNAnXw%3D%3D", "Work including door to door residential and commercial kachra collection and separation road and drainage cleaning and community sanitation complex in all the village of Gram Panchayat area ENDWA")</f>
        <v/>
      </c>
      <c r="C1284" t="inlineStr">
        <is>
          <t>Panchayati Raj Department||Secretary and Commissioner||CEO-S.MADHOPUR||BDO-SAWAIMADHOPUR</t>
        </is>
      </c>
      <c r="D1284" t="inlineStr">
        <is>
          <t>21-May-2025 06:00 PM</t>
        </is>
      </c>
      <c r="E1284" t="inlineStr">
        <is>
          <t>6,00,000</t>
        </is>
      </c>
      <c r="F1284" t="inlineStr">
        <is>
          <t>Work including door to door residential and commercial kachra collection and separation road and drainage cleaning and community sanitation complex in all the village of Gram Panchayat area ENDWA</t>
        </is>
      </c>
      <c r="G1284" t="inlineStr">
        <is>
          <t>ENDWA</t>
        </is>
      </c>
    </row>
    <row r="1285">
      <c r="A1285" s="1" t="n">
        <v>1283</v>
      </c>
      <c r="B1285">
        <f>HYPERLINK("https://eproc.rajasthan.gov.in/nicgep/app?component=%24DirectLink&amp;page=FrontEndViewTender&amp;service=direct&amp;session=T&amp;sp=SBfPMTDo%2F99GyvJmSpGGhNQ%3D%3D", "material supply in gp beri")</f>
        <v/>
      </c>
      <c r="C1285" t="inlineStr">
        <is>
          <t>Panchayati Raj Department||Secretary and Commissioner||CEO-SIKAR||BDO-PIPARALI</t>
        </is>
      </c>
      <c r="D1285" t="inlineStr">
        <is>
          <t>26-May-2025 06:00 PM</t>
        </is>
      </c>
      <c r="E1285" t="inlineStr">
        <is>
          <t>60,00,000</t>
        </is>
      </c>
      <c r="F1285" t="inlineStr">
        <is>
          <t>material supply in gp beri and villages in year 2025-26</t>
        </is>
      </c>
      <c r="G1285" t="inlineStr">
        <is>
          <t>gp beri</t>
        </is>
      </c>
    </row>
    <row r="1286">
      <c r="A1286" s="1" t="n">
        <v>1284</v>
      </c>
      <c r="B1286">
        <f>HYPERLINK("https://eproc.rajasthan.gov.in/nicgep/app?component=%24DirectLink&amp;page=FrontEndViewTender&amp;service=direct&amp;session=T&amp;sp=SCJ2Rl9QDwTq8XqOI9c8LvA%3D%3D", "Works Including Door-To-Door (Residential And Commercial) Waste Collection And Segregation, Road And Drain Cleaning, And Community Sanitation Premises Cleaning In All Villages Of The Gram Panchayat kardka")</f>
        <v/>
      </c>
      <c r="C1286" t="inlineStr">
        <is>
          <t>Panchayati Raj Department||Secretary and Commissioner||CEO-SIKAR||BDO-AJEET GARH</t>
        </is>
      </c>
      <c r="D1286" t="inlineStr">
        <is>
          <t>21-May-2025 06:00 PM</t>
        </is>
      </c>
      <c r="E1286" t="inlineStr">
        <is>
          <t>8,10,000</t>
        </is>
      </c>
      <c r="F1286" t="inlineStr">
        <is>
          <t>Works Including Door-To-Door (Residential And Commercial) Waste Collection And Segregation, Road And Drain Cleaning, And Community Sanitation Premises Cleaning In All Villages Of The Gram Panchayat kardka</t>
        </is>
      </c>
      <c r="G1286" t="inlineStr">
        <is>
          <t>gp kardka</t>
        </is>
      </c>
    </row>
    <row r="1287">
      <c r="A1287" s="1" t="n">
        <v>1285</v>
      </c>
      <c r="B1287">
        <f>HYPERLINK("https://eproc.rajasthan.gov.in/nicgep/app?component=%24DirectLink&amp;page=FrontEndViewTender&amp;service=direct&amp;session=T&amp;sp=SRsdfOzKg1McJ8boVS143mg%3D%3D", "Gram panchyat k samast gavo me ghar ghar kachra sangrahan and nail safai karya or other saf safai work")</f>
        <v/>
      </c>
      <c r="C1287" t="inlineStr">
        <is>
          <t>Panchayati Raj Department||Secretary and Commissioner||CEO-DAUSA||BDO-BANDIKUI</t>
        </is>
      </c>
      <c r="D1287" t="inlineStr">
        <is>
          <t>21-May-2025 05:00 PM</t>
        </is>
      </c>
      <c r="E1287" t="inlineStr">
        <is>
          <t>7,50,000</t>
        </is>
      </c>
      <c r="F1287" t="inlineStr">
        <is>
          <t>Gram panchyat k samast gavo me ghar ghar kachra sangrahan and nail safai karya or other saf safai work</t>
        </is>
      </c>
      <c r="G1287" t="inlineStr">
        <is>
          <t>GRAM PANCHYAT BHAWATA BHAWATI</t>
        </is>
      </c>
    </row>
    <row r="1288">
      <c r="A1288" s="1" t="n">
        <v>1286</v>
      </c>
      <c r="B1288">
        <f>HYPERLINK("https://eproc.rajasthan.gov.in/nicgep/app?component=%24DirectLink&amp;page=FrontEndViewTender&amp;service=direct&amp;session=T&amp;sp=S7TnBCUcAReilMQclva5G3A%3D%3D", "Gram panchyat k samast gavo me ghar ghar kachra sangrahan and nail safai karya or other saf safai work")</f>
        <v/>
      </c>
      <c r="C1288" t="inlineStr">
        <is>
          <t>Panchayati Raj Department||Secretary and Commissioner||CEO-DAUSA||BDO-BASWA</t>
        </is>
      </c>
      <c r="D1288" t="inlineStr">
        <is>
          <t>21-May-2025 05:00 PM</t>
        </is>
      </c>
      <c r="E1288" t="inlineStr">
        <is>
          <t>9,99,357</t>
        </is>
      </c>
      <c r="F1288" t="inlineStr">
        <is>
          <t>Gram panchyat k samast gavo me ghar ghar kachra sangrahan and nail safai karya or other saf safai work</t>
        </is>
      </c>
      <c r="G1288" t="inlineStr">
        <is>
          <t>GRAM PANCHYAT BADIYAL KHURD</t>
        </is>
      </c>
    </row>
    <row r="1289">
      <c r="A1289" s="1" t="n">
        <v>1287</v>
      </c>
      <c r="B1289">
        <f>HYPERLINK("https://eproc.rajasthan.gov.in/nicgep/app?component=%24DirectLink&amp;page=FrontEndViewTender&amp;service=direct&amp;session=T&amp;sp=ScxC6LUw%2FmwH8A9nnNYXWeg%3D%3D", "Material purchase at BSR 2025-26 in RD and MGNREGA scheme GP POKARASAR")</f>
        <v/>
      </c>
      <c r="C1289" t="inlineStr">
        <is>
          <t>Panchayati Raj Department||Secretary and Commissioner||CEO-BADMER||BDO-DHANAU</t>
        </is>
      </c>
      <c r="D1289" t="inlineStr">
        <is>
          <t>24-May-2025 05:00 PM</t>
        </is>
      </c>
      <c r="E1289" t="inlineStr">
        <is>
          <t>1,00,00,000</t>
        </is>
      </c>
      <c r="F1289" t="inlineStr">
        <is>
          <t>Material purchase at BSR 2025-26 in RD and MGNREGA scheme GP POKARASAR</t>
        </is>
      </c>
      <c r="G1289" t="inlineStr">
        <is>
          <t>GRAM PANCHAYAT POKARASAR</t>
        </is>
      </c>
    </row>
    <row r="1290">
      <c r="A1290" s="1" t="n">
        <v>1288</v>
      </c>
      <c r="B1290">
        <f>HYPERLINK("https://eproc.rajasthan.gov.in/nicgep/app?component=%24DirectLink&amp;page=FrontEndViewTender&amp;service=direct&amp;session=T&amp;sp=Szc1eUOtjh108izE1hRFNlQ%3D%3D", "Work including garbage collection and separation from every house (residential and commercial), road and drain cleaning, and cleaning of community sanitation complex in all the villages of Gram Panchayat golada")</f>
        <v/>
      </c>
      <c r="C1290" t="inlineStr">
        <is>
          <t>Panchayati Raj Department||Secretary and Commissioner||CEO-DAUSA||BDO-BAIJUPADA</t>
        </is>
      </c>
      <c r="D1290" t="inlineStr">
        <is>
          <t>22-May-2025 05:00 PM</t>
        </is>
      </c>
      <c r="E1290" t="inlineStr">
        <is>
          <t>3,82,000</t>
        </is>
      </c>
      <c r="F1290" t="inlineStr">
        <is>
          <t>Work including garbage collection and separation from every house (residential and commercial), road and drain cleaning, and cleaning of community sanitation complex in all the villages of Gram Panchayat golada</t>
        </is>
      </c>
      <c r="G1290" t="inlineStr">
        <is>
          <t>gram panchayat golada</t>
        </is>
      </c>
    </row>
    <row r="1291">
      <c r="A1291" s="1" t="n">
        <v>1289</v>
      </c>
      <c r="B1291">
        <f>HYPERLINK("https://eproc.rajasthan.gov.in/nicgep/app?component=%24DirectLink&amp;page=FrontEndViewTender&amp;service=direct&amp;session=T&amp;sp=SFH76jhaKhbiAH9xMQ0nJMw%3D%3D", "Material purchase at BSR 2025-26 in RD and MGNREGA scheme GP SAIYON KA TALA")</f>
        <v/>
      </c>
      <c r="C1291" t="inlineStr">
        <is>
          <t>Panchayati Raj Department||Secretary and Commissioner||CEO-BADMER||BDO-DHANAU</t>
        </is>
      </c>
      <c r="D1291" t="inlineStr">
        <is>
          <t>24-May-2025 05:00 PM</t>
        </is>
      </c>
      <c r="E1291" t="inlineStr">
        <is>
          <t>1,00,00,000</t>
        </is>
      </c>
      <c r="F1291" t="inlineStr">
        <is>
          <t>Material purchase at BSR 2025-26 in RD and MGNREGA scheme GP SAIYON KA TALA</t>
        </is>
      </c>
      <c r="G1291" t="inlineStr">
        <is>
          <t>GRAM PANCHAYAT SAIYON KA TALA</t>
        </is>
      </c>
    </row>
    <row r="1292">
      <c r="A1292" s="1" t="n">
        <v>1290</v>
      </c>
      <c r="B1292">
        <f>HYPERLINK("https://eproc.rajasthan.gov.in/nicgep/app?component=%24DirectLink&amp;page=FrontEndViewTender&amp;service=direct&amp;session=T&amp;sp=Sz9H7lCsIWlCOTXP2hTgDQw%3D%3D", "MATERIAL SUPPLY IN GRAM PANCHAYAT BHIRANA PS DHOD FOR MGNREGA AND OTHER SCHEME")</f>
        <v/>
      </c>
      <c r="C1292" t="inlineStr">
        <is>
          <t>Panchayati Raj Department||Secretary and Commissioner||CEO-SIKAR||BDO-DHOD</t>
        </is>
      </c>
      <c r="D1292" t="inlineStr">
        <is>
          <t>27-May-2025 06:00 PM</t>
        </is>
      </c>
      <c r="E1292" t="inlineStr">
        <is>
          <t>45,00,000</t>
        </is>
      </c>
      <c r="F1292" t="inlineStr">
        <is>
          <t>MATERIAL SUPPLY IN GRAM PANCHAYAT BHIRANA PS DHOD FOR MGNREGA AND OTHER SCHEME</t>
        </is>
      </c>
      <c r="G1292" t="inlineStr">
        <is>
          <t>GRAM PANCHAYAT BHIRANA</t>
        </is>
      </c>
    </row>
    <row r="1293">
      <c r="A1293" s="1" t="n">
        <v>1291</v>
      </c>
      <c r="B1293">
        <f>HYPERLINK("https://eproc.rajasthan.gov.in/nicgep/app?component=%24DirectLink&amp;page=FrontEndViewTender&amp;service=direct&amp;session=T&amp;sp=SSZA0hB4k0iHP0yHkjYKsVQ%3D%3D", "GRAM PANCHYAT K SAMAST GRAMO ME GHAR GHAR KACHRA SANGRAHAN AND PRATTHKARAN SADAK AND NALI SAFAI AND SAMUDIYAK SWACCHTA PARISAR KI SAFAI")</f>
        <v/>
      </c>
      <c r="C1293" t="inlineStr">
        <is>
          <t>Panchayati Raj Department||Secretary and Commissioner||CEO-DAUSA||BDO-BASWA</t>
        </is>
      </c>
      <c r="D1293" t="inlineStr">
        <is>
          <t>21-May-2025 05:00 PM</t>
        </is>
      </c>
      <c r="E1293" t="inlineStr">
        <is>
          <t>9,50,000</t>
        </is>
      </c>
      <c r="F1293" t="inlineStr">
        <is>
          <t>GRAM PANCHYAT K SAMAST GRAMO ME GHAR GHAR KACHRA SANGRAHAN AND PRATTHKARAN SADAK AND NALI SAFAI AND SAMUDIYAK SWACCHTA PARISAR KI SAFAI</t>
        </is>
      </c>
      <c r="G1293" t="inlineStr">
        <is>
          <t>GRAM PANCHYAT LILOJ</t>
        </is>
      </c>
    </row>
    <row r="1294">
      <c r="A1294" s="1" t="n">
        <v>1292</v>
      </c>
      <c r="B1294">
        <f>HYPERLINK("https://eproc.rajasthan.gov.in/nicgep/app?component=%24DirectLink&amp;page=FrontEndViewTender&amp;service=direct&amp;session=T&amp;sp=SaVex1Gn4c7fnYCLPPK85mw%3D%3D", "35-36 GOODs tender GP under ps bari")</f>
        <v/>
      </c>
      <c r="C1294" t="inlineStr">
        <is>
          <t>Panchayati Raj Department||Secretary and Commissioner||CEO-DHOLPUR||BDO-BADI</t>
        </is>
      </c>
      <c r="D1294" t="inlineStr">
        <is>
          <t>23-May-2025 05:00 PM</t>
        </is>
      </c>
      <c r="E1294" t="inlineStr">
        <is>
          <t>50,00,000</t>
        </is>
      </c>
      <c r="F1294" t="inlineStr">
        <is>
          <t>35-36 GOODs tender GP under ps bari</t>
        </is>
      </c>
      <c r="G1294" t="inlineStr">
        <is>
          <t>GP ghadi sukha PS bari</t>
        </is>
      </c>
    </row>
    <row r="1295">
      <c r="A1295" s="1" t="n">
        <v>1293</v>
      </c>
      <c r="B1295">
        <f>HYPERLINK("https://eproc.rajasthan.gov.in/nicgep/app?component=%24DirectLink&amp;page=FrontEndViewTender&amp;service=direct&amp;session=T&amp;sp=SyjMuq5DPdHlXGM2OAO71Bg%3D%3D", "MATERIAL SUPPLY IN GRAM PANCHAYAT GOTHRA TAGELAN PS DHOD FOR MGNREGA AND OTHER SCHEME")</f>
        <v/>
      </c>
      <c r="C1295" t="inlineStr">
        <is>
          <t>Panchayati Raj Department||Secretary and Commissioner||CEO-SIKAR||BDO-DHOD</t>
        </is>
      </c>
      <c r="D1295" t="inlineStr">
        <is>
          <t>26-May-2025 06:00 PM</t>
        </is>
      </c>
      <c r="E1295" t="inlineStr">
        <is>
          <t>45,00,000</t>
        </is>
      </c>
      <c r="F1295" t="inlineStr">
        <is>
          <t>MATERIAL SUPPLY IN GRAM PANCHAYAT GOTHRA TAGELAN PS DHOD FOR MGNREGA AND OTHER SCHEME</t>
        </is>
      </c>
      <c r="G1295" t="inlineStr">
        <is>
          <t>GRAM PANCHAYAT GOTHRA TAGELAN</t>
        </is>
      </c>
    </row>
    <row r="1296">
      <c r="A1296" s="1" t="n">
        <v>1294</v>
      </c>
      <c r="B1296">
        <f>HYPERLINK("https://eproc.rajasthan.gov.in/nicgep/app?component=%24DirectLink&amp;page=FrontEndViewTender&amp;service=direct&amp;session=T&amp;sp=SZOpy15Neh6RKcyCZZaBtig%3D%3D", "Work including garbage collection and separation from every house (residential and commercial), road and drain cleaning, and cleaning of community sanitation complex in all the villages of Gram Panchayat Baijupada")</f>
        <v/>
      </c>
      <c r="C1296" t="inlineStr">
        <is>
          <t>Panchayati Raj Department||Secretary and Commissioner||CEO-DAUSA||BDO-BAIJUPADA</t>
        </is>
      </c>
      <c r="D1296" t="inlineStr">
        <is>
          <t>22-May-2025 05:00 PM</t>
        </is>
      </c>
      <c r="E1296" t="inlineStr">
        <is>
          <t>7,00,000</t>
        </is>
      </c>
      <c r="F1296" t="inlineStr">
        <is>
          <t>Work including garbage collection and separation from every house (residential and commercial), road and drain cleaning, and cleaning of community sanitation complex in all the villages of Gram Panchayat Baijupada</t>
        </is>
      </c>
      <c r="G1296" t="inlineStr">
        <is>
          <t>Gram Panchayat Baijupada</t>
        </is>
      </c>
    </row>
    <row r="1297">
      <c r="A1297" s="1" t="n">
        <v>1295</v>
      </c>
      <c r="B1297">
        <f>HYPERLINK("https://eproc.rajasthan.gov.in/nicgep/app?component=%24DirectLink&amp;page=FrontEndViewTender&amp;service=direct&amp;session=T&amp;sp=Sx9AapQYXkxkGBfatOGVNtw%3D%3D", "NAREGA AND OTHER SCHEME METERIAL SUPPLY PATAN FY 2025-26")</f>
        <v/>
      </c>
      <c r="C1297" t="inlineStr">
        <is>
          <t>Panchayati Raj Department||Secretary and Commissioner||CEO-SIKAR||BDO-PATAN</t>
        </is>
      </c>
      <c r="D1297" t="inlineStr">
        <is>
          <t>26-May-2025 06:00 PM</t>
        </is>
      </c>
      <c r="E1297" t="inlineStr">
        <is>
          <t>20,00,000</t>
        </is>
      </c>
      <c r="F1297" t="inlineStr">
        <is>
          <t>NAREGA AND OTHER SCHEME METERIAL SUPPLY PATAN FY 2025-26</t>
        </is>
      </c>
      <c r="G1297" t="inlineStr">
        <is>
          <t>GP PATAN</t>
        </is>
      </c>
    </row>
    <row r="1298">
      <c r="A1298" s="1" t="n">
        <v>1296</v>
      </c>
      <c r="B1298">
        <f>HYPERLINK("https://eproc.rajasthan.gov.in/nicgep/app?component=%24DirectLink&amp;page=FrontEndViewTender&amp;service=direct&amp;session=T&amp;sp=Sb2RjLZOIUbuUgWJeGOkdKA%3D%3D", "Supply of Construction Material in Gram Panchayat Rampura In Panchayat Samiti Khandar under MNREGA and RD and Various Scheme for the Year 2025-26")</f>
        <v/>
      </c>
      <c r="C1298" t="inlineStr">
        <is>
          <t>Panchayati Raj Department||Secretary and Commissioner||CEO-S.MADHOPUR||BDO-KHANDAR</t>
        </is>
      </c>
      <c r="D1298" t="inlineStr">
        <is>
          <t>25-May-2025 06:00 PM</t>
        </is>
      </c>
      <c r="E1298" t="inlineStr">
        <is>
          <t>50,00,000</t>
        </is>
      </c>
      <c r="F1298" t="inlineStr">
        <is>
          <t>Supply of Construction Material in Gram Panchayat Rampura In Panchayat Samiti Khandar under MNREGA and RD and Various Scheme for the Year 2025-26</t>
        </is>
      </c>
      <c r="G1298" t="inlineStr">
        <is>
          <t>GRAM PANCHAYAT RAMPURA</t>
        </is>
      </c>
    </row>
    <row r="1299">
      <c r="A1299" s="1" t="n">
        <v>1297</v>
      </c>
      <c r="B1299">
        <f>HYPERLINK("https://eproc.rajasthan.gov.in/nicgep/app?component=%24DirectLink&amp;page=FrontEndViewTender&amp;service=direct&amp;session=T&amp;sp=SP4%2BnmddR36Tlt5vosKPhoQ%3D%3D", "MATERIAL SUPPLY FOR MGNREGA WORKS IN GP BAGAWAS PS PATODI DISTRICT BALOTRA")</f>
        <v/>
      </c>
      <c r="C1299" t="inlineStr">
        <is>
          <t>Panchayati Raj Department||Secretary and Commissioner||CEO-BADMER||BDO-PATODI</t>
        </is>
      </c>
      <c r="D1299" t="inlineStr">
        <is>
          <t>24-May-2025 06:00 PM</t>
        </is>
      </c>
      <c r="E1299" t="inlineStr">
        <is>
          <t>75,00,000</t>
        </is>
      </c>
      <c r="F1299" t="inlineStr">
        <is>
          <t>MATERIAL SUPPLY FOR MGNREGA WORKS IN GP BAGAWAS PS PATODI DISTRICT BALOTRA</t>
        </is>
      </c>
      <c r="G1299" t="inlineStr">
        <is>
          <t>GP BAGAWAS</t>
        </is>
      </c>
    </row>
    <row r="1300">
      <c r="A1300" s="1" t="n">
        <v>1298</v>
      </c>
      <c r="B1300">
        <f>HYPERLINK("https://eproc.rajasthan.gov.in/nicgep/app?component=%24DirectLink&amp;page=FrontEndViewTender&amp;service=direct&amp;session=T&amp;sp=S%2BClARbgJSHQWzEaZ4qd4qA%3D%3D", "Supply of Construction Material in Gram Panchayat Halonda In Panchayat Samiti Khandar under MNREGA and RD and Various Scheme for the Year 2025-26")</f>
        <v/>
      </c>
      <c r="C1300" t="inlineStr">
        <is>
          <t>Panchayati Raj Department||Secretary and Commissioner||CEO-S.MADHOPUR||BDO-KHANDAR</t>
        </is>
      </c>
      <c r="D1300" t="inlineStr">
        <is>
          <t>25-May-2025 06:00 PM</t>
        </is>
      </c>
      <c r="E1300" t="inlineStr">
        <is>
          <t>40,00,000</t>
        </is>
      </c>
      <c r="F1300" t="inlineStr">
        <is>
          <t>Supply of Construction Material in Gram Panchayat Halonda In Panchayat Samiti Khandar under MNREGA and RD and Various Scheme for the Year 2025-26</t>
        </is>
      </c>
      <c r="G1300" t="inlineStr">
        <is>
          <t>GRAM PANCHAYAT HALONDA</t>
        </is>
      </c>
    </row>
    <row r="1301">
      <c r="A1301" s="1" t="n">
        <v>1299</v>
      </c>
      <c r="B1301">
        <f>HYPERLINK("https://eproc.rajasthan.gov.in/nicgep/app?component=%24DirectLink&amp;page=FrontEndViewTender&amp;service=direct&amp;session=T&amp;sp=SYDV2YNCtkff3zK3Jf7YUMQ%3D%3D", "Rate contract for Work Including Garbage Collection and Separation from Households and Commercial Establishments, Road and Drain cleaning, Cleaning of CSCs in all villages of Gram panchayat Narsinghpura")</f>
        <v/>
      </c>
      <c r="C1301" t="inlineStr">
        <is>
          <t>Panchayati Raj Department||Secretary and Commissioner||CEO-PALI||BDO-MARWAR JN.</t>
        </is>
      </c>
      <c r="D1301" t="inlineStr">
        <is>
          <t>26-May-2025 05:00 PM</t>
        </is>
      </c>
      <c r="E1301" t="inlineStr">
        <is>
          <t>12,69,480</t>
        </is>
      </c>
      <c r="F1301" t="inlineStr">
        <is>
          <t>Rate contract for Work Including Garbage Collection and Separation from Households and Commercial Establishments, Road and Drain cleaning, Cleaning of CSCs in all villages of Gram panchayat Narsinghpura</t>
        </is>
      </c>
      <c r="G1301" t="inlineStr">
        <is>
          <t>GP Narsinghpura</t>
        </is>
      </c>
    </row>
    <row r="1302">
      <c r="A1302" s="1" t="n">
        <v>1300</v>
      </c>
      <c r="B1302">
        <f>HYPERLINK("https://eproc.rajasthan.gov.in/nicgep/app?component=%24DirectLink&amp;page=FrontEndViewTender&amp;service=direct&amp;session=T&amp;sp=S0HHwnxsNqEC4LIyeWs9%2Fcw%3D%3D", "MATERIAL SUPPLY FOR MGNREGA WORKS IN GP RICHOLI PS PATODI DISTRICT BALOTRA")</f>
        <v/>
      </c>
      <c r="C1302" t="inlineStr">
        <is>
          <t>Panchayati Raj Department||Secretary and Commissioner||CEO-BADMER||BDO-PATODI</t>
        </is>
      </c>
      <c r="D1302" t="inlineStr">
        <is>
          <t>24-May-2025 06:00 PM</t>
        </is>
      </c>
      <c r="E1302" t="inlineStr">
        <is>
          <t>80,00,000</t>
        </is>
      </c>
      <c r="F1302" t="inlineStr">
        <is>
          <t>MATERIAL SUPPLY FOR MGNREGA WORKS IN GP RICHOLI PS PATODI DISTRICT BALOTRA</t>
        </is>
      </c>
      <c r="G1302" t="inlineStr">
        <is>
          <t>GP RICHOLI</t>
        </is>
      </c>
    </row>
    <row r="1303">
      <c r="A1303" s="1" t="n">
        <v>1301</v>
      </c>
      <c r="B1303">
        <f>HYPERLINK("https://eproc.rajasthan.gov.in/nicgep/app?component=%24DirectLink&amp;page=FrontEndViewTender&amp;service=direct&amp;session=T&amp;sp=SvrVNhNHjD2LYgUwMpsINNw%3D%3D", "MATERIAL SUPPLY FOR MGNREGA WORKS IN GP SANGRANADI PS PATODI DISTRICT BALOTRA")</f>
        <v/>
      </c>
      <c r="C1303" t="inlineStr">
        <is>
          <t>Panchayati Raj Department||Secretary and Commissioner||CEO-BADMER||BDO-PATODI</t>
        </is>
      </c>
      <c r="D1303" t="inlineStr">
        <is>
          <t>24-May-2025 06:00 PM</t>
        </is>
      </c>
      <c r="E1303" t="inlineStr">
        <is>
          <t>60,00,000</t>
        </is>
      </c>
      <c r="F1303" t="inlineStr">
        <is>
          <t>MATERIAL SUPPLY FOR MGNREGA WORKS IN GP SANGRANADI PS PATODI DISTRICT BALOTRA</t>
        </is>
      </c>
      <c r="G1303" t="inlineStr">
        <is>
          <t>GP SANGRANADI</t>
        </is>
      </c>
    </row>
    <row r="1304">
      <c r="A1304" s="1" t="n">
        <v>1302</v>
      </c>
      <c r="B1304">
        <f>HYPERLINK("https://eproc.rajasthan.gov.in/nicgep/app?component=%24DirectLink&amp;page=FrontEndViewTender&amp;service=direct&amp;session=T&amp;sp=SMJ5AeE4TUxe5uTtpN1iG1A%3D%3D", "RATE CONTRACT FOR SUPPLY OF CONSTRUCTION MATERIAL FOR THE FINANCIAL YEAR 2025-26 IN GRAM PANCHAYAT RALAWATA PANCHAYAT SAMITI PALSANA DISTT SIKAR")</f>
        <v/>
      </c>
      <c r="C1304" t="inlineStr">
        <is>
          <t>Panchayati Raj Department||Secretary and Commissioner||CEO-SIKAR||BDO-PALSANA</t>
        </is>
      </c>
      <c r="D1304" t="inlineStr">
        <is>
          <t>24-May-2025 06:00 PM</t>
        </is>
      </c>
      <c r="E1304" t="inlineStr">
        <is>
          <t>60,00,000</t>
        </is>
      </c>
      <c r="F1304" t="inlineStr">
        <is>
          <t>RATE CONTRACT FOR SUPPLY OF CONSTRUCTION MATERIAL FOR THE FINANCIAL YEAR 2025-26 IN GRAM PANCHAYAT RALAWATA PANCHAYAT SAMITI PALSANA DISTT SIKAR</t>
        </is>
      </c>
      <c r="G1304" t="inlineStr">
        <is>
          <t>GRAM PANCHAYAT RALAWATA</t>
        </is>
      </c>
    </row>
    <row r="1305">
      <c r="A1305" s="1" t="n">
        <v>1303</v>
      </c>
      <c r="B1305">
        <f>HYPERLINK("https://eproc.rajasthan.gov.in/nicgep/app?component=%24DirectLink&amp;page=FrontEndViewTender&amp;service=direct&amp;session=T&amp;sp=S5TJXVZsDDKTnxZ7l2Q4zgw%3D%3D", "MATERIAL SUPPLY FOR MGNREGA WORKS IN GP DURGAPURA PS PATODI DISTRICT BALOTRA")</f>
        <v/>
      </c>
      <c r="C1305" t="inlineStr">
        <is>
          <t>Panchayati Raj Department||Secretary and Commissioner||CEO-BADMER||BDO-PATODI</t>
        </is>
      </c>
      <c r="D1305" t="inlineStr">
        <is>
          <t>24-May-2025 06:00 PM</t>
        </is>
      </c>
      <c r="E1305" t="inlineStr">
        <is>
          <t>75,00,000</t>
        </is>
      </c>
      <c r="F1305" t="inlineStr">
        <is>
          <t>MATERIAL SUPPLY FOR MGNREGA WORKS IN GP DURGAPURA PS PATODI DISTRICT BALOTRA</t>
        </is>
      </c>
      <c r="G1305" t="inlineStr">
        <is>
          <t>GP DURGAPURA</t>
        </is>
      </c>
    </row>
    <row r="1306">
      <c r="A1306" s="1" t="n">
        <v>1304</v>
      </c>
      <c r="B1306">
        <f>HYPERLINK("https://eproc.rajasthan.gov.in/nicgep/app?component=%24DirectLink&amp;page=FrontEndViewTender&amp;service=direct&amp;session=T&amp;sp=S%2FkkCQHilKE63sC%2BXoYlx5Q%3D%3D", "MATERIAL SUPPLY FOR MGNREGA WORKS IN GP SAMBHRA PS PATODI DISTRICT BALOTRA")</f>
        <v/>
      </c>
      <c r="C1306" t="inlineStr">
        <is>
          <t>Panchayati Raj Department||Secretary and Commissioner||CEO-BADMER||BDO-PATODI</t>
        </is>
      </c>
      <c r="D1306" t="inlineStr">
        <is>
          <t>24-May-2025 06:00 PM</t>
        </is>
      </c>
      <c r="E1306" t="inlineStr">
        <is>
          <t>60,00,000</t>
        </is>
      </c>
      <c r="F1306" t="inlineStr">
        <is>
          <t>MATERIAL SUPPLY FOR MGNREGA WORKS IN GP SAMBHRA PS PATODI DISTRICT BALOTRA</t>
        </is>
      </c>
      <c r="G1306" t="inlineStr">
        <is>
          <t>GP SAMBHRA</t>
        </is>
      </c>
    </row>
    <row r="1307">
      <c r="A1307" s="1" t="n">
        <v>1305</v>
      </c>
      <c r="B1307">
        <f>HYPERLINK("https://eproc.rajasthan.gov.in/nicgep/app?component=%24DirectLink&amp;page=FrontEndViewTender&amp;service=direct&amp;session=T&amp;sp=SOd%2Fec%2FjcmTexc6dOroWtdQ%3D%3D", "Cleaning and sanitetion work for gp surpura")</f>
        <v/>
      </c>
      <c r="C1307" t="inlineStr">
        <is>
          <t>Panchayati Raj Department||Secretary and Commissioner||CEO-BADMER||BDO-KALYANPUR</t>
        </is>
      </c>
      <c r="D1307" t="inlineStr">
        <is>
          <t>20-May-2025 05:00 PM</t>
        </is>
      </c>
      <c r="E1307" t="inlineStr">
        <is>
          <t>5,95,329</t>
        </is>
      </c>
      <c r="F1307" t="inlineStr">
        <is>
          <t>Cleaning and sanitetion work</t>
        </is>
      </c>
      <c r="G1307" t="inlineStr">
        <is>
          <t>gp surpura</t>
        </is>
      </c>
    </row>
    <row r="1308">
      <c r="A1308" s="1" t="n">
        <v>1306</v>
      </c>
      <c r="B1308">
        <f>HYPERLINK("https://eproc.rajasthan.gov.in/nicgep/app?component=%24DirectLink&amp;page=FrontEndViewTender&amp;service=direct&amp;session=T&amp;sp=STFtFUmEk8WupUx657Bf%2BIw%3D%3D", "Door to Door residential or community Garbedge collection, street and drain cleaning and out in all the villages of panchayat samiti PIRAWA JILA JHALAWAR at gram PANCHAYAT SARKHERI ME")</f>
        <v/>
      </c>
      <c r="C1308" t="inlineStr">
        <is>
          <t>Panchayati Raj Department||Secretary and Commissioner||CEO- JHALAWAR||BDO-PIRAWA</t>
        </is>
      </c>
      <c r="D1308" t="inlineStr">
        <is>
          <t>21-May-2025 06:00 PM</t>
        </is>
      </c>
      <c r="E1308" t="inlineStr">
        <is>
          <t>8,57,477</t>
        </is>
      </c>
      <c r="F1308" t="inlineStr">
        <is>
          <t>Door to Door residential or community Garbedge collection, street and drain cleaning and out in all the villages of panchayat samiti PIRAWA JILA JHALAWAR at gram PANCHAYAT SARKHERI ME</t>
        </is>
      </c>
      <c r="G1308" t="inlineStr">
        <is>
          <t>JHALAWAR</t>
        </is>
      </c>
    </row>
    <row r="1309">
      <c r="A1309" s="1" t="n">
        <v>1307</v>
      </c>
      <c r="B1309">
        <f>HYPERLINK("https://eproc.rajasthan.gov.in/nicgep/app?component=%24DirectLink&amp;page=FrontEndViewTender&amp;service=direct&amp;session=T&amp;sp=SFr%2Bqw89158LGc6joSbCMnA%3D%3D", "GHAR GHAR KACHRA SANGHRHAN V SAF SAFAI KARYA SAMSTA GRAM PANCHAYAT KSHETRA ME KESHWANA RAJPUT")</f>
        <v/>
      </c>
      <c r="C1309" t="inlineStr">
        <is>
          <t>Panchayati Raj Department||Secretary and Commissioner||CEO- JAIPUR||BDO-KOTPUTALI</t>
        </is>
      </c>
      <c r="D1309" t="inlineStr">
        <is>
          <t>23-May-2025 11:00 AM</t>
        </is>
      </c>
      <c r="E1309" t="inlineStr">
        <is>
          <t>12,65,000</t>
        </is>
      </c>
      <c r="F1309" t="inlineStr">
        <is>
          <t>GHAR GHAR KACHRA SANGHRHAN V SAF SAFAI KARYA SAMSTA GRAM PANCHAYAT KSHETRA ME KESHWANA RAJPUT</t>
        </is>
      </c>
      <c r="G1309" t="inlineStr">
        <is>
          <t>KESHWANA RAJPUT</t>
        </is>
      </c>
    </row>
    <row r="1310">
      <c r="A1310" s="1" t="n">
        <v>1308</v>
      </c>
      <c r="B1310">
        <f>HYPERLINK("https://eproc.rajasthan.gov.in/nicgep/app?component=%24DirectLink&amp;page=FrontEndViewTender&amp;service=direct&amp;session=T&amp;sp=SBIj14XysY6JRMpZ2I8xVvQ%3D%3D", "Collection of wastage in Residential and Commercial Building from all Villages in Gram Panchayat Road, Nali Cleaning and CSC Campus GP Nadol")</f>
        <v/>
      </c>
      <c r="C1310" t="inlineStr">
        <is>
          <t>Panchayati Raj Department||Secretary and Commissioner||CEO-PALI||BDO-RANISTATION</t>
        </is>
      </c>
      <c r="D1310" t="inlineStr">
        <is>
          <t>26-May-2025 01:00 PM</t>
        </is>
      </c>
      <c r="E1310" t="inlineStr">
        <is>
          <t>50,03,000</t>
        </is>
      </c>
      <c r="F1310" t="inlineStr">
        <is>
          <t>Collection of wastage in Residential and Commercial Building from all Villages in Gram Panchayat Road, Nali Cleaning and CSC Campus GP Nadol</t>
        </is>
      </c>
      <c r="G1310" t="inlineStr">
        <is>
          <t>Gram Panchayat Nadol</t>
        </is>
      </c>
    </row>
    <row r="1311">
      <c r="A1311" s="1" t="n">
        <v>1309</v>
      </c>
      <c r="B1311">
        <f>HYPERLINK("https://eproc.rajasthan.gov.in/nicgep/app?component=%24DirectLink&amp;page=FrontEndViewTender&amp;service=direct&amp;session=T&amp;sp=Sn68sf3saU536ameqU5KgTw%3D%3D", "GHAR GHAR KACHRA SANGHRHAN V SAF SAFAI KARYA SAMSTA GRAM PANCHAYAT KSHETRA ME KUJOTA")</f>
        <v/>
      </c>
      <c r="C1311" t="inlineStr">
        <is>
          <t>Panchayati Raj Department||Secretary and Commissioner||CEO- JAIPUR||BDO-KOTPUTALI</t>
        </is>
      </c>
      <c r="D1311" t="inlineStr">
        <is>
          <t>23-May-2025 11:00 AM</t>
        </is>
      </c>
      <c r="E1311" t="inlineStr">
        <is>
          <t>11,66,000</t>
        </is>
      </c>
      <c r="F1311" t="inlineStr">
        <is>
          <t>GHAR GHAR KACHRA SANGHRHAN V SAF SAFAI KARYA SAMSTA GRAM PANCHAYAT KSHETRA ME KUJOTA</t>
        </is>
      </c>
      <c r="G1311" t="inlineStr">
        <is>
          <t>KUJOTA</t>
        </is>
      </c>
    </row>
    <row r="1312">
      <c r="A1312" s="1" t="n">
        <v>1310</v>
      </c>
      <c r="B1312">
        <f>HYPERLINK("https://eproc.rajasthan.gov.in/nicgep/app?component=%24DirectLink&amp;page=FrontEndViewTender&amp;service=direct&amp;session=T&amp;sp=ShC9Pzn8s%2Fkfdomb0GAsAKA%3D%3D", "Supply of Construction Material with RDPR Scheme MNREGA, SFC , FFC and other scheme for Financial Year 2025-26 in Gram Panchyat Mahapura PS Chauth Ka Barwara")</f>
        <v/>
      </c>
      <c r="C1312" t="inlineStr">
        <is>
          <t>Panchayati Raj Department||Secretary and Commissioner||CEO-S.MADHOPUR||BDO-CHOTH KA BARWADA</t>
        </is>
      </c>
      <c r="D1312" t="inlineStr">
        <is>
          <t>29-May-2025 06:00 PM</t>
        </is>
      </c>
      <c r="E1312" t="inlineStr">
        <is>
          <t>50,00,000</t>
        </is>
      </c>
      <c r="F1312" t="inlineStr">
        <is>
          <t>Supply of Construction Material with RDPR Scheme MNREGA, SFC , FFC and other scheme for Financial Year 2025-26 in Gram Panchyat Mahapura PS Chauth Ka Barwara</t>
        </is>
      </c>
      <c r="G1312" t="inlineStr">
        <is>
          <t>GRAM PANCHYAT MAHAPURA</t>
        </is>
      </c>
    </row>
    <row r="1313">
      <c r="A1313" s="1" t="n">
        <v>1311</v>
      </c>
      <c r="B1313">
        <f>HYPERLINK("https://eproc.rajasthan.gov.in/nicgep/app?component=%24DirectLink&amp;page=FrontEndViewTender&amp;service=direct&amp;session=T&amp;sp=S8EpJzlS7TlpTNdL6ds724w%3D%3D", "Door to Door residential or community Garbedge collection, street and drain cleaning and out in all the villages of panchayat samiti PIRAWA JILA JHALAWAR at gram PANCHAYAT DEEWALKHEDA ME")</f>
        <v/>
      </c>
      <c r="C1313" t="inlineStr">
        <is>
          <t>Panchayati Raj Department||Secretary and Commissioner||CEO- JHALAWAR||BDO-PIRAWA</t>
        </is>
      </c>
      <c r="D1313" t="inlineStr">
        <is>
          <t>21-May-2025 06:00 PM</t>
        </is>
      </c>
      <c r="E1313" t="inlineStr">
        <is>
          <t>9,08,056</t>
        </is>
      </c>
      <c r="F1313" t="inlineStr">
        <is>
          <t>Door to Door residential or community Garbedge collection, street and drain cleaning and out in all the villages of panchayat samiti PIRAWA JILA JHALAWAR at gram PANCHAYAT DEEWALKHEDA ME</t>
        </is>
      </c>
      <c r="G1313" t="inlineStr">
        <is>
          <t>JHALAWAR</t>
        </is>
      </c>
    </row>
    <row r="1314">
      <c r="A1314" s="1" t="n">
        <v>1312</v>
      </c>
      <c r="B1314">
        <f>HYPERLINK("https://eproc.rajasthan.gov.in/nicgep/app?component=%24DirectLink&amp;page=FrontEndViewTender&amp;service=direct&amp;session=T&amp;sp=SJf%2BZcRMqrAbm%2B1UvHwWNTQ%3D%3D", "Collection of wastage in Residential and Commercial Building from all Villages in Gram Panchayat Road, Nali Cleaning and CSC Campus GP mandighard")</f>
        <v/>
      </c>
      <c r="C1314" t="inlineStr">
        <is>
          <t>Panchayati Raj Department||Secretary and Commissioner||CEO-PALI||BDO-RANISTATION</t>
        </is>
      </c>
      <c r="D1314" t="inlineStr">
        <is>
          <t>26-May-2025 01:00 PM</t>
        </is>
      </c>
      <c r="E1314" t="inlineStr">
        <is>
          <t>16,51,000</t>
        </is>
      </c>
      <c r="F1314" t="inlineStr">
        <is>
          <t>Collection of wastage in Residential and Commercial Building from all Villages in Gram Panchayat Road, Nali Cleaning and CSC Campus GP mandighard</t>
        </is>
      </c>
      <c r="G1314" t="inlineStr">
        <is>
          <t>Gram Panchayat Mandighard</t>
        </is>
      </c>
    </row>
    <row r="1315">
      <c r="A1315" s="1" t="n">
        <v>1313</v>
      </c>
      <c r="B1315">
        <f>HYPERLINK("https://eproc.rajasthan.gov.in/nicgep/app?component=%24DirectLink&amp;page=FrontEndViewTender&amp;service=direct&amp;session=T&amp;sp=SbYWjJx9ynI%2FIhOsFZs0SQQ%3D%3D", "Work including door-to-door residential and commercial garbage collection and separation road and drain cleaning and community sanitation premises cleaning in all villages of Gram Panchayat NAHIDA Panchayat Samiti Mahwa Dist. Dausa For FY 2025-26")</f>
        <v/>
      </c>
      <c r="C1315" t="inlineStr">
        <is>
          <t>Panchayati Raj Department||Secretary and Commissioner||CEO-DAUSA||BDO-MAHUVA</t>
        </is>
      </c>
      <c r="D1315" t="inlineStr">
        <is>
          <t>24-May-2025 05:00 PM</t>
        </is>
      </c>
      <c r="E1315" t="inlineStr">
        <is>
          <t>5,84,162</t>
        </is>
      </c>
      <c r="F1315" t="inlineStr">
        <is>
          <t>Work including door-to-door residential and commercial garbage collection and separation road and drain cleaning and community sanitation premises cleaning in all villages of Gram Panchayat NAHIDA Panchayat Samiti Mahwa Dist. Dausa For FY 2025-26</t>
        </is>
      </c>
      <c r="G1315" t="inlineStr">
        <is>
          <t>Gram Panchayat NAHIDA</t>
        </is>
      </c>
    </row>
    <row r="1316">
      <c r="A1316" s="1" t="n">
        <v>1314</v>
      </c>
      <c r="B1316">
        <f>HYPERLINK("https://eproc.rajasthan.gov.in/nicgep/app?component=%24DirectLink&amp;page=FrontEndViewTender&amp;service=direct&amp;session=T&amp;sp=SI5IVEiXotwnhFsCwJHNZQA%3D%3D", "GHAR GHAR KACHRA SANGHRHAN V SAF SAFAI KARYA SAMSTA GRAM PANCHAYAT KSHETRA ME JAISINGHPURA")</f>
        <v/>
      </c>
      <c r="C1316" t="inlineStr">
        <is>
          <t>Panchayati Raj Department||Secretary and Commissioner||CEO- JAIPUR||BDO-KOTPUTALI</t>
        </is>
      </c>
      <c r="D1316" t="inlineStr">
        <is>
          <t>23-May-2025 11:00 AM</t>
        </is>
      </c>
      <c r="E1316" t="inlineStr">
        <is>
          <t>11,66,000</t>
        </is>
      </c>
      <c r="F1316" t="inlineStr">
        <is>
          <t>GHAR GHAR KACHRA SANGHRHAN V SAF SAFAI KARYA SAMSTA GRAM PANCHAYAT KSHETRA ME JAISINGHPURA</t>
        </is>
      </c>
      <c r="G1316" t="inlineStr">
        <is>
          <t>JAISINGHPURA</t>
        </is>
      </c>
    </row>
    <row r="1317">
      <c r="A1317" s="1" t="n">
        <v>1315</v>
      </c>
      <c r="B1317">
        <f>HYPERLINK("https://eproc.rajasthan.gov.in/nicgep/app?component=%24DirectLink&amp;page=FrontEndViewTender&amp;service=direct&amp;session=T&amp;sp=Sh1ZYTbJYnAqcC%2FZfhRFSrw%3D%3D", "Door to Door residential or community Garbedge collection, street and drain cleaning and out in all the villages of panchayat samiti PIRAWA JILA JHALAWAR at gram PANCHAYAT KHAIRANA ME")</f>
        <v/>
      </c>
      <c r="C1317" t="inlineStr">
        <is>
          <t>Panchayati Raj Department||Secretary and Commissioner||CEO- JHALAWAR||BDO-PIRAWA</t>
        </is>
      </c>
      <c r="D1317" t="inlineStr">
        <is>
          <t>21-May-2025 06:00 PM</t>
        </is>
      </c>
      <c r="E1317" t="inlineStr">
        <is>
          <t>8,11,716</t>
        </is>
      </c>
      <c r="F1317" t="inlineStr">
        <is>
          <t>Door to Door residential or community Garbedge collection, street and drain cleaning and out in all the villages of panchayat samiti PIRAWA JILA JHALAWAR at gram PANCHAYAT KHAIRANA ME</t>
        </is>
      </c>
      <c r="G1317" t="inlineStr">
        <is>
          <t>JHALAWAR</t>
        </is>
      </c>
    </row>
    <row r="1318">
      <c r="A1318" s="1" t="n">
        <v>1316</v>
      </c>
      <c r="B1318">
        <f>HYPERLINK("https://eproc.rajasthan.gov.in/nicgep/app?component=%24DirectLink&amp;page=FrontEndViewTender&amp;service=direct&amp;session=T&amp;sp=SZLMCPEteVDVghM7q3we3ZA%3D%3D", "Collection of wastage in Residential and Commercial Building from all Villages in Gram Panchayat Road, Nali Cleaning and CSC Campus GP Madpur")</f>
        <v/>
      </c>
      <c r="C1318" t="inlineStr">
        <is>
          <t>Panchayati Raj Department||Secretary and Commissioner||CEO-PALI||BDO-RANISTATION</t>
        </is>
      </c>
      <c r="D1318" t="inlineStr">
        <is>
          <t>26-May-2025 01:00 PM</t>
        </is>
      </c>
      <c r="E1318" t="inlineStr">
        <is>
          <t>19,19,000</t>
        </is>
      </c>
      <c r="F1318" t="inlineStr">
        <is>
          <t>Collection of wastage in Residential and Commercial Building from all Villages in Gram Panchayat Road, Nali Cleaning and CSC Campus GP Madpur</t>
        </is>
      </c>
      <c r="G1318" t="inlineStr">
        <is>
          <t>Gram Panchayat Madpur</t>
        </is>
      </c>
    </row>
    <row r="1319">
      <c r="A1319" s="1" t="n">
        <v>1317</v>
      </c>
      <c r="B1319">
        <f>HYPERLINK("https://eproc.rajasthan.gov.in/nicgep/app?component=%24DirectLink&amp;page=FrontEndViewTender&amp;service=direct&amp;session=T&amp;sp=SqAo1Pz50eQ2kGlfxZ%2FmtJg%3D%3D", "Collection of wastage in Residential and Commercial Building from all Villages in Gram Panchayat Road, Nali Cleaning and CSC Campus GP Sindarli")</f>
        <v/>
      </c>
      <c r="C1319" t="inlineStr">
        <is>
          <t>Panchayati Raj Department||Secretary and Commissioner||CEO-PALI||BDO-RANISTATION</t>
        </is>
      </c>
      <c r="D1319" t="inlineStr">
        <is>
          <t>26-May-2025 01:00 PM</t>
        </is>
      </c>
      <c r="E1319" t="inlineStr">
        <is>
          <t>17,08,000</t>
        </is>
      </c>
      <c r="F1319" t="inlineStr">
        <is>
          <t>Collection of wastage in Residential and Commercial Building from all Villages in Gram Panchayat Road, Nali Cleaning and CSC Campus GP Sindarli</t>
        </is>
      </c>
      <c r="G1319" t="inlineStr">
        <is>
          <t>Gram Panchayat Sindarli</t>
        </is>
      </c>
    </row>
    <row r="1320">
      <c r="A1320" s="1" t="n">
        <v>1318</v>
      </c>
      <c r="B1320">
        <f>HYPERLINK("https://eproc.rajasthan.gov.in/nicgep/app?component=%24DirectLink&amp;page=FrontEndViewTender&amp;service=direct&amp;session=T&amp;sp=SJO5Jw4CxrJAfanMxj5FHMA%3D%3D", "Door to Door residential or community Garbedge collection, street and drain cleaning and out in all the villages of panchayat samiti PIRAWA JILA JHALAWAR at gram PANCHAYAT HARNAVDAGAJA ME")</f>
        <v/>
      </c>
      <c r="C1320" t="inlineStr">
        <is>
          <t>Panchayati Raj Department||Secretary and Commissioner||CEO- JHALAWAR||BDO-PIRAWA</t>
        </is>
      </c>
      <c r="D1320" t="inlineStr">
        <is>
          <t>21-May-2025 06:00 PM</t>
        </is>
      </c>
      <c r="E1320" t="inlineStr">
        <is>
          <t>9,99,814</t>
        </is>
      </c>
      <c r="F1320" t="inlineStr">
        <is>
          <t>Door to Door residential or community Garbedge collection, street and drain cleaning and out in all the villages of panchayat samiti PIRAWA JILA JHALAWAR at gram PANCHAYAT HARNAVDAGAJA ME</t>
        </is>
      </c>
      <c r="G1320" t="inlineStr">
        <is>
          <t>JHALAWAR</t>
        </is>
      </c>
    </row>
    <row r="1321">
      <c r="A1321" s="1" t="n">
        <v>1319</v>
      </c>
      <c r="B1321">
        <f>HYPERLINK("https://eproc.rajasthan.gov.in/nicgep/app?component=%24DirectLink&amp;page=FrontEndViewTender&amp;service=direct&amp;session=T&amp;sp=SpkOnVj9SSe1iJrMkXLBadQ%3D%3D", "GHAR GHAR KACHRA SANGHRHAN V SAF SAFAI KARYA SAMSTA GRAM PANCHAYAT KSHETRA ME KANWARPURA")</f>
        <v/>
      </c>
      <c r="C1321" t="inlineStr">
        <is>
          <t>Panchayati Raj Department||Secretary and Commissioner||CEO- JAIPUR||BDO-KOTPUTALI</t>
        </is>
      </c>
      <c r="D1321" t="inlineStr">
        <is>
          <t>23-May-2025 11:00 AM</t>
        </is>
      </c>
      <c r="E1321" t="inlineStr">
        <is>
          <t>6,49,000</t>
        </is>
      </c>
      <c r="F1321" t="inlineStr">
        <is>
          <t>GHAR GHAR KACHRA SANGHRHAN V SAF SAFAI KARYA SAMSTA GRAM PANCHAYAT KSHETRA ME KANWARPURA</t>
        </is>
      </c>
      <c r="G1321" t="inlineStr">
        <is>
          <t>KANWARPURA</t>
        </is>
      </c>
    </row>
    <row r="1322">
      <c r="A1322" s="1" t="n">
        <v>1320</v>
      </c>
      <c r="B1322">
        <f>HYPERLINK("https://eproc.rajasthan.gov.in/nicgep/app?component=%24DirectLink&amp;page=FrontEndViewTender&amp;service=direct&amp;session=T&amp;sp=SfvLTISzDuhiZShy6ZZagEQ%3D%3D", "Works Including Door-To-Door (Residential And Commercial) Waste Collection And Segregation, Road And Drain Cleaning, And Community Sanitation Premises Cleaning In All Villages Of The Gram Panchayat toda")</f>
        <v/>
      </c>
      <c r="C1322" t="inlineStr">
        <is>
          <t>Panchayati Raj Department||Secretary and Commissioner||CEO-SIKAR||BDO-AJEET GARH</t>
        </is>
      </c>
      <c r="D1322" t="inlineStr">
        <is>
          <t>21-May-2025 06:00 PM</t>
        </is>
      </c>
      <c r="E1322" t="inlineStr">
        <is>
          <t>9,90,000</t>
        </is>
      </c>
      <c r="F1322" t="inlineStr">
        <is>
          <t>Works Including Door-To-Door (Residential And Commercial) Waste Collection And Segregation, Road And Drain Cleaning, And Community Sanitation Premises Cleaning In All Villages Of The Gram Panchayat toda</t>
        </is>
      </c>
      <c r="G1322" t="inlineStr">
        <is>
          <t>gp toda</t>
        </is>
      </c>
    </row>
    <row r="1323">
      <c r="A1323" s="1" t="n">
        <v>1321</v>
      </c>
      <c r="B1323">
        <f>HYPERLINK("https://eproc.rajasthan.gov.in/nicgep/app?component=%24DirectLink&amp;page=FrontEndViewTender&amp;service=direct&amp;session=T&amp;sp=SaWpIBiOWzUdhE%2Bag4ZeAgw%3D%3D", "GHAR GHAR KACHRA SANGHRHAN V SAF SAFAI KARYA SAMSTA GRAM PANCHAYAT KSHETRA ME GORDHANPURA")</f>
        <v/>
      </c>
      <c r="C1323" t="inlineStr">
        <is>
          <t>Panchayati Raj Department||Secretary and Commissioner||CEO- JAIPUR||BDO-KOTPUTALI</t>
        </is>
      </c>
      <c r="D1323" t="inlineStr">
        <is>
          <t>23-May-2025 11:00 AM</t>
        </is>
      </c>
      <c r="E1323" t="inlineStr">
        <is>
          <t>12,87,000</t>
        </is>
      </c>
      <c r="F1323" t="inlineStr">
        <is>
          <t>GHAR GHAR KACHRA SANGHRHAN V SAF SAFAI KARYA SAMSTA GRAM PANCHAYAT KSHETRA ME GORDHANPURA</t>
        </is>
      </c>
      <c r="G1323" t="inlineStr">
        <is>
          <t>GORDHANPURA</t>
        </is>
      </c>
    </row>
    <row r="1324">
      <c r="A1324" s="1" t="n">
        <v>1322</v>
      </c>
      <c r="B1324">
        <f>HYPERLINK("https://eproc.rajasthan.gov.in/nicgep/app?component=%24DirectLink&amp;page=FrontEndViewTender&amp;service=direct&amp;session=T&amp;sp=SHRQW4kur5ObyYktK5bfGJg%3D%3D", "Door to Door residential or community Garbedge collection, street and drain cleaning and out in all the villages of panchayat samiti PIRAWA JILA JHALAWAR at gram PANCHAYAT RAMAYDALPAT ME")</f>
        <v/>
      </c>
      <c r="C1324" t="inlineStr">
        <is>
          <t>Panchayati Raj Department||Secretary and Commissioner||CEO- JHALAWAR||BDO-PIRAWA</t>
        </is>
      </c>
      <c r="D1324" t="inlineStr">
        <is>
          <t>21-May-2025 06:00 PM</t>
        </is>
      </c>
      <c r="E1324" t="inlineStr">
        <is>
          <t>9,85,608</t>
        </is>
      </c>
      <c r="F1324" t="inlineStr">
        <is>
          <t>Door to Door residential or community Garbedge collection, street and drain cleaning and out in all the villages of panchayat samiti PIRAWA JILA JHALAWAR at gram PANCHAYAT RAMAYDALPAT ME</t>
        </is>
      </c>
      <c r="G1324" t="inlineStr">
        <is>
          <t>JHALAWAR</t>
        </is>
      </c>
    </row>
    <row r="1325">
      <c r="A1325" s="1" t="n">
        <v>1323</v>
      </c>
      <c r="B1325">
        <f>HYPERLINK("https://eproc.rajasthan.gov.in/nicgep/app?component=%24DirectLink&amp;page=FrontEndViewTender&amp;service=direct&amp;session=T&amp;sp=S6l5fT13VpDT5nJT4zenAvg%3D%3D", "Collection of wastage in Residential and Commercial Building from all Villages in Gram Panchayat Road, Nali Cleaning and CSC Campus GP Mada")</f>
        <v/>
      </c>
      <c r="C1325" t="inlineStr">
        <is>
          <t>Panchayati Raj Department||Secretary and Commissioner||CEO-PALI||BDO-RANISTATION</t>
        </is>
      </c>
      <c r="D1325" t="inlineStr">
        <is>
          <t>26-May-2025 01:00 PM</t>
        </is>
      </c>
      <c r="E1325" t="inlineStr">
        <is>
          <t>10,61,000</t>
        </is>
      </c>
      <c r="F1325" t="inlineStr">
        <is>
          <t>Collection of wastage in Residential and Commercial Building from all Villages in Gram Panchayat Road, Nali Cleaning and CSC Campus GP Mada</t>
        </is>
      </c>
      <c r="G1325" t="inlineStr">
        <is>
          <t>Gram Panchayat Mada</t>
        </is>
      </c>
    </row>
    <row r="1326">
      <c r="A1326" s="1" t="n">
        <v>1324</v>
      </c>
      <c r="B1326">
        <f>HYPERLINK("https://eproc.rajasthan.gov.in/nicgep/app?component=%24DirectLink&amp;page=FrontEndViewTender&amp;service=direct&amp;session=T&amp;sp=S2czCz3DXIywbunvKXrkqMA%3D%3D", "Door to Door residential or community Garbedge collection, street and drain cleaning and out in all the villages of panchayat samiti PIRAWA JILA JHALAWAR at gram PANCHAYAT SHERPUR ME")</f>
        <v/>
      </c>
      <c r="C1326" t="inlineStr">
        <is>
          <t>Panchayati Raj Department||Secretary and Commissioner||CEO- JHALAWAR||BDO-PIRAWA</t>
        </is>
      </c>
      <c r="D1326" t="inlineStr">
        <is>
          <t>21-May-2025 06:00 PM</t>
        </is>
      </c>
      <c r="E1326" t="inlineStr">
        <is>
          <t>8,51,016</t>
        </is>
      </c>
      <c r="F1326" t="inlineStr">
        <is>
          <t>Door to Door residential or community Garbedge collection, street and drain cleaning and out in all the villages of panchayat samiti PIRAWA JILA JHALAWAR at gram PANCHAYAT SHERPUR ME</t>
        </is>
      </c>
      <c r="G1326" t="inlineStr">
        <is>
          <t>JHALAWAR</t>
        </is>
      </c>
    </row>
    <row r="1327">
      <c r="A1327" s="1" t="n">
        <v>1325</v>
      </c>
      <c r="B1327">
        <f>HYPERLINK("https://eproc.rajasthan.gov.in/nicgep/app?component=%24DirectLink&amp;page=FrontEndViewTender&amp;service=direct&amp;session=T&amp;sp=SNmSrm%2FecrE5Vl%2BZNEd94Fw%3D%3D", "Collection of wastage in Residential and Commercial Building from all Villages in Gram Panchayat Road, Nali Cleaning and CSC Campus GP Morkha")</f>
        <v/>
      </c>
      <c r="C1327" t="inlineStr">
        <is>
          <t>Panchayati Raj Department||Secretary and Commissioner||CEO-PALI||BDO-RANISTATION</t>
        </is>
      </c>
      <c r="D1327" t="inlineStr">
        <is>
          <t>26-May-2025 01:00 PM</t>
        </is>
      </c>
      <c r="E1327" t="inlineStr">
        <is>
          <t>18,33,000</t>
        </is>
      </c>
      <c r="F1327" t="inlineStr">
        <is>
          <t>Collection of wastage in Residential and Commercial Building from all Villages in Gram Panchayat Road, Nali Cleaning and CSC Campus GP Morkha</t>
        </is>
      </c>
      <c r="G1327" t="inlineStr">
        <is>
          <t>Gram Panchayat Morkha</t>
        </is>
      </c>
    </row>
    <row r="1328">
      <c r="A1328" s="1" t="n">
        <v>1326</v>
      </c>
      <c r="B1328">
        <f>HYPERLINK("https://eproc.rajasthan.gov.in/nicgep/app?component=%24DirectLink&amp;page=FrontEndViewTender&amp;service=direct&amp;session=T&amp;sp=SXRUJV%2FmVRvPAfuAhkqjSEQ%3D%3D", "GHAR GHAR KACHRA SANGHRHAN V SAF SAFAI KARYA SAMSTA GRAM PANCHAYAT KSHETRA ME DEVTA")</f>
        <v/>
      </c>
      <c r="C1328" t="inlineStr">
        <is>
          <t>Panchayati Raj Department||Secretary and Commissioner||CEO- JAIPUR||BDO-KOTPUTALI</t>
        </is>
      </c>
      <c r="D1328" t="inlineStr">
        <is>
          <t>23-May-2025 11:00 AM</t>
        </is>
      </c>
      <c r="E1328" t="inlineStr">
        <is>
          <t>12,54,000</t>
        </is>
      </c>
      <c r="F1328" t="inlineStr">
        <is>
          <t>GHAR GHAR KACHRA SANGHRHAN V SAF SAFAI KARYA SAMSTA GRAM PANCHAYAT KSHETRA ME DEVTA</t>
        </is>
      </c>
      <c r="G1328" t="inlineStr">
        <is>
          <t>DEVTA</t>
        </is>
      </c>
    </row>
    <row r="1329">
      <c r="A1329" s="1" t="n">
        <v>1327</v>
      </c>
      <c r="B1329">
        <f>HYPERLINK("https://eproc.rajasthan.gov.in/nicgep/app?component=%24DirectLink&amp;page=FrontEndViewTender&amp;service=direct&amp;session=T&amp;sp=SNMs5%2BBaCWIWyvZiFmCcRVg%3D%3D", "Door to Door residential or community Garbedge collection, street and drain cleaning and out in all the villages of panchayat samiti PIRAWA JILA JHALAWAR at gram PANCHAYAT RAMPURIYA ME")</f>
        <v/>
      </c>
      <c r="C1329" t="inlineStr">
        <is>
          <t>Panchayati Raj Department||Secretary and Commissioner||CEO- JHALAWAR||BDO-PIRAWA</t>
        </is>
      </c>
      <c r="D1329" t="inlineStr">
        <is>
          <t>21-May-2025 06:00 PM</t>
        </is>
      </c>
      <c r="E1329" t="inlineStr">
        <is>
          <t>9,95,590</t>
        </is>
      </c>
      <c r="F1329" t="inlineStr">
        <is>
          <t>Door to Door residential or community Garbedge collection, street and drain cleaning and out in all the villages of panchayat samiti PIRAWA JILA JHALAWAR at gram PANCHAYAT RAMPURIYA ME</t>
        </is>
      </c>
      <c r="G1329" t="inlineStr">
        <is>
          <t>JHALAWAR</t>
        </is>
      </c>
    </row>
    <row r="1330">
      <c r="A1330" s="1" t="n">
        <v>1328</v>
      </c>
      <c r="B1330">
        <f>HYPERLINK("https://eproc.rajasthan.gov.in/nicgep/app?component=%24DirectLink&amp;page=FrontEndViewTender&amp;service=direct&amp;session=T&amp;sp=SOPxt66EOSIZLA1pWAXrg%2BA%3D%3D", "Collection of wastage in Residential and Commercial Building from all Villages in Gram Panchayat Road, Nali Cleaning and CSC Campus GP kotadi")</f>
        <v/>
      </c>
      <c r="C1330" t="inlineStr">
        <is>
          <t>Panchayati Raj Department||Secretary and Commissioner||CEO-PALI||BDO-RANISTATION</t>
        </is>
      </c>
      <c r="D1330" t="inlineStr">
        <is>
          <t>26-May-2025 01:00 PM</t>
        </is>
      </c>
      <c r="E1330" t="inlineStr">
        <is>
          <t>23,79,000</t>
        </is>
      </c>
      <c r="F1330" t="inlineStr">
        <is>
          <t>Collection of wastage in Residential and Commercial Building from all Villages in Gram Panchayat Road, Nali Cleaning and CSC Campus GP kotadi</t>
        </is>
      </c>
      <c r="G1330" t="inlineStr">
        <is>
          <t>Gram Panchayat Kotadi</t>
        </is>
      </c>
    </row>
    <row r="1331">
      <c r="A1331" s="1" t="n">
        <v>1329</v>
      </c>
      <c r="B1331">
        <f>HYPERLINK("https://eproc.rajasthan.gov.in/nicgep/app?component=%24DirectLink&amp;page=FrontEndViewTender&amp;service=direct&amp;session=T&amp;sp=SrMToROhRYAj5rB%2F87fU9NQ%3D%3D", "Door to Door residential or community Garbedge collection, street and drain cleaning and out in all the villages of panchayat samiti PIRAWA JILA JHALAWAR at gram PANCHAYAT FATEHGARH ME")</f>
        <v/>
      </c>
      <c r="C1331" t="inlineStr">
        <is>
          <t>Panchayati Raj Department||Secretary and Commissioner||CEO- JHALAWAR||BDO-PIRAWA</t>
        </is>
      </c>
      <c r="D1331" t="inlineStr">
        <is>
          <t>21-May-2025 06:00 PM</t>
        </is>
      </c>
      <c r="E1331" t="inlineStr">
        <is>
          <t>8,93,829</t>
        </is>
      </c>
      <c r="F1331" t="inlineStr">
        <is>
          <t>Door to Door residential or community Garbedge collection, street and drain cleaning and out in all the villages of panchayat samiti PIRAWA JILA JHALAWAR at gram PANCHAYAT FATEHGARH ME</t>
        </is>
      </c>
      <c r="G1331" t="inlineStr">
        <is>
          <t>JHALAWAR</t>
        </is>
      </c>
    </row>
    <row r="1332">
      <c r="A1332" s="1" t="n">
        <v>1330</v>
      </c>
      <c r="B1332">
        <f>HYPERLINK("https://eproc.rajasthan.gov.in/nicgep/app?component=%24DirectLink&amp;page=FrontEndViewTender&amp;service=direct&amp;session=T&amp;sp=SDdqK4T92gYPT8P6SIo3D8g%3D%3D", "Collection of wastage in Residential and Commercial Building from all Villages in Gram Panchayat Road, Nali Cleaning and CSC Campus GP Sansari")</f>
        <v/>
      </c>
      <c r="C1332" t="inlineStr">
        <is>
          <t>Panchayati Raj Department||Secretary and Commissioner||CEO-PALI||BDO-RANISTATION</t>
        </is>
      </c>
      <c r="D1332" t="inlineStr">
        <is>
          <t>26-May-2025 01:00 PM</t>
        </is>
      </c>
      <c r="E1332" t="inlineStr">
        <is>
          <t>26,20,000</t>
        </is>
      </c>
      <c r="F1332" t="inlineStr">
        <is>
          <t>Collection of wastage in Residential and Commercial Building from all Villages in Gram Panchayat Road, Nali Cleaning and CSC Campus GP Sansari</t>
        </is>
      </c>
      <c r="G1332" t="inlineStr">
        <is>
          <t>Gram Panchayat Sansari</t>
        </is>
      </c>
    </row>
    <row r="1333">
      <c r="A1333" s="1" t="n">
        <v>1331</v>
      </c>
      <c r="B1333">
        <f>HYPERLINK("https://eproc.rajasthan.gov.in/nicgep/app?component=%24DirectLink&amp;page=FrontEndViewTender&amp;service=direct&amp;session=T&amp;sp=SNNcCnOIOuiJ0wbRci1qlNg%3D%3D", "Door to Door residential or community Garbedge collection, street and drain cleaning and out in all the villages of panchayat samiti PIRAWA JILA JHALAWAR at gram PANCHAYAT HEMDA KE GRAM HEMDA ME")</f>
        <v/>
      </c>
      <c r="C1333" t="inlineStr">
        <is>
          <t>Panchayati Raj Department||Secretary and Commissioner||CEO- JHALAWAR||BDO-PIRAWA</t>
        </is>
      </c>
      <c r="D1333" t="inlineStr">
        <is>
          <t>21-May-2025 06:00 PM</t>
        </is>
      </c>
      <c r="E1333" t="inlineStr">
        <is>
          <t>9,96,694</t>
        </is>
      </c>
      <c r="F1333" t="inlineStr">
        <is>
          <t>Door to Door residential or community Garbedge collection, street and drain cleaning and out in all the villages of panchayat samiti PIRAWA JILA JHALAWAR at gram PANCHAYAT HEMDA KE GRAM HEMDA ME</t>
        </is>
      </c>
      <c r="G1333" t="inlineStr">
        <is>
          <t>JHALAWAR</t>
        </is>
      </c>
    </row>
    <row r="1334">
      <c r="A1334" s="1" t="n">
        <v>1332</v>
      </c>
      <c r="B1334">
        <f>HYPERLINK("https://eproc.rajasthan.gov.in/nicgep/app?component=%24DirectLink&amp;page=FrontEndViewTender&amp;service=direct&amp;session=T&amp;sp=SN8NqJentFLmeWfJ2dR0h%2Bg%3D%3D", "GHAR GHAR KACHRA SANGHRHAN V SAF SAFAI KARYA SAMSTA GRAM PANCHAYAT KSHETRA ME PAWANA AHIR")</f>
        <v/>
      </c>
      <c r="C1334" t="inlineStr">
        <is>
          <t>Panchayati Raj Department||Secretary and Commissioner||CEO- JAIPUR||BDO-KOTPUTALI</t>
        </is>
      </c>
      <c r="D1334" t="inlineStr">
        <is>
          <t>23-May-2025 11:00 AM</t>
        </is>
      </c>
      <c r="E1334" t="inlineStr">
        <is>
          <t>11,00,000</t>
        </is>
      </c>
      <c r="F1334" t="inlineStr">
        <is>
          <t>GHAR GHAR KACHRA SANGHRHAN V SAF SAFAI KARYA SAMSTA GRAM PANCHAYAT KSHETRA ME PAWANA AHIR</t>
        </is>
      </c>
      <c r="G1334" t="inlineStr">
        <is>
          <t>PAWANA AHIR</t>
        </is>
      </c>
    </row>
    <row r="1335">
      <c r="A1335" s="1" t="n">
        <v>1333</v>
      </c>
      <c r="B1335">
        <f>HYPERLINK("https://eproc.rajasthan.gov.in/nicgep/app?component=%24DirectLink&amp;page=FrontEndViewTender&amp;service=direct&amp;session=T&amp;sp=S6Az1w06AuIZVtx33rcOxLg%3D%3D", "Door to Door residential or community Garbedge collection, street and drain cleaning and out in all the villages of panchayat samiti PIRAWA JILA JHALAWAR at gram PANCHAYAT HEMDA KE GRAM PITHAKHEDI KARMAKHEDI ME")</f>
        <v/>
      </c>
      <c r="C1335" t="inlineStr">
        <is>
          <t>Panchayati Raj Department||Secretary and Commissioner||CEO- JHALAWAR||BDO-PIRAWA</t>
        </is>
      </c>
      <c r="D1335" t="inlineStr">
        <is>
          <t>21-May-2025 06:00 PM</t>
        </is>
      </c>
      <c r="E1335" t="inlineStr">
        <is>
          <t>3,89,818</t>
        </is>
      </c>
      <c r="F1335" t="inlineStr">
        <is>
          <t>Door to Door residential or community Garbedge collection, street and drain cleaning and out in all the villages of panchayat samiti PIRAWA JILA JHALAWAR at gram PANCHAYAT HEMDA KE GRAM PITHAKHEDI KARMAKHEDI ME</t>
        </is>
      </c>
      <c r="G1335" t="inlineStr">
        <is>
          <t>JHALAWAR</t>
        </is>
      </c>
    </row>
    <row r="1336">
      <c r="A1336" s="1" t="n">
        <v>1334</v>
      </c>
      <c r="B1336">
        <f>HYPERLINK("https://eproc.rajasthan.gov.in/nicgep/app?component=%24DirectLink&amp;page=FrontEndViewTender&amp;service=direct&amp;session=T&amp;sp=SqswaHzTOIZQo0xyt6PNKdg%3D%3D", "Collection of wastage in Residential and Commercial Building from all Villages in Gram Panchayat Road, Nali Cleaning and CSC Campus GP kesuli")</f>
        <v/>
      </c>
      <c r="C1336" t="inlineStr">
        <is>
          <t>Panchayati Raj Department||Secretary and Commissioner||CEO-PALI||BDO-RANISTATION</t>
        </is>
      </c>
      <c r="D1336" t="inlineStr">
        <is>
          <t>26-May-2025 01:00 PM</t>
        </is>
      </c>
      <c r="E1336" t="inlineStr">
        <is>
          <t>24,83,000</t>
        </is>
      </c>
      <c r="F1336" t="inlineStr">
        <is>
          <t>Collection of wastage in Residential and Commercial Building from all Villages in Gram Panchayat Road, Nali Cleaning and CSC Campus GP kesuli</t>
        </is>
      </c>
      <c r="G1336" t="inlineStr">
        <is>
          <t>Gram Panchayat Kesuli</t>
        </is>
      </c>
    </row>
    <row r="1337">
      <c r="A1337" s="1" t="n">
        <v>1335</v>
      </c>
      <c r="B1337">
        <f>HYPERLINK("https://eproc.rajasthan.gov.in/nicgep/app?component=%24DirectLink&amp;page=FrontEndViewTender&amp;service=direct&amp;session=T&amp;sp=SRpDiH9X57H2Sm2SREnyJ7Q%3D%3D", "GHAR GHAR KACHRA SANGHRHAN V SAF SAFAI KARYA SAMSTA GRAM PANCHAYAT KSHETRA ME KALYANPURA KALAN")</f>
        <v/>
      </c>
      <c r="C1337" t="inlineStr">
        <is>
          <t>Panchayati Raj Department||Secretary and Commissioner||CEO- JAIPUR||BDO-KOTPUTALI</t>
        </is>
      </c>
      <c r="D1337" t="inlineStr">
        <is>
          <t>23-May-2025 11:00 AM</t>
        </is>
      </c>
      <c r="E1337" t="inlineStr">
        <is>
          <t>13,42,000</t>
        </is>
      </c>
      <c r="F1337" t="inlineStr">
        <is>
          <t>GHAR GHAR KACHRA SANGHRHAN V SAF SAFAI KARYA SAMSTA GRAM PANCHAYAT KSHETRA ME KALYANPURA KALAN</t>
        </is>
      </c>
      <c r="G1337" t="inlineStr">
        <is>
          <t>KALYANPURA KALAN</t>
        </is>
      </c>
    </row>
    <row r="1338">
      <c r="A1338" s="1" t="n">
        <v>1336</v>
      </c>
      <c r="B1338">
        <f>HYPERLINK("https://eproc.rajasthan.gov.in/nicgep/app?component=%24DirectLink&amp;page=FrontEndViewTender&amp;service=direct&amp;session=T&amp;sp=Sef5KrV4e5%2B%2BUR0kdEJ0Yqg%3D%3D", "Collection of wastage in Residential and Commercial Building from all Villages in Gram Panchayat Road, Nali Cleaning and CSC Campus GP magartalab")</f>
        <v/>
      </c>
      <c r="C1338" t="inlineStr">
        <is>
          <t>Panchayati Raj Department||Secretary and Commissioner||CEO-PALI||BDO-RANISTATION</t>
        </is>
      </c>
      <c r="D1338" t="inlineStr">
        <is>
          <t>26-May-2025 01:00 PM</t>
        </is>
      </c>
      <c r="E1338" t="inlineStr">
        <is>
          <t>21,44,000</t>
        </is>
      </c>
      <c r="F1338" t="inlineStr">
        <is>
          <t>Collection of wastage in Residential and Commercial Building from all Villages in Gram Panchayat Road, Nali Cleaning and CSC Campus GP magartalab</t>
        </is>
      </c>
      <c r="G1338" t="inlineStr">
        <is>
          <t>Gram Panchayat Magartalab</t>
        </is>
      </c>
    </row>
    <row r="1339">
      <c r="A1339" s="1" t="n">
        <v>1337</v>
      </c>
      <c r="B1339">
        <f>HYPERLINK("https://eproc.rajasthan.gov.in/nicgep/app?component=%24DirectLink&amp;page=FrontEndViewTender&amp;service=direct&amp;session=T&amp;sp=Sk0YZ9hmB9tYeOLjBFtQKdA%3D%3D", "Works Including Door-To-Door (Residential And Commercial) Waste Collection And Segregation, Road And Drain Cleaning, And Community Sanitation Premises Cleaning In All Villages Of The Gram Panchayat sakray")</f>
        <v/>
      </c>
      <c r="C1339" t="inlineStr">
        <is>
          <t>Panchayati Raj Department||Secretary and Commissioner||CEO-SIKAR||BDO-AJEET GARH</t>
        </is>
      </c>
      <c r="D1339" t="inlineStr">
        <is>
          <t>21-May-2025 06:00 PM</t>
        </is>
      </c>
      <c r="E1339" t="inlineStr">
        <is>
          <t>8,50,000</t>
        </is>
      </c>
      <c r="F1339" t="inlineStr">
        <is>
          <t>Works Including Door-To-Door (Residential And Commercial) Waste Collection And Segregation, Road And Drain Cleaning, And Community Sanitation Premises Cleaning In All Villages Of The Gram Panchayat sakray</t>
        </is>
      </c>
      <c r="G1339" t="inlineStr">
        <is>
          <t>gp sakray</t>
        </is>
      </c>
    </row>
    <row r="1340">
      <c r="A1340" s="1" t="n">
        <v>1338</v>
      </c>
      <c r="B1340">
        <f>HYPERLINK("https://eproc.rajasthan.gov.in/nicgep/app?component=%24DirectLink&amp;page=FrontEndViewTender&amp;service=direct&amp;session=T&amp;sp=SXoGdxHyx1kC1M5w1kqT8TA%3D%3D", "Door to Door residential or community Garbedge collection, street and drain cleaning and out in all the villages of panchayat samiti PIRAWA JILA JHALAWAR at gram PANCHAYAT GOINDPURA ME")</f>
        <v/>
      </c>
      <c r="C1340" t="inlineStr">
        <is>
          <t>Panchayati Raj Department||Secretary and Commissioner||CEO- JHALAWAR||BDO-PIRAWA</t>
        </is>
      </c>
      <c r="D1340" t="inlineStr">
        <is>
          <t>21-May-2025 06:00 PM</t>
        </is>
      </c>
      <c r="E1340" t="inlineStr">
        <is>
          <t>9,97,551</t>
        </is>
      </c>
      <c r="F1340" t="inlineStr">
        <is>
          <t>Door to Door residential or community Garbedge collection, street and drain cleaning and out in all the villages of panchayat samiti PIRAWA JILA JHALAWAR at gram PANCHAYAT GOINDPURA ME</t>
        </is>
      </c>
      <c r="G1340" t="inlineStr">
        <is>
          <t>JHALAWAR</t>
        </is>
      </c>
    </row>
    <row r="1341">
      <c r="A1341" s="1" t="n">
        <v>1339</v>
      </c>
      <c r="B1341">
        <f>HYPERLINK("https://eproc.rajasthan.gov.in/nicgep/app?component=%24DirectLink&amp;page=FrontEndViewTender&amp;service=direct&amp;session=T&amp;sp=SSJ2Xc1vHSqo3M%2B%2FNf55C0w%3D%3D", "Door to Door residential or community Garbedge collection, street and drain cleaning and out in all the villages of panchayat samiti PIRAWA JILA JHALAWAR at gram PANCHAYAT DHARONIYA KE GRAM DHARONIYA ME")</f>
        <v/>
      </c>
      <c r="C1341" t="inlineStr">
        <is>
          <t>Panchayati Raj Department||Secretary and Commissioner||CEO- JHALAWAR||BDO-PIRAWA</t>
        </is>
      </c>
      <c r="D1341" t="inlineStr">
        <is>
          <t>21-May-2025 06:00 PM</t>
        </is>
      </c>
      <c r="E1341" t="inlineStr">
        <is>
          <t>8,54,820</t>
        </is>
      </c>
      <c r="F1341" t="inlineStr">
        <is>
          <t>Door to Door residential or community Garbedge collection, street and drain cleaning and out in all the villages of panchayat samiti PIRAWA JILA JHALAWAR at gram PANCHAYAT DHARONIYA KE GRAM DHARONIYA ME</t>
        </is>
      </c>
      <c r="G1341" t="inlineStr">
        <is>
          <t>JHALAWAR</t>
        </is>
      </c>
    </row>
    <row r="1342">
      <c r="A1342" s="1" t="n">
        <v>1340</v>
      </c>
      <c r="B1342">
        <f>HYPERLINK("https://eproc.rajasthan.gov.in/nicgep/app?component=%24DirectLink&amp;page=FrontEndViewTender&amp;service=direct&amp;session=T&amp;sp=SvBdjVrj23xiOiLrldi%2Bz7Q%3D%3D", "Collection of wastage in Residential and Commercial Building from all Villages in Gram Panchayat Road, Nali Cleaning and CSC Campus GP Panota")</f>
        <v/>
      </c>
      <c r="C1342" t="inlineStr">
        <is>
          <t>Panchayati Raj Department||Secretary and Commissioner||CEO-PALI||BDO-RANISTATION</t>
        </is>
      </c>
      <c r="D1342" t="inlineStr">
        <is>
          <t>26-May-2025 01:00 PM</t>
        </is>
      </c>
      <c r="E1342" t="inlineStr">
        <is>
          <t>14,06,000</t>
        </is>
      </c>
      <c r="F1342" t="inlineStr">
        <is>
          <t>Collection of wastage in Residential and Commercial Building from all Villages in Gram Panchayat Road, Nali Cleaning and CSC Campus GP Panota</t>
        </is>
      </c>
      <c r="G1342" t="inlineStr">
        <is>
          <t>Gram Panchayat Panota</t>
        </is>
      </c>
    </row>
    <row r="1343">
      <c r="A1343" s="1" t="n">
        <v>1341</v>
      </c>
      <c r="B1343">
        <f>HYPERLINK("https://eproc.rajasthan.gov.in/nicgep/app?component=%24DirectLink&amp;page=FrontEndViewTender&amp;service=direct&amp;session=T&amp;sp=SDHtTodQd6%2BoS6FYbwI6S3g%3D%3D", "Door to Door residential or community Garbedge collection, street and drain cleaning and out in all the villages of panchayat samiti PIRAWA JILA JHALAWAR at gram PANCHAYAT BANOR ME")</f>
        <v/>
      </c>
      <c r="C1343" t="inlineStr">
        <is>
          <t>Panchayati Raj Department||Secretary and Commissioner||CEO- JHALAWAR||BDO-PIRAWA</t>
        </is>
      </c>
      <c r="D1343" t="inlineStr">
        <is>
          <t>21-May-2025 06:00 PM</t>
        </is>
      </c>
      <c r="E1343" t="inlineStr">
        <is>
          <t>8,27,073</t>
        </is>
      </c>
      <c r="F1343" t="inlineStr">
        <is>
          <t>Door to Door residential or community Garbedge collection, street and drain cleaning and out in all the villages of panchayat samiti PIRAWA JILA JHALAWAR at gram PANCHAYAT BANOR ME</t>
        </is>
      </c>
      <c r="G1343" t="inlineStr">
        <is>
          <t>JHALAWAR</t>
        </is>
      </c>
    </row>
    <row r="1344">
      <c r="A1344" s="1" t="n">
        <v>1342</v>
      </c>
      <c r="B1344">
        <f>HYPERLINK("https://eproc.rajasthan.gov.in/nicgep/app?component=%24DirectLink&amp;page=FrontEndViewTender&amp;service=direct&amp;session=T&amp;sp=Sbq6rDZiN91UogMhCGsb2uA%3D%3D", "Work including door-to-door residential and commercial garbage collection and separation road and drain cleaning and community sanitation premises cleaning in all villages of Gram Panchayat HADIYA Panchayat Samiti Mahwa Dist. Dausa For FY 2025-26")</f>
        <v/>
      </c>
      <c r="C1344" t="inlineStr">
        <is>
          <t>Panchayati Raj Department||Secretary and Commissioner||CEO-DAUSA||BDO-MAHUVA</t>
        </is>
      </c>
      <c r="D1344" t="inlineStr">
        <is>
          <t>24-May-2025 05:00 PM</t>
        </is>
      </c>
      <c r="E1344" t="inlineStr">
        <is>
          <t>6,64,894</t>
        </is>
      </c>
      <c r="F1344" t="inlineStr">
        <is>
          <t>Work including door-to-door residential and commercial garbage collection and separation road and drain cleaning and community sanitation premises cleaning in all villages of Gram Panchayat HADIYA Panchayat Samiti Mahwa Dist. Dausa For FY 2025-26</t>
        </is>
      </c>
      <c r="G1344" t="inlineStr">
        <is>
          <t>Gram Panchayat HADIYA</t>
        </is>
      </c>
    </row>
    <row r="1345">
      <c r="A1345" s="1" t="n">
        <v>1343</v>
      </c>
      <c r="B1345">
        <f>HYPERLINK("https://eproc.rajasthan.gov.in/nicgep/app?component=%24DirectLink&amp;page=FrontEndViewTender&amp;service=direct&amp;session=T&amp;sp=SXR2p9zR1veDqsgvXjuoaiA%3D%3D", "Work including door-to-door residential and commercial garbage collection and separation road and drain cleaning and community sanitation premises cleaning in all villages of Gram Panchayat PAOTA Panchayat Samiti Mahwa Dist. Dausa For FY 2025-26")</f>
        <v/>
      </c>
      <c r="C1345" t="inlineStr">
        <is>
          <t>Panchayati Raj Department||Secretary and Commissioner||CEO-DAUSA||BDO-MAHUVA</t>
        </is>
      </c>
      <c r="D1345" t="inlineStr">
        <is>
          <t>24-May-2025 05:00 PM</t>
        </is>
      </c>
      <c r="E1345" t="inlineStr">
        <is>
          <t>9,21,550</t>
        </is>
      </c>
      <c r="F1345" t="inlineStr">
        <is>
          <t>Work including door-to-door residential and commercial garbage collection and separation road and drain cleaning and community sanitation premises cleaning in all villages of Gram Panchayat PAOTA Panchayat Samiti Mahwa Dist. Dausa For FY 2025-26</t>
        </is>
      </c>
      <c r="G1345" t="inlineStr">
        <is>
          <t>Gram Panchayat PAOTA</t>
        </is>
      </c>
    </row>
    <row r="1346">
      <c r="A1346" s="1" t="n">
        <v>1344</v>
      </c>
      <c r="B1346">
        <f>HYPERLINK("https://eproc.rajasthan.gov.in/nicgep/app?component=%24DirectLink&amp;page=FrontEndViewTender&amp;service=direct&amp;session=T&amp;sp=SV7iJjzXjDKI7qBUhGlxUDQ%3D%3D", "Rate Contract for Supply of Construction Material MG NREGA Yojna and other scheme for the Year 2025-26 in Gram Panchayat Gawadi Meena Panchayat Samiti Shri Mahaveerji")</f>
        <v/>
      </c>
      <c r="C1346" t="inlineStr">
        <is>
          <t>Panchayati Raj Department||Secretary and Commissioner||CEO-KARAULI||BDO-HINDON</t>
        </is>
      </c>
      <c r="D1346" t="inlineStr">
        <is>
          <t>02-Jun-2025 09:00 AM</t>
        </is>
      </c>
      <c r="E1346" t="inlineStr">
        <is>
          <t>75,00,000</t>
        </is>
      </c>
      <c r="F1346" t="inlineStr">
        <is>
          <t>Rate Contract for Supply of Construction Material MG NREGA Yojna and other scheme for the Year 2025-26 in Gram Panchayat Gawadi Meena Panchayat Samiti Shri Mahaveerji</t>
        </is>
      </c>
      <c r="G1346" t="inlineStr">
        <is>
          <t>GAWADI MEENA</t>
        </is>
      </c>
    </row>
    <row r="1347">
      <c r="A1347" s="1" t="n">
        <v>1345</v>
      </c>
      <c r="B1347">
        <f>HYPERLINK("https://eproc.rajasthan.gov.in/nicgep/app?component=%24DirectLink&amp;page=FrontEndViewTender&amp;service=direct&amp;session=T&amp;sp=SnnZQsKkw8yUefZdilVfbEQ%3D%3D", "Work including door to door residential and commercial kachra collection and separation road and drainage cleaning and community sanitation complex in all the village of Gram Panchayat area Doongari")</f>
        <v/>
      </c>
      <c r="C1347" t="inlineStr">
        <is>
          <t>Panchayati Raj Department||Secretary and Commissioner||CEO-S.MADHOPUR||BDO-SAWAIMADHOPUR</t>
        </is>
      </c>
      <c r="D1347" t="inlineStr">
        <is>
          <t>21-May-2025 06:00 PM</t>
        </is>
      </c>
      <c r="E1347" t="inlineStr">
        <is>
          <t>6,00,000</t>
        </is>
      </c>
      <c r="F1347" t="inlineStr">
        <is>
          <t>Work including door to door residential and commercial kachra collection and separation road and drainage cleaning and community sanitation complex in all the village of Gram Panchayat area Doongari</t>
        </is>
      </c>
      <c r="G1347" t="inlineStr">
        <is>
          <t>Doongari</t>
        </is>
      </c>
    </row>
    <row r="1348">
      <c r="A1348" s="1" t="n">
        <v>1346</v>
      </c>
      <c r="B1348">
        <f>HYPERLINK("https://eproc.rajasthan.gov.in/nicgep/app?component=%24DirectLink&amp;page=FrontEndViewTender&amp;service=direct&amp;session=T&amp;sp=Skzr3a14Esh5D9zcPLpdbrQ%3D%3D", "gprandhisar meterial supply for narega and rd")</f>
        <v/>
      </c>
      <c r="C1348" t="inlineStr">
        <is>
          <t>Panchayati Raj Department||Secretary and Commissioner||CEO-CHURU||BDO-SUJANGARH</t>
        </is>
      </c>
      <c r="D1348" t="inlineStr">
        <is>
          <t>26-May-2025 05:00 PM</t>
        </is>
      </c>
      <c r="E1348" t="inlineStr">
        <is>
          <t>1,00,00,000</t>
        </is>
      </c>
      <c r="F1348" t="inlineStr">
        <is>
          <t>gprandhisar meterial supply for narega and rd</t>
        </is>
      </c>
      <c r="G1348" t="inlineStr">
        <is>
          <t>gp randhisar</t>
        </is>
      </c>
    </row>
    <row r="1349">
      <c r="A1349" s="1" t="n">
        <v>1347</v>
      </c>
      <c r="B1349">
        <f>HYPERLINK("https://eproc.rajasthan.gov.in/nicgep/app?component=%24DirectLink&amp;page=FrontEndViewTender&amp;service=direct&amp;session=T&amp;sp=SJXCCHovgI334THkVQ2E9%2Bg%3D%3D", "Work including door-to-door residential and commercial garbage collection and separation road and drain cleaning and community sanitation premises cleaning in all villages of Gram Panchayat SALIMPUR Panchayat Samiti Mahwa Dist. Dausa For FY 2025-26")</f>
        <v/>
      </c>
      <c r="C1349" t="inlineStr">
        <is>
          <t>Panchayati Raj Department||Secretary and Commissioner||CEO-DAUSA||BDO-MAHUVA</t>
        </is>
      </c>
      <c r="D1349" t="inlineStr">
        <is>
          <t>24-May-2025 05:00 PM</t>
        </is>
      </c>
      <c r="E1349" t="inlineStr">
        <is>
          <t>5,49,740</t>
        </is>
      </c>
      <c r="F1349" t="inlineStr">
        <is>
          <t>Work including door-to-door residential and commercial garbage collection and separation road and drain cleaning and community sanitation premises cleaning in all villages of Gram Panchayat SALIMPUR Panchayat Samiti Mahwa Dist. Dausa For FY 2025-26</t>
        </is>
      </c>
      <c r="G1349" t="inlineStr">
        <is>
          <t>Gram Panchayat SALIMPUR</t>
        </is>
      </c>
    </row>
    <row r="1350">
      <c r="A1350" s="1" t="n">
        <v>1348</v>
      </c>
      <c r="B1350">
        <f>HYPERLINK("https://eproc.rajasthan.gov.in/nicgep/app?component=%24DirectLink&amp;page=FrontEndViewTender&amp;service=direct&amp;session=T&amp;sp=SJ%2Bpc4cbFschUnZuZrFwm0A%3D%3D", "Rate Contract for Supply of Construction Material MG NREGA Yojna and other scheme for the Year 2025-26 in Gram Panchayat Patonda Panchayat Samiti Shri Mahaveerji")</f>
        <v/>
      </c>
      <c r="C1350" t="inlineStr">
        <is>
          <t>Panchayati Raj Department||Secretary and Commissioner||CEO-KARAULI||BDO-HINDON</t>
        </is>
      </c>
      <c r="D1350" t="inlineStr">
        <is>
          <t>02-Jun-2025 09:00 AM</t>
        </is>
      </c>
      <c r="E1350" t="inlineStr">
        <is>
          <t>75,00,000</t>
        </is>
      </c>
      <c r="F1350" t="inlineStr">
        <is>
          <t>Rate Contract for Supply of Construction Material MG NREGA Yojna and other scheme for the Year 2025-26 in Gram Panchayat Patonda Panchayat Samiti Shri Mahaveerji</t>
        </is>
      </c>
      <c r="G1350" t="inlineStr">
        <is>
          <t>PATONDA</t>
        </is>
      </c>
    </row>
    <row r="1351">
      <c r="A1351" s="1" t="n">
        <v>1349</v>
      </c>
      <c r="B1351">
        <f>HYPERLINK("https://eproc.rajasthan.gov.in/nicgep/app?component=%24DirectLink&amp;page=FrontEndViewTender&amp;service=direct&amp;session=T&amp;sp=SKzKKBi%2B3FEMhgoRDICkYLw%3D%3D", "Rate Contract for Supply of Construction Material MG NREGA Yojna and other scheme for the Year 2025-26 in Gram Panchayat Akbarpur Panchayat Samiti Shri Mahaveerji")</f>
        <v/>
      </c>
      <c r="C1351" t="inlineStr">
        <is>
          <t>Panchayati Raj Department||Secretary and Commissioner||CEO-KARAULI||BDO-HINDON</t>
        </is>
      </c>
      <c r="D1351" t="inlineStr">
        <is>
          <t>02-Jun-2025 09:00 AM</t>
        </is>
      </c>
      <c r="E1351" t="inlineStr">
        <is>
          <t>75,00,000</t>
        </is>
      </c>
      <c r="F1351" t="inlineStr">
        <is>
          <t>Rate Contract for Supply of Construction Material MG NREGA Yojna and other scheme for the Year 2025-26 in Gram Panchayat Akbarpur Panchayat Samiti Shri Mahaveerji</t>
        </is>
      </c>
      <c r="G1351" t="inlineStr">
        <is>
          <t>Akbarpur</t>
        </is>
      </c>
    </row>
    <row r="1352">
      <c r="A1352" s="1" t="n">
        <v>1350</v>
      </c>
      <c r="B1352">
        <f>HYPERLINK("https://eproc.rajasthan.gov.in/nicgep/app?component=%24DirectLink&amp;page=FrontEndViewTender&amp;service=direct&amp;session=T&amp;sp=SQcTW6TgwMITngWXCJmxYag%3D%3D", "Work including door-to-door residential and commercial garbage collection and separation road and drain cleaning and community sanitation premises cleaning in all villages of Gram Panchayat Peepalkheda Panchayat Samiti Mahwa Dist. Dausa For FY 2025-2")</f>
        <v/>
      </c>
      <c r="C1352" t="inlineStr">
        <is>
          <t>Panchayati Raj Department||Secretary and Commissioner||CEO-DAUSA||BDO-MAHUVA</t>
        </is>
      </c>
      <c r="D1352" t="inlineStr">
        <is>
          <t>24-May-2025 05:00 PM</t>
        </is>
      </c>
      <c r="E1352" t="inlineStr">
        <is>
          <t>4,15,880</t>
        </is>
      </c>
      <c r="F1352" t="inlineStr">
        <is>
          <t>Work including door-to-door residential and commercial garbage collection and separation road and drain cleaning and community sanitation premises cleaning in all villages of Gram Panchayat Peepalkheda Panchayat Samiti Mahwa Dist. Dausa For FY 2025-2</t>
        </is>
      </c>
      <c r="G1352" t="inlineStr">
        <is>
          <t>Gram Panchayat Peepalkheda</t>
        </is>
      </c>
    </row>
    <row r="1353">
      <c r="A1353" s="1" t="n">
        <v>1351</v>
      </c>
      <c r="B1353">
        <f>HYPERLINK("https://eproc.rajasthan.gov.in/nicgep/app?component=%24DirectLink&amp;page=FrontEndViewTender&amp;service=direct&amp;session=T&amp;sp=SYvPkTFD8ZFPbWmIqhgV3Mw%3D%3D", "Rate Contract for Supply of Construction Material MG NREGA Yojna and other scheme for the Year 2025-26 in Gram Panchayat Danalpur Panchayat Samiti Shri Mahaveerji")</f>
        <v/>
      </c>
      <c r="C1353" t="inlineStr">
        <is>
          <t>Panchayati Raj Department||Secretary and Commissioner||CEO-KARAULI||BDO-HINDON</t>
        </is>
      </c>
      <c r="D1353" t="inlineStr">
        <is>
          <t>02-Jun-2025 09:00 AM</t>
        </is>
      </c>
      <c r="E1353" t="inlineStr">
        <is>
          <t>75,00,000</t>
        </is>
      </c>
      <c r="F1353" t="inlineStr">
        <is>
          <t>Rate Contract for Supply of Construction Material MG NREGA Yojna and other scheme for the Year 2025-26 in Gram Panchayat Danalpur Panchayat Samiti Shri Mahaveerji</t>
        </is>
      </c>
      <c r="G1353" t="inlineStr">
        <is>
          <t>Danalpur</t>
        </is>
      </c>
    </row>
    <row r="1354">
      <c r="A1354" s="1" t="n">
        <v>1352</v>
      </c>
      <c r="B1354">
        <f>HYPERLINK("https://eproc.rajasthan.gov.in/nicgep/app?component=%24DirectLink&amp;page=FrontEndViewTender&amp;service=direct&amp;session=T&amp;sp=S8b48%2FU04h6S5xPTTyLvV8Q%3D%3D", "Door-To-Door (Residential And Commercial) Waste Collection And Segregation, Road And Drain Cleaning, And Community Sanitation Premises Cleaning In All Villages Of The Gram Panchayat BURJA KI DHANI")</f>
        <v/>
      </c>
      <c r="C1354" t="inlineStr">
        <is>
          <t>Panchayati Raj Department||Secretary and Commissioner||CEO-SIKAR||BDO-AJEET GARH</t>
        </is>
      </c>
      <c r="D1354" t="inlineStr">
        <is>
          <t>21-May-2025 06:00 PM</t>
        </is>
      </c>
      <c r="E1354" t="inlineStr">
        <is>
          <t>7,34,000</t>
        </is>
      </c>
      <c r="F1354" t="inlineStr">
        <is>
          <t>Door-To-Door (Residential And Commercial) Waste Collection And Segregation, Road And Drain Cleaning, And Community Sanitation Premises Cleaning In All Villages Of The Gram Panchayat BURJA KI DHANI</t>
        </is>
      </c>
      <c r="G1354" t="inlineStr">
        <is>
          <t>GP BURJA KI DHANI</t>
        </is>
      </c>
    </row>
    <row r="1355">
      <c r="A1355" s="1" t="n">
        <v>1353</v>
      </c>
      <c r="B1355">
        <f>HYPERLINK("https://eproc.rajasthan.gov.in/nicgep/app?component=%24DirectLink&amp;page=FrontEndViewTender&amp;service=direct&amp;session=T&amp;sp=Sa29QsotdDcjM2VA0nybsgQ%3D%3D", "Supply of Construction Material RDPR Scheme MNREGA, SFC , FFC and other scheme for Financial Year 2025-26 in Gram Panchyat Binjari PS Chauth Ka Barwara")</f>
        <v/>
      </c>
      <c r="C1355" t="inlineStr">
        <is>
          <t>Panchayati Raj Department||Secretary and Commissioner||CEO-S.MADHOPUR||BDO-CHOTH KA BARWADA</t>
        </is>
      </c>
      <c r="D1355" t="inlineStr">
        <is>
          <t>29-May-2025 06:00 PM</t>
        </is>
      </c>
      <c r="E1355" t="inlineStr">
        <is>
          <t>50,00,000</t>
        </is>
      </c>
      <c r="F1355" t="inlineStr">
        <is>
          <t>Supply of Construction Material RDPR Scheme MNREGA, SFC , FFC and other scheme for Financial Year 2025-26 in Gram Panchyat Binjari PS Chauth Ka Barwara</t>
        </is>
      </c>
      <c r="G1355" t="inlineStr">
        <is>
          <t>GRAM PANCHYAT BINJARI</t>
        </is>
      </c>
    </row>
    <row r="1356">
      <c r="A1356" s="1" t="n">
        <v>1354</v>
      </c>
      <c r="B1356">
        <f>HYPERLINK("https://eproc.rajasthan.gov.in/nicgep/app?component=%24DirectLink&amp;page=FrontEndViewTender&amp;service=direct&amp;session=T&amp;sp=SV08FpQsNkyYQSLLx0Ngu9w%3D%3D", "Rate Contract for Supply of Construction Material MG NREGA Yojna and other scheme for the Year 2025-26 in Gram Panchayat Irniya Panchayat Samiti Shri Mahaveerji")</f>
        <v/>
      </c>
      <c r="C1356" t="inlineStr">
        <is>
          <t>Panchayati Raj Department||Secretary and Commissioner||CEO-KARAULI||BDO-HINDON</t>
        </is>
      </c>
      <c r="D1356" t="inlineStr">
        <is>
          <t>02-Jun-2025 09:00 AM</t>
        </is>
      </c>
      <c r="E1356" t="inlineStr">
        <is>
          <t>75,00,000</t>
        </is>
      </c>
      <c r="F1356" t="inlineStr">
        <is>
          <t>Rate Contract for Supply of Construction Material MG NREGA Yojna and other scheme for the Year 2025-26 in Gram Panchayat Irniya Panchayat Samiti Shri Mahaveerji</t>
        </is>
      </c>
      <c r="G1356" t="inlineStr">
        <is>
          <t>Irniya</t>
        </is>
      </c>
    </row>
    <row r="1357">
      <c r="A1357" s="1" t="n">
        <v>1355</v>
      </c>
      <c r="B1357">
        <f>HYPERLINK("https://eproc.rajasthan.gov.in/nicgep/app?component=%24DirectLink&amp;page=FrontEndViewTender&amp;service=direct&amp;session=T&amp;sp=S%2FZVcBBgQTdbL8%2Bx%2Fa7ohMA%3D%3D", "Door-To-Door (Residential And Commercial) Waste Collection And Segregation, Road And Drain Cleaning, And Community Sanitation Premises Cleaning In All Villages Of The Gram Panchayat mokalwas")</f>
        <v/>
      </c>
      <c r="C1357" t="inlineStr">
        <is>
          <t>Panchayati Raj Department||Secretary and Commissioner||CEO-SIKAR||BDO-AJEET GARH</t>
        </is>
      </c>
      <c r="D1357" t="inlineStr">
        <is>
          <t>21-May-2025 06:00 PM</t>
        </is>
      </c>
      <c r="E1357" t="inlineStr">
        <is>
          <t>9,99,000</t>
        </is>
      </c>
      <c r="F1357" t="inlineStr">
        <is>
          <t>Door-To-Door (Residential And Commercial) Waste Collection And Segregation, Road And Drain Cleaning, And Community Sanitation Premises Cleaning In All Villages Of The Gram Panchayat mokalwas</t>
        </is>
      </c>
      <c r="G1357" t="inlineStr">
        <is>
          <t>gp mokalwas</t>
        </is>
      </c>
    </row>
    <row r="1358">
      <c r="A1358" s="1" t="n">
        <v>1356</v>
      </c>
      <c r="B1358">
        <f>HYPERLINK("https://eproc.rajasthan.gov.in/nicgep/app?component=%24DirectLink&amp;page=FrontEndViewTender&amp;service=direct&amp;session=T&amp;sp=SDb6PJeaulaLy91QhklaQ0A%3D%3D", "GHAR GHAR KACHRA SANGHRHAN V SAF SAFAI KARYA SAMSTA GRAM PANCHAYAT KSHETRA ME SHUKALAWAS")</f>
        <v/>
      </c>
      <c r="C1358" t="inlineStr">
        <is>
          <t>Panchayati Raj Department||Secretary and Commissioner||CEO- JAIPUR||BDO-KOTPUTALI</t>
        </is>
      </c>
      <c r="D1358" t="inlineStr">
        <is>
          <t>23-May-2025 11:00 AM</t>
        </is>
      </c>
      <c r="E1358" t="inlineStr">
        <is>
          <t>11,55,000</t>
        </is>
      </c>
      <c r="F1358" t="inlineStr">
        <is>
          <t>GHAR GHAR KACHRA SANGHRHAN V SAF SAFAI KARYA SAMSTA GRAM PANCHAYAT KSHETRA ME SHUKALAWAS</t>
        </is>
      </c>
      <c r="G1358" t="inlineStr">
        <is>
          <t>SHUKALAWAS</t>
        </is>
      </c>
    </row>
    <row r="1359">
      <c r="A1359" s="1" t="n">
        <v>1357</v>
      </c>
      <c r="B1359">
        <f>HYPERLINK("https://eproc.rajasthan.gov.in/nicgep/app?component=%24DirectLink&amp;page=FrontEndViewTender&amp;service=direct&amp;session=T&amp;sp=SsJOse8PXlhwsdjY7bgCk5g%3D%3D", "Work including door-to-door residential and commercial garbage collection and separation road and drain cleaning and community sanitation premises cleaning in all villages of Gram Panchayat Khedla gadali Panchayat Samiti Mahwa Dist. Dausa For FY 202")</f>
        <v/>
      </c>
      <c r="C1359" t="inlineStr">
        <is>
          <t>Panchayati Raj Department||Secretary and Commissioner||CEO-DAUSA||BDO-MAHUVA</t>
        </is>
      </c>
      <c r="D1359" t="inlineStr">
        <is>
          <t>24-May-2025 05:00 PM</t>
        </is>
      </c>
      <c r="E1359" t="inlineStr">
        <is>
          <t>4,55,671</t>
        </is>
      </c>
      <c r="F1359" t="inlineStr">
        <is>
          <t>Work including door-to-door residential and commercial garbage collection and separation road and drain cleaning and community sanitation premises cleaning in all villages of Gram Panchayat Khedla gadali Panchayat Samiti Mahwa Dist. Dausa For FY 202</t>
        </is>
      </c>
      <c r="G1359" t="inlineStr">
        <is>
          <t>Gram Panchayat Khedla gadali</t>
        </is>
      </c>
    </row>
    <row r="1360">
      <c r="A1360" s="1" t="n">
        <v>1358</v>
      </c>
      <c r="B1360">
        <f>HYPERLINK("https://eproc.rajasthan.gov.in/nicgep/app?component=%24DirectLink&amp;page=FrontEndViewTender&amp;service=direct&amp;session=T&amp;sp=S%2F3AduPAggtZOh7sCOuPx1A%3D%3D", "gpbadabar meterial supply for narega and rd")</f>
        <v/>
      </c>
      <c r="C1360" t="inlineStr">
        <is>
          <t>Panchayati Raj Department||Secretary and Commissioner||CEO-CHURU||BDO-SUJANGARH</t>
        </is>
      </c>
      <c r="D1360" t="inlineStr">
        <is>
          <t>26-May-2025 02:00 PM</t>
        </is>
      </c>
      <c r="E1360" t="inlineStr">
        <is>
          <t>60,00,000</t>
        </is>
      </c>
      <c r="F1360" t="inlineStr">
        <is>
          <t>gpbadabar meterial supply for narega and rd</t>
        </is>
      </c>
      <c r="G1360" t="inlineStr">
        <is>
          <t>gp badabar</t>
        </is>
      </c>
    </row>
    <row r="1361">
      <c r="A1361" s="1" t="n">
        <v>1359</v>
      </c>
      <c r="B1361">
        <f>HYPERLINK("https://eproc.rajasthan.gov.in/nicgep/app?component=%24DirectLink&amp;page=FrontEndViewTender&amp;service=direct&amp;session=T&amp;sp=Sym5vv3NvxLgGo5uZUu2WEQ%3D%3D", "gp murdakiya meterial supply narega and rd")</f>
        <v/>
      </c>
      <c r="C1361" t="inlineStr">
        <is>
          <t>Panchayati Raj Department||Secretary and Commissioner||CEO-CHURU||BDO-SUJANGARH</t>
        </is>
      </c>
      <c r="D1361" t="inlineStr">
        <is>
          <t>26-May-2025 06:00 PM</t>
        </is>
      </c>
      <c r="E1361" t="inlineStr">
        <is>
          <t>1,00,00,000</t>
        </is>
      </c>
      <c r="F1361" t="inlineStr">
        <is>
          <t>gp murdakiya meterial supply narega and rd</t>
        </is>
      </c>
      <c r="G1361" t="inlineStr">
        <is>
          <t>gp murdakiya</t>
        </is>
      </c>
    </row>
    <row r="1362">
      <c r="A1362" s="1" t="n">
        <v>1360</v>
      </c>
      <c r="B1362">
        <f>HYPERLINK("https://eproc.rajasthan.gov.in/nicgep/app?component=%24DirectLink&amp;page=FrontEndViewTender&amp;service=direct&amp;session=T&amp;sp=S1nGbfCa5j4U6Ad5gpaNIOg%3D%3D", "Work including door to door residential and commercial kachra collection and separation road and drainage cleaning and community sanitation complex in all the village of Gram Panchayat area bhadlav")</f>
        <v/>
      </c>
      <c r="C1362" t="inlineStr">
        <is>
          <t>Panchayati Raj Department||Secretary and Commissioner||CEO-S.MADHOPUR||BDO-SAWAIMADHOPUR</t>
        </is>
      </c>
      <c r="D1362" t="inlineStr">
        <is>
          <t>21-May-2025 06:00 PM</t>
        </is>
      </c>
      <c r="E1362" t="inlineStr">
        <is>
          <t>8,50,000</t>
        </is>
      </c>
      <c r="F1362" t="inlineStr">
        <is>
          <t>Work including door to door residential and commercial kachra collection and separation road and drainage cleaning and community sanitation complex in all the village of Gram Panchayat area bhadlav</t>
        </is>
      </c>
      <c r="G1362" t="inlineStr">
        <is>
          <t>bhadlav</t>
        </is>
      </c>
    </row>
    <row r="1363">
      <c r="A1363" s="1" t="n">
        <v>1361</v>
      </c>
      <c r="B1363">
        <f>HYPERLINK("https://eproc.rajasthan.gov.in/nicgep/app?component=%24DirectLink&amp;page=FrontEndViewTender&amp;service=direct&amp;session=T&amp;sp=SKEZg5vPRUv25%2B4Ab33N%2FXQ%3D%3D", "Door-To-Door (Residential And Commercial) Waste Collection And Segregation, Road And Drain Cleaning, And Community Sanitation Premises Cleaning In All Villages Of The Gram Panchayat KHATKAR")</f>
        <v/>
      </c>
      <c r="C1363" t="inlineStr">
        <is>
          <t>Panchayati Raj Department||Secretary and Commissioner||CEO-SIKAR||BDO-AJEET GARH</t>
        </is>
      </c>
      <c r="D1363" t="inlineStr">
        <is>
          <t>21-May-2025 06:00 PM</t>
        </is>
      </c>
      <c r="E1363" t="inlineStr">
        <is>
          <t>8,10,000</t>
        </is>
      </c>
      <c r="F1363" t="inlineStr">
        <is>
          <t>Door-To-Door (Residential And Commercial) Waste Collection And Segregation, Road And Drain Cleaning, And Community Sanitation Premises Cleaning In All Villages Of The Gram Panchayat KHATKAR</t>
        </is>
      </c>
      <c r="G1363" t="inlineStr">
        <is>
          <t>GP KHATKAR</t>
        </is>
      </c>
    </row>
    <row r="1364">
      <c r="A1364" s="1" t="n">
        <v>1362</v>
      </c>
      <c r="B1364">
        <f>HYPERLINK("https://eproc.rajasthan.gov.in/nicgep/app?component=%24DirectLink&amp;page=FrontEndViewTender&amp;service=direct&amp;session=T&amp;sp=SgikR0NXalqJDzCg9saAfAA%3D%3D", "Work including door-to-door residential and commercial garbage collection and separation road and drain cleaning and community sanitation premises cleaning in all villages of Gram Panchayat Khohra mulla Panchayat Samiti Mahwa Dist. Dausa For FY 2025-")</f>
        <v/>
      </c>
      <c r="C1364" t="inlineStr">
        <is>
          <t>Panchayati Raj Department||Secretary and Commissioner||CEO-DAUSA||BDO-MAHUVA</t>
        </is>
      </c>
      <c r="D1364" t="inlineStr">
        <is>
          <t>24-May-2025 05:00 PM</t>
        </is>
      </c>
      <c r="E1364" t="inlineStr">
        <is>
          <t>8,65,761</t>
        </is>
      </c>
      <c r="F1364" t="inlineStr">
        <is>
          <t>Work including door-to-door residential and commercial garbage collection and separation road and drain cleaning and community sanitation premises cleaning in all villages of Gram Panchayat Khohra mulla Panchayat Samiti Mahwa Dist. Dausa For FY 2025-</t>
        </is>
      </c>
      <c r="G1364" t="inlineStr">
        <is>
          <t>Gram Panchayat Khohra mulla</t>
        </is>
      </c>
    </row>
    <row r="1365">
      <c r="A1365" s="1" t="n">
        <v>1363</v>
      </c>
      <c r="B1365">
        <f>HYPERLINK("https://eproc.rajasthan.gov.in/nicgep/app?component=%24DirectLink&amp;page=FrontEndViewTender&amp;service=direct&amp;session=T&amp;sp=S1eV6gmW8oIHQxvrBaDf0BA%3D%3D", "Door-To-Door (Residential And Commercial) Waste Collection And Segregation, Road And Drain Cleaning, And Community Sanitation Premises Cleaning In All Villages Of The Gram Panchayat hardas ka bas")</f>
        <v/>
      </c>
      <c r="C1365" t="inlineStr">
        <is>
          <t>Panchayati Raj Department||Secretary and Commissioner||CEO-SIKAR||BDO-AJEET GARH</t>
        </is>
      </c>
      <c r="D1365" t="inlineStr">
        <is>
          <t>21-May-2025 06:00 PM</t>
        </is>
      </c>
      <c r="E1365" t="inlineStr">
        <is>
          <t>7,74,000</t>
        </is>
      </c>
      <c r="F1365" t="inlineStr">
        <is>
          <t>Door-To-Door (Residential And Commercial) Waste Collection And Segregation, Road And Drain Cleaning, And Community Sanitation Premises Cleaning In All Villages Of The Gram Panchayat hardas ka bas</t>
        </is>
      </c>
      <c r="G1365" t="inlineStr">
        <is>
          <t>gp hardas ka bas</t>
        </is>
      </c>
    </row>
    <row r="1366">
      <c r="A1366" s="1" t="n">
        <v>1364</v>
      </c>
      <c r="B1366">
        <f>HYPERLINK("https://eproc.rajasthan.gov.in/nicgep/app?component=%24DirectLink&amp;page=FrontEndViewTender&amp;service=direct&amp;session=T&amp;sp=SXQ6I48sOmolbhOPKwhDGnA%3D%3D", "GHAR GHAR KACHRA SANGHRHAN V SAF SAFAI KARYA SAMSTA GRAM PANCHAYAT KSHETRA ME RAIKARANPURA")</f>
        <v/>
      </c>
      <c r="C1366" t="inlineStr">
        <is>
          <t>Panchayati Raj Department||Secretary and Commissioner||CEO- JAIPUR||BDO-KOTPUTALI</t>
        </is>
      </c>
      <c r="D1366" t="inlineStr">
        <is>
          <t>23-May-2025 11:00 AM</t>
        </is>
      </c>
      <c r="E1366" t="inlineStr">
        <is>
          <t>9,46,000</t>
        </is>
      </c>
      <c r="F1366" t="inlineStr">
        <is>
          <t>GHAR GHAR KACHRA SANGHRHAN V SAF SAFAI KARYA SAMSTA GRAM PANCHAYAT KSHETRA ME RAIKARANPURA</t>
        </is>
      </c>
      <c r="G1366" t="inlineStr">
        <is>
          <t>RAIKARANPURA</t>
        </is>
      </c>
    </row>
    <row r="1367">
      <c r="A1367" s="1" t="n">
        <v>1365</v>
      </c>
      <c r="B1367">
        <f>HYPERLINK("https://eproc.rajasthan.gov.in/nicgep/app?component=%24DirectLink&amp;page=FrontEndViewTender&amp;service=direct&amp;session=T&amp;sp=SimvxtoIFS%2B0dpPpoTWGKAA%3D%3D", "Door-To-Door (Residential And Commercial) Waste Collection And Segregation, Road And Drain Cleaning, And Community Sanitation Premises Cleaning In All Villages Of The Gram Panchayat SIHORDI")</f>
        <v/>
      </c>
      <c r="C1367" t="inlineStr">
        <is>
          <t>Panchayati Raj Department||Secretary and Commissioner||CEO-SIKAR||BDO-AJEET GARH</t>
        </is>
      </c>
      <c r="D1367" t="inlineStr">
        <is>
          <t>21-May-2025 06:00 PM</t>
        </is>
      </c>
      <c r="E1367" t="inlineStr">
        <is>
          <t>9,13,000</t>
        </is>
      </c>
      <c r="F1367" t="inlineStr">
        <is>
          <t>Door-To-Door (Residential And Commercial) Waste Collection And Segregation, Road And Drain Cleaning, And Community Sanitation Premises Cleaning In All Villages Of The Gram Panchayat SIHORDI</t>
        </is>
      </c>
      <c r="G1367" t="inlineStr">
        <is>
          <t>GP SIHORDI</t>
        </is>
      </c>
    </row>
    <row r="1368">
      <c r="A1368" s="1" t="n">
        <v>1366</v>
      </c>
      <c r="B1368">
        <f>HYPERLINK("https://eproc.rajasthan.gov.in/nicgep/app?component=%24DirectLink&amp;page=FrontEndViewTender&amp;service=direct&amp;session=T&amp;sp=S73LRj8tFG3mYwnZ40U09ng%3D%3D", "Door-To-Door (Residential And Commercial) Waste Collection And Segregation, Road And Drain Cleaning, And Community Sanitation Premises Cleaning In All Villages Of The Gram Panchayat TATERA")</f>
        <v/>
      </c>
      <c r="C1368" t="inlineStr">
        <is>
          <t>Panchayati Raj Department||Secretary and Commissioner||CEO-SIKAR||BDO-AJEET GARH</t>
        </is>
      </c>
      <c r="D1368" t="inlineStr">
        <is>
          <t>21-May-2025 06:00 PM</t>
        </is>
      </c>
      <c r="E1368" t="inlineStr">
        <is>
          <t>8,00,000</t>
        </is>
      </c>
      <c r="F1368" t="inlineStr">
        <is>
          <t>Door-To-Door (Residential And Commercial) Waste Collection And Segregation, Road And Drain Cleaning, And Community Sanitation Premises Cleaning In All Villages Of The Gram Panchayat TATERA</t>
        </is>
      </c>
      <c r="G1368" t="inlineStr">
        <is>
          <t>GP TATERA</t>
        </is>
      </c>
    </row>
    <row r="1369">
      <c r="A1369" s="1" t="n">
        <v>1367</v>
      </c>
      <c r="B1369">
        <f>HYPERLINK("https://eproc.rajasthan.gov.in/nicgep/app?component=%24DirectLink&amp;page=FrontEndViewTender&amp;service=direct&amp;session=T&amp;sp=S5W5EgMYclXjg0bbKxnGyBw%3D%3D", "Work including door to door residential and commercial kachra collection and separation road and drainage cleaning and community sanitation complex in all the village of Gram Panchayat area Dondari")</f>
        <v/>
      </c>
      <c r="C1369" t="inlineStr">
        <is>
          <t>Panchayati Raj Department||Secretary and Commissioner||CEO-S.MADHOPUR||BDO-SAWAIMADHOPUR</t>
        </is>
      </c>
      <c r="D1369" t="inlineStr">
        <is>
          <t>21-May-2025 06:00 PM</t>
        </is>
      </c>
      <c r="E1369" t="inlineStr">
        <is>
          <t>7,00,000</t>
        </is>
      </c>
      <c r="F1369" t="inlineStr">
        <is>
          <t>Work including door to door residential and commercial kachra collection and separation road and drainage cleaning and community sanitation complex in all the village of Gram Panchayat area Dondari</t>
        </is>
      </c>
      <c r="G1369" t="inlineStr">
        <is>
          <t>Dondari</t>
        </is>
      </c>
    </row>
    <row r="1370">
      <c r="A1370" s="1" t="n">
        <v>1368</v>
      </c>
      <c r="B1370">
        <f>HYPERLINK("https://eproc.rajasthan.gov.in/nicgep/app?component=%24DirectLink&amp;page=FrontEndViewTender&amp;service=direct&amp;session=T&amp;sp=SOr6%2FV8INiBPlilD74ahSHw%3D%3D", "Door-To-Door (Residential And Commercial) Waste Collection And Segregation, Road And Drain Cleaning, And Community Sanitation Premises Cleaning In All Villages Of The Gram Panchayat divrala")</f>
        <v/>
      </c>
      <c r="C1370" t="inlineStr">
        <is>
          <t>Panchayati Raj Department||Secretary and Commissioner||CEO-SIKAR||BDO-AJEET GARH</t>
        </is>
      </c>
      <c r="D1370" t="inlineStr">
        <is>
          <t>21-May-2025 06:00 PM</t>
        </is>
      </c>
      <c r="E1370" t="inlineStr">
        <is>
          <t>9,99,000</t>
        </is>
      </c>
      <c r="F1370" t="inlineStr">
        <is>
          <t>Door-To-Door (Residential And Commercial) Waste Collection And Segregation, Road And Drain Cleaning, And Community Sanitation Premises Cleaning In All Villages Of The Gram Panchayat divrala</t>
        </is>
      </c>
      <c r="G1370" t="inlineStr">
        <is>
          <t>gp divrala</t>
        </is>
      </c>
    </row>
    <row r="1371">
      <c r="A1371" s="1" t="n">
        <v>1369</v>
      </c>
      <c r="B1371">
        <f>HYPERLINK("https://eproc.rajasthan.gov.in/nicgep/app?component=%24DirectLink&amp;page=FrontEndViewTender&amp;service=direct&amp;session=T&amp;sp=SYafOjFdRd0ksCeZQMHSOtQ%3D%3D", "GHAR GHAR KACHRA SANGHRHAN V SAF SAFAI KARYA SAMSTA GRAM PANCHAYAT KSHETRA ME KHADAB")</f>
        <v/>
      </c>
      <c r="C1371" t="inlineStr">
        <is>
          <t>Panchayati Raj Department||Secretary and Commissioner||CEO- JAIPUR||BDO-KOTPUTALI</t>
        </is>
      </c>
      <c r="D1371" t="inlineStr">
        <is>
          <t>23-May-2025 11:00 AM</t>
        </is>
      </c>
      <c r="E1371" t="inlineStr">
        <is>
          <t>9,68,000</t>
        </is>
      </c>
      <c r="F1371" t="inlineStr">
        <is>
          <t>GHAR GHAR KACHRA SANGHRHAN V SAF SAFAI KARYA SAMSTA GRAM PANCHAYAT KSHETRA ME KHADAB</t>
        </is>
      </c>
      <c r="G1371" t="inlineStr">
        <is>
          <t>KHADAB</t>
        </is>
      </c>
    </row>
    <row r="1372">
      <c r="A1372" s="1" t="n">
        <v>1370</v>
      </c>
      <c r="B1372">
        <f>HYPERLINK("https://eproc.rajasthan.gov.in/nicgep/app?component=%24DirectLink&amp;page=FrontEndViewTender&amp;service=direct&amp;session=T&amp;sp=SgLET2pYjfgbu6DbJHWbXSw%3D%3D", "Supply of Construction Material RDPR Scheme MNREGA, SFC , FFC and other scheme for Financial Year 2025-26 in Gram Panchyat Tapur PS Chauth Ka Barwara")</f>
        <v/>
      </c>
      <c r="C1372" t="inlineStr">
        <is>
          <t>Panchayati Raj Department||Secretary and Commissioner||CEO-S.MADHOPUR||BDO-CHOTH KA BARWADA</t>
        </is>
      </c>
      <c r="D1372" t="inlineStr">
        <is>
          <t>29-May-2025 06:00 PM</t>
        </is>
      </c>
      <c r="E1372" t="inlineStr">
        <is>
          <t>50,00,000</t>
        </is>
      </c>
      <c r="F1372" t="inlineStr">
        <is>
          <t>Supply of Construction Material RDPR Scheme MNREGA, SFC , FFC and other scheme for Financial Year 2025-26 in Gram Panchyat Tapur PS Chauth Ka Barwara</t>
        </is>
      </c>
      <c r="G1372" t="inlineStr">
        <is>
          <t>GRAM PANCHYAT TAPUR</t>
        </is>
      </c>
    </row>
    <row r="1373">
      <c r="A1373" s="1" t="n">
        <v>1371</v>
      </c>
      <c r="B1373">
        <f>HYPERLINK("https://eproc.rajasthan.gov.in/nicgep/app?component=%24DirectLink&amp;page=FrontEndViewTender&amp;service=direct&amp;session=T&amp;sp=Sn3bt5qJgFk0HtD6QqlMs9A%3D%3D", "GHAR GHAR KACHRA SANGHRHAN V SAF SAFAI KARYA SAMSTA GRAM PANCHAYAT KSHETRA ME NARHEDA")</f>
        <v/>
      </c>
      <c r="C1373" t="inlineStr">
        <is>
          <t>Panchayati Raj Department||Secretary and Commissioner||CEO- JAIPUR||BDO-KOTPUTALI</t>
        </is>
      </c>
      <c r="D1373" t="inlineStr">
        <is>
          <t>23-May-2025 11:00 AM</t>
        </is>
      </c>
      <c r="E1373" t="inlineStr">
        <is>
          <t>17,05,000</t>
        </is>
      </c>
      <c r="F1373" t="inlineStr">
        <is>
          <t>GHAR GHAR KACHRA SANGHRHAN V SAF SAFAI KARYA SAMSTA GRAM PANCHAYAT KSHETRA ME NARHEDA</t>
        </is>
      </c>
      <c r="G1373" t="inlineStr">
        <is>
          <t>NARHEDA</t>
        </is>
      </c>
    </row>
    <row r="1374">
      <c r="A1374" s="1" t="n">
        <v>1372</v>
      </c>
      <c r="B1374">
        <f>HYPERLINK("https://eproc.rajasthan.gov.in/nicgep/app?component=%24DirectLink&amp;page=FrontEndViewTender&amp;service=direct&amp;session=T&amp;sp=SHmAZjJ9JFw0veyjitV1vgA%3D%3D", "Rate Contract for Construction Material and Equipments for MGNREGS works for the Year 2025-26 panchayat samiti BAKANIDistrict Jhalawar At Gram Panchayats RICHWA")</f>
        <v/>
      </c>
      <c r="C1374" t="inlineStr">
        <is>
          <t>Panchayati Raj Department||Secretary and Commissioner||CEO- JHALAWAR||BDO-JHALRAPATAN</t>
        </is>
      </c>
      <c r="D1374" t="inlineStr">
        <is>
          <t>25-May-2025 04:00 PM</t>
        </is>
      </c>
      <c r="E1374" t="inlineStr">
        <is>
          <t>60,00,000</t>
        </is>
      </c>
      <c r="F1374" t="inlineStr">
        <is>
          <t>Rate Contract for Construction Material and Equipments for MGNREGS works for the Year 2025-26 panchayat samiti BAKANIDistrict Jhalawar At Gram Panchayats RICHWA</t>
        </is>
      </c>
      <c r="G1374" t="inlineStr">
        <is>
          <t>JHALAWAR</t>
        </is>
      </c>
    </row>
    <row r="1375">
      <c r="A1375" s="1" t="n">
        <v>1373</v>
      </c>
      <c r="B1375">
        <f>HYPERLINK("https://eproc.rajasthan.gov.in/nicgep/app?component=%24DirectLink&amp;page=FrontEndViewTender&amp;service=direct&amp;session=T&amp;sp=SnzeB9fAaiRZQCUxxaH9%2Btg%3D%3D", "Door-To-Door (Residential And Commercial) Waste Collection And Segregation, Road And Drain Cleaning, And Community Sanitation Premises Cleaning In All Villages Of The Gram Panchayat raipur jagir")</f>
        <v/>
      </c>
      <c r="C1375" t="inlineStr">
        <is>
          <t>Panchayati Raj Department||Secretary and Commissioner||CEO-SIKAR||BDO-AJEET GARH</t>
        </is>
      </c>
      <c r="D1375" t="inlineStr">
        <is>
          <t>21-May-2025 06:00 PM</t>
        </is>
      </c>
      <c r="E1375" t="inlineStr">
        <is>
          <t>9,99,000</t>
        </is>
      </c>
      <c r="F1375" t="inlineStr">
        <is>
          <t>Door-To-Door (Residential And Commercial) Waste Collection And Segregation, Road And Drain Cleaning, And Community Sanitation Premises Cleaning In All Villages Of The Gram Panchayatf Raipur jagir</t>
        </is>
      </c>
      <c r="G1375" t="inlineStr">
        <is>
          <t>gp raipur jagir</t>
        </is>
      </c>
    </row>
    <row r="1376">
      <c r="A1376" s="1" t="n">
        <v>1374</v>
      </c>
      <c r="B1376">
        <f>HYPERLINK("https://eproc.rajasthan.gov.in/nicgep/app?component=%24DirectLink&amp;page=FrontEndViewTender&amp;service=direct&amp;session=T&amp;sp=SDPiVVz%2FuCuqTzduZkwsZng%3D%3D", "Collection of wastage in Residential and Commercial Building from all Villages in Gram Panchayat Road, Nali Cleaning and CSC Campus GP Sumer")</f>
        <v/>
      </c>
      <c r="C1376" t="inlineStr">
        <is>
          <t>Panchayati Raj Department||Secretary and Commissioner||CEO-PALI||BDO-RANISTATION</t>
        </is>
      </c>
      <c r="D1376" t="inlineStr">
        <is>
          <t>26-May-2025 01:00 PM</t>
        </is>
      </c>
      <c r="E1376" t="inlineStr">
        <is>
          <t>21,25,000</t>
        </is>
      </c>
      <c r="F1376" t="inlineStr">
        <is>
          <t>Collection of wastage in Residential and Commercial Building from all Villages in Gram Panchayat Road, Nali Cleaning and CSC Campus GP Sumer</t>
        </is>
      </c>
      <c r="G1376" t="inlineStr">
        <is>
          <t>Gram Panchayat Sumer</t>
        </is>
      </c>
    </row>
    <row r="1377">
      <c r="A1377" s="1" t="n">
        <v>1375</v>
      </c>
      <c r="B1377">
        <f>HYPERLINK("https://eproc.rajasthan.gov.in/nicgep/app?component=%24DirectLink&amp;page=FrontEndViewTender&amp;service=direct&amp;session=T&amp;sp=SXD3kiPaCBJffDB3A2hKRDw%3D%3D", "Collection of wastage in Residential and Commercial Building from all Villages in Gram Panchayat Road, Nali Cleaning and CSC Campus GP Narlai")</f>
        <v/>
      </c>
      <c r="C1377" t="inlineStr">
        <is>
          <t>Panchayati Raj Department||Secretary and Commissioner||CEO-PALI||BDO-RANISTATION</t>
        </is>
      </c>
      <c r="D1377" t="inlineStr">
        <is>
          <t>26-May-2025 01:00 PM</t>
        </is>
      </c>
      <c r="E1377" t="inlineStr">
        <is>
          <t>29,66,000</t>
        </is>
      </c>
      <c r="F1377" t="inlineStr">
        <is>
          <t>Collection of wastage in Residential and Commercial Building from all Villages in Gram Panchayat Road, Nali Cleaning and CSC Campus GP Narlai</t>
        </is>
      </c>
      <c r="G1377" t="inlineStr">
        <is>
          <t>Gram Panchayat Narlai</t>
        </is>
      </c>
    </row>
    <row r="1378">
      <c r="A1378" s="1" t="n">
        <v>1376</v>
      </c>
      <c r="B1378">
        <f>HYPERLINK("https://eproc.rajasthan.gov.in/nicgep/app?component=%24DirectLink&amp;page=FrontEndViewTender&amp;service=direct&amp;session=T&amp;sp=SLEOUHaGUo7Pg027KBmw8dA%3D%3D", "Collection of wastage in Residential and Commercial Building from all Villages in Gram Panchayat Road, Nali Cleaning and CSC Campus GP kot Solankiyan")</f>
        <v/>
      </c>
      <c r="C1378" t="inlineStr">
        <is>
          <t>Panchayati Raj Department||Secretary and Commissioner||CEO-PALI||BDO-RANISTATION</t>
        </is>
      </c>
      <c r="D1378" t="inlineStr">
        <is>
          <t>26-May-2025 01:00 PM</t>
        </is>
      </c>
      <c r="E1378" t="inlineStr">
        <is>
          <t>20,73,000</t>
        </is>
      </c>
      <c r="F1378" t="inlineStr">
        <is>
          <t>Collection of wastage in Residential and Commercial Building from all Villages in Gram Panchayat Road, Nali Cleaning and CSC Campus GP kot Solankiyan</t>
        </is>
      </c>
      <c r="G1378" t="inlineStr">
        <is>
          <t>Gram Panchayat Kot Solankiyan</t>
        </is>
      </c>
    </row>
    <row r="1379">
      <c r="A1379" s="1" t="n">
        <v>1377</v>
      </c>
      <c r="B1379">
        <f>HYPERLINK("https://eproc.rajasthan.gov.in/nicgep/app?component=%24DirectLink&amp;page=FrontEndViewTender&amp;service=direct&amp;session=T&amp;sp=SreTupfExCqLaT%2FjAhwjJhg%3D%3D", "GHAR GHAR KACHRA SANGHRHAN V SAF SAFAI KARYA SAMSTA GRAM PANCHAYAT KSHETRA ME KHEDA NIHALPURA")</f>
        <v/>
      </c>
      <c r="C1379" t="inlineStr">
        <is>
          <t>Panchayati Raj Department||Secretary and Commissioner||CEO- JAIPUR||BDO-KOTPUTALI</t>
        </is>
      </c>
      <c r="D1379" t="inlineStr">
        <is>
          <t>23-May-2025 11:00 AM</t>
        </is>
      </c>
      <c r="E1379" t="inlineStr">
        <is>
          <t>7,81,000</t>
        </is>
      </c>
      <c r="F1379" t="inlineStr">
        <is>
          <t>GHAR GHAR KACHRA SANGHRHAN V SAF SAFAI KARYA SAMSTA GRAM PANCHAYAT KSHETRA ME KHEDA NIHALPURA</t>
        </is>
      </c>
      <c r="G1379" t="inlineStr">
        <is>
          <t>KHEDA NIHALPURA</t>
        </is>
      </c>
    </row>
    <row r="1380">
      <c r="A1380" s="1" t="n">
        <v>1378</v>
      </c>
      <c r="B1380">
        <f>HYPERLINK("https://eproc.rajasthan.gov.in/nicgep/app?component=%24DirectLink&amp;page=FrontEndViewTender&amp;service=direct&amp;session=T&amp;sp=S2A%2FBdzE41F9LWwhPupavIg%3D%3D", "cleaning and sanitation work for gp thob")</f>
        <v/>
      </c>
      <c r="C1380" t="inlineStr">
        <is>
          <t>Panchayati Raj Department||Secretary and Commissioner||CEO-BADMER||BDO-KALYANPUR</t>
        </is>
      </c>
      <c r="D1380" t="inlineStr">
        <is>
          <t>20-May-2025 05:00 PM</t>
        </is>
      </c>
      <c r="E1380" t="inlineStr">
        <is>
          <t>9,99,841</t>
        </is>
      </c>
      <c r="F1380" t="inlineStr">
        <is>
          <t>cleaning and sanitation work for gp thob</t>
        </is>
      </c>
      <c r="G1380" t="inlineStr">
        <is>
          <t>gp thob</t>
        </is>
      </c>
    </row>
    <row r="1381">
      <c r="A1381" s="1" t="n">
        <v>1379</v>
      </c>
      <c r="B1381">
        <f>HYPERLINK("https://eproc.rajasthan.gov.in/nicgep/app?component=%24DirectLink&amp;page=FrontEndViewTender&amp;service=direct&amp;session=T&amp;sp=S3oRnMBlp5Bl2HJSPyMH%2BLA%3D%3D", "Work of supply of material and equipment for Mgnarega and other development schemes in Gram panchayat HOTHEGAV PS Chitalwana For fy 2025-26")</f>
        <v/>
      </c>
      <c r="C1381" t="inlineStr">
        <is>
          <t>Panchayati Raj Department||Secretary and Commissioner||CEO- JALORE||BDO-CHITALWANA</t>
        </is>
      </c>
      <c r="D1381" t="inlineStr">
        <is>
          <t>26-May-2025 12:10 PM</t>
        </is>
      </c>
      <c r="E1381" t="inlineStr">
        <is>
          <t>49,00,000</t>
        </is>
      </c>
      <c r="F1381" t="inlineStr">
        <is>
          <t>Work of supply of material and equipment for Mgnarega and other development schemes in Gram panchayat HOTHEGAV PS Chitalwana For fy 2025-26</t>
        </is>
      </c>
      <c r="G1381" t="inlineStr">
        <is>
          <t>GRAM PANCHAYAT HOTHEGAV PS CHITALWANA</t>
        </is>
      </c>
    </row>
    <row r="1382">
      <c r="A1382" s="1" t="n">
        <v>1380</v>
      </c>
      <c r="B1382">
        <f>HYPERLINK("https://eproc.rajasthan.gov.in/nicgep/app?component=%24DirectLink&amp;page=FrontEndViewTender&amp;service=direct&amp;session=T&amp;sp=S0h2UKl6q6QVF4r0Z0O1hEg%3D%3D", "Kachra Sangrahan Kendra Nirman Karya THALA KA BASS Narayanpura")</f>
        <v/>
      </c>
      <c r="C1382" t="inlineStr">
        <is>
          <t>Panchayati Raj Department||Secretary and Commissioner||CEO-DAUSA||BDO-BANDIKUI</t>
        </is>
      </c>
      <c r="D1382" t="inlineStr">
        <is>
          <t>21-May-2025 05:00 PM</t>
        </is>
      </c>
      <c r="E1382" t="inlineStr">
        <is>
          <t>6,75,000</t>
        </is>
      </c>
      <c r="F1382" t="inlineStr">
        <is>
          <t>Kachra Sangrahan Kendra Nirman Karya THALA KA BASS Narayanpura</t>
        </is>
      </c>
      <c r="G1382" t="inlineStr">
        <is>
          <t>GRAM PANCHYAT NARAYANPURA</t>
        </is>
      </c>
    </row>
    <row r="1383">
      <c r="A1383" s="1" t="n">
        <v>1381</v>
      </c>
      <c r="B1383">
        <f>HYPERLINK("https://eproc.rajasthan.gov.in/nicgep/app?component=%24DirectLink&amp;page=FrontEndViewTender&amp;service=direct&amp;session=T&amp;sp=S5tcmnPXJcY2w7znf5cx6dw%3D%3D", "Supply of Construction Materials and Service of Equipments (Financial Year 2025-26) for Gram Panchayat Pipli Dodiyan")</f>
        <v/>
      </c>
      <c r="C1383" t="inlineStr">
        <is>
          <t>Panchayati Raj Department||Secretary and Commissioner||CEO-RAJSAMAND||BDO-RAILMAGARA</t>
        </is>
      </c>
      <c r="D1383" t="inlineStr">
        <is>
          <t>26-May-2025 06:00 PM</t>
        </is>
      </c>
      <c r="E1383" t="inlineStr">
        <is>
          <t>50,00,000</t>
        </is>
      </c>
      <c r="F1383" t="inlineStr">
        <is>
          <t>Supply of Construction Materials and Service of Equipments (Financial Year 2025-26) for Gram Panchayat Pipli Dodiyan</t>
        </is>
      </c>
      <c r="G1383" t="inlineStr">
        <is>
          <t>GRAM PANCHAYAT Pipli dodiyan</t>
        </is>
      </c>
    </row>
    <row r="1384">
      <c r="A1384" s="1" t="n">
        <v>1382</v>
      </c>
      <c r="B1384">
        <f>HYPERLINK("https://eproc.rajasthan.gov.in/nicgep/app?component=%24DirectLink&amp;page=FrontEndViewTender&amp;service=direct&amp;session=T&amp;sp=SzkqR0qpsUFodOMmynV1g5w%3D%3D", "Door to Door residential or community Garbedge collection, street and drain cleaning and out in all the villages of panchayat samiti BHAWANIMANDI at gram PANCHAYAT SINGHPUR")</f>
        <v/>
      </c>
      <c r="C1384" t="inlineStr">
        <is>
          <t>Panchayati Raj Department||Secretary and Commissioner||CEO- JHALAWAR||BDO-DUG</t>
        </is>
      </c>
      <c r="D1384" t="inlineStr">
        <is>
          <t>21-May-2025 06:00 PM</t>
        </is>
      </c>
      <c r="E1384" t="inlineStr">
        <is>
          <t>4,87,000</t>
        </is>
      </c>
      <c r="F1384" t="inlineStr">
        <is>
          <t>Door to Door residential or community Garbedge collection, street and drain cleaning and out in all the villages of panchayat samiti BHAWANIMANDI at gram PANCHAYAT SINGHPUR</t>
        </is>
      </c>
      <c r="G1384" t="inlineStr">
        <is>
          <t>BHAWANIMANDI</t>
        </is>
      </c>
    </row>
    <row r="1385">
      <c r="A1385" s="1" t="n">
        <v>1383</v>
      </c>
      <c r="B1385">
        <f>HYPERLINK("https://eproc.rajasthan.gov.in/nicgep/app?component=%24DirectLink&amp;page=FrontEndViewTender&amp;service=direct&amp;session=T&amp;sp=SLrX1YlSD99XammjAkKy5kA%3D%3D", "MGNREGA MATERIALS SUPPLY FY 2025-26 GP BHUTTO KA KUA")</f>
        <v/>
      </c>
      <c r="C1385" t="inlineStr">
        <is>
          <t>Panchayati Raj Department||Secretary and Commissioner||CEO-BIKANER||BDO-POOGAL</t>
        </is>
      </c>
      <c r="D1385" t="inlineStr">
        <is>
          <t>30-May-2025 06:00 PM</t>
        </is>
      </c>
      <c r="E1385" t="inlineStr">
        <is>
          <t>90,00,000</t>
        </is>
      </c>
      <c r="F1385" t="inlineStr">
        <is>
          <t>MGNREGA AND ALL OTHER YOJANA CONSTRUCTION MATERIALS SUPPLY FY 2025-26 GRAM PANCHAYAT BHURRO KA KUA</t>
        </is>
      </c>
      <c r="G1385" t="inlineStr">
        <is>
          <t>GP BHUTTO KA KUA</t>
        </is>
      </c>
    </row>
    <row r="1386">
      <c r="A1386" s="1" t="n">
        <v>1384</v>
      </c>
      <c r="B1386">
        <f>HYPERLINK("https://eproc.rajasthan.gov.in/nicgep/app?component=%24DirectLink&amp;page=FrontEndViewTender&amp;service=direct&amp;session=T&amp;sp=Scxh7kSIF%2F6qmzSdWwTt%2BTw%3D%3D", "MATERIALS AND EQUIPMENT SUPPLY IN MGREGA AND RD PRD SCHEME GP BADI KHATU")</f>
        <v/>
      </c>
      <c r="C1386" t="inlineStr">
        <is>
          <t>Panchayati Raj Department||Secretary and Commissioner||CEO-NAGORE||BDO-JAYAL</t>
        </is>
      </c>
      <c r="D1386" t="inlineStr">
        <is>
          <t>04-Jun-2025 06:55 PM</t>
        </is>
      </c>
      <c r="E1386" t="inlineStr">
        <is>
          <t>2,50,00,000</t>
        </is>
      </c>
      <c r="F1386" t="inlineStr">
        <is>
          <t>MATERIALS AND EQUIPMENT SUPPLY IN MGREGA AND RD PRD SCHEME GP BADI KHATU</t>
        </is>
      </c>
      <c r="G1386" t="inlineStr">
        <is>
          <t>GP BADI KHATU</t>
        </is>
      </c>
    </row>
    <row r="1387">
      <c r="A1387" s="1" t="n">
        <v>1385</v>
      </c>
      <c r="B1387">
        <f>HYPERLINK("https://eproc.rajasthan.gov.in/nicgep/app?component=%24DirectLink&amp;page=FrontEndViewTender&amp;service=direct&amp;session=T&amp;sp=StnydFBjQazkHzo2yaEgUNA%3D%3D", "Hand Pump nirman karya at public place near Sardari Regar house in village Megharavat ki jhopadi Gram Panchayat Neem Ka Kheda PS BINDI")</f>
        <v/>
      </c>
      <c r="C1387" t="inlineStr">
        <is>
          <t>Panchayati Raj Department||Secretary and Commissioner||CEO-BUNDI||BDO-BUNDI</t>
        </is>
      </c>
      <c r="D1387" t="inlineStr">
        <is>
          <t>27-May-2025 06:00 PM</t>
        </is>
      </c>
      <c r="E1387" t="inlineStr">
        <is>
          <t>79,966</t>
        </is>
      </c>
      <c r="F1387" t="inlineStr">
        <is>
          <t>Hand Pump nirman karya at public place near Sardari Regar house in village Megharavat ki jhopadi Gram Panchayat Neem Ka Kheda PS BINDI</t>
        </is>
      </c>
      <c r="G1387" t="inlineStr">
        <is>
          <t>GRAM PANCHAYAT NEEM KA KHEDA</t>
        </is>
      </c>
    </row>
    <row r="1388">
      <c r="A1388" s="1" t="n">
        <v>1386</v>
      </c>
      <c r="B1388">
        <f>HYPERLINK("https://eproc.rajasthan.gov.in/nicgep/app?component=%24DirectLink&amp;page=FrontEndViewTender&amp;service=direct&amp;session=T&amp;sp=S0lnyR7JR4JGqGC%2Fpoeq4hQ%3D%3D", "Door to Door residential or community Garbedge collection, street and drain cleaning and out in all the villages of panchayat samiti BHAWANIMANDI at gram PANCHAYAT GURADIYA MANA")</f>
        <v/>
      </c>
      <c r="C1388" t="inlineStr">
        <is>
          <t>Panchayati Raj Department||Secretary and Commissioner||CEO- JHALAWAR||BDO-DUG</t>
        </is>
      </c>
      <c r="D1388" t="inlineStr">
        <is>
          <t>21-May-2025 06:00 PM</t>
        </is>
      </c>
      <c r="E1388" t="inlineStr">
        <is>
          <t>6,64,000</t>
        </is>
      </c>
      <c r="F1388" t="inlineStr">
        <is>
          <t>Door to Door residential or community Garbedge collection, street and drain cleaning and out in all the villages of panchayat samiti BHAWANIMANDI at gram PANCHAYAT GURADIYA MANA</t>
        </is>
      </c>
      <c r="G1388" t="inlineStr">
        <is>
          <t>BHAWANIMANDI</t>
        </is>
      </c>
    </row>
    <row r="1389">
      <c r="A1389" s="1" t="n">
        <v>1387</v>
      </c>
      <c r="B1389">
        <f>HYPERLINK("https://eproc.rajasthan.gov.in/nicgep/app?component=%24DirectLink&amp;page=FrontEndViewTender&amp;service=direct&amp;session=T&amp;sp=SC53NxlGAh5qLfuEnAziTwA%3D%3D", "Gram Panchayat BAIRWANDA All village, Home to Home Garbage collection and segregation from(residential and commercial)areas, street and drain cleaning and community sanitation,premises cleaning work,GP BAIRWANDA PS SIKRAI")</f>
        <v/>
      </c>
      <c r="C1389" t="inlineStr">
        <is>
          <t>Panchayati Raj Department||Secretary and Commissioner||CEO-DAUSA||BDO-SIKARAI</t>
        </is>
      </c>
      <c r="D1389" t="inlineStr">
        <is>
          <t>24-May-2025 06:00 PM</t>
        </is>
      </c>
      <c r="E1389" t="inlineStr">
        <is>
          <t>3,99,993</t>
        </is>
      </c>
      <c r="F1389" t="inlineStr">
        <is>
          <t>Gram Panchayat BAIRWANDA All village, Home to Home Garbage collection and segregation from(residential and commercial)areas, street and drain cleaning and community sanitation,premises cleaning work,GP BAIRWANDA PS SIKRAI</t>
        </is>
      </c>
      <c r="G1389" t="inlineStr">
        <is>
          <t>Gram Panchayat BAIRWANDA All village, Home to Home</t>
        </is>
      </c>
    </row>
    <row r="1390">
      <c r="A1390" s="1" t="n">
        <v>1388</v>
      </c>
      <c r="B1390">
        <f>HYPERLINK("https://eproc.rajasthan.gov.in/nicgep/app?component=%24DirectLink&amp;page=FrontEndViewTender&amp;service=direct&amp;session=T&amp;sp=Sr1f7Jg%2FQ4y3f%2BPwppuD8AA%3D%3D", "Community Hall Silor Gram Panchayat Silor Panchayat Samiti Bundi")</f>
        <v/>
      </c>
      <c r="C1390" t="inlineStr">
        <is>
          <t>Panchayati Raj Department||Secretary and Commissioner||CEO-BUNDI||BDO-BUNDI</t>
        </is>
      </c>
      <c r="D1390" t="inlineStr">
        <is>
          <t>27-May-2025 06:00 PM</t>
        </is>
      </c>
      <c r="E1390" t="inlineStr">
        <is>
          <t>25,00,000</t>
        </is>
      </c>
      <c r="F1390" t="inlineStr">
        <is>
          <t>Community Hall Silor Gram Panchayat Silor Panchayat Samiti Bundi</t>
        </is>
      </c>
      <c r="G1390" t="inlineStr">
        <is>
          <t>GRAM PANCHAYAT SILOR</t>
        </is>
      </c>
    </row>
    <row r="1391">
      <c r="A1391" s="1" t="n">
        <v>1389</v>
      </c>
      <c r="B1391">
        <f>HYPERLINK("https://eproc.rajasthan.gov.in/nicgep/app?component=%24DirectLink&amp;page=FrontEndViewTender&amp;service=direct&amp;session=T&amp;sp=SnnNrf0SwsQx%2Ft76izTNkPQ%3D%3D", "Hand Pump nirman karya at public place near Nahar ke pass village anar ki jhopadi Gram Panchayat Neem Ka Kheda PS BINDI")</f>
        <v/>
      </c>
      <c r="C1391" t="inlineStr">
        <is>
          <t>Panchayati Raj Department||Secretary and Commissioner||CEO-BUNDI||BDO-BUNDI</t>
        </is>
      </c>
      <c r="D1391" t="inlineStr">
        <is>
          <t>27-May-2025 06:00 PM</t>
        </is>
      </c>
      <c r="E1391" t="inlineStr">
        <is>
          <t>79,966</t>
        </is>
      </c>
      <c r="F1391" t="inlineStr">
        <is>
          <t>Hand Pump nirman karya at public place near Nahar ke pass village anar ki jhopadi Gram Panchayat Neem Ka Kheda PS BINDI</t>
        </is>
      </c>
      <c r="G1391" t="inlineStr">
        <is>
          <t>GRAM PANCHAYAT NEEM KA KHEDA</t>
        </is>
      </c>
    </row>
    <row r="1392">
      <c r="A1392" s="1" t="n">
        <v>1390</v>
      </c>
      <c r="B1392">
        <f>HYPERLINK("https://eproc.rajasthan.gov.in/nicgep/app?component=%24DirectLink&amp;page=FrontEndViewTender&amp;service=direct&amp;session=T&amp;sp=S36uX0mZJXl3IBx3Vx0xbVw%3D%3D", "Door to Door residential or community Garbedge collection, street and drain cleaning and out in all the villages of panchayat samiti BHAWANIMANDI at gram PANCHAYAT MISHROLI")</f>
        <v/>
      </c>
      <c r="C1392" t="inlineStr">
        <is>
          <t>Panchayati Raj Department||Secretary and Commissioner||CEO- JHALAWAR||BDO-DUG</t>
        </is>
      </c>
      <c r="D1392" t="inlineStr">
        <is>
          <t>21-May-2025 06:00 PM</t>
        </is>
      </c>
      <c r="E1392" t="inlineStr">
        <is>
          <t>6,19,000</t>
        </is>
      </c>
      <c r="F1392" t="inlineStr">
        <is>
          <t>Door to Door residential or community Garbedge collection, street and drain cleaning and out in all the villages of panchayat samiti BHAWANIMANDI at gram PANCHAYAT MISHROLI</t>
        </is>
      </c>
      <c r="G1392" t="inlineStr">
        <is>
          <t>BHAWANIMANDI</t>
        </is>
      </c>
    </row>
    <row r="1393">
      <c r="A1393" s="1" t="n">
        <v>1391</v>
      </c>
      <c r="B1393">
        <f>HYPERLINK("https://eproc.rajasthan.gov.in/nicgep/app?component=%24DirectLink&amp;page=FrontEndViewTender&amp;service=direct&amp;session=T&amp;sp=SA3L80tNO%2BnEVlx1b%2Fqljzw%3D%3D", "MGNREGA MATERIALS SUPPLY FY 2025-26 GP BHANIPURA")</f>
        <v/>
      </c>
      <c r="C1393" t="inlineStr">
        <is>
          <t>Panchayati Raj Department||Secretary and Commissioner||CEO-BIKANER||BDO-POOGAL</t>
        </is>
      </c>
      <c r="D1393" t="inlineStr">
        <is>
          <t>30-May-2025 06:00 PM</t>
        </is>
      </c>
      <c r="E1393" t="inlineStr">
        <is>
          <t>90,00,000</t>
        </is>
      </c>
      <c r="F1393" t="inlineStr">
        <is>
          <t>MGNREGA AND ALL OTHER YOJANA CONSTRUCTION MATERIALS SUPPLY FY 2025-26 GRAM PANCHAYAT BHANIPURA</t>
        </is>
      </c>
      <c r="G1393" t="inlineStr">
        <is>
          <t>GP BHANIPURA</t>
        </is>
      </c>
    </row>
    <row r="1394">
      <c r="A1394" s="1" t="n">
        <v>1392</v>
      </c>
      <c r="B1394">
        <f>HYPERLINK("https://eproc.rajasthan.gov.in/nicgep/app?component=%24DirectLink&amp;page=FrontEndViewTender&amp;service=direct&amp;session=T&amp;sp=SOZWXoCgIDE3Q5YDqhThBHw%3D%3D", "Door to Door residential or community Garbedge collection, street and drain cleaning and out in all the villages of panchayat samiti BHAWANIMANDI at gram PANCHAYAT GURADIYA KALAN")</f>
        <v/>
      </c>
      <c r="C1394" t="inlineStr">
        <is>
          <t>Panchayati Raj Department||Secretary and Commissioner||CEO- JHALAWAR||BDO-DUG</t>
        </is>
      </c>
      <c r="D1394" t="inlineStr">
        <is>
          <t>21-May-2025 06:00 PM</t>
        </is>
      </c>
      <c r="E1394" t="inlineStr">
        <is>
          <t>6,87,000</t>
        </is>
      </c>
      <c r="F1394" t="inlineStr">
        <is>
          <t>Door to Door residential or community Garbedge collection, street and drain cleaning and out in all the villages of panchayat samiti BHAWANIMANDI at gram PANCHAYAT GURADIYA KALAN</t>
        </is>
      </c>
      <c r="G1394" t="inlineStr">
        <is>
          <t>BHAWANIMANDI</t>
        </is>
      </c>
    </row>
    <row r="1395">
      <c r="A1395" s="1" t="n">
        <v>1393</v>
      </c>
      <c r="B1395">
        <f>HYPERLINK("https://eproc.rajasthan.gov.in/nicgep/app?component=%24DirectLink&amp;page=FrontEndViewTender&amp;service=direct&amp;session=T&amp;sp=Si%2B5K7ssohQGJSTU4c5k2Pg%3D%3D", "Construction work of CC Road in village Khadibara Main road se Mataji mandir ki aur Gram Panchayat Khatkad PS BUNDI")</f>
        <v/>
      </c>
      <c r="C1395" t="inlineStr">
        <is>
          <t>Panchayati Raj Department||Secretary and Commissioner||CEO-BUNDI||BDO-BUNDI</t>
        </is>
      </c>
      <c r="D1395" t="inlineStr">
        <is>
          <t>27-May-2025 06:00 PM</t>
        </is>
      </c>
      <c r="E1395" t="inlineStr">
        <is>
          <t>12,00,000</t>
        </is>
      </c>
      <c r="F1395" t="inlineStr">
        <is>
          <t>Construction work of CC Road in village Khadibara Main road se Mataji mandir ki aur Gram Panchayat Khatkad PS BUNDI</t>
        </is>
      </c>
      <c r="G1395" t="inlineStr">
        <is>
          <t>GRAM PANCHAYAT KHATKAD</t>
        </is>
      </c>
    </row>
    <row r="1396">
      <c r="A1396" s="1" t="n">
        <v>1394</v>
      </c>
      <c r="B1396">
        <f>HYPERLINK("https://eproc.rajasthan.gov.in/nicgep/app?component=%24DirectLink&amp;page=FrontEndViewTender&amp;service=direct&amp;session=T&amp;sp=SE9i5wzjlwBZK0szakkNSLw%3D%3D", "Work including door to door residential and commercial kachra collection and separation road and drainage cleaning and community sanitation complex in all the village of Gram Panchayat area sunari")</f>
        <v/>
      </c>
      <c r="C1396" t="inlineStr">
        <is>
          <t>Panchayati Raj Department||Secretary and Commissioner||CEO-S.MADHOPUR||BDO-SAWAIMADHOPUR</t>
        </is>
      </c>
      <c r="D1396" t="inlineStr">
        <is>
          <t>21-May-2025 06:00 PM</t>
        </is>
      </c>
      <c r="E1396" t="inlineStr">
        <is>
          <t>5,50,000</t>
        </is>
      </c>
      <c r="F1396" t="inlineStr">
        <is>
          <t>Work including door to door residential and commercial kachra collection and separation road and drainage cleaning and community sanitation complex in all the village of Gram Panchayat area sunari</t>
        </is>
      </c>
      <c r="G1396" t="inlineStr">
        <is>
          <t>sunari</t>
        </is>
      </c>
    </row>
    <row r="1397">
      <c r="A1397" s="1" t="n">
        <v>1395</v>
      </c>
      <c r="B1397">
        <f>HYPERLINK("https://eproc.rajasthan.gov.in/nicgep/app?component=%24DirectLink&amp;page=FrontEndViewTender&amp;service=direct&amp;session=T&amp;sp=Sak80RaZGacaj3jDZ1fDcHw%3D%3D", "Door to Door residential or community Garbedge collection, street and drain cleaning and out in all the villages of panchayat samiti BHAWANIMANDI at gram PANCHAYAT BHESANI")</f>
        <v/>
      </c>
      <c r="C1397" t="inlineStr">
        <is>
          <t>Panchayati Raj Department||Secretary and Commissioner||CEO- JHALAWAR||BDO-DUG</t>
        </is>
      </c>
      <c r="D1397" t="inlineStr">
        <is>
          <t>21-May-2025 06:00 PM</t>
        </is>
      </c>
      <c r="E1397" t="inlineStr">
        <is>
          <t>4,58,000</t>
        </is>
      </c>
      <c r="F1397" t="inlineStr">
        <is>
          <t>Door to Door residential or community Garbedge collection, street and drain cleaning and out in all the villages of panchayat samiti BHAWANIMANDI at gram PANCHAYAT BHESANI</t>
        </is>
      </c>
      <c r="G1397" t="inlineStr">
        <is>
          <t>BHAWANIMANDI</t>
        </is>
      </c>
    </row>
    <row r="1398">
      <c r="A1398" s="1" t="n">
        <v>1396</v>
      </c>
      <c r="B1398">
        <f>HYPERLINK("https://eproc.rajasthan.gov.in/nicgep/app?component=%24DirectLink&amp;page=FrontEndViewTender&amp;service=direct&amp;session=T&amp;sp=SxBGs9uDEK%2BVL%2Fb1FwkA8GA%3D%3D", "Door to Door residential or community Garbedge collection, street and drain cleaning and out in all the villages of panchayat samiti BHAWANIMANDI at gram PANCHAYAT NAHAR GHATTA")</f>
        <v/>
      </c>
      <c r="C1398" t="inlineStr">
        <is>
          <t>Panchayati Raj Department||Secretary and Commissioner||CEO- JHALAWAR||BDO-DUG</t>
        </is>
      </c>
      <c r="D1398" t="inlineStr">
        <is>
          <t>21-May-2025 06:00 PM</t>
        </is>
      </c>
      <c r="E1398" t="inlineStr">
        <is>
          <t>4,28,000</t>
        </is>
      </c>
      <c r="F1398" t="inlineStr">
        <is>
          <t>Door to Door residential or community Garbedge collection, street and drain cleaning and out in all the villages of panchayat samiti BHAWANIMANDI at gram PANCHAYAT NAHAR GHATTA</t>
        </is>
      </c>
      <c r="G1398" t="inlineStr">
        <is>
          <t>BHAWANIMANDI</t>
        </is>
      </c>
    </row>
    <row r="1399">
      <c r="A1399" s="1" t="n">
        <v>1397</v>
      </c>
      <c r="B1399">
        <f>HYPERLINK("https://eproc.rajasthan.gov.in/nicgep/app?component=%24DirectLink&amp;page=FrontEndViewTender&amp;service=direct&amp;session=T&amp;sp=SpTcEnMKxd09yjzWKU8%2Bz%2BA%3D%3D", "Rate contract for Work Including Garbage Collection and Separation from Households and Commercial Establishments, Road and Drain cleaning, Cleaning of CSCs in all villages of Gram Panchayat Rampura Panchayat Samiti Khandar")</f>
        <v/>
      </c>
      <c r="C1399" t="inlineStr">
        <is>
          <t>Panchayati Raj Department||Secretary and Commissioner||CEO-S.MADHOPUR||BDO-KHANDAR</t>
        </is>
      </c>
      <c r="D1399" t="inlineStr">
        <is>
          <t>25-May-2025 06:00 PM</t>
        </is>
      </c>
      <c r="E1399" t="inlineStr">
        <is>
          <t>12,30,000</t>
        </is>
      </c>
      <c r="F1399" t="inlineStr">
        <is>
          <t>Rate contract for Work Including Garbage Collection and Separation from Households and Commercial Establishments, Road and Drain cleaning, Cleaning of CSCs in all villages of Gram Panchayat Rampura Panchayat Samiti Khandar</t>
        </is>
      </c>
      <c r="G1399" t="inlineStr">
        <is>
          <t>GRAM PANCHAYAT RAMPURA</t>
        </is>
      </c>
    </row>
    <row r="1400">
      <c r="A1400" s="1" t="n">
        <v>1398</v>
      </c>
      <c r="B1400">
        <f>HYPERLINK("https://eproc.rajasthan.gov.in/nicgep/app?component=%24DirectLink&amp;page=FrontEndViewTender&amp;service=direct&amp;session=T&amp;sp=S6J9ovhA0vUU9Nj5awz6D7w%3D%3D", "Supply of Various Construction Materials and Equipment Service Gram Panchayat Bhalota ki khedi P.S. Rashmi")</f>
        <v/>
      </c>
      <c r="C1400" t="inlineStr">
        <is>
          <t>Panchayati Raj Department||Secretary and Commissioner||CEO-CHITTORGARH||BDO-RASHMI</t>
        </is>
      </c>
      <c r="D1400" t="inlineStr">
        <is>
          <t>26-May-2025 10:00 AM</t>
        </is>
      </c>
      <c r="E1400" t="inlineStr">
        <is>
          <t>45,30,000</t>
        </is>
      </c>
      <c r="F1400" t="inlineStr">
        <is>
          <t>Supply of Various Construction Materials and Equipment Service Gram Panchayat Bhalota ki khedi P.S. Rashmi</t>
        </is>
      </c>
      <c r="G1400" t="inlineStr">
        <is>
          <t>gram panchayat BHALOTAN KI KHEDI</t>
        </is>
      </c>
    </row>
    <row r="1401">
      <c r="A1401" s="1" t="n">
        <v>1399</v>
      </c>
      <c r="B1401">
        <f>HYPERLINK("https://eproc.rajasthan.gov.in/nicgep/app?component=%24DirectLink&amp;page=FrontEndViewTender&amp;service=direct&amp;session=T&amp;sp=SIcp1wRGv417XINc4f7C75Q%3D%3D", "Rate contract for Work Including Garbage Collection and Separation from Households and Commercial Establishments, Road and Drain cleaning, Cleaning of CSCs in all villages of Gram Panchayat Allapur Panchayat Samiti Khandar")</f>
        <v/>
      </c>
      <c r="C1401" t="inlineStr">
        <is>
          <t>Panchayati Raj Department||Secretary and Commissioner||CEO-S.MADHOPUR||BDO-KHANDAR</t>
        </is>
      </c>
      <c r="D1401" t="inlineStr">
        <is>
          <t>25-May-2025 06:00 PM</t>
        </is>
      </c>
      <c r="E1401" t="inlineStr">
        <is>
          <t>18,08,000</t>
        </is>
      </c>
      <c r="F1401" t="inlineStr">
        <is>
          <t>Rate contract for Work Including Garbage Collection and Separation from Households and Commercial Establishments, Road and Drain cleaning, Cleaning of CSCs in all villages of Gram Panchayat Allapur Panchayat Samiti Khandar</t>
        </is>
      </c>
      <c r="G1401" t="inlineStr">
        <is>
          <t>GRAM PANCHAYAT ALLAPUR</t>
        </is>
      </c>
    </row>
    <row r="1402">
      <c r="A1402" s="1" t="n">
        <v>1400</v>
      </c>
      <c r="B1402">
        <f>HYPERLINK("https://eproc.rajasthan.gov.in/nicgep/app?component=%24DirectLink&amp;page=FrontEndViewTender&amp;service=direct&amp;session=T&amp;sp=SYa0EsH73bukLMrcF06Sv%2Fg%3D%3D", "Hand Pump nirman karya at public place near Babulal / Manna lal house in village Roopnagar Gram Panchayat MANGAAL PS BINDI")</f>
        <v/>
      </c>
      <c r="C1402" t="inlineStr">
        <is>
          <t>Panchayati Raj Department||Secretary and Commissioner||CEO-BUNDI||BDO-BUNDI</t>
        </is>
      </c>
      <c r="D1402" t="inlineStr">
        <is>
          <t>27-May-2025 06:00 PM</t>
        </is>
      </c>
      <c r="E1402" t="inlineStr">
        <is>
          <t>79,966</t>
        </is>
      </c>
      <c r="F1402" t="inlineStr">
        <is>
          <t>Hand Pump nirman karya at public place near Babulal / Manna lal house in village Roopnagar Gram Panchayat MANGAAL PS BINDI</t>
        </is>
      </c>
      <c r="G1402" t="inlineStr">
        <is>
          <t>GRAM PANCHAYAT MANGAAL</t>
        </is>
      </c>
    </row>
    <row r="1403">
      <c r="A1403" s="1" t="n">
        <v>1401</v>
      </c>
      <c r="B1403">
        <f>HYPERLINK("https://eproc.rajasthan.gov.in/nicgep/app?component=%24DirectLink&amp;page=FrontEndViewTender&amp;service=direct&amp;session=T&amp;sp=Sr2%2F7pOJkdBhWEdt7hmTJGw%3D%3D", "Work including door-to-door residential and commercial garbage collection and separation road and drain cleaning and community sanitation premises cleaning in all villages of Gram Panchayat GAHNOLI Panchayat Samiti Mahwa Dist. Dausa For FY 2025-26")</f>
        <v/>
      </c>
      <c r="C1403" t="inlineStr">
        <is>
          <t>Panchayati Raj Department||Secretary and Commissioner||CEO-DAUSA||BDO-MAHUVA</t>
        </is>
      </c>
      <c r="D1403" t="inlineStr">
        <is>
          <t>24-May-2025 05:00 PM</t>
        </is>
      </c>
      <c r="E1403" t="inlineStr">
        <is>
          <t>6,84,452</t>
        </is>
      </c>
      <c r="F1403" t="inlineStr">
        <is>
          <t>Work including door-to-door residential and commercial garbage collection and separation road and drain cleaning and community sanitation premises cleaning in all villages of Gram Panchayat GAHNOLI Panchayat Samiti Mahwa Dist. Dausa For FY 2025-26</t>
        </is>
      </c>
      <c r="G1403" t="inlineStr">
        <is>
          <t>Gram Panchayat GAHNOLI</t>
        </is>
      </c>
    </row>
    <row r="1404">
      <c r="A1404" s="1" t="n">
        <v>1402</v>
      </c>
      <c r="B1404">
        <f>HYPERLINK("https://eproc.rajasthan.gov.in/nicgep/app?component=%24DirectLink&amp;page=FrontEndViewTender&amp;service=direct&amp;session=T&amp;sp=S0R810Pm1w5lfLRIBUqN5Sg%3D%3D", "Supply of Material and Providing Equipment At Narega each work in gram panchayat Narsinghpura")</f>
        <v/>
      </c>
      <c r="C1404" t="inlineStr">
        <is>
          <t>Panchayati Raj Department||Secretary and Commissioner||CEO-PALI||BDO-MARWAR JN.</t>
        </is>
      </c>
      <c r="D1404" t="inlineStr">
        <is>
          <t>28-May-2025 05:00 PM</t>
        </is>
      </c>
      <c r="E1404" t="inlineStr">
        <is>
          <t>80,00,000</t>
        </is>
      </c>
      <c r="F1404" t="inlineStr">
        <is>
          <t>Supply of Material and Providing Equipment At Narega each work in gram panchayat Narsinghpura</t>
        </is>
      </c>
      <c r="G1404" t="inlineStr">
        <is>
          <t>GP Narsinghpura</t>
        </is>
      </c>
    </row>
    <row r="1405">
      <c r="A1405" s="1" t="n">
        <v>1403</v>
      </c>
      <c r="B1405">
        <f>HYPERLINK("https://eproc.rajasthan.gov.in/nicgep/app?component=%24DirectLink&amp;page=FrontEndViewTender&amp;service=direct&amp;session=T&amp;sp=S%2B1BEIXHu4zxnX98IVmyyyg%3D%3D", "MGNREGA MATERIALS SUPPLY FY 2025-26 GP BARALA")</f>
        <v/>
      </c>
      <c r="C1405" t="inlineStr">
        <is>
          <t>Panchayati Raj Department||Secretary and Commissioner||CEO-BIKANER||BDO-POOGAL</t>
        </is>
      </c>
      <c r="D1405" t="inlineStr">
        <is>
          <t>30-May-2025 06:00 PM</t>
        </is>
      </c>
      <c r="E1405" t="inlineStr">
        <is>
          <t>90,00,000</t>
        </is>
      </c>
      <c r="F1405" t="inlineStr">
        <is>
          <t>MGNREGA AND ALL OTHER YOJANA CONSTRUCTION MATERIALS SUPPLY FY 2025-26 GRAM PANCHAYAT BARALA</t>
        </is>
      </c>
      <c r="G1405" t="inlineStr">
        <is>
          <t>GP BARALA</t>
        </is>
      </c>
    </row>
    <row r="1406">
      <c r="A1406" s="1" t="n">
        <v>1404</v>
      </c>
      <c r="B1406">
        <f>HYPERLINK("https://eproc.rajasthan.gov.in/nicgep/app?component=%24DirectLink&amp;page=FrontEndViewTender&amp;service=direct&amp;session=T&amp;sp=SflZzPx02sweB93KUYDzIxw%3D%3D", "Hand Pump Nirman karya Shamshan me in village Majara Govindpura Gram Panchayat NEEM KA KHEDA PS BINDI")</f>
        <v/>
      </c>
      <c r="C1406" t="inlineStr">
        <is>
          <t>Panchayati Raj Department||Secretary and Commissioner||CEO-BUNDI||BDO-BUNDI</t>
        </is>
      </c>
      <c r="D1406" t="inlineStr">
        <is>
          <t>27-May-2025 06:00 PM</t>
        </is>
      </c>
      <c r="E1406" t="inlineStr">
        <is>
          <t>79,965</t>
        </is>
      </c>
      <c r="F1406" t="inlineStr">
        <is>
          <t>Hand Pump Nirman karya Shamshan me in village Majara Govindpura Gram Panchayat NEEM KA KHEDA PS BINDI</t>
        </is>
      </c>
      <c r="G1406" t="inlineStr">
        <is>
          <t>GRAM PANCHAYAT NEEM KA KHEDA</t>
        </is>
      </c>
    </row>
    <row r="1407">
      <c r="A1407" s="1" t="n">
        <v>1405</v>
      </c>
      <c r="B1407">
        <f>HYPERLINK("https://eproc.rajasthan.gov.in/nicgep/app?component=%24DirectLink&amp;page=FrontEndViewTender&amp;service=direct&amp;session=T&amp;sp=SJ%2F6E3bDOV%2Br37lJjmy6z8Q%3D%3D", "Gram Panchayat BAIRWANDA All village, Home to Home Garbage collection and segregation from(residential and commercial)areas, street and drain cleaning and community sanitation,premises cleaning work,GP BAIRWANDA PS SIKRAI")</f>
        <v/>
      </c>
      <c r="C1407" t="inlineStr">
        <is>
          <t>Panchayati Raj Department||Secretary and Commissioner||CEO-DAUSA||BDO-SIKARAI</t>
        </is>
      </c>
      <c r="D1407" t="inlineStr">
        <is>
          <t>24-May-2025 06:00 PM</t>
        </is>
      </c>
      <c r="E1407" t="inlineStr">
        <is>
          <t>7,99,968</t>
        </is>
      </c>
      <c r="F1407" t="inlineStr">
        <is>
          <t>Gram Panchayat BAIRWANDA All village, Home to Home Garbage collection and segregation from(residential and commercial)areas, street and drain cleaning and community sanitation,premises cleaning work,GP BAIRWANDA PS SIKRAI</t>
        </is>
      </c>
      <c r="G1407" t="inlineStr">
        <is>
          <t>Gram Panchayat BAIRWANDA All village, Home to Home</t>
        </is>
      </c>
    </row>
    <row r="1408">
      <c r="A1408" s="1" t="n">
        <v>1406</v>
      </c>
      <c r="B1408">
        <f>HYPERLINK("https://eproc.rajasthan.gov.in/nicgep/app?component=%24DirectLink&amp;page=FrontEndViewTender&amp;service=direct&amp;session=T&amp;sp=SKwhW1McCQJQEfolQJMddKw%3D%3D", "MGNREGA MATERIALS SUPPLY FY 2025-26 GP NADA")</f>
        <v/>
      </c>
      <c r="C1408" t="inlineStr">
        <is>
          <t>Panchayati Raj Department||Secretary and Commissioner||CEO-BIKANER||BDO-POOGAL</t>
        </is>
      </c>
      <c r="D1408" t="inlineStr">
        <is>
          <t>30-May-2025 06:00 PM</t>
        </is>
      </c>
      <c r="E1408" t="inlineStr">
        <is>
          <t>90,00,000</t>
        </is>
      </c>
      <c r="F1408" t="inlineStr">
        <is>
          <t>MGNREGA AND ALL OTHER YOJANA CONSTRUCTION MATERIALS SUPPLY FY 2025-26 GRAM PANCHAYAT NADA</t>
        </is>
      </c>
      <c r="G1408" t="inlineStr">
        <is>
          <t>GP NADA</t>
        </is>
      </c>
    </row>
    <row r="1409">
      <c r="A1409" s="1" t="n">
        <v>1407</v>
      </c>
      <c r="B1409">
        <f>HYPERLINK("https://eproc.rajasthan.gov.in/nicgep/app?component=%24DirectLink&amp;page=FrontEndViewTender&amp;service=direct&amp;session=T&amp;sp=SYhPkXfZucee0U8UPtriVUg%3D%3D", "Construction work of Community Building at public place near Mahadevji in village Bhawarda Gram Panchayat Ramganj PS BUNDI")</f>
        <v/>
      </c>
      <c r="C1409" t="inlineStr">
        <is>
          <t>Panchayati Raj Department||Secretary and Commissioner||CEO-BUNDI||BDO-BUNDI</t>
        </is>
      </c>
      <c r="D1409" t="inlineStr">
        <is>
          <t>27-May-2025 06:00 PM</t>
        </is>
      </c>
      <c r="E1409" t="inlineStr">
        <is>
          <t>15,00,000</t>
        </is>
      </c>
      <c r="F1409" t="inlineStr">
        <is>
          <t>Construction work of Community Building at public place near Mahadevji in village Bhawarda Gram Panchayat Ramganj PS BUNDI</t>
        </is>
      </c>
      <c r="G1409" t="inlineStr">
        <is>
          <t>GRAM PANCHAYAT RAMGANJ</t>
        </is>
      </c>
    </row>
    <row r="1410">
      <c r="A1410" s="1" t="n">
        <v>1408</v>
      </c>
      <c r="B1410">
        <f>HYPERLINK("https://eproc.rajasthan.gov.in/nicgep/app?component=%24DirectLink&amp;page=FrontEndViewTender&amp;service=direct&amp;session=T&amp;sp=ScUeN29PP86xRfUYKqrpq3w%3D%3D", "SBM")</f>
        <v/>
      </c>
      <c r="C1410" t="inlineStr">
        <is>
          <t>Panchayati Raj Department||Secretary and Commissioner||CEO-AJMER||BDO-JAWAJA</t>
        </is>
      </c>
      <c r="D1410" t="inlineStr">
        <is>
          <t>28-May-2025 05:00 PM</t>
        </is>
      </c>
      <c r="E1410" t="inlineStr">
        <is>
          <t>15,27,646</t>
        </is>
      </c>
      <c r="F1410" t="inlineStr">
        <is>
          <t>SBM</t>
        </is>
      </c>
      <c r="G1410" t="inlineStr">
        <is>
          <t>GP</t>
        </is>
      </c>
    </row>
    <row r="1411">
      <c r="A1411" s="1" t="n">
        <v>1409</v>
      </c>
      <c r="B1411">
        <f>HYPERLINK("https://eproc.rajasthan.gov.in/nicgep/app?component=%24DirectLink&amp;page=FrontEndViewTender&amp;service=direct&amp;session=T&amp;sp=SHS0TgOTd6nl%2BtQ3LTfDV4A%3D%3D", "Work including garbage collection and separation from every house (residential and commercial), road and drain cleaning, and cleaning of community sanitation complex in all the villages of Gram Panchayat Nihalpura")</f>
        <v/>
      </c>
      <c r="C1411" t="inlineStr">
        <is>
          <t>Panchayati Raj Department||Secretary and Commissioner||CEO-DAUSA||BDO-BAIJUPADA</t>
        </is>
      </c>
      <c r="D1411" t="inlineStr">
        <is>
          <t>22-May-2025 05:00 PM</t>
        </is>
      </c>
      <c r="E1411" t="inlineStr">
        <is>
          <t>4,49,000</t>
        </is>
      </c>
      <c r="F1411" t="inlineStr">
        <is>
          <t>Work including garbage collection and separation from every house (residential and commercial), road and drain cleaning, and cleaning of community sanitation complex in all the villages of Gram Panchayat Nihalpura</t>
        </is>
      </c>
      <c r="G1411" t="inlineStr">
        <is>
          <t>Gram Panchayat Nihalpura</t>
        </is>
      </c>
    </row>
    <row r="1412">
      <c r="A1412" s="1" t="n">
        <v>1410</v>
      </c>
      <c r="B1412">
        <f>HYPERLINK("https://eproc.rajasthan.gov.in/nicgep/app?component=%24DirectLink&amp;page=FrontEndViewTender&amp;service=direct&amp;session=T&amp;sp=SeaSLbul0H%2Fkka4HrVxmpqg%3D%3D", "Construction of Community building at a public place in village Ramganj GP RAMGANJ PS BUNDI")</f>
        <v/>
      </c>
      <c r="C1412" t="inlineStr">
        <is>
          <t>Panchayati Raj Department||Secretary and Commissioner||CEO-BUNDI||BDO-BUNDI</t>
        </is>
      </c>
      <c r="D1412" t="inlineStr">
        <is>
          <t>27-May-2025 06:00 PM</t>
        </is>
      </c>
      <c r="E1412" t="inlineStr">
        <is>
          <t>25,00,000</t>
        </is>
      </c>
      <c r="F1412" t="inlineStr">
        <is>
          <t>Construction of Community building at a public place in village Ramganj GP RAMGANJ PS BUNDI</t>
        </is>
      </c>
      <c r="G1412" t="inlineStr">
        <is>
          <t>GRAM PANCHAYAT RAMGANJ</t>
        </is>
      </c>
    </row>
    <row r="1413">
      <c r="A1413" s="1" t="n">
        <v>1411</v>
      </c>
      <c r="B1413">
        <f>HYPERLINK("https://eproc.rajasthan.gov.in/nicgep/app?component=%24DirectLink&amp;page=FrontEndViewTender&amp;service=direct&amp;session=T&amp;sp=SIn%2BFST3EWPqzHdlBCT4b%2Fg%3D%3D", "MGNREGA MATERIALS SUPPLY FY 2025-26 GP AMARPURA")</f>
        <v/>
      </c>
      <c r="C1413" t="inlineStr">
        <is>
          <t>Panchayati Raj Department||Secretary and Commissioner||CEO-BIKANER||BDO-POOGAL</t>
        </is>
      </c>
      <c r="D1413" t="inlineStr">
        <is>
          <t>28-May-2025 06:00 PM</t>
        </is>
      </c>
      <c r="E1413" t="inlineStr">
        <is>
          <t>90,00,000</t>
        </is>
      </c>
      <c r="F1413" t="inlineStr">
        <is>
          <t>MGNREGA AND ALL OTHER YOJANA CONSTRUCTION MATERIALS SUPPLY FY 2025-26 GRAM PANCHAYAT AMARPURA AMARPURA</t>
        </is>
      </c>
      <c r="G1413" t="inlineStr">
        <is>
          <t>GP AMARPURA</t>
        </is>
      </c>
    </row>
    <row r="1414">
      <c r="A1414" s="1" t="n">
        <v>1412</v>
      </c>
      <c r="B1414">
        <f>HYPERLINK("https://eproc.rajasthan.gov.in/nicgep/app?component=%24DirectLink&amp;page=FrontEndViewTender&amp;service=direct&amp;session=T&amp;sp=SP0PvnKEni6gPLms%2BFajayQ%3D%3D", "Work including door to door residential and commercial kachra collection and separation road and drainage cleaning and community sanitation complex in all the village of Gram Panchayat area badolas")</f>
        <v/>
      </c>
      <c r="C1414" t="inlineStr">
        <is>
          <t>Panchayati Raj Department||Secretary and Commissioner||CEO-S.MADHOPUR||BDO-SAWAIMADHOPUR</t>
        </is>
      </c>
      <c r="D1414" t="inlineStr">
        <is>
          <t>21-May-2025 06:00 PM</t>
        </is>
      </c>
      <c r="E1414" t="inlineStr">
        <is>
          <t>10,50,000</t>
        </is>
      </c>
      <c r="F1414" t="inlineStr">
        <is>
          <t>Work including door to door residential and commercial kachra collection and separation road and drainage cleaning and community sanitation complex in all the village of Gram Panchayat area badolas</t>
        </is>
      </c>
      <c r="G1414" t="inlineStr">
        <is>
          <t>badolas</t>
        </is>
      </c>
    </row>
    <row r="1415">
      <c r="A1415" s="1" t="n">
        <v>1413</v>
      </c>
      <c r="B1415">
        <f>HYPERLINK("https://eproc.rajasthan.gov.in/nicgep/app?component=%24DirectLink&amp;page=FrontEndViewTender&amp;service=direct&amp;session=T&amp;sp=SMIfaNv1Keh2ssassAr5GFw%3D%3D", "MGNREGA MATERIALS SUPPLY FY 2025-26 GP 2 PB")</f>
        <v/>
      </c>
      <c r="C1415" t="inlineStr">
        <is>
          <t>Panchayati Raj Department||Secretary and Commissioner||CEO-BIKANER||BDO-POOGAL</t>
        </is>
      </c>
      <c r="D1415" t="inlineStr">
        <is>
          <t>28-May-2025 06:00 PM</t>
        </is>
      </c>
      <c r="E1415" t="inlineStr">
        <is>
          <t>90,00,000</t>
        </is>
      </c>
      <c r="F1415" t="inlineStr">
        <is>
          <t>MGNREGA AND ALL OTHER YOJANA CONSTRUCTION MATERIALS SUPPLY FY 2025-26 GRAM PANCHAYAT 2 PB</t>
        </is>
      </c>
      <c r="G1415" t="inlineStr">
        <is>
          <t>GP 2 PB</t>
        </is>
      </c>
    </row>
    <row r="1416">
      <c r="A1416" s="1" t="n">
        <v>1414</v>
      </c>
      <c r="B1416">
        <f>HYPERLINK("https://eproc.rajasthan.gov.in/nicgep/app?component=%24DirectLink&amp;page=FrontEndViewTender&amp;service=direct&amp;session=T&amp;sp=Sn53EXaHKKRGWvs45WJCfpw%3D%3D", "Construction of Public Toilet near Barda ke Balaji temple Gram Panchayat Hattipura PS Bundi")</f>
        <v/>
      </c>
      <c r="C1416" t="inlineStr">
        <is>
          <t>Panchayati Raj Department||Secretary and Commissioner||CEO-BUNDI||BDO-BUNDI</t>
        </is>
      </c>
      <c r="D1416" t="inlineStr">
        <is>
          <t>27-May-2025 06:00 PM</t>
        </is>
      </c>
      <c r="E1416" t="inlineStr">
        <is>
          <t>10,00,000</t>
        </is>
      </c>
      <c r="F1416" t="inlineStr">
        <is>
          <t>Construction of Public Toilet near Barda ke Balaji temple Gram Panchayat Hattipura PS Bundi</t>
        </is>
      </c>
      <c r="G1416" t="inlineStr">
        <is>
          <t>GRAM PANCHAYAT HATTIPURA</t>
        </is>
      </c>
    </row>
    <row r="1417">
      <c r="A1417" s="1" t="n">
        <v>1415</v>
      </c>
      <c r="B1417">
        <f>HYPERLINK("https://eproc.rajasthan.gov.in/nicgep/app?component=%24DirectLink&amp;page=FrontEndViewTender&amp;service=direct&amp;session=T&amp;sp=SMJCb9yonc5h3ztg0BcEvQg%3D%3D", "MGNREGA MATERIALS SUPPLY FY 2025-26 GP SAMMEWALA")</f>
        <v/>
      </c>
      <c r="C1417" t="inlineStr">
        <is>
          <t>Panchayati Raj Department||Secretary and Commissioner||CEO-BIKANER||BDO-POOGAL</t>
        </is>
      </c>
      <c r="D1417" t="inlineStr">
        <is>
          <t>28-May-2025 06:00 PM</t>
        </is>
      </c>
      <c r="E1417" t="inlineStr">
        <is>
          <t>90,00,000</t>
        </is>
      </c>
      <c r="F1417" t="inlineStr">
        <is>
          <t>MGNREGA AND ALL OTHER YOJANA CONSTRUCTION MATERIALS SUPPLY FY 2025-26 GRAM PANCHAYAT SAMMEWALA</t>
        </is>
      </c>
      <c r="G1417" t="inlineStr">
        <is>
          <t>GP SAMMEWALA</t>
        </is>
      </c>
    </row>
    <row r="1418">
      <c r="A1418" s="1" t="n">
        <v>1416</v>
      </c>
      <c r="B1418">
        <f>HYPERLINK("https://eproc.rajasthan.gov.in/nicgep/app?component=%24DirectLink&amp;page=FrontEndViewTender&amp;service=direct&amp;session=T&amp;sp=SEIVc3jmLEaD2GXVeFDYssw%3D%3D", "Construction of CC Nirman Village Sinti se Shamshan tak Gram Panchayat Uleda PS BUNDI")</f>
        <v/>
      </c>
      <c r="C1418" t="inlineStr">
        <is>
          <t>Panchayati Raj Department||Secretary and Commissioner||CEO-BUNDI||BDO-BUNDI</t>
        </is>
      </c>
      <c r="D1418" t="inlineStr">
        <is>
          <t>27-May-2025 06:00 PM</t>
        </is>
      </c>
      <c r="E1418" t="inlineStr">
        <is>
          <t>4,99,000</t>
        </is>
      </c>
      <c r="F1418" t="inlineStr">
        <is>
          <t>Construction of CC Nirman Village Sinti se Shamshan tak Gram Panchayat Uleda PS BUNDI</t>
        </is>
      </c>
      <c r="G1418" t="inlineStr">
        <is>
          <t>GRAM PANCHAYAT ULEDA</t>
        </is>
      </c>
    </row>
    <row r="1419">
      <c r="A1419" s="1" t="n">
        <v>1417</v>
      </c>
      <c r="B1419">
        <f>HYPERLINK("https://eproc.rajasthan.gov.in/nicgep/app?component=%24DirectLink&amp;page=FrontEndViewTender&amp;service=direct&amp;session=T&amp;sp=S3BvYoAEbDsZT%2Ff7sDg%2Frfw%3D%3D", "SBM")</f>
        <v/>
      </c>
      <c r="C1419" t="inlineStr">
        <is>
          <t>Panchayati Raj Department||Secretary and Commissioner||CEO-AJMER||BDO-JAWAJA</t>
        </is>
      </c>
      <c r="D1419" t="inlineStr">
        <is>
          <t>28-May-2025 05:00 PM</t>
        </is>
      </c>
      <c r="E1419" t="inlineStr">
        <is>
          <t>6,99,118</t>
        </is>
      </c>
      <c r="F1419" t="inlineStr">
        <is>
          <t>SBM</t>
        </is>
      </c>
      <c r="G1419" t="inlineStr">
        <is>
          <t>GP</t>
        </is>
      </c>
    </row>
    <row r="1420">
      <c r="A1420" s="1" t="n">
        <v>1418</v>
      </c>
      <c r="B1420">
        <f>HYPERLINK("https://eproc.rajasthan.gov.in/nicgep/app?component=%24DirectLink&amp;page=FrontEndViewTender&amp;service=direct&amp;session=T&amp;sp=SND6GRHUZ%2FNwVh1hS5Mn4Eg%3D%3D", "Work including door-to-door residential and commercial garbage collection and separation road and drain cleaning and community sanitation premises cleaning in all villages of Gram Panchayat KAMALPUR Panchayat Samiti Mahwa Dist. Dausa For FY 2025-26")</f>
        <v/>
      </c>
      <c r="C1420" t="inlineStr">
        <is>
          <t>Panchayati Raj Department||Secretary and Commissioner||CEO-DAUSA||BDO-MAHUVA</t>
        </is>
      </c>
      <c r="D1420" t="inlineStr">
        <is>
          <t>24-May-2025 05:00 PM</t>
        </is>
      </c>
      <c r="E1420" t="inlineStr">
        <is>
          <t>4,99,916</t>
        </is>
      </c>
      <c r="F1420" t="inlineStr">
        <is>
          <t>Work including door-to-door residential and commercial garbage collection and separation road and drain cleaning and community sanitation premises cleaning in all villages of Gram Panchayat KAMALPUR Panchayat Samiti Mahwa Dist. Dausa For FY 2025-26</t>
        </is>
      </c>
      <c r="G1420" t="inlineStr">
        <is>
          <t>Gram Panchayat KAMALPUR</t>
        </is>
      </c>
    </row>
    <row r="1421">
      <c r="A1421" s="1" t="n">
        <v>1419</v>
      </c>
      <c r="B1421">
        <f>HYPERLINK("https://eproc.rajasthan.gov.in/nicgep/app?component=%24DirectLink&amp;page=FrontEndViewTender&amp;service=direct&amp;session=T&amp;sp=SNWejMO56%2FnZpesJHi0AXbA%3D%3D", "SBM")</f>
        <v/>
      </c>
      <c r="C1421" t="inlineStr">
        <is>
          <t>Panchayati Raj Department||Secretary and Commissioner||CEO-AJMER||BDO-JAWAJA</t>
        </is>
      </c>
      <c r="D1421" t="inlineStr">
        <is>
          <t>28-May-2025 05:00 PM</t>
        </is>
      </c>
      <c r="E1421" t="inlineStr">
        <is>
          <t>7,36,270</t>
        </is>
      </c>
      <c r="F1421" t="inlineStr">
        <is>
          <t>SBM</t>
        </is>
      </c>
      <c r="G1421" t="inlineStr">
        <is>
          <t>GP</t>
        </is>
      </c>
    </row>
    <row r="1422">
      <c r="A1422" s="1" t="n">
        <v>1420</v>
      </c>
      <c r="B1422">
        <f>HYPERLINK("https://eproc.rajasthan.gov.in/nicgep/app?component=%24DirectLink&amp;page=FrontEndViewTender&amp;service=direct&amp;session=T&amp;sp=Sh3YQw1d8zzNdLGP%2FqGCM2g%3D%3D", "SBM")</f>
        <v/>
      </c>
      <c r="C1422" t="inlineStr">
        <is>
          <t>Panchayati Raj Department||Secretary and Commissioner||CEO-AJMER||BDO-JAWAJA</t>
        </is>
      </c>
      <c r="D1422" t="inlineStr">
        <is>
          <t>28-May-2025 05:00 PM</t>
        </is>
      </c>
      <c r="E1422" t="inlineStr">
        <is>
          <t>8,27,202</t>
        </is>
      </c>
      <c r="F1422" t="inlineStr">
        <is>
          <t>SBM</t>
        </is>
      </c>
      <c r="G1422" t="inlineStr">
        <is>
          <t>GP</t>
        </is>
      </c>
    </row>
    <row r="1423">
      <c r="A1423" s="1" t="n">
        <v>1421</v>
      </c>
      <c r="B1423">
        <f>HYPERLINK("https://eproc.rajasthan.gov.in/nicgep/app?component=%24DirectLink&amp;page=FrontEndViewTender&amp;service=direct&amp;session=T&amp;sp=Smn235Q%2F5%2BJHXbaKZsH6ryA%3D%3D", "Rate contract for Work Including Garbage Collection and Separation from Households and Commercial Establishments, Road and Drain cleaning, Cleaning of CSCs in all villages of Gram Panchayat Halonda Panchayat Samiti Khandar")</f>
        <v/>
      </c>
      <c r="C1423" t="inlineStr">
        <is>
          <t>Panchayati Raj Department||Secretary and Commissioner||CEO-S.MADHOPUR||BDO-KHANDAR</t>
        </is>
      </c>
      <c r="D1423" t="inlineStr">
        <is>
          <t>25-May-2025 06:00 PM</t>
        </is>
      </c>
      <c r="E1423" t="inlineStr">
        <is>
          <t>12,29,000</t>
        </is>
      </c>
      <c r="F1423" t="inlineStr">
        <is>
          <t>Rate contract for Work Including Garbage Collection and Separation from Households and Commercial Establishments, Road and Drain cleaning, Cleaning of CSCs in all villages of Gram Panchayat Halonda Panchayat Samiti Khandar</t>
        </is>
      </c>
      <c r="G1423" t="inlineStr">
        <is>
          <t>GRAM PANCHAYAT HALONDA</t>
        </is>
      </c>
    </row>
    <row r="1424">
      <c r="A1424" s="1" t="n">
        <v>1422</v>
      </c>
      <c r="B1424">
        <f>HYPERLINK("https://eproc.rajasthan.gov.in/nicgep/app?component=%24DirectLink&amp;page=FrontEndViewTender&amp;service=direct&amp;session=T&amp;sp=S0PJHtEiSu8NPUiTzDZKlbw%3D%3D", "SBM")</f>
        <v/>
      </c>
      <c r="C1424" t="inlineStr">
        <is>
          <t>Panchayati Raj Department||Secretary and Commissioner||CEO-AJMER||BDO-JAWAJA</t>
        </is>
      </c>
      <c r="D1424" t="inlineStr">
        <is>
          <t>28-May-2025 05:00 PM</t>
        </is>
      </c>
      <c r="E1424" t="inlineStr">
        <is>
          <t>7,91,586</t>
        </is>
      </c>
      <c r="F1424" t="inlineStr">
        <is>
          <t>SBM</t>
        </is>
      </c>
      <c r="G1424" t="inlineStr">
        <is>
          <t>GP</t>
        </is>
      </c>
    </row>
    <row r="1425">
      <c r="A1425" s="1" t="n">
        <v>1423</v>
      </c>
      <c r="B1425">
        <f>HYPERLINK("https://eproc.rajasthan.gov.in/nicgep/app?component=%24DirectLink&amp;page=FrontEndViewTender&amp;service=direct&amp;session=T&amp;sp=Sy9jyI5VVGRpZCdIK8%2BlYcQ%3D%3D", "SBM ReTender GP Devpuri/2025-26/30")</f>
        <v/>
      </c>
      <c r="C1425" t="inlineStr">
        <is>
          <t>Panchayati Raj Department||Secretary and Commissioner||CEO-AJMER||BDO-ARAI</t>
        </is>
      </c>
      <c r="D1425" t="inlineStr">
        <is>
          <t>26-May-2025 06:00 PM</t>
        </is>
      </c>
      <c r="E1425" t="inlineStr">
        <is>
          <t>14,83,739</t>
        </is>
      </c>
      <c r="F1425" t="inlineStr">
        <is>
          <t>SBM Tender GP Devpuri 2025-26</t>
        </is>
      </c>
      <c r="G1425" t="inlineStr">
        <is>
          <t>GP Devpuri</t>
        </is>
      </c>
    </row>
    <row r="1426">
      <c r="A1426" s="1" t="n">
        <v>1424</v>
      </c>
      <c r="B1426">
        <f>HYPERLINK("https://eproc.rajasthan.gov.in/nicgep/app?component=%24DirectLink&amp;page=FrontEndViewTender&amp;service=direct&amp;session=T&amp;sp=ShEKF1zIozLRx%2Bc745WmDpA%3D%3D", "Work including door-to-door residential and commercial garbage collection and separation road and drain cleaning and community sanitation premises cleaning in all villages of Gram Panchayat Teekrikilanot Panchayat Samiti Mandawar Dist. Dausa For FY 2")</f>
        <v/>
      </c>
      <c r="C1426" t="inlineStr">
        <is>
          <t>Panchayati Raj Department||Secretary and Commissioner||CEO-DAUSA||BDO-MAHUVA</t>
        </is>
      </c>
      <c r="D1426" t="inlineStr">
        <is>
          <t>24-May-2025 05:00 PM</t>
        </is>
      </c>
      <c r="E1426" t="inlineStr">
        <is>
          <t>6,13,117</t>
        </is>
      </c>
      <c r="F1426" t="inlineStr">
        <is>
          <t>Work including door-to-door residential and commercial garbage collection and separation road and drain cleaning and community sanitation premises cleaning in all villages of Gram Panchayat Teekrikilanot Panchayat Samiti Mandawar Dist. Dausa For FY 2</t>
        </is>
      </c>
      <c r="G1426" t="inlineStr">
        <is>
          <t>Gram Panchayat Teekrikilanot</t>
        </is>
      </c>
    </row>
    <row r="1427">
      <c r="A1427" s="1" t="n">
        <v>1425</v>
      </c>
      <c r="B1427">
        <f>HYPERLINK("https://eproc.rajasthan.gov.in/nicgep/app?component=%24DirectLink&amp;page=FrontEndViewTender&amp;service=direct&amp;session=T&amp;sp=SBQSYOG8OnyH230S5vSf2ng%3D%3D", "MNREGA And RD Scheme All Item Wise (BSR 2025-26) Material Purchases at NOTICE INVITING in TENDERS FOR Gram Panchayat Jegnia Bidawtan PS Ratangarh")</f>
        <v/>
      </c>
      <c r="C1427" t="inlineStr">
        <is>
          <t>Panchayati Raj Department||Secretary and Commissioner||CEO-CHURU||BDO-RATANGARH</t>
        </is>
      </c>
      <c r="D1427" t="inlineStr">
        <is>
          <t>24-May-2025 04:00 PM</t>
        </is>
      </c>
      <c r="E1427" t="inlineStr">
        <is>
          <t>1,00,00,000</t>
        </is>
      </c>
      <c r="F1427" t="inlineStr">
        <is>
          <t>MNREGA And RD Scheme All Item Wise (BSR 2025-26) Material Purchases at NOTICE INVITING in TENDERS FOR Gram Panchayat Jegnia Bidawtan PS Ratangarh</t>
        </is>
      </c>
      <c r="G1427" t="inlineStr">
        <is>
          <t>GP JEGNIA</t>
        </is>
      </c>
    </row>
    <row r="1428">
      <c r="A1428" s="1" t="n">
        <v>1426</v>
      </c>
      <c r="B1428">
        <f>HYPERLINK("https://eproc.rajasthan.gov.in/nicgep/app?component=%24DirectLink&amp;page=FrontEndViewTender&amp;service=direct&amp;session=T&amp;sp=SgtKpol80fIBvNAW3iqsYZg%3D%3D", "Work of supply of material and equipment for Mgnarega and other development schemes in Gram panchayat SIWARA PS Chitalwana For fy 2025-26")</f>
        <v/>
      </c>
      <c r="C1428" t="inlineStr">
        <is>
          <t>Panchayati Raj Department||Secretary and Commissioner||CEO- JALORE||BDO-CHITALWANA</t>
        </is>
      </c>
      <c r="D1428" t="inlineStr">
        <is>
          <t>26-May-2025 12:10 PM</t>
        </is>
      </c>
      <c r="E1428" t="inlineStr">
        <is>
          <t>49,00,000</t>
        </is>
      </c>
      <c r="F1428" t="inlineStr">
        <is>
          <t>Work of supply of material and equipment for Mgnarega and other development schemes in Gram panchayat SIWARA PS Chitalwana For fy 2025-26</t>
        </is>
      </c>
      <c r="G1428" t="inlineStr">
        <is>
          <t>GRAM PANCHAYAT SIWARA PS CHITALWANA</t>
        </is>
      </c>
    </row>
    <row r="1429">
      <c r="A1429" s="1" t="n">
        <v>1427</v>
      </c>
      <c r="B1429">
        <f>HYPERLINK("https://eproc.rajasthan.gov.in/nicgep/app?component=%24DirectLink&amp;page=FrontEndViewTender&amp;service=direct&amp;session=T&amp;sp=Sk1%2FxidHUaaSc2AqFf6cv0A%3D%3D", "MGNREGA MATERIALS SUPPLY FY 2025-26 GP KUMHARWALA")</f>
        <v/>
      </c>
      <c r="C1429" t="inlineStr">
        <is>
          <t>Panchayati Raj Department||Secretary and Commissioner||CEO-BIKANER||BDO-POOGAL</t>
        </is>
      </c>
      <c r="D1429" t="inlineStr">
        <is>
          <t>30-May-2025 06:00 PM</t>
        </is>
      </c>
      <c r="E1429" t="inlineStr">
        <is>
          <t>90,00,000</t>
        </is>
      </c>
      <c r="F1429" t="inlineStr">
        <is>
          <t>MGNREGA AND ALL OTHER YOJANA CONSTRUCTION MATERIALS SUPPLY FY 2025-26 GRAM PANCHAYAT KUMHARWALA</t>
        </is>
      </c>
      <c r="G1429" t="inlineStr">
        <is>
          <t>GP KUMHARWALA</t>
        </is>
      </c>
    </row>
    <row r="1430">
      <c r="A1430" s="1" t="n">
        <v>1428</v>
      </c>
      <c r="B1430">
        <f>HYPERLINK("https://eproc.rajasthan.gov.in/nicgep/app?component=%24DirectLink&amp;page=FrontEndViewTender&amp;service=direct&amp;session=T&amp;sp=SxozKJk2KNQj5j%2BdG7xvC5w%3D%3D", "Construction of Cluster Level Federation (CLF) building work near Panchayat Samiti Bundi PS Bundi")</f>
        <v/>
      </c>
      <c r="C1430" t="inlineStr">
        <is>
          <t>Panchayati Raj Department||Secretary and Commissioner||CEO-BUNDI||BDO-BUNDI</t>
        </is>
      </c>
      <c r="D1430" t="inlineStr">
        <is>
          <t>27-May-2025 06:00 PM</t>
        </is>
      </c>
      <c r="E1430" t="inlineStr">
        <is>
          <t>11,99,918</t>
        </is>
      </c>
      <c r="F1430" t="inlineStr">
        <is>
          <t>Construction of Cluster Level Federation (CLF) building work near Panchayat Samiti Bundi PS Bundi</t>
        </is>
      </c>
      <c r="G1430" t="inlineStr">
        <is>
          <t>PANCHAYAT SAMITI BUNDI</t>
        </is>
      </c>
    </row>
    <row r="1431">
      <c r="A1431" s="1" t="n">
        <v>1429</v>
      </c>
      <c r="B1431">
        <f>HYPERLINK("https://eproc.rajasthan.gov.in/nicgep/app?component=%24DirectLink&amp;page=FrontEndViewTender&amp;service=direct&amp;session=T&amp;sp=Su1chYT3A0kcmJig7mhKggw%3D%3D", "Under the Swachh Bharat Mission Scheme, work including garbage collection and separation from households and commercial establishments, road and drain cleaning, and cleaning of community sanitation premises in all the villages of the GP TAMPI,")</f>
        <v/>
      </c>
      <c r="C1431" t="inlineStr">
        <is>
          <t>Panchayati Raj Department||Secretary and Commissioner||CEO- JALORE||BDO-CHITALWANA</t>
        </is>
      </c>
      <c r="D1431" t="inlineStr">
        <is>
          <t>26-May-2025 12:10 PM</t>
        </is>
      </c>
      <c r="E1431" t="inlineStr">
        <is>
          <t>12,46,025</t>
        </is>
      </c>
      <c r="F1431" t="inlineStr">
        <is>
          <t>Under the Swachh Bharat Mission Scheme, work including garbage collection and separation from households and commercial establishments, road and drain cleaning, and cleaning of community sanitation premises in all the villages of the GP TAMPI,</t>
        </is>
      </c>
      <c r="G1431" t="inlineStr">
        <is>
          <t>GRAM PANCHAYAT TAMPI PS CHITALWANA</t>
        </is>
      </c>
    </row>
    <row r="1432">
      <c r="A1432" s="1" t="n">
        <v>1430</v>
      </c>
      <c r="B1432">
        <f>HYPERLINK("https://eproc.rajasthan.gov.in/nicgep/app?component=%24DirectLink&amp;page=FrontEndViewTender&amp;service=direct&amp;session=T&amp;sp=SUCBglwHXGGrsaJf5TpOSbg%3D%3D", "Supply of Construction in Gram Panchayat chandnoli in Panchayat Samiti Malarana Doongar Under MNREGA, RD And OTHER Scheme for the year 2025-26")</f>
        <v/>
      </c>
      <c r="C1432" t="inlineStr">
        <is>
          <t>Panchayati Raj Department||Secretary and Commissioner||CEO-S.MADHOPUR||BDO-MALARANA DUNGAR</t>
        </is>
      </c>
      <c r="D1432" t="inlineStr">
        <is>
          <t>27-May-2025 06:00 PM</t>
        </is>
      </c>
      <c r="E1432" t="inlineStr">
        <is>
          <t>50,00,000</t>
        </is>
      </c>
      <c r="F1432" t="inlineStr">
        <is>
          <t>Supply of Construction in Gram Panchayat chandnoli in Panchayat Samiti Malarana Doongar Under MNREGA, RD And OTHER Scheme for the year 2025-26</t>
        </is>
      </c>
      <c r="G1432" t="inlineStr">
        <is>
          <t>gram panchayat chandnoli</t>
        </is>
      </c>
    </row>
    <row r="1433">
      <c r="A1433" s="1" t="n">
        <v>1431</v>
      </c>
      <c r="B1433">
        <f>HYPERLINK("https://eproc.rajasthan.gov.in/nicgep/app?component=%24DirectLink&amp;page=FrontEndViewTender&amp;service=direct&amp;session=T&amp;sp=S5pLgwbAS89XdTRW5xoArOg%3D%3D", "Rate contract For supply of Construcation Material and Providing Equipments for MGNREGA in Gram panchayat Teekrikilanot Panchayat samiti Mandawar For FY 2025-26 UP to 31 March 2026 (ITEM WISE RATE AS PEAR ATTACHED G SCHEDULE")</f>
        <v/>
      </c>
      <c r="C1433" t="inlineStr">
        <is>
          <t>Panchayati Raj Department||Secretary and Commissioner||CEO-DAUSA||BDO-MAHUVA</t>
        </is>
      </c>
      <c r="D1433" t="inlineStr">
        <is>
          <t>29-May-2025 05:00 PM</t>
        </is>
      </c>
      <c r="E1433" t="inlineStr">
        <is>
          <t>35,00,000</t>
        </is>
      </c>
      <c r="F1433" t="inlineStr">
        <is>
          <t>Rate contract For supply of Construcation Material and Providing Equipments for MGNREGA in Gram panchayat Teekrikilanot Panchayat samiti Mandawar For FY 2025-26 UP to 31 March 2026 (ITEM WISE RATE AS PEAR ATTACHED G SCHEDULE</t>
        </is>
      </c>
      <c r="G1433" t="inlineStr">
        <is>
          <t>Gram panchayat Teekrikilanot</t>
        </is>
      </c>
    </row>
    <row r="1434">
      <c r="A1434" s="1" t="n">
        <v>1432</v>
      </c>
      <c r="B1434">
        <f>HYPERLINK("https://eproc.rajasthan.gov.in/nicgep/app?component=%24DirectLink&amp;page=FrontEndViewTender&amp;service=direct&amp;session=T&amp;sp=Six5Cr7iw46tsV%2BzVGi8q4Q%3D%3D", "Play Ground development work in Village Umrach Government Upper Primary School with Construction of Boundary wall Gram Panchayat RAMGANJ PS Bundi")</f>
        <v/>
      </c>
      <c r="C1434" t="inlineStr">
        <is>
          <t>Panchayati Raj Department||Secretary and Commissioner||CEO-BUNDI||BDO-BUNDI</t>
        </is>
      </c>
      <c r="D1434" t="inlineStr">
        <is>
          <t>27-May-2025 06:00 PM</t>
        </is>
      </c>
      <c r="E1434" t="inlineStr">
        <is>
          <t>17,77,646</t>
        </is>
      </c>
      <c r="F1434" t="inlineStr">
        <is>
          <t>Play Ground development work in Village Umrach Government Upper Primary School with Construction of Boundary wall Gram Panchayat RAMGANJ PS Bundi</t>
        </is>
      </c>
      <c r="G1434" t="inlineStr">
        <is>
          <t>GRAM PANCHAYAT RAMGANJ</t>
        </is>
      </c>
    </row>
    <row r="1435">
      <c r="A1435" s="1" t="n">
        <v>1433</v>
      </c>
      <c r="B1435">
        <f>HYPERLINK("https://eproc.rajasthan.gov.in/nicgep/app?component=%24DirectLink&amp;page=FrontEndViewTender&amp;service=direct&amp;session=T&amp;sp=SKK9l21rWLQDi9FmdUjqRVw%3D%3D", "MATERIALS AND EQUIPMENT SUPPLY IN MGREGA AND RD PRD SCHEME GP SOMNA")</f>
        <v/>
      </c>
      <c r="C1435" t="inlineStr">
        <is>
          <t>Panchayati Raj Department||Secretary and Commissioner||CEO-NAGORE||BDO-JAYAL</t>
        </is>
      </c>
      <c r="D1435" t="inlineStr">
        <is>
          <t>24-May-2025 06:55 PM</t>
        </is>
      </c>
      <c r="E1435" t="inlineStr">
        <is>
          <t>50,00,000</t>
        </is>
      </c>
      <c r="F1435" t="inlineStr">
        <is>
          <t>MATERIALS AND EQUIPMENT SUPPLY IN MGREGA AND RD PRD SCHEME GP SOMNA</t>
        </is>
      </c>
      <c r="G1435" t="inlineStr">
        <is>
          <t>gp somna</t>
        </is>
      </c>
    </row>
    <row r="1436">
      <c r="A1436" s="1" t="n">
        <v>1434</v>
      </c>
      <c r="B1436">
        <f>HYPERLINK("https://eproc.rajasthan.gov.in/nicgep/app?component=%24DirectLink&amp;page=FrontEndViewTender&amp;service=direct&amp;session=T&amp;sp=SV2nPgDtpcsPDp95oB%2BFjBA%3D%3D", "SUPPLY OF BUILDING MATERIALAND EQUIPMENT IN GP PUNJABERI PS GUDAMALANI")</f>
        <v/>
      </c>
      <c r="C1436" t="inlineStr">
        <is>
          <t>Panchayati Raj Department||Secretary and Commissioner||CEO-BADMER||BDO-GUDHAMALANI</t>
        </is>
      </c>
      <c r="D1436" t="inlineStr">
        <is>
          <t>26-May-2025 06:00 PM</t>
        </is>
      </c>
      <c r="E1436" t="inlineStr">
        <is>
          <t>50,00,000</t>
        </is>
      </c>
      <c r="F1436" t="inlineStr">
        <is>
          <t>SUPPLY OF BUILDING MATERIALAND EQUIPMENT IN GP PUNJABERI PS GUDAMALANI</t>
        </is>
      </c>
      <c r="G1436" t="inlineStr">
        <is>
          <t>GRAM PANCHAYAT PUNJABERI PS GUDAMALANI</t>
        </is>
      </c>
    </row>
    <row r="1437">
      <c r="A1437" s="1" t="n">
        <v>1435</v>
      </c>
      <c r="B1437">
        <f>HYPERLINK("https://eproc.rajasthan.gov.in/nicgep/app?component=%24DirectLink&amp;page=FrontEndViewTender&amp;service=direct&amp;session=T&amp;sp=S5xi92Py0uWMYBiXauSjd9Q%3D%3D", "Supply of Construction Materials and Service of Equipments (Financial Year 2025-26) for Gram Panchayat Sindesar kala.")</f>
        <v/>
      </c>
      <c r="C1437" t="inlineStr">
        <is>
          <t>Panchayati Raj Department||Secretary and Commissioner||CEO-RAJSAMAND||BDO-RAILMAGARA</t>
        </is>
      </c>
      <c r="D1437" t="inlineStr">
        <is>
          <t>24-May-2025 06:00 PM</t>
        </is>
      </c>
      <c r="E1437" t="inlineStr">
        <is>
          <t>50,00,000</t>
        </is>
      </c>
      <c r="F1437" t="inlineStr">
        <is>
          <t>Supply of Construction Materials and Service of Equipments (Financial Year 2025-26) for Gram Panchayat Sindesar kala.</t>
        </is>
      </c>
      <c r="G1437" t="inlineStr">
        <is>
          <t>GRAM PANCHAYAT SINDESAR KALA</t>
        </is>
      </c>
    </row>
    <row r="1438">
      <c r="A1438" s="1" t="n">
        <v>1436</v>
      </c>
      <c r="B1438">
        <f>HYPERLINK("https://eproc.rajasthan.gov.in/nicgep/app?component=%24DirectLink&amp;page=FrontEndViewTender&amp;service=direct&amp;session=T&amp;sp=SKGAZSa6WU%2FS8Yu%2FLuEiJdQ%3D%3D", "SBM")</f>
        <v/>
      </c>
      <c r="C1438" t="inlineStr">
        <is>
          <t>Panchayati Raj Department||Secretary and Commissioner||CEO-AJMER||BDO-JAWAJA</t>
        </is>
      </c>
      <c r="D1438" t="inlineStr">
        <is>
          <t>28-May-2025 05:00 PM</t>
        </is>
      </c>
      <c r="E1438" t="inlineStr">
        <is>
          <t>6,91,237</t>
        </is>
      </c>
      <c r="F1438" t="inlineStr">
        <is>
          <t>SBM</t>
        </is>
      </c>
      <c r="G1438" t="inlineStr">
        <is>
          <t>GP</t>
        </is>
      </c>
    </row>
    <row r="1439">
      <c r="A1439" s="1" t="n">
        <v>1437</v>
      </c>
      <c r="B1439">
        <f>HYPERLINK("https://eproc.rajasthan.gov.in/nicgep/app?component=%24DirectLink&amp;page=FrontEndViewTender&amp;service=direct&amp;session=T&amp;sp=Soa%2Fge1aGy70ny1w6%2B8ZIgw%3D%3D", "Door to Door residential or community Garbedge collection, street and drain cleaning and out in all the villages of panchayat samiti PIRAWA JILA JHALAWAR at gram PANCHAYAT HIMMATGARH KE GRAM HIMMATGARH ME")</f>
        <v/>
      </c>
      <c r="C1439" t="inlineStr">
        <is>
          <t>Panchayati Raj Department||Secretary and Commissioner||CEO- JHALAWAR||BDO-PIRAWA</t>
        </is>
      </c>
      <c r="D1439" t="inlineStr">
        <is>
          <t>21-May-2025 06:00 PM</t>
        </is>
      </c>
      <c r="E1439" t="inlineStr">
        <is>
          <t>6,12,902</t>
        </is>
      </c>
      <c r="F1439" t="inlineStr">
        <is>
          <t>Door to Door residential or community Garbedge collection, street and drain cleaning and out in all the villages of panchayat samiti PIRAWA JILA JHALAWAR at gram PANCHAYAT HIMMATGARH KE GRAM HIMMATGARH ME</t>
        </is>
      </c>
      <c r="G1439" t="inlineStr">
        <is>
          <t>JHALAWAR</t>
        </is>
      </c>
    </row>
    <row r="1440">
      <c r="A1440" s="1" t="n">
        <v>1438</v>
      </c>
      <c r="B1440">
        <f>HYPERLINK("https://eproc.rajasthan.gov.in/nicgep/app?component=%24DirectLink&amp;page=FrontEndViewTender&amp;service=direct&amp;session=T&amp;sp=SJSEslem%2BP1eCpLLzq0CNBQ%3D%3D", "Works Including Door-To-Door (Residential And Commercial) Waste Collection And Segregation, Road And Drain Cleaning, And Community Sanitation Premises Cleaning In All Villages Of The Gram Panchayat kishorpura")</f>
        <v/>
      </c>
      <c r="C1440" t="inlineStr">
        <is>
          <t>Panchayati Raj Department||Secretary and Commissioner||CEO-SIKAR||BDO-AJEET GARH</t>
        </is>
      </c>
      <c r="D1440" t="inlineStr">
        <is>
          <t>21-May-2025 06:00 PM</t>
        </is>
      </c>
      <c r="E1440" t="inlineStr">
        <is>
          <t>7,34,000</t>
        </is>
      </c>
      <c r="F1440" t="inlineStr">
        <is>
          <t>Works Including Door-To-Door (Residential And Commercial) Waste Collection And Segregation, Road And Drain Cleaning, And Community Sanitation Premises Cleaning In All Villages Of The Gram Panchayat kishorpura</t>
        </is>
      </c>
      <c r="G1440" t="inlineStr">
        <is>
          <t>gp kishorpura</t>
        </is>
      </c>
    </row>
    <row r="1441">
      <c r="A1441" s="1" t="n">
        <v>1439</v>
      </c>
      <c r="B1441">
        <f>HYPERLINK("https://eproc.rajasthan.gov.in/nicgep/app?component=%24DirectLink&amp;page=FrontEndViewTender&amp;service=direct&amp;session=T&amp;sp=SaGurpD%2FYFocoT0W4mt%2BIrg%3D%3D", "SUPPLY OF BUILDING MATERIAL AND EQUIPMENT IN GP BARASAN PS GUDAMALANI")</f>
        <v/>
      </c>
      <c r="C1441" t="inlineStr">
        <is>
          <t>Panchayati Raj Department||Secretary and Commissioner||CEO-BADMER||BDO-GUDHAMALANI</t>
        </is>
      </c>
      <c r="D1441" t="inlineStr">
        <is>
          <t>26-May-2025 06:00 PM</t>
        </is>
      </c>
      <c r="E1441" t="inlineStr">
        <is>
          <t>70,00,000</t>
        </is>
      </c>
      <c r="F1441" t="inlineStr">
        <is>
          <t>SUPPLY OF BUILDING MATERIAL AND EQUIPMENT IN GP BARASAN PS GUDAMALANI</t>
        </is>
      </c>
      <c r="G1441" t="inlineStr">
        <is>
          <t>GRAM PANCHAYAT BARASAN PS GUDAMALANI</t>
        </is>
      </c>
    </row>
    <row r="1442">
      <c r="A1442" s="1" t="n">
        <v>1440</v>
      </c>
      <c r="B1442">
        <f>HYPERLINK("https://eproc.rajasthan.gov.in/nicgep/app?component=%24DirectLink&amp;page=FrontEndViewTender&amp;service=direct&amp;session=T&amp;sp=Sn7l4oNRwI1c9NlEdbjWAuQ%3D%3D", "Door to Door residential or community Garbedge collection, street and drain cleaning and out in all the villages of panchayat samiti PIRAWA JILA JHALAWAR at gram PANCHAYAT DANTA KE GRAM DANTA ME")</f>
        <v/>
      </c>
      <c r="C1442" t="inlineStr">
        <is>
          <t>Panchayati Raj Department||Secretary and Commissioner||CEO- JHALAWAR||BDO-PIRAWA</t>
        </is>
      </c>
      <c r="D1442" t="inlineStr">
        <is>
          <t>21-May-2025 06:00 PM</t>
        </is>
      </c>
      <c r="E1442" t="inlineStr">
        <is>
          <t>3,49,104</t>
        </is>
      </c>
      <c r="F1442" t="inlineStr">
        <is>
          <t>Door to Door residential or community Garbedge collection, street and drain cleaning and out in all the villages of panchayat samiti PIRAWA JILA JHALAWAR at gram PANCHAYAT DANTA KE GRAM DANTA ME</t>
        </is>
      </c>
      <c r="G1442" t="inlineStr">
        <is>
          <t>JHALAWAR</t>
        </is>
      </c>
    </row>
    <row r="1443">
      <c r="A1443" s="1" t="n">
        <v>1441</v>
      </c>
      <c r="B1443">
        <f>HYPERLINK("https://eproc.rajasthan.gov.in/nicgep/app?component=%24DirectLink&amp;page=FrontEndViewTender&amp;service=direct&amp;session=T&amp;sp=S%2FySVhlTM44abba9K2kBzTQ%3D%3D", "Door to Door residential or community Garbedge collection, street and drain cleaning and out in all the villages of panchayat samiti PIRAWA JILA JHALAWAR at gram PANCHAYAT DANTA KE GRAM NARANA KHEDI KHEJLIYA BALDA ME")</f>
        <v/>
      </c>
      <c r="C1443" t="inlineStr">
        <is>
          <t>Panchayati Raj Department||Secretary and Commissioner||CEO- JHALAWAR||BDO-PIRAWA</t>
        </is>
      </c>
      <c r="D1443" t="inlineStr">
        <is>
          <t>21-May-2025 06:00 PM</t>
        </is>
      </c>
      <c r="E1443" t="inlineStr">
        <is>
          <t>8,84,624</t>
        </is>
      </c>
      <c r="F1443" t="inlineStr">
        <is>
          <t>Door to Door residential or community Garbedge collection, street and drain cleaning and out in all the villages of panchayat samiti PIRAWA JILA JHALAWAR at gram PANCHAYAT DANTA KE GRAM NARANA KHEDI KHEJLIYA BALDA ME</t>
        </is>
      </c>
      <c r="G1443" t="inlineStr">
        <is>
          <t>JHALAWAR</t>
        </is>
      </c>
    </row>
    <row r="1444">
      <c r="A1444" s="1" t="n">
        <v>1442</v>
      </c>
      <c r="B1444">
        <f>HYPERLINK("https://eproc.rajasthan.gov.in/nicgep/app?component=%24DirectLink&amp;page=FrontEndViewTender&amp;service=direct&amp;session=T&amp;sp=S%2F5XFE4P4rPEfG%2FBR8v83rA%3D%3D", "SBM")</f>
        <v/>
      </c>
      <c r="C1444" t="inlineStr">
        <is>
          <t>Panchayati Raj Department||Secretary and Commissioner||CEO-AJMER||BDO-JAWAJA</t>
        </is>
      </c>
      <c r="D1444" t="inlineStr">
        <is>
          <t>28-May-2025 05:00 PM</t>
        </is>
      </c>
      <c r="E1444" t="inlineStr">
        <is>
          <t>5,34,427</t>
        </is>
      </c>
      <c r="F1444" t="inlineStr">
        <is>
          <t>SBM</t>
        </is>
      </c>
      <c r="G1444" t="inlineStr">
        <is>
          <t>GP</t>
        </is>
      </c>
    </row>
    <row r="1445">
      <c r="A1445" s="1" t="n">
        <v>1443</v>
      </c>
      <c r="B1445">
        <f>HYPERLINK("https://eproc.rajasthan.gov.in/nicgep/app?component=%24DirectLink&amp;page=FrontEndViewTender&amp;service=direct&amp;session=T&amp;sp=S9eqecWxNXU%2BkxC%2FCW%2B%2Bqyw%3D%3D", "Door to Door residential or community Garbedge collection, street and drain cleaning and out in all the villages of panchayat samiti PIRAWA JILA JHALAWAR at gram PANCHAYAT DHARONIYA KE GRAM SARONIYA ME")</f>
        <v/>
      </c>
      <c r="C1445" t="inlineStr">
        <is>
          <t>Panchayati Raj Department||Secretary and Commissioner||CEO- JHALAWAR||BDO-PIRAWA</t>
        </is>
      </c>
      <c r="D1445" t="inlineStr">
        <is>
          <t>21-May-2025 06:00 PM</t>
        </is>
      </c>
      <c r="E1445" t="inlineStr">
        <is>
          <t>3,87,238</t>
        </is>
      </c>
      <c r="F1445" t="inlineStr">
        <is>
          <t>Door to Door residential or community Garbedge collection, street and drain cleaning and out in all the villages of panchayat samiti PIRAWA JILA JHALAWAR at gram PANCHAYAT DHARONIYA KE GRAM SARONIYA ME</t>
        </is>
      </c>
      <c r="G1445" t="inlineStr">
        <is>
          <t>JHALAWAR</t>
        </is>
      </c>
    </row>
    <row r="1446">
      <c r="A1446" s="1" t="n">
        <v>1444</v>
      </c>
      <c r="B1446">
        <f>HYPERLINK("https://eproc.rajasthan.gov.in/nicgep/app?component=%24DirectLink&amp;page=FrontEndViewTender&amp;service=direct&amp;session=T&amp;sp=SQZPu1D3fl4NxPmkMVNo1vw%3D%3D", "cleaning and sanitation work for gp thubli")</f>
        <v/>
      </c>
      <c r="C1446" t="inlineStr">
        <is>
          <t>Panchayati Raj Department||Secretary and Commissioner||CEO-BADMER||BDO-KALYANPUR</t>
        </is>
      </c>
      <c r="D1446" t="inlineStr">
        <is>
          <t>20-May-2025 05:00 PM</t>
        </is>
      </c>
      <c r="E1446" t="inlineStr">
        <is>
          <t>6,02,909</t>
        </is>
      </c>
      <c r="F1446" t="inlineStr">
        <is>
          <t>cleaning and sanitation work for gp thumbali</t>
        </is>
      </c>
      <c r="G1446" t="inlineStr">
        <is>
          <t>gp thumbali</t>
        </is>
      </c>
    </row>
    <row r="1447">
      <c r="A1447" s="1" t="n">
        <v>1445</v>
      </c>
      <c r="B1447">
        <f>HYPERLINK("https://eproc.rajasthan.gov.in/nicgep/app?component=%24DirectLink&amp;page=FrontEndViewTender&amp;service=direct&amp;session=T&amp;sp=S%2FPuUhJfbFJa1TtrO2n8K4A%3D%3D", "GRAM PANCHAYAT KE SAMAST GAVO ME GHR GRH SE KACHRA SANGRHAN V PRATHAKKRAN V NALI SAFAI V CSC SAFAI GP BHALOTAN KI KHEDI")</f>
        <v/>
      </c>
      <c r="C1447" t="inlineStr">
        <is>
          <t>Panchayati Raj Department||Secretary and Commissioner||CEO-CHITTORGARH||BDO-RASHMI</t>
        </is>
      </c>
      <c r="D1447" t="inlineStr">
        <is>
          <t>23-May-2025 10:00 AM</t>
        </is>
      </c>
      <c r="E1447" t="inlineStr">
        <is>
          <t>5,50,110</t>
        </is>
      </c>
      <c r="F1447" t="inlineStr">
        <is>
          <t>GRAM PANCHAYAT KE SAMAST GAVO ME GHR GRH SE KACHRA SANGRHAN V PRATHAKKRAN V NALI SAFAI V CSC SAFAI GP BHALOTAN KI KHEDI</t>
        </is>
      </c>
      <c r="G1447" t="inlineStr">
        <is>
          <t>gram panchayat BHALOTAN KI KHEDI</t>
        </is>
      </c>
    </row>
    <row r="1448">
      <c r="A1448" s="1" t="n">
        <v>1446</v>
      </c>
      <c r="B1448">
        <f>HYPERLINK("https://eproc.rajasthan.gov.in/nicgep/app?component=%24DirectLink&amp;page=FrontEndViewTender&amp;service=direct&amp;session=T&amp;sp=Srp7PQQyV8gfFYrWgQlTA0g%3D%3D", "Gram panchayat Rampurauti m ghar b vyavsayak pritisthano se kachara collection , segreegation, sadak b nali safai karya , samudayak swacchata parishar ki safai karya")</f>
        <v/>
      </c>
      <c r="C1448" t="inlineStr">
        <is>
          <t>Panchayati Raj Department||Secretary and Commissioner||CEO- JAIPUR||BDO-SANGANER</t>
        </is>
      </c>
      <c r="D1448" t="inlineStr">
        <is>
          <t>23-May-2025 05:00 PM</t>
        </is>
      </c>
      <c r="E1448" t="inlineStr">
        <is>
          <t>20,24,000</t>
        </is>
      </c>
      <c r="F1448" t="inlineStr">
        <is>
          <t>Gram panchayat Rampurauti m ghar b vyavsayak pritisthano se kachara collection , segreegation, sadak b nali safai karya , samudayak swacchata parishar ki safai karya</t>
        </is>
      </c>
      <c r="G1448" t="inlineStr">
        <is>
          <t>as per nit</t>
        </is>
      </c>
    </row>
    <row r="1449">
      <c r="A1449" s="1" t="n">
        <v>1447</v>
      </c>
      <c r="B1449">
        <f>HYPERLINK("https://eproc.rajasthan.gov.in/nicgep/app?component=%24DirectLink&amp;page=FrontEndViewTender&amp;service=direct&amp;session=T&amp;sp=SdVy%2FOOfJxhv0gUjroKdaew%3D%3D", "Rate contract for Work Including Garbage Collection and Separation from Households and Commercial Establishments, Road and Drain cleaning, Cleaning of CSCs in all villages of Gram Panchayat Rodawad Panchayat Samiti Khandar")</f>
        <v/>
      </c>
      <c r="C1449" t="inlineStr">
        <is>
          <t>Panchayati Raj Department||Secretary and Commissioner||CEO-S.MADHOPUR||BDO-KHANDAR</t>
        </is>
      </c>
      <c r="D1449" t="inlineStr">
        <is>
          <t>25-May-2025 06:00 PM</t>
        </is>
      </c>
      <c r="E1449" t="inlineStr">
        <is>
          <t>20,13,000</t>
        </is>
      </c>
      <c r="F1449" t="inlineStr">
        <is>
          <t>Rate contract for Work Including Garbage Collection and Separation from Households and Commercial Establishments, Road and Drain cleaning, Cleaning of CSCs in all villages of Gram Panchayat Rodawad Panchayat Samiti Khandar</t>
        </is>
      </c>
      <c r="G1449" t="inlineStr">
        <is>
          <t>GRAM PANCHAYAT RODAWAD</t>
        </is>
      </c>
    </row>
    <row r="1450">
      <c r="A1450" s="1" t="n">
        <v>1448</v>
      </c>
      <c r="B1450">
        <f>HYPERLINK("https://eproc.rajasthan.gov.in/nicgep/app?component=%24DirectLink&amp;page=FrontEndViewTender&amp;service=direct&amp;session=T&amp;sp=SmteFQ7gX3WKkDBUpYkSHow%3D%3D", "Work including door-to-door residential and commercial garbage collection and separation road and drain cleaning and community sanitation premises cleaning in all villages of Gram Panchayat Bavdikheda Panchayat Samiti Mandawar Dist. Dausa For FY 2025")</f>
        <v/>
      </c>
      <c r="C1450" t="inlineStr">
        <is>
          <t>Panchayati Raj Department||Secretary and Commissioner||CEO-DAUSA||BDO-MAHUVA</t>
        </is>
      </c>
      <c r="D1450" t="inlineStr">
        <is>
          <t>24-May-2025 05:00 PM</t>
        </is>
      </c>
      <c r="E1450" t="inlineStr">
        <is>
          <t>4,15,629</t>
        </is>
      </c>
      <c r="F1450" t="inlineStr">
        <is>
          <t>Work including door-to-door residential and commercial garbage collection and separation road and drain cleaning and community sanitation premises cleaning in all villages of Gram Panchayat Bavdikheda Panchayat Samiti Mandawar Dist. Dausa For FY 2025</t>
        </is>
      </c>
      <c r="G1450" t="inlineStr">
        <is>
          <t>Gram Panchayat Bavdikheda</t>
        </is>
      </c>
    </row>
    <row r="1451">
      <c r="A1451" s="1" t="n">
        <v>1449</v>
      </c>
      <c r="B1451">
        <f>HYPERLINK("https://eproc.rajasthan.gov.in/nicgep/app?component=%24DirectLink&amp;page=FrontEndViewTender&amp;service=direct&amp;session=T&amp;sp=SElMqHgbCABkucQ3EyyPlDA%3D%3D", "Collection of wastage in Residential and Commercial Building from all Villages in Gram Panchayat Road, Nali Cleaning and CSC Campus GP Daylana Kallan")</f>
        <v/>
      </c>
      <c r="C1451" t="inlineStr">
        <is>
          <t>Panchayati Raj Department||Secretary and Commissioner||CEO-PALI||BDO-RANISTATION</t>
        </is>
      </c>
      <c r="D1451" t="inlineStr">
        <is>
          <t>26-May-2025 01:00 PM</t>
        </is>
      </c>
      <c r="E1451" t="inlineStr">
        <is>
          <t>18,63,000</t>
        </is>
      </c>
      <c r="F1451" t="inlineStr">
        <is>
          <t>Collection of wastage in Residential and Commercial Building from all Villages in Gram Panchayat Road, Nali Cleaning and CSC Campus GP Daylana Kallan</t>
        </is>
      </c>
      <c r="G1451" t="inlineStr">
        <is>
          <t>Gram Panchayat Daylana Kallan</t>
        </is>
      </c>
    </row>
    <row r="1452">
      <c r="A1452" s="1" t="n">
        <v>1450</v>
      </c>
      <c r="B1452">
        <f>HYPERLINK("https://eproc.rajasthan.gov.in/nicgep/app?component=%24DirectLink&amp;page=FrontEndViewTender&amp;service=direct&amp;session=T&amp;sp=SiOdR76mqE%2BUA9ABOCyeAwg%3D%3D", "Collection of wastage in Residential and Commercial Building from all Villages in Gram Panchayat Road, Nali Cleaning and CSC Campus GP Desuri")</f>
        <v/>
      </c>
      <c r="C1452" t="inlineStr">
        <is>
          <t>Panchayati Raj Department||Secretary and Commissioner||CEO-PALI||BDO-RANISTATION</t>
        </is>
      </c>
      <c r="D1452" t="inlineStr">
        <is>
          <t>26-May-2025 01:00 PM</t>
        </is>
      </c>
      <c r="E1452" t="inlineStr">
        <is>
          <t>49,49,000</t>
        </is>
      </c>
      <c r="F1452" t="inlineStr">
        <is>
          <t>Collection of wastage in Residential and Commercial Building from all Villages in Gram Panchayat Road, Nali Cleaning and CSC Campus GP Desuri</t>
        </is>
      </c>
      <c r="G1452" t="inlineStr">
        <is>
          <t>Gram Panchayat Desuri</t>
        </is>
      </c>
    </row>
    <row r="1453">
      <c r="A1453" s="1" t="n">
        <v>1451</v>
      </c>
      <c r="B1453">
        <f>HYPERLINK("https://eproc.rajasthan.gov.in/nicgep/app?component=%24DirectLink&amp;page=FrontEndViewTender&amp;service=direct&amp;session=T&amp;sp=SU9o73gdHfIjGpi9UIfewVA%3D%3D", "Collection of wastage in Residential and Commercial Building from all Villages in Gram Panchayat Road, Nali Cleaning and CSC Campus GP Dudapura")</f>
        <v/>
      </c>
      <c r="C1453" t="inlineStr">
        <is>
          <t>Panchayati Raj Department||Secretary and Commissioner||CEO-PALI||BDO-RANISTATION</t>
        </is>
      </c>
      <c r="D1453" t="inlineStr">
        <is>
          <t>26-May-2025 01:00 PM</t>
        </is>
      </c>
      <c r="E1453" t="inlineStr">
        <is>
          <t>14,03,000</t>
        </is>
      </c>
      <c r="F1453" t="inlineStr">
        <is>
          <t>Collection of wastage in Residential and Commercial Building from all Villages in Gram Panchayat Road, Nali Cleaning and CSC Campus GP Dudapura</t>
        </is>
      </c>
      <c r="G1453" t="inlineStr">
        <is>
          <t>Gram Panchayat Dudapura</t>
        </is>
      </c>
    </row>
    <row r="1454">
      <c r="A1454" s="1" t="n">
        <v>1452</v>
      </c>
      <c r="B1454">
        <f>HYPERLINK("https://eproc.rajasthan.gov.in/nicgep/app?component=%24DirectLink&amp;page=FrontEndViewTender&amp;service=direct&amp;session=T&amp;sp=S2V9R4EdCLf65yBkP%2FC5QNw%3D%3D", "Naregatender/SP-1/Piplaj")</f>
        <v/>
      </c>
      <c r="C1454" t="inlineStr">
        <is>
          <t>Panchayati Raj Department||Secretary and Commissioner||CEO-AJMER||BDO-SAWAR</t>
        </is>
      </c>
      <c r="D1454" t="inlineStr">
        <is>
          <t>26-May-2025 06:00 PM</t>
        </is>
      </c>
      <c r="E1454" t="inlineStr">
        <is>
          <t>NA</t>
        </is>
      </c>
      <c r="F1454" t="inlineStr">
        <is>
          <t>Naregatender/SP-1/Piplaj</t>
        </is>
      </c>
      <c r="G1454" t="inlineStr">
        <is>
          <t>Piplaj</t>
        </is>
      </c>
    </row>
    <row r="1455">
      <c r="A1455" s="1" t="n">
        <v>1453</v>
      </c>
      <c r="B1455">
        <f>HYPERLINK("https://eproc.rajasthan.gov.in/nicgep/app?component=%24DirectLink&amp;page=FrontEndViewTender&amp;service=direct&amp;session=T&amp;sp=SefY9PFMI%2FNG33OwRdygNqA%3D%3D", "Door to Door residential or community Garbedge collection, street and drain cleaning and out in all the villages of panchayat samiti PIRAWA JILA JHALAWAR at gram PANCHAYAT SOYLA KE GRAM SOYLA ME")</f>
        <v/>
      </c>
      <c r="C1455" t="inlineStr">
        <is>
          <t>Panchayati Raj Department||Secretary and Commissioner||CEO- JHALAWAR||BDO-PIRAWA</t>
        </is>
      </c>
      <c r="D1455" t="inlineStr">
        <is>
          <t>21-May-2025 06:00 PM</t>
        </is>
      </c>
      <c r="E1455" t="inlineStr">
        <is>
          <t>2,90,715</t>
        </is>
      </c>
      <c r="F1455" t="inlineStr">
        <is>
          <t>Door to Door residential or community Garbedge collection, street and drain cleaning and out in all the villages of panchayat samiti PIRAWA JILA JHALAWAR at gram PANCHAYAT SOYLA KE GRAM SOYLA ME</t>
        </is>
      </c>
      <c r="G1455" t="inlineStr">
        <is>
          <t>JHALAWAR</t>
        </is>
      </c>
    </row>
    <row r="1456">
      <c r="A1456" s="1" t="n">
        <v>1454</v>
      </c>
      <c r="B1456">
        <f>HYPERLINK("https://eproc.rajasthan.gov.in/nicgep/app?component=%24DirectLink&amp;page=FrontEndViewTender&amp;service=direct&amp;session=T&amp;sp=SadizqMpneHS0yAMPcp40xQ%3D%3D", "Door to Door residential or community Garbedge collection, street and drain cleaning and out in all the villages of panchayat samiti PIRAWA JILA JHALAWAR at gram PANCHAYAT OSAV KE GRAM KHTKHAD ME")</f>
        <v/>
      </c>
      <c r="C1456" t="inlineStr">
        <is>
          <t>Panchayati Raj Department||Secretary and Commissioner||CEO- JHALAWAR||BDO-PIRAWA</t>
        </is>
      </c>
      <c r="D1456" t="inlineStr">
        <is>
          <t>21-May-2025 06:00 PM</t>
        </is>
      </c>
      <c r="E1456" t="inlineStr">
        <is>
          <t>3,19,300</t>
        </is>
      </c>
      <c r="F1456" t="inlineStr">
        <is>
          <t>Door to Door residential or community Garbedge collection, street and drain cleaning and out in all the villages of panchayat samiti PIRAWA JILA JHALAWAR at gram PANCHAYAT OSAV KE GRAM KHTKHAD ME</t>
        </is>
      </c>
      <c r="G1456" t="inlineStr">
        <is>
          <t>JHALAWAR</t>
        </is>
      </c>
    </row>
    <row r="1457">
      <c r="A1457" s="1" t="n">
        <v>1455</v>
      </c>
      <c r="B1457">
        <f>HYPERLINK("https://eproc.rajasthan.gov.in/nicgep/app?component=%24DirectLink&amp;page=FrontEndViewTender&amp;service=direct&amp;session=T&amp;sp=SReV5%2FIxohLyCzfU3iB0k6g%3D%3D", "cleaning and sanitation work for gp sarwari")</f>
        <v/>
      </c>
      <c r="C1457" t="inlineStr">
        <is>
          <t>Panchayati Raj Department||Secretary and Commissioner||CEO-BADMER||BDO-KALYANPUR</t>
        </is>
      </c>
      <c r="D1457" t="inlineStr">
        <is>
          <t>20-May-2025 05:00 PM</t>
        </is>
      </c>
      <c r="E1457" t="inlineStr">
        <is>
          <t>8,23,071</t>
        </is>
      </c>
      <c r="F1457" t="inlineStr">
        <is>
          <t>cleaning and sanitation work for gp sarwari</t>
        </is>
      </c>
      <c r="G1457" t="inlineStr">
        <is>
          <t>gp sarwari</t>
        </is>
      </c>
    </row>
    <row r="1458">
      <c r="A1458" s="1" t="n">
        <v>1456</v>
      </c>
      <c r="B1458">
        <f>HYPERLINK("https://eproc.rajasthan.gov.in/nicgep/app?component=%24DirectLink&amp;page=FrontEndViewTender&amp;service=direct&amp;session=T&amp;sp=Spi6qrhKvZkl94vagn0ZwLg%3D%3D", "Works Including Door-To-Door (Residential And Commercial) Waste Collection And Segregation, Road And Drain Cleaning, And Community Sanitation Premises Cleaning In All Villages Of The Gram Panchayat ladi ka bas")</f>
        <v/>
      </c>
      <c r="C1458" t="inlineStr">
        <is>
          <t>Panchayati Raj Department||Secretary and Commissioner||CEO-SIKAR||BDO-AJEET GARH</t>
        </is>
      </c>
      <c r="D1458" t="inlineStr">
        <is>
          <t>21-May-2025 06:00 PM</t>
        </is>
      </c>
      <c r="E1458" t="inlineStr">
        <is>
          <t>7,03,000</t>
        </is>
      </c>
      <c r="F1458" t="inlineStr">
        <is>
          <t>Works Including Door-To-Door (Residential And Commercial) Waste Collection And Segregation, Road And Drain Cleaning, And Community Sanitation Premises Cleaning In All Villages Of The Gram Panchayat ladi ka bas</t>
        </is>
      </c>
      <c r="G1458" t="inlineStr">
        <is>
          <t>gp ladi ka bas</t>
        </is>
      </c>
    </row>
    <row r="1459">
      <c r="A1459" s="1" t="n">
        <v>1457</v>
      </c>
      <c r="B1459">
        <f>HYPERLINK("https://eproc.rajasthan.gov.in/nicgep/app?component=%24DirectLink&amp;page=FrontEndViewTender&amp;service=direct&amp;session=T&amp;sp=S7NxL3lCpCTfoLPZf3lvhJg%3D%3D", "Collection of wastage in Residential and Commercial Building from all Villages in Gram Panchayat Road, Nali Cleaning and CSC Campus GP bagol")</f>
        <v/>
      </c>
      <c r="C1459" t="inlineStr">
        <is>
          <t>Panchayati Raj Department||Secretary and Commissioner||CEO-PALI||BDO-RANISTATION</t>
        </is>
      </c>
      <c r="D1459" t="inlineStr">
        <is>
          <t>26-May-2025 01:00 PM</t>
        </is>
      </c>
      <c r="E1459" t="inlineStr">
        <is>
          <t>21,86,000</t>
        </is>
      </c>
      <c r="F1459" t="inlineStr">
        <is>
          <t>Collection of wastage in Residential and Commercial Building from all Villages in Gram Panchayat Road, Nali Cleaning and CSC Campus GP bagol</t>
        </is>
      </c>
      <c r="G1459" t="inlineStr">
        <is>
          <t>Gram Panchayat Bagol</t>
        </is>
      </c>
    </row>
    <row r="1460">
      <c r="A1460" s="1" t="n">
        <v>1458</v>
      </c>
      <c r="B1460">
        <f>HYPERLINK("https://eproc.rajasthan.gov.in/nicgep/app?component=%24DirectLink&amp;page=FrontEndViewTender&amp;service=direct&amp;session=T&amp;sp=SnAoX0xrKb9oZrHcd3TNR6A%3D%3D", "Door to Door residential or community Garbedge collection, street and drain cleaning and out in all the villages of panchayat samiti PIRAWA JILA JHALAWAR at gram PANCHAYAT KALITALAI KE GRAM KALITALAI ME")</f>
        <v/>
      </c>
      <c r="C1460" t="inlineStr">
        <is>
          <t>Panchayati Raj Department||Secretary and Commissioner||CEO- JHALAWAR||BDO-PIRAWA</t>
        </is>
      </c>
      <c r="D1460" t="inlineStr">
        <is>
          <t>21-May-2025 06:00 PM</t>
        </is>
      </c>
      <c r="E1460" t="inlineStr">
        <is>
          <t>1,47,713</t>
        </is>
      </c>
      <c r="F1460" t="inlineStr">
        <is>
          <t>Door to Door residential or community Garbedge collection, street and drain cleaning and out in all the villages of panchayat samiti PIRAWA JILA JHALAWAR at gram PANCHAYAT KALITALAI KE GRAM KALITALAI ME</t>
        </is>
      </c>
      <c r="G1460" t="inlineStr">
        <is>
          <t>JHALAWAR</t>
        </is>
      </c>
    </row>
    <row r="1461">
      <c r="A1461" s="1" t="n">
        <v>1459</v>
      </c>
      <c r="B1461">
        <f>HYPERLINK("https://eproc.rajasthan.gov.in/nicgep/app?component=%24DirectLink&amp;page=FrontEndViewTender&amp;service=direct&amp;session=T&amp;sp=SzMW3DHMXf4pETVXviSowYg%3D%3D", "Door to Door residential or community Garbedge collection, street and drain cleaning and out in all the villages of panchayat samiti PIRAWA JILA JHALAWAR at gram PANCHAYAT SOYLA KE GRAM PALKHANDA KUTKI SOYLI PARASALI BAJRANGPURA KALYANPURA ME")</f>
        <v/>
      </c>
      <c r="C1461" t="inlineStr">
        <is>
          <t>Panchayati Raj Department||Secretary and Commissioner||CEO- JHALAWAR||BDO-PIRAWA</t>
        </is>
      </c>
      <c r="D1461" t="inlineStr">
        <is>
          <t>21-May-2025 06:00 PM</t>
        </is>
      </c>
      <c r="E1461" t="inlineStr">
        <is>
          <t>8,23,022</t>
        </is>
      </c>
      <c r="F1461" t="inlineStr">
        <is>
          <t>Door to Door residential or community Garbedge collection, street and drain cleaning and out in all the villages of panchayat samiti PIRAWA JILA JHALAWAR at gram PANCHAYAT SOYLA KE GRAM PALKHANDA KUTKI SOYLI PARASALI BAJRANGPURA KALYANPURA ME</t>
        </is>
      </c>
      <c r="G1461" t="inlineStr">
        <is>
          <t>JHALAWAR</t>
        </is>
      </c>
    </row>
    <row r="1462">
      <c r="A1462" s="1" t="n">
        <v>1460</v>
      </c>
      <c r="B1462">
        <f>HYPERLINK("https://eproc.rajasthan.gov.in/nicgep/app?component=%24DirectLink&amp;page=FrontEndViewTender&amp;service=direct&amp;session=T&amp;sp=Sef25bMpOoo8r8cfgVa5Ivg%3D%3D", "Door to Door residential or community Garbedge collection, street and drain cleaning and out in all the villages of panchayat samiti PIRAWA JILA JHALAWAR at gram PANCHAYAT HIMMAT KE GRAM TIKTIKYA DHARUKHEDI HANOTIYA DHARONIYA BANJARI BORBAND ME")</f>
        <v/>
      </c>
      <c r="C1462" t="inlineStr">
        <is>
          <t>Panchayati Raj Department||Secretary and Commissioner||CEO- JHALAWAR||BDO-PIRAWA</t>
        </is>
      </c>
      <c r="D1462" t="inlineStr">
        <is>
          <t>21-May-2025 06:00 PM</t>
        </is>
      </c>
      <c r="E1462" t="inlineStr">
        <is>
          <t>5,58,455</t>
        </is>
      </c>
      <c r="F1462" t="inlineStr">
        <is>
          <t>Door to Door residential or community Garbedge collection, street and drain cleaning and out in all the villages of panchayat samiti PIRAWA JILA JHALAWAR at gram PANCHAYAT HIMMAT KE GRAM TIKTIKYA DHARUKHEDI HANOTIYA DHARONIYA BANJARI BORBAND ME</t>
        </is>
      </c>
      <c r="G1462" t="inlineStr">
        <is>
          <t>JHALAWAR</t>
        </is>
      </c>
    </row>
    <row r="1463">
      <c r="A1463" s="1" t="n">
        <v>1461</v>
      </c>
      <c r="B1463">
        <f>HYPERLINK("https://eproc.rajasthan.gov.in/nicgep/app?component=%24DirectLink&amp;page=FrontEndViewTender&amp;service=direct&amp;session=T&amp;sp=SiG1hdYgzx%2Bild0ptKHs1Sw%3D%3D", "Collection of wastage in Residential and Commercial Building from all Villages in Gram Panchayat Road, Nali Cleaning and CSC Campus GP barod")</f>
        <v/>
      </c>
      <c r="C1463" t="inlineStr">
        <is>
          <t>Panchayati Raj Department||Secretary and Commissioner||CEO-PALI||BDO-RANISTATION</t>
        </is>
      </c>
      <c r="D1463" t="inlineStr">
        <is>
          <t>26-May-2025 01:00 PM</t>
        </is>
      </c>
      <c r="E1463" t="inlineStr">
        <is>
          <t>13,27,000</t>
        </is>
      </c>
      <c r="F1463" t="inlineStr">
        <is>
          <t>Collection of wastage in Residential and Commercial Building from all Villages in Gram Panchayat Road, Nali Cleaning and CSC Campus GP barod</t>
        </is>
      </c>
      <c r="G1463" t="inlineStr">
        <is>
          <t>Gram Panchayat Barod</t>
        </is>
      </c>
    </row>
    <row r="1464">
      <c r="A1464" s="1" t="n">
        <v>1462</v>
      </c>
      <c r="B1464">
        <f>HYPERLINK("https://eproc.rajasthan.gov.in/nicgep/app?component=%24DirectLink&amp;page=FrontEndViewTender&amp;service=direct&amp;session=T&amp;sp=SMSpgS3ZvHFcBMhMturPf6A%3D%3D", "Collection of wastage in Residential and Commercial Building from all Villages in Gram Panchayat Road, Nali Cleaning and CSC Campus GP Aana")</f>
        <v/>
      </c>
      <c r="C1464" t="inlineStr">
        <is>
          <t>Panchayati Raj Department||Secretary and Commissioner||CEO-PALI||BDO-RANISTATION</t>
        </is>
      </c>
      <c r="D1464" t="inlineStr">
        <is>
          <t>26-May-2025 01:00 PM</t>
        </is>
      </c>
      <c r="E1464" t="inlineStr">
        <is>
          <t>21,29,000</t>
        </is>
      </c>
      <c r="F1464" t="inlineStr">
        <is>
          <t>Collection of wastage in Residential and Commercial Building from all Villages in Gram Panchayat Road, Nali Cleaning and CSC Campus GP Aana</t>
        </is>
      </c>
      <c r="G1464" t="inlineStr">
        <is>
          <t>Gram Panchayat Aana</t>
        </is>
      </c>
    </row>
    <row r="1465">
      <c r="A1465" s="1" t="n">
        <v>1463</v>
      </c>
      <c r="B1465">
        <f>HYPERLINK("https://eproc.rajasthan.gov.in/nicgep/app?component=%24DirectLink&amp;page=FrontEndViewTender&amp;service=direct&amp;session=T&amp;sp=SxdXtcQuosDlGGaZQIHGWTg%3D%3D", "Collection of wastage in Residential and Commercial Building from all Villages in Gram Panchayat Road, Nali Cleaning and CSC Campus GP Dadai")</f>
        <v/>
      </c>
      <c r="C1465" t="inlineStr">
        <is>
          <t>Panchayati Raj Department||Secretary and Commissioner||CEO-PALI||BDO-RANISTATION</t>
        </is>
      </c>
      <c r="D1465" t="inlineStr">
        <is>
          <t>26-May-2025 01:00 PM</t>
        </is>
      </c>
      <c r="E1465" t="inlineStr">
        <is>
          <t>13,70,000</t>
        </is>
      </c>
      <c r="F1465" t="inlineStr">
        <is>
          <t>Collection of wastage in Residential and Commercial Building from all Villages in Gram Panchayat Road, Nali Cleaning and CSC Campus GP Dadai</t>
        </is>
      </c>
      <c r="G1465" t="inlineStr">
        <is>
          <t>Gram Panchayat Dadai</t>
        </is>
      </c>
    </row>
    <row r="1466">
      <c r="A1466" s="1" t="n">
        <v>1464</v>
      </c>
      <c r="B1466">
        <f>HYPERLINK("https://eproc.rajasthan.gov.in/nicgep/app?component=%24DirectLink&amp;page=FrontEndViewTender&amp;service=direct&amp;session=T&amp;sp=SMf4ihavX101g8HnOOhEMvg%3D%3D", "Door to Door residential or community Garbedge collection, street and drain cleaning and out in all the villages of panchayat samiti PIRAWA JILA JHALAWAR at gram PANCHAYAT KALITALAI KE GRAM CHAWLI CHIKDI KOTDIKHURAD DHAMNIYA BHANDAR JHIKNIYA CHNL ME")</f>
        <v/>
      </c>
      <c r="C1466" t="inlineStr">
        <is>
          <t>Panchayati Raj Department||Secretary and Commissioner||CEO- JHALAWAR||BDO-PIRAWA</t>
        </is>
      </c>
      <c r="D1466" t="inlineStr">
        <is>
          <t>21-May-2025 06:00 PM</t>
        </is>
      </c>
      <c r="E1466" t="inlineStr">
        <is>
          <t>8,89,751</t>
        </is>
      </c>
      <c r="F1466" t="inlineStr">
        <is>
          <t>Door to Door residential or community Garbedge collection, street and drain cleaning and out in all the villages of panchayat samiti PIRAWA JILA JHALAWAR at gram PANCHAYAT KALITALAI KE GRAM CHAWLI CHIKDI KOTDIKHURAD DHAMNIYA BHANDAR JHIKNIYA CHNL ME</t>
        </is>
      </c>
      <c r="G1466" t="inlineStr">
        <is>
          <t>JHALAWAR</t>
        </is>
      </c>
    </row>
    <row r="1467">
      <c r="A1467" s="1" t="n">
        <v>1465</v>
      </c>
      <c r="B1467">
        <f>HYPERLINK("https://eproc.rajasthan.gov.in/nicgep/app?component=%24DirectLink&amp;page=FrontEndViewTender&amp;service=direct&amp;session=T&amp;sp=SSHYiVvTrcf5VtxrynMxzRQ%3D%3D", "Collection of wastage in Residential and Commercial Building from all Villages in Gram Panchayat Road, Nali Cleaning and CSC Campus GP Guda Jatan")</f>
        <v/>
      </c>
      <c r="C1467" t="inlineStr">
        <is>
          <t>Panchayati Raj Department||Secretary and Commissioner||CEO-PALI||BDO-RANISTATION</t>
        </is>
      </c>
      <c r="D1467" t="inlineStr">
        <is>
          <t>26-May-2025 01:00 PM</t>
        </is>
      </c>
      <c r="E1467" t="inlineStr">
        <is>
          <t>29,48,000</t>
        </is>
      </c>
      <c r="F1467" t="inlineStr">
        <is>
          <t>Collection of wastage in Residential and Commercial Building from all Villages in Gram Panchayat Road, Nali Cleaning and CSC Campus GP Guda Jatan</t>
        </is>
      </c>
      <c r="G1467" t="inlineStr">
        <is>
          <t>Gram Panchayat Guda Jatan</t>
        </is>
      </c>
    </row>
    <row r="1468">
      <c r="A1468" s="1" t="n">
        <v>1466</v>
      </c>
      <c r="B1468">
        <f>HYPERLINK("https://eproc.rajasthan.gov.in/nicgep/app?component=%24DirectLink&amp;page=FrontEndViewTender&amp;service=direct&amp;session=T&amp;sp=SYy0w5quzST2WZigb5UCwzg%3D%3D", "SBM")</f>
        <v/>
      </c>
      <c r="C1468" t="inlineStr">
        <is>
          <t>Panchayati Raj Department||Secretary and Commissioner||CEO-AJMER||BDO-JAWAJA</t>
        </is>
      </c>
      <c r="D1468" t="inlineStr">
        <is>
          <t>28-May-2025 05:00 PM</t>
        </is>
      </c>
      <c r="E1468" t="inlineStr">
        <is>
          <t>6,94,777</t>
        </is>
      </c>
      <c r="F1468" t="inlineStr">
        <is>
          <t>SBM</t>
        </is>
      </c>
      <c r="G1468" t="inlineStr">
        <is>
          <t>GP</t>
        </is>
      </c>
    </row>
    <row r="1469">
      <c r="A1469" s="1" t="n">
        <v>1467</v>
      </c>
      <c r="B1469">
        <f>HYPERLINK("https://eproc.rajasthan.gov.in/nicgep/app?component=%24DirectLink&amp;page=FrontEndViewTender&amp;service=direct&amp;session=T&amp;sp=S2lsqnEBeBViG0xhSU%2F85%2Fw%3D%3D", "Collection of wastage in Residential and Commercial Building from all Villages in Gram Panchayat Road, Nali Cleaning and CSC Campus GP Ghanerao")</f>
        <v/>
      </c>
      <c r="C1469" t="inlineStr">
        <is>
          <t>Panchayati Raj Department||Secretary and Commissioner||CEO-PALI||BDO-RANISTATION</t>
        </is>
      </c>
      <c r="D1469" t="inlineStr">
        <is>
          <t>26-May-2025 01:00 PM</t>
        </is>
      </c>
      <c r="E1469" t="inlineStr">
        <is>
          <t>41,42,000</t>
        </is>
      </c>
      <c r="F1469" t="inlineStr">
        <is>
          <t>Collection of wastage in Residential and Commercial Building from all Villages in Gram Panchayat Road, Nali Cleaning and CSC Campus GP Ghanerao</t>
        </is>
      </c>
      <c r="G1469" t="inlineStr">
        <is>
          <t>Gram Panchayat Ghanerao</t>
        </is>
      </c>
    </row>
    <row r="1470">
      <c r="A1470" s="1" t="n">
        <v>1468</v>
      </c>
      <c r="B1470">
        <f>HYPERLINK("https://eproc.rajasthan.gov.in/nicgep/app?component=%24DirectLink&amp;page=FrontEndViewTender&amp;service=direct&amp;session=T&amp;sp=SrhyQB82A%2BSdu4V1Lg1gWMg%3D%3D", "Door to Door residential or community Garbedge collection, street and drain cleaning and out in all the villages of panchayat samiti PIRAWA JILA JHALAWAR at gram PANCHAYAT SUNWAS KE GRAM BORBAND NANDPURA SEMLIBHAWANI ME")</f>
        <v/>
      </c>
      <c r="C1470" t="inlineStr">
        <is>
          <t>Panchayati Raj Department||Secretary and Commissioner||CEO- JHALAWAR||BDO-PIRAWA</t>
        </is>
      </c>
      <c r="D1470" t="inlineStr">
        <is>
          <t>21-May-2025 06:00 PM</t>
        </is>
      </c>
      <c r="E1470" t="inlineStr">
        <is>
          <t>6,37,623</t>
        </is>
      </c>
      <c r="F1470" t="inlineStr">
        <is>
          <t>Door to Door residential or community Garbedge collection, street and drain cleaning and out in all the villages of panchayat samiti PIRAWA JILA JHALAWAR at gram PANCHAYAT SUNWAS KE GRAM BORBAND NANDPURA SEMLIBHAWANI ME</t>
        </is>
      </c>
      <c r="G1470" t="inlineStr">
        <is>
          <t>JHALAWAR</t>
        </is>
      </c>
    </row>
    <row r="1471">
      <c r="A1471" s="1" t="n">
        <v>1469</v>
      </c>
      <c r="B1471">
        <f>HYPERLINK("https://eproc.rajasthan.gov.in/nicgep/app?component=%24DirectLink&amp;page=FrontEndViewTender&amp;service=direct&amp;session=T&amp;sp=SCb1S2zJ0U9Oetg2dxewNrg%3D%3D", "Collection of wastage in Residential and Commercial Building from all Villages in Gram Panchayat Road, Nali Cleaning and CSC Campus GP Dhalop")</f>
        <v/>
      </c>
      <c r="C1471" t="inlineStr">
        <is>
          <t>Panchayati Raj Department||Secretary and Commissioner||CEO-PALI||BDO-RANISTATION</t>
        </is>
      </c>
      <c r="D1471" t="inlineStr">
        <is>
          <t>26-May-2025 01:00 PM</t>
        </is>
      </c>
      <c r="E1471" t="inlineStr">
        <is>
          <t>20,97,000</t>
        </is>
      </c>
      <c r="F1471" t="inlineStr">
        <is>
          <t>Collection of wastage in Residential and Commercial Building from all Villages in Gram Panchayat Road, Nali Cleaning and CSC Campus GP Dhalop</t>
        </is>
      </c>
      <c r="G1471" t="inlineStr">
        <is>
          <t>Gram Panchayat Dhalop</t>
        </is>
      </c>
    </row>
    <row r="1472">
      <c r="A1472" s="1" t="n">
        <v>1470</v>
      </c>
      <c r="B1472">
        <f>HYPERLINK("https://eproc.rajasthan.gov.in/nicgep/app?component=%24DirectLink&amp;page=FrontEndViewTender&amp;service=direct&amp;session=T&amp;sp=SOvFoZAg%2Fxo5L9GUzdbKuPg%3D%3D", "Door to Door residential or community Garbedge collection, street and drain cleaning and out in all the villages of panchayat samiti PIRAWA JILA JHALAWAR at gram PANCHAYAT OSAV KE GRAM KHTKHAD ME")</f>
        <v/>
      </c>
      <c r="C1472" t="inlineStr">
        <is>
          <t>Panchayati Raj Department||Secretary and Commissioner||CEO- JHALAWAR||BDO-PIRAWA</t>
        </is>
      </c>
      <c r="D1472" t="inlineStr">
        <is>
          <t>21-May-2025 06:00 PM</t>
        </is>
      </c>
      <c r="E1472" t="inlineStr">
        <is>
          <t>7,46,071</t>
        </is>
      </c>
      <c r="F1472" t="inlineStr">
        <is>
          <t>Door to Door residential or community Garbedge collection, street and drain cleaning and out in all the villages of panchayat samiti PIRAWA JILA JHALAWAR at gram PANCHAYAT OSAV KE GRAM OSAV ME</t>
        </is>
      </c>
      <c r="G1472" t="inlineStr">
        <is>
          <t>JHALAWAR</t>
        </is>
      </c>
    </row>
    <row r="1473">
      <c r="A1473" s="1" t="n">
        <v>1471</v>
      </c>
      <c r="B1473">
        <f>HYPERLINK("https://eproc.rajasthan.gov.in/nicgep/app?component=%24DirectLink&amp;page=FrontEndViewTender&amp;service=direct&amp;session=T&amp;sp=SfERhKbIrDKUMDIvMVBUEYQ%3D%3D", "Supply of Construction Materials and Service of Equipments (Financial Year 2025-26) for Gram Panchayat Rajpura.")</f>
        <v/>
      </c>
      <c r="C1473" t="inlineStr">
        <is>
          <t>Panchayati Raj Department||Secretary and Commissioner||CEO-RAJSAMAND||BDO-RAILMAGARA</t>
        </is>
      </c>
      <c r="D1473" t="inlineStr">
        <is>
          <t>26-May-2025 06:00 PM</t>
        </is>
      </c>
      <c r="E1473" t="inlineStr">
        <is>
          <t>50,00,000</t>
        </is>
      </c>
      <c r="F1473" t="inlineStr">
        <is>
          <t>Supply of Construction Materials and Service of Equipments (Financial Year 2025-26) for Gram Panchayat Rajpura.</t>
        </is>
      </c>
      <c r="G1473" t="inlineStr">
        <is>
          <t>GRAM PANCHAYAT RAJPURA</t>
        </is>
      </c>
    </row>
    <row r="1474">
      <c r="A1474" s="1" t="n">
        <v>1472</v>
      </c>
      <c r="B1474">
        <f>HYPERLINK("https://eproc.rajasthan.gov.in/nicgep/app?component=%24DirectLink&amp;page=FrontEndViewTender&amp;service=direct&amp;session=T&amp;sp=SdNhXyMU0FCefXtED%2Bd8suA%3D%3D", "Supply of Construction Material in Gram Panchayat Allapur In Panchayat Samiti Khandar under MNREGA and RD and Various Scheme for the Year 2025-26")</f>
        <v/>
      </c>
      <c r="C1474" t="inlineStr">
        <is>
          <t>Panchayati Raj Department||Secretary and Commissioner||CEO-S.MADHOPUR||BDO-KHANDAR</t>
        </is>
      </c>
      <c r="D1474" t="inlineStr">
        <is>
          <t>25-May-2025 06:00 PM</t>
        </is>
      </c>
      <c r="E1474" t="inlineStr">
        <is>
          <t>50,00,000</t>
        </is>
      </c>
      <c r="F1474" t="inlineStr">
        <is>
          <t>Supply of Construction Material in Gram Panchayat Allapur In Panchayat Samiti Khandar under MNREGA and RD and Various Scheme for the Year 2025-26</t>
        </is>
      </c>
      <c r="G1474" t="inlineStr">
        <is>
          <t>GRAM PANCHAYAT ALLAPUR</t>
        </is>
      </c>
    </row>
    <row r="1475">
      <c r="A1475" s="1" t="n">
        <v>1473</v>
      </c>
      <c r="B1475">
        <f>HYPERLINK("https://eproc.rajasthan.gov.in/nicgep/app?component=%24DirectLink&amp;page=FrontEndViewTender&amp;service=direct&amp;session=T&amp;sp=ScPNaji14FXmEOQIVWjm5%2Bw%3D%3D", "Door to Door residential or community Garbedge collection, street and drain cleaning and out in all the villages of panchayat samiti PIRAWA JILA JHALAWAR at gram PANCHAYAT SUNWAS KE gram sunwas me")</f>
        <v/>
      </c>
      <c r="C1475" t="inlineStr">
        <is>
          <t>Panchayati Raj Department||Secretary and Commissioner||CEO- JHALAWAR||BDO-PIRAWA</t>
        </is>
      </c>
      <c r="D1475" t="inlineStr">
        <is>
          <t>21-May-2025 06:00 PM</t>
        </is>
      </c>
      <c r="E1475" t="inlineStr">
        <is>
          <t>4,68,577</t>
        </is>
      </c>
      <c r="F1475" t="inlineStr">
        <is>
          <t>Door to Door residential or community Garbedge collection, street and drain cleaning and out in all the villages of panchayat samiti PIRAWA JILA JHALAWAR at gram PANCHAYAT SUNWAS KE gram sunwas me</t>
        </is>
      </c>
      <c r="G1475" t="inlineStr">
        <is>
          <t>JHALAWAR</t>
        </is>
      </c>
    </row>
    <row r="1476">
      <c r="A1476" s="1" t="n">
        <v>1474</v>
      </c>
      <c r="B1476">
        <f>HYPERLINK("https://eproc.rajasthan.gov.in/nicgep/app?component=%24DirectLink&amp;page=FrontEndViewTender&amp;service=direct&amp;session=T&amp;sp=Sg1HS0%2FyhaiyD%2FyGNQT5mIA%3D%3D", "CC INTERLOKING SADAK NIRMAN KARYA BHOMIYAJI KE STAN SE AAM RASTA KI AUR BAWANPADA 2 CC INTERLOKING SADAK NIRMAN KARYA BABU LALKE MAKAN SE SITARAM PRAJAPAT KE MAKAN KI AUR 3 CC SADAK NAHAR SE KALYAN MEMBAR KE KE MAKAN KI AUR BAWANPADA")</f>
        <v/>
      </c>
      <c r="C1476" t="inlineStr">
        <is>
          <t>Panchayati Raj Department||Secretary and Commissioner||CEO-DAUSA||BDO-SIKANDARA</t>
        </is>
      </c>
      <c r="D1476" t="inlineStr">
        <is>
          <t>26-May-2025 06:00 PM</t>
        </is>
      </c>
      <c r="E1476" t="inlineStr">
        <is>
          <t>15,00,000</t>
        </is>
      </c>
      <c r="F1476" t="inlineStr">
        <is>
          <t>CC INTERLOKING SADAK NIRMAN KARYA BHOMIYAJI KE STAN SE AAM RASTA KI AUR BAWANPADA 2 CC INTERLOKING SADAK NIRMAN KARYA BABU LALKE MAKAN SE SITARAM PRAJAPAT KE MAKAN KI AUR 3 CC SADAK NAHAR SE KALYAN MEMBAR KE KE MAKAN KI AUR BAWANPADA</t>
        </is>
      </c>
      <c r="G1476" t="inlineStr">
        <is>
          <t>CC INTERLOKING SADAK NIRMAN KARYA BHOMIYAJI KE STA</t>
        </is>
      </c>
    </row>
    <row r="1477">
      <c r="A1477" s="1" t="n">
        <v>1475</v>
      </c>
      <c r="B1477">
        <f>HYPERLINK("https://eproc.rajasthan.gov.in/nicgep/app?component=%24DirectLink&amp;page=FrontEndViewTender&amp;service=direct&amp;session=T&amp;sp=SGxjSmB%2FnTAmlSSnbEZcoyA%3D%3D", "Nali nirman kary sadak ke dono bheruji mandir ward se 13 se goga medi ki or sandwa")</f>
        <v/>
      </c>
      <c r="C1477" t="inlineStr">
        <is>
          <t>Panchayati Raj Department||Secretary and Commissioner||CEO-CHURU||BDO-BIDASAR</t>
        </is>
      </c>
      <c r="D1477" t="inlineStr">
        <is>
          <t>21-May-2025 12:00 PM</t>
        </is>
      </c>
      <c r="E1477" t="inlineStr">
        <is>
          <t>9,99,999</t>
        </is>
      </c>
      <c r="F1477" t="inlineStr">
        <is>
          <t>Nali nirman kary sadak ke dono bheruji mandir ward se 13 se goga medi ki or sandwa</t>
        </is>
      </c>
      <c r="G1477" t="inlineStr">
        <is>
          <t>Gram Panchyat Sandwa</t>
        </is>
      </c>
    </row>
    <row r="1478">
      <c r="A1478" s="1" t="n">
        <v>1476</v>
      </c>
      <c r="B1478">
        <f>HYPERLINK("https://eproc.rajasthan.gov.in/nicgep/app?component=%24DirectLink&amp;page=FrontEndViewTender&amp;service=direct&amp;session=T&amp;sp=SDryLb53L7vpmeDrq9VxAYg%3D%3D", "Supply of Construction Material with POI Driver in Scheme MNREGA, SFC , FFC and other scheme for Financial Year 2025-26 in Gram Panchyat Sarsop PS Chauth Ka Barwara")</f>
        <v/>
      </c>
      <c r="C1478" t="inlineStr">
        <is>
          <t>Panchayati Raj Department||Secretary and Commissioner||CEO-S.MADHOPUR||BDO-CHOTH KA BARWADA</t>
        </is>
      </c>
      <c r="D1478" t="inlineStr">
        <is>
          <t>29-May-2025 06:00 PM</t>
        </is>
      </c>
      <c r="E1478" t="inlineStr">
        <is>
          <t>50,00,000</t>
        </is>
      </c>
      <c r="F1478" t="inlineStr">
        <is>
          <t>Supply of Construction Material with POI Driver in Scheme MNREGA, SFC , FFC and other scheme for Financial Year 2025-26 in Gram Panchyat Sarsop PS Chauth Ka Barwara</t>
        </is>
      </c>
      <c r="G1478" t="inlineStr">
        <is>
          <t>GRAM PANCHYAT SARSOOP</t>
        </is>
      </c>
    </row>
    <row r="1479">
      <c r="A1479" s="1" t="n">
        <v>1477</v>
      </c>
      <c r="B1479">
        <f>HYPERLINK("https://eproc.rajasthan.gov.in/nicgep/app?component=%24DirectLink&amp;page=FrontEndViewTender&amp;service=direct&amp;session=T&amp;sp=SjAe8XPTRmsTr20%2BudVR9Tg%3D%3D", "Works including garbage collection and segregation from household and commercial establishments, road and drain cleaning and cleaning of community sanitary complex at Revenue Village 1TKM of Gram Panchayat Thalarka Panchayat Samiti Nohar")</f>
        <v/>
      </c>
      <c r="C1479" t="inlineStr">
        <is>
          <t>Panchayati Raj Department||Secretary and Commissioner||CEO- HANUMANGARH||BDO-NOHAR</t>
        </is>
      </c>
      <c r="D1479" t="inlineStr">
        <is>
          <t>21-May-2025 02:00 PM</t>
        </is>
      </c>
      <c r="E1479" t="inlineStr">
        <is>
          <t>1,47,000</t>
        </is>
      </c>
      <c r="F1479" t="inlineStr">
        <is>
          <t>Works including garbage collection and segregation from household and commercial establishments, road and drain cleaning and cleaning of community sanitary complex at Revenue Village 1TKM of Gram Panchayat Thalarka Panchayat Samiti Nohar</t>
        </is>
      </c>
      <c r="G1479" t="inlineStr">
        <is>
          <t>THALARKA</t>
        </is>
      </c>
    </row>
    <row r="1480">
      <c r="A1480" s="1" t="n">
        <v>1478</v>
      </c>
      <c r="B1480">
        <f>HYPERLINK("https://eproc.rajasthan.gov.in/nicgep/app?component=%24DirectLink&amp;page=FrontEndViewTender&amp;service=direct&amp;session=T&amp;sp=S%2FJFr2H2lVikrh6te9elvSw%3D%3D", "SHIVRATI ANGANWADI CENTRE 02 ANGANWADI BUILDING CONSTRUCTION WORK GP SHIVRATI")</f>
        <v/>
      </c>
      <c r="C1480" t="inlineStr">
        <is>
          <t>Panchayati Raj Department||Secretary and Commissioner||CEO-BHILWARA||BDO-SAHADA</t>
        </is>
      </c>
      <c r="D1480" t="inlineStr">
        <is>
          <t>22-May-2025 06:00 PM</t>
        </is>
      </c>
      <c r="E1480" t="inlineStr">
        <is>
          <t>10,00,000</t>
        </is>
      </c>
      <c r="F1480" t="inlineStr">
        <is>
          <t>SHIVRATI ANGANWADI CENTRE 02 ANGANWADI BUILDING CONSTRUCTION WORK GP SHIVRATI</t>
        </is>
      </c>
      <c r="G1480" t="inlineStr">
        <is>
          <t>SAHADA</t>
        </is>
      </c>
    </row>
    <row r="1481">
      <c r="A1481" s="1" t="n">
        <v>1479</v>
      </c>
      <c r="B1481">
        <f>HYPERLINK("https://eproc.rajasthan.gov.in/nicgep/app?component=%24DirectLink&amp;page=FrontEndViewTender&amp;service=direct&amp;session=T&amp;sp=S4ywUrNxWdAZAvmB5d86Z5Q%3D%3D", "cleaning and sanitation work for gp tirsingari sodha")</f>
        <v/>
      </c>
      <c r="C1481" t="inlineStr">
        <is>
          <t>Panchayati Raj Department||Secretary and Commissioner||CEO-BADMER||BDO-KALYANPUR</t>
        </is>
      </c>
      <c r="D1481" t="inlineStr">
        <is>
          <t>20-May-2025 05:00 PM</t>
        </is>
      </c>
      <c r="E1481" t="inlineStr">
        <is>
          <t>5,52,949</t>
        </is>
      </c>
      <c r="F1481" t="inlineStr">
        <is>
          <t>cleaning and sanitation work for gp tirsingari sodha</t>
        </is>
      </c>
      <c r="G1481" t="inlineStr">
        <is>
          <t>gp tirsingari sodha</t>
        </is>
      </c>
    </row>
    <row r="1482">
      <c r="A1482" s="1" t="n">
        <v>1480</v>
      </c>
      <c r="B1482">
        <f>HYPERLINK("https://eproc.rajasthan.gov.in/nicgep/app?component=%24DirectLink&amp;page=FrontEndViewTender&amp;service=direct&amp;session=T&amp;sp=SEVVNP3nEpajIK4yjMn1L%2FQ%3D%3D", "cleaning and sanitation work for gp ANGAI")</f>
        <v/>
      </c>
      <c r="C1482" t="inlineStr">
        <is>
          <t>Panchayati Raj Department||Secretary and Commissioner||CEO-DHOLPUR||BDO-SARMATHURA</t>
        </is>
      </c>
      <c r="D1482" t="inlineStr">
        <is>
          <t>23-May-2025 06:00 PM</t>
        </is>
      </c>
      <c r="E1482" t="inlineStr">
        <is>
          <t>9,99,000</t>
        </is>
      </c>
      <c r="F1482" t="inlineStr">
        <is>
          <t>cleaning and sanitation work for gp ANGAI</t>
        </is>
      </c>
      <c r="G1482" t="inlineStr">
        <is>
          <t>PS SARMATHURA</t>
        </is>
      </c>
    </row>
    <row r="1483">
      <c r="A1483" s="1" t="n">
        <v>1481</v>
      </c>
      <c r="B1483">
        <f>HYPERLINK("https://eproc.rajasthan.gov.in/nicgep/app?component=%24DirectLink&amp;page=FrontEndViewTender&amp;service=direct&amp;session=T&amp;sp=S%2BnE2lC7FmRPEKQbzIDeBZQ%3D%3D", "Works including garbage collection and segregation from household and commercial establishments, road and drain cleaning and cleaning of community sanitary complex at Revenue Villages of Gram Panchayat Dhilky Panchayat Samiti Nohar")</f>
        <v/>
      </c>
      <c r="C1483" t="inlineStr">
        <is>
          <t>Panchayati Raj Department||Secretary and Commissioner||CEO- HANUMANGARH||BDO-NOHAR</t>
        </is>
      </c>
      <c r="D1483" t="inlineStr">
        <is>
          <t>21-May-2025 02:00 PM</t>
        </is>
      </c>
      <c r="E1483" t="inlineStr">
        <is>
          <t>9,91,000</t>
        </is>
      </c>
      <c r="F1483" t="inlineStr">
        <is>
          <t>Works including garbage collection and segregation from household and commercial establishments, road and drain cleaning and cleaning of community sanitary complex at Revenue Villages of Gram Panchayat Dhilky Panchayat Samiti Nohar</t>
        </is>
      </c>
      <c r="G1483" t="inlineStr">
        <is>
          <t>Dhilky</t>
        </is>
      </c>
    </row>
    <row r="1484">
      <c r="A1484" s="1" t="n">
        <v>1482</v>
      </c>
      <c r="B1484">
        <f>HYPERLINK("https://eproc.rajasthan.gov.in/nicgep/app?component=%24DirectLink&amp;page=FrontEndViewTender&amp;service=direct&amp;session=T&amp;sp=SdD%2BEdDAHOmCY79KWXcb1mw%3D%3D", "cleaning and sanitation work for gp PIPRET")</f>
        <v/>
      </c>
      <c r="C1484" t="inlineStr">
        <is>
          <t>Panchayati Raj Department||Secretary and Commissioner||CEO-DHOLPUR||BDO-SARMATHURA</t>
        </is>
      </c>
      <c r="D1484" t="inlineStr">
        <is>
          <t>23-May-2025 06:00 PM</t>
        </is>
      </c>
      <c r="E1484" t="inlineStr">
        <is>
          <t>7,30,000</t>
        </is>
      </c>
      <c r="F1484" t="inlineStr">
        <is>
          <t>cleaning and sanitation work for gp PIPRET</t>
        </is>
      </c>
      <c r="G1484" t="inlineStr">
        <is>
          <t>PS SARMATHURA</t>
        </is>
      </c>
    </row>
    <row r="1485">
      <c r="A1485" s="1" t="n">
        <v>1483</v>
      </c>
      <c r="B1485">
        <f>HYPERLINK("https://eproc.rajasthan.gov.in/nicgep/app?component=%24DirectLink&amp;page=FrontEndViewTender&amp;service=direct&amp;session=T&amp;sp=SDo%2BZTyf%2FYm64ofkYGz9hOg%3D%3D", "Works including garbage collection and segregation from household and commercial establishments, road and drain cleaning and cleaning of community sanitary complex at Revenue Villages of Gram Panchayat Chak Sardarpura Panchayat Samiti Nohar")</f>
        <v/>
      </c>
      <c r="C1485" t="inlineStr">
        <is>
          <t>Panchayati Raj Department||Secretary and Commissioner||CEO- HANUMANGARH||BDO-NOHAR</t>
        </is>
      </c>
      <c r="D1485" t="inlineStr">
        <is>
          <t>21-May-2025 02:00 PM</t>
        </is>
      </c>
      <c r="E1485" t="inlineStr">
        <is>
          <t>7,50,000</t>
        </is>
      </c>
      <c r="F1485" t="inlineStr">
        <is>
          <t>Works including garbage collection and segregation from household and commercial establishments, road and drain cleaning and cleaning of community sanitary complex at Revenue Villages of Gram Panchayat Chak Sardarpura Panchayat Samiti Nohar</t>
        </is>
      </c>
      <c r="G1485" t="inlineStr">
        <is>
          <t>Chak Sardarpura</t>
        </is>
      </c>
    </row>
    <row r="1486">
      <c r="A1486" s="1" t="n">
        <v>1484</v>
      </c>
      <c r="B1486">
        <f>HYPERLINK("https://eproc.rajasthan.gov.in/nicgep/app?component=%24DirectLink&amp;page=FrontEndViewTender&amp;service=direct&amp;session=T&amp;sp=Sc3TD3YGIwRYBSVlZy5kIhw%3D%3D", "Works including garbage collection and segregation from household and commercial establishments, road and drain cleaning and cleaning of community sanitary complex at Revenue Villages of Gram Panchayat Meghana Panchayat Samiti Nohar")</f>
        <v/>
      </c>
      <c r="C1486" t="inlineStr">
        <is>
          <t>Panchayati Raj Department||Secretary and Commissioner||CEO- HANUMANGARH||BDO-NOHAR</t>
        </is>
      </c>
      <c r="D1486" t="inlineStr">
        <is>
          <t>21-May-2025 02:00 PM</t>
        </is>
      </c>
      <c r="E1486" t="inlineStr">
        <is>
          <t>9,86,000</t>
        </is>
      </c>
      <c r="F1486" t="inlineStr">
        <is>
          <t>Works including garbage collection and segregation from household and commercial establishments, road and drain cleaning and cleaning of community sanitary complex at Revenue Villages of Gram Panchayat Meghana Panchayat Samiti Nohar</t>
        </is>
      </c>
      <c r="G1486" t="inlineStr">
        <is>
          <t>Meghana</t>
        </is>
      </c>
    </row>
    <row r="1487">
      <c r="A1487" s="1" t="n">
        <v>1485</v>
      </c>
      <c r="B1487">
        <f>HYPERLINK("https://eproc.rajasthan.gov.in/nicgep/app?component=%24DirectLink&amp;page=FrontEndViewTender&amp;service=direct&amp;session=T&amp;sp=S2w9adLzFuFLGH2T0pPJ0iQ%3D%3D", "Works including garbage collection and segregation from household and commercial establishments, road and drain cleaning and cleaning of community sanitary complex at Revenue Villages of Gram Panchayat Pandusar Panchayat Samiti Nohar")</f>
        <v/>
      </c>
      <c r="C1487" t="inlineStr">
        <is>
          <t>Panchayati Raj Department||Secretary and Commissioner||CEO- HANUMANGARH||BDO-NOHAR</t>
        </is>
      </c>
      <c r="D1487" t="inlineStr">
        <is>
          <t>21-May-2025 02:00 PM</t>
        </is>
      </c>
      <c r="E1487" t="inlineStr">
        <is>
          <t>9,97,000</t>
        </is>
      </c>
      <c r="F1487" t="inlineStr">
        <is>
          <t>Works including garbage collection and segregation from household and commercial establishments, road and drain cleaning and cleaning of community sanitary complex at Revenue Villages of Gram Panchayat Pandusar Panchayat Samiti Nohar</t>
        </is>
      </c>
      <c r="G1487" t="inlineStr">
        <is>
          <t>PANDUSAR</t>
        </is>
      </c>
    </row>
    <row r="1488">
      <c r="A1488" s="1" t="n">
        <v>1486</v>
      </c>
      <c r="B1488">
        <f>HYPERLINK("https://eproc.rajasthan.gov.in/nicgep/app?component=%24DirectLink&amp;page=FrontEndViewTender&amp;service=direct&amp;session=T&amp;sp=SN9vjjkcMj8SvTZcJ930doA%3D%3D", "AlakhpuraBoganMS")</f>
        <v/>
      </c>
      <c r="C1488" t="inlineStr">
        <is>
          <t>Panchayati Raj Department||Secretary and Commissioner||CEO-SIKAR||BDO-LAXMANGARH</t>
        </is>
      </c>
      <c r="D1488" t="inlineStr">
        <is>
          <t>28-May-2025 06:00 PM</t>
        </is>
      </c>
      <c r="E1488" t="inlineStr">
        <is>
          <t>40,00,000</t>
        </is>
      </c>
      <c r="F1488" t="inlineStr">
        <is>
          <t>MaterialSupply</t>
        </is>
      </c>
      <c r="G1488" t="inlineStr">
        <is>
          <t>AlakhpuraBogan</t>
        </is>
      </c>
    </row>
    <row r="1489">
      <c r="A1489" s="1" t="n">
        <v>1487</v>
      </c>
      <c r="B1489">
        <f>HYPERLINK("https://eproc.rajasthan.gov.in/nicgep/app?component=%24DirectLink&amp;page=FrontEndViewTender&amp;service=direct&amp;session=T&amp;sp=SpiIb8C0qy7kvxif5xUswFA%3D%3D", "Works including garbage collection and segregation from household and commercial establishments, road and drain cleaning and cleaning of community sanitary complex at Revenue Villages of Gram Panchayat Ratanpura Panchayat Samiti Nohar")</f>
        <v/>
      </c>
      <c r="C1489" t="inlineStr">
        <is>
          <t>Panchayati Raj Department||Secretary and Commissioner||CEO- HANUMANGARH||BDO-NOHAR</t>
        </is>
      </c>
      <c r="D1489" t="inlineStr">
        <is>
          <t>21-May-2025 02:00 PM</t>
        </is>
      </c>
      <c r="E1489" t="inlineStr">
        <is>
          <t>9,96,000</t>
        </is>
      </c>
      <c r="F1489" t="inlineStr">
        <is>
          <t>Works including garbage collection and segregation from household and commercial establishments, road and drain cleaning and cleaning of community sanitary complex at Revenue Villages of Gram Panchayat Ratanpura Panchayat Samiti Nohar</t>
        </is>
      </c>
      <c r="G1489" t="inlineStr">
        <is>
          <t>RATANPURA</t>
        </is>
      </c>
    </row>
    <row r="1490">
      <c r="A1490" s="1" t="n">
        <v>1488</v>
      </c>
      <c r="B1490">
        <f>HYPERLINK("https://eproc.rajasthan.gov.in/nicgep/app?component=%24DirectLink&amp;page=FrontEndViewTender&amp;service=direct&amp;session=T&amp;sp=SBzXrvmlLp8BWmwoMgrSCrw%3D%3D", "NAREGA AND OTHER SCHEME METERIAL SUPPLY FY 2025-26 JEELO")</f>
        <v/>
      </c>
      <c r="C1490" t="inlineStr">
        <is>
          <t>Panchayati Raj Department||Secretary and Commissioner||CEO-SIKAR||BDO-PATAN</t>
        </is>
      </c>
      <c r="D1490" t="inlineStr">
        <is>
          <t>26-May-2025 06:00 PM</t>
        </is>
      </c>
      <c r="E1490" t="inlineStr">
        <is>
          <t>25,00,000</t>
        </is>
      </c>
      <c r="F1490" t="inlineStr">
        <is>
          <t>NAREGA AND OTHER SCHEME METERIAL SUPPLY FY 2025-26 JEELO</t>
        </is>
      </c>
      <c r="G1490" t="inlineStr">
        <is>
          <t>GP JEELO</t>
        </is>
      </c>
    </row>
    <row r="1491">
      <c r="A1491" s="1" t="n">
        <v>1489</v>
      </c>
      <c r="B1491">
        <f>HYPERLINK("https://eproc.rajasthan.gov.in/nicgep/app?component=%24DirectLink&amp;page=FrontEndViewTender&amp;service=direct&amp;session=T&amp;sp=Sk6QcaMDb6yEGR%2FtCb5oOoA%3D%3D", "Works including garbage collection and segregation from household and commercial establishments, road and drain cleaning and cleaning of community sanitary complex at Revenue Villages of Gram Panchayat Thalarka Panchayat Samiti Nohar")</f>
        <v/>
      </c>
      <c r="C1491" t="inlineStr">
        <is>
          <t>Panchayati Raj Department||Secretary and Commissioner||CEO- HANUMANGARH||BDO-NOHAR</t>
        </is>
      </c>
      <c r="D1491" t="inlineStr">
        <is>
          <t>21-May-2025 02:00 PM</t>
        </is>
      </c>
      <c r="E1491" t="inlineStr">
        <is>
          <t>10,00,000</t>
        </is>
      </c>
      <c r="F1491" t="inlineStr">
        <is>
          <t>Works including garbage collection and segregation from household and commercial establishments, road and drain cleaning and cleaning of community sanitary complex at Revenue Villages of Gram Panchayat Thalarka Panchayat Samiti Nohar</t>
        </is>
      </c>
      <c r="G1491" t="inlineStr">
        <is>
          <t>THALARKA</t>
        </is>
      </c>
    </row>
    <row r="1492">
      <c r="A1492" s="1" t="n">
        <v>1490</v>
      </c>
      <c r="B1492">
        <f>HYPERLINK("https://eproc.rajasthan.gov.in/nicgep/app?component=%24DirectLink&amp;page=FrontEndViewTender&amp;service=direct&amp;session=T&amp;sp=SFVhXdGJDREPp0zG%2FusFBdQ%3D%3D", "cleaning and sanitation work for gp VILONI")</f>
        <v/>
      </c>
      <c r="C1492" t="inlineStr">
        <is>
          <t>Panchayati Raj Department||Secretary and Commissioner||CEO-DHOLPUR||BDO-SARMATHURA</t>
        </is>
      </c>
      <c r="D1492" t="inlineStr">
        <is>
          <t>23-May-2025 06:00 PM</t>
        </is>
      </c>
      <c r="E1492" t="inlineStr">
        <is>
          <t>8,14,286</t>
        </is>
      </c>
      <c r="F1492" t="inlineStr">
        <is>
          <t>cleaning and sanitation work for gp VILONI</t>
        </is>
      </c>
      <c r="G1492" t="inlineStr">
        <is>
          <t>PSS</t>
        </is>
      </c>
    </row>
    <row r="1493">
      <c r="A1493" s="1" t="n">
        <v>1491</v>
      </c>
      <c r="B1493">
        <f>HYPERLINK("https://eproc.rajasthan.gov.in/nicgep/app?component=%24DirectLink&amp;page=FrontEndViewTender&amp;service=direct&amp;session=T&amp;sp=SSE38ZhXGkcXE4l8rrlzqVg%3D%3D", "cleaning and sanitation work for gp KHAROLI")</f>
        <v/>
      </c>
      <c r="C1493" t="inlineStr">
        <is>
          <t>Panchayati Raj Department||Secretary and Commissioner||CEO-DHOLPUR||BDO-SARMATHURA</t>
        </is>
      </c>
      <c r="D1493" t="inlineStr">
        <is>
          <t>23-May-2025 06:00 PM</t>
        </is>
      </c>
      <c r="E1493" t="inlineStr">
        <is>
          <t>6,88,400</t>
        </is>
      </c>
      <c r="F1493" t="inlineStr">
        <is>
          <t>cleaning and sanitation work for gp KHAROLI</t>
        </is>
      </c>
      <c r="G1493" t="inlineStr">
        <is>
          <t>PS SARMATHURA</t>
        </is>
      </c>
    </row>
    <row r="1494">
      <c r="A1494" s="1" t="n">
        <v>1492</v>
      </c>
      <c r="B1494">
        <f>HYPERLINK("https://eproc.rajasthan.gov.in/nicgep/app?component=%24DirectLink&amp;page=FrontEndViewTender&amp;service=direct&amp;session=T&amp;sp=StuXBUElbx%2BhJqLKbZxdfmQ%3D%3D", "SUPPLY OF BUILDING MATERIAL AND EQUIPMENT IN GP Meghwalo Ka Tala PS DHORIMANA")</f>
        <v/>
      </c>
      <c r="C1494" t="inlineStr">
        <is>
          <t>Panchayati Raj Department||Secretary and Commissioner||CEO-BADMER||BDO-DHORIMANNA</t>
        </is>
      </c>
      <c r="D1494" t="inlineStr">
        <is>
          <t>31-May-2025 06:00 PM</t>
        </is>
      </c>
      <c r="E1494" t="inlineStr">
        <is>
          <t>70,00,000</t>
        </is>
      </c>
      <c r="F1494" t="inlineStr">
        <is>
          <t>SUPPLY OF BUILDING MATERIAL AND EQUIPMENT IN GP Meghwalo Ka Tala PS DHORIMANA</t>
        </is>
      </c>
      <c r="G1494" t="inlineStr">
        <is>
          <t>GP Meghwalo ka tala</t>
        </is>
      </c>
    </row>
    <row r="1495">
      <c r="A1495" s="1" t="n">
        <v>1493</v>
      </c>
      <c r="B1495">
        <f>HYPERLINK("https://eproc.rajasthan.gov.in/nicgep/app?component=%24DirectLink&amp;page=FrontEndViewTender&amp;service=direct&amp;session=T&amp;sp=SJDVe2ef2nX7ghHx0617Saw%3D%3D", "Works including garbage collection and segregation from household and commercial establishments, road and drain cleaning and cleaning of community sanitary complex at Revenue Villages of Gram Panchayat Sirangsar Panchayat Samiti Nohar")</f>
        <v/>
      </c>
      <c r="C1495" t="inlineStr">
        <is>
          <t>Panchayati Raj Department||Secretary and Commissioner||CEO- HANUMANGARH||BDO-NOHAR</t>
        </is>
      </c>
      <c r="D1495" t="inlineStr">
        <is>
          <t>21-May-2025 02:00 PM</t>
        </is>
      </c>
      <c r="E1495" t="inlineStr">
        <is>
          <t>8,67,000</t>
        </is>
      </c>
      <c r="F1495" t="inlineStr">
        <is>
          <t>Works including garbage collection and segregation from household and commercial establishments, road and drain cleaning and cleaning of community sanitary complex at Revenue Villages of Gram Panchayat Sirangsar Panchayat Samiti Nohar</t>
        </is>
      </c>
      <c r="G1495" t="inlineStr">
        <is>
          <t>SIRANGSAR</t>
        </is>
      </c>
    </row>
    <row r="1496">
      <c r="A1496" s="1" t="n">
        <v>1494</v>
      </c>
      <c r="B1496">
        <f>HYPERLINK("https://eproc.rajasthan.gov.in/nicgep/app?component=%24DirectLink&amp;page=FrontEndViewTender&amp;service=direct&amp;session=T&amp;sp=SMouea%2BnBxhzBhfs5eh82Dg%3D%3D", "GRAM PANCHAYAT KE SAMAST GAVO ME GHR GHR SE KACHRA SANGRHAN V PRATHAKKRAN SADAK V NALI SAFAI V CSC SAFAI GP sankhli")</f>
        <v/>
      </c>
      <c r="C1496" t="inlineStr">
        <is>
          <t>Panchayati Raj Department||Secretary and Commissioner||CEO-CHITTORGARH||BDO-RASHMI</t>
        </is>
      </c>
      <c r="D1496" t="inlineStr">
        <is>
          <t>22-May-2025 10:00 AM</t>
        </is>
      </c>
      <c r="E1496" t="inlineStr">
        <is>
          <t>6,52,219</t>
        </is>
      </c>
      <c r="F1496" t="inlineStr">
        <is>
          <t>GRAM PANCHAYAT KE SAMAST GAVO ME GHR GHR SE KACHRA SANGRHAN V PRATHAKKRAN SADAK V NALI SAFAI V CSC SAFAI GP sankhli</t>
        </is>
      </c>
      <c r="G1496" t="inlineStr">
        <is>
          <t>gram panchayat Sankhli</t>
        </is>
      </c>
    </row>
    <row r="1497">
      <c r="A1497" s="1" t="n">
        <v>1495</v>
      </c>
      <c r="B1497">
        <f>HYPERLINK("https://eproc.rajasthan.gov.in/nicgep/app?component=%24DirectLink&amp;page=FrontEndViewTender&amp;service=direct&amp;session=T&amp;sp=SiyIoVElUB08HX1ySeo1oVQ%3D%3D", "Rate contract For Supply of Construction Material and Providing Equipments for NREGA, RD and PR Schemes at Gram Panchayat Maheshwara Kalan Panchayat Samiti DAUSA Dist Dausa For FY 2025-26 up to 31 March 2026")</f>
        <v/>
      </c>
      <c r="C1497" t="inlineStr">
        <is>
          <t>Panchayati Raj Department||Secretary and Commissioner||CEO-DAUSA||BDO-DAUSA</t>
        </is>
      </c>
      <c r="D1497" t="inlineStr">
        <is>
          <t>26-May-2025 09:30 AM</t>
        </is>
      </c>
      <c r="E1497" t="inlineStr">
        <is>
          <t>50,00,000</t>
        </is>
      </c>
      <c r="F1497" t="inlineStr">
        <is>
          <t>Rate contract For Supply of Construction Material and Providing Equipments for NREGA, RD and PR Schemes at Gram Panchayat Maheshwara Kalan Panchayat Samiti DAUSA Dist Dausa For FY 2025-26 up to 31 March 2026</t>
        </is>
      </c>
      <c r="G1497" t="inlineStr">
        <is>
          <t>Maheshwara Kalan</t>
        </is>
      </c>
    </row>
    <row r="1498">
      <c r="A1498" s="1" t="n">
        <v>1496</v>
      </c>
      <c r="B1498">
        <f>HYPERLINK("https://eproc.rajasthan.gov.in/nicgep/app?component=%24DirectLink&amp;page=FrontEndViewTender&amp;service=direct&amp;session=T&amp;sp=SfstUfd8p9Kj%2BArPAR7W3Xg%3D%3D", "Single phase tube wail with vidyut connection dhani Jhalra Gram Ladpur GP Malikpur")</f>
        <v/>
      </c>
      <c r="C1498" t="inlineStr">
        <is>
          <t>Panchayati Raj Department||Secretary and Commissioner||CEO-SIKAR||BDO-KHANDELA</t>
        </is>
      </c>
      <c r="D1498" t="inlineStr">
        <is>
          <t>20-May-2025 06:00 PM</t>
        </is>
      </c>
      <c r="E1498" t="inlineStr">
        <is>
          <t>6,60,000</t>
        </is>
      </c>
      <c r="F1498" t="inlineStr">
        <is>
          <t>Single phase tube wail with vidyut connection dhani Jhalra Gram Ladpur GP Malikpur</t>
        </is>
      </c>
      <c r="G1498" t="inlineStr">
        <is>
          <t>GP MALIKPUR</t>
        </is>
      </c>
    </row>
    <row r="1499">
      <c r="A1499" s="1" t="n">
        <v>1497</v>
      </c>
      <c r="B1499">
        <f>HYPERLINK("https://eproc.rajasthan.gov.in/nicgep/app?component=%24DirectLink&amp;page=FrontEndViewTender&amp;service=direct&amp;session=T&amp;sp=SzA2RwdKx9DuoNe6vL7rGkQ%3D%3D", "BIKRAI ANGANWADI CENTRE 01 ANGANWADI BUILDING CONSTRUCTION WORK GP ARNIA")</f>
        <v/>
      </c>
      <c r="C1499" t="inlineStr">
        <is>
          <t>Panchayati Raj Department||Secretary and Commissioner||CEO-BHILWARA||BDO-SAHADA</t>
        </is>
      </c>
      <c r="D1499" t="inlineStr">
        <is>
          <t>22-May-2025 06:00 PM</t>
        </is>
      </c>
      <c r="E1499" t="inlineStr">
        <is>
          <t>10,00,000</t>
        </is>
      </c>
      <c r="F1499" t="inlineStr">
        <is>
          <t>BIKRAI ANGANWADI CENTRE 01 ANGANWADI BUILDING CONSTRUCTION WORK GP ARNIA</t>
        </is>
      </c>
      <c r="G1499" t="inlineStr">
        <is>
          <t>SAHADA</t>
        </is>
      </c>
    </row>
    <row r="1500">
      <c r="A1500" s="1" t="n">
        <v>1498</v>
      </c>
      <c r="B1500">
        <f>HYPERLINK("https://eproc.rajasthan.gov.in/nicgep/app?component=%24DirectLink&amp;page=FrontEndViewTender&amp;service=direct&amp;session=T&amp;sp=SGKDHR1kfN0N4VjI%2F0gwQrw%3D%3D", "Works including garbage collection and segregation from household and commercial establishments, road and drain cleaning and cleaning of community sanitary complex at Revenue Villages of Gram Panchayat Tidiyasar Panchayat Samiti Nohar")</f>
        <v/>
      </c>
      <c r="C1500" t="inlineStr">
        <is>
          <t>Panchayati Raj Department||Secretary and Commissioner||CEO- HANUMANGARH||BDO-NOHAR</t>
        </is>
      </c>
      <c r="D1500" t="inlineStr">
        <is>
          <t>21-May-2025 02:00 PM</t>
        </is>
      </c>
      <c r="E1500" t="inlineStr">
        <is>
          <t>8,83,000</t>
        </is>
      </c>
      <c r="F1500" t="inlineStr">
        <is>
          <t>Works including garbage collection and segregation from household and commercial establishments, road and drain cleaning and cleaning of community sanitary complex at Revenue Villages of Gram Panchayat Tidiyasar Panchayat Samiti Nohar</t>
        </is>
      </c>
      <c r="G1500" t="inlineStr">
        <is>
          <t>TIDIYASAR</t>
        </is>
      </c>
    </row>
    <row r="1501">
      <c r="A1501" s="1" t="n">
        <v>1499</v>
      </c>
      <c r="B1501">
        <f>HYPERLINK("https://eproc.rajasthan.gov.in/nicgep/app?component=%24DirectLink&amp;page=FrontEndViewTender&amp;service=direct&amp;session=T&amp;sp=SbP3EJep5b6DUZlOyrtLbLg%3D%3D", "BHIL BASTI ANGANWADI CENTRE 01 ANGANWADI BUILDING CONSTRUCTION WORK GP SARGAON")</f>
        <v/>
      </c>
      <c r="C1501" t="inlineStr">
        <is>
          <t>Panchayati Raj Department||Secretary and Commissioner||CEO-BHILWARA||BDO-SAHADA</t>
        </is>
      </c>
      <c r="D1501" t="inlineStr">
        <is>
          <t>22-May-2025 06:00 PM</t>
        </is>
      </c>
      <c r="E1501" t="inlineStr">
        <is>
          <t>10,00,000</t>
        </is>
      </c>
      <c r="F1501" t="inlineStr">
        <is>
          <t>BHIL BASTI ANGANWADI CENTRE 01 ANGANWADI BUILDING CONSTRUCTION WORK GP SARGAON</t>
        </is>
      </c>
      <c r="G1501" t="inlineStr">
        <is>
          <t>SAHADA</t>
        </is>
      </c>
    </row>
    <row r="1502">
      <c r="A1502" s="1" t="n">
        <v>1500</v>
      </c>
      <c r="B1502">
        <f>HYPERLINK("https://eproc.rajasthan.gov.in/nicgep/app?component=%24DirectLink&amp;page=FrontEndViewTender&amp;service=direct&amp;session=T&amp;sp=SKvskk6pEGnBj2xrbhBBq0Q%3D%3D", "SARGAON ANGANWADI CENTRE 02 ANGANWADI BUILDING CONSTRUCTION WORK GP SARGAON")</f>
        <v/>
      </c>
      <c r="C1502" t="inlineStr">
        <is>
          <t>Panchayati Raj Department||Secretary and Commissioner||CEO-BHILWARA||BDO-SAHADA</t>
        </is>
      </c>
      <c r="D1502" t="inlineStr">
        <is>
          <t>22-May-2025 06:00 PM</t>
        </is>
      </c>
      <c r="E1502" t="inlineStr">
        <is>
          <t>10,00,000</t>
        </is>
      </c>
      <c r="F1502" t="inlineStr">
        <is>
          <t>SARGAON ANGANWADI CENTRE 02 ANGANWADI BUILDING CONSTRUCTION WORK GP SARGAON</t>
        </is>
      </c>
      <c r="G1502" t="inlineStr">
        <is>
          <t>SAHADA</t>
        </is>
      </c>
    </row>
    <row r="1503">
      <c r="A1503" s="1" t="n">
        <v>1501</v>
      </c>
      <c r="B1503">
        <f>HYPERLINK("https://eproc.rajasthan.gov.in/nicgep/app?component=%24DirectLink&amp;page=FrontEndViewTender&amp;service=direct&amp;session=T&amp;sp=SpV%2FyoWnxh2IPBr4%2FmMTj2Q%3D%3D", "Rate contract For Supply of Construction Material and Providing Equipments for NREGA, RD and PR Schemes at Gram Panchayat Kundal Panchayat Samiti DAUSA Dist Dausa For FY 2025-26 up to 31 March 2026")</f>
        <v/>
      </c>
      <c r="C1503" t="inlineStr">
        <is>
          <t>Panchayati Raj Department||Secretary and Commissioner||CEO-DAUSA||BDO-DAUSA</t>
        </is>
      </c>
      <c r="D1503" t="inlineStr">
        <is>
          <t>26-May-2025 09:30 AM</t>
        </is>
      </c>
      <c r="E1503" t="inlineStr">
        <is>
          <t>50,00,000</t>
        </is>
      </c>
      <c r="F1503" t="inlineStr">
        <is>
          <t>Rate contract For Supply of Construction Material and Providing Equipments for NREGA, RD and PR Schemes at Gram Panchayat Kundal Panchayat Samiti DAUSA Dist Dausa For FY 2025-26 up to 31 March 2026</t>
        </is>
      </c>
      <c r="G1503" t="inlineStr">
        <is>
          <t>Kundal</t>
        </is>
      </c>
    </row>
    <row r="1504">
      <c r="A1504" s="1" t="n">
        <v>1502</v>
      </c>
      <c r="B1504">
        <f>HYPERLINK("https://eproc.rajasthan.gov.in/nicgep/app?component=%24DirectLink&amp;page=FrontEndViewTender&amp;service=direct&amp;session=T&amp;sp=SPBdNouQwR2SR10zy1B8EzQ%3D%3D", "SATDUNDHIYA ANGANWADI CENTRE 01 ANGANWADI BUILDING CONSTRUCTION WORK GP DHOSAR")</f>
        <v/>
      </c>
      <c r="C1504" t="inlineStr">
        <is>
          <t>Panchayati Raj Department||Secretary and Commissioner||CEO-BHILWARA||BDO-SAHADA</t>
        </is>
      </c>
      <c r="D1504" t="inlineStr">
        <is>
          <t>22-May-2025 06:00 PM</t>
        </is>
      </c>
      <c r="E1504" t="inlineStr">
        <is>
          <t>10,00,000</t>
        </is>
      </c>
      <c r="F1504" t="inlineStr">
        <is>
          <t>SATDUNDHIYA ANGANWADI CENTRE 01 ANGANWADI BUILDING CONSTRUCTION WORK GP DHOSAR</t>
        </is>
      </c>
      <c r="G1504" t="inlineStr">
        <is>
          <t>SAHADA</t>
        </is>
      </c>
    </row>
    <row r="1505">
      <c r="A1505" s="1" t="n">
        <v>1503</v>
      </c>
      <c r="B1505">
        <f>HYPERLINK("https://eproc.rajasthan.gov.in/nicgep/app?component=%24DirectLink&amp;page=FrontEndViewTender&amp;service=direct&amp;session=T&amp;sp=SCgMwELHdF5lF6J%2FbhXLjRw%3D%3D", "cleaning and sanitation work for gp CHANDRAWALI")</f>
        <v/>
      </c>
      <c r="C1505" t="inlineStr">
        <is>
          <t>Panchayati Raj Department||Secretary and Commissioner||CEO-DHOLPUR||BDO-SARMATHURA</t>
        </is>
      </c>
      <c r="D1505" t="inlineStr">
        <is>
          <t>23-May-2025 06:00 PM</t>
        </is>
      </c>
      <c r="E1505" t="inlineStr">
        <is>
          <t>5,22,000</t>
        </is>
      </c>
      <c r="F1505" t="inlineStr">
        <is>
          <t>cleaning and sanitation work for gp CHANDRAWALI</t>
        </is>
      </c>
      <c r="G1505" t="inlineStr">
        <is>
          <t>PS SARMATHURA</t>
        </is>
      </c>
    </row>
    <row r="1506">
      <c r="A1506" s="1" t="n">
        <v>1504</v>
      </c>
      <c r="B1506">
        <f>HYPERLINK("https://eproc.rajasthan.gov.in/nicgep/app?component=%24DirectLink&amp;page=FrontEndViewTender&amp;service=direct&amp;session=T&amp;sp=S7YK0V1x0Ypj37sNCEzyn8A%3D%3D", "SATLIYAS ANGANWADI CENTRE 01 ANGANWADI BUILDING CONSTRUCTION WORK GP SATLIYAS")</f>
        <v/>
      </c>
      <c r="C1506" t="inlineStr">
        <is>
          <t>Panchayati Raj Department||Secretary and Commissioner||CEO-BHILWARA||BDO-SAHADA</t>
        </is>
      </c>
      <c r="D1506" t="inlineStr">
        <is>
          <t>22-May-2025 06:00 PM</t>
        </is>
      </c>
      <c r="E1506" t="inlineStr">
        <is>
          <t>10,00,000</t>
        </is>
      </c>
      <c r="F1506" t="inlineStr">
        <is>
          <t>SATLIYAS ANGANWADI CENTRE 01 ANGANWADI BUILDING CONSTRUCTION WORK GP SATLIYAS</t>
        </is>
      </c>
      <c r="G1506" t="inlineStr">
        <is>
          <t>SAHADA</t>
        </is>
      </c>
    </row>
    <row r="1507">
      <c r="A1507" s="1" t="n">
        <v>1505</v>
      </c>
      <c r="B1507">
        <f>HYPERLINK("https://eproc.rajasthan.gov.in/nicgep/app?component=%24DirectLink&amp;page=FrontEndViewTender&amp;service=direct&amp;session=T&amp;sp=Sykcch7i2lYlsLusuHV5tlQ%3D%3D", "Works including garbage collection and segregation from household and commercial establishments, road and drain cleaning and cleaning of community sanitary complex at Revenue Village GORKHANA of Gram Panchayat Gorkhana Panchayat Samiti Nohar")</f>
        <v/>
      </c>
      <c r="C1507" t="inlineStr">
        <is>
          <t>Panchayati Raj Department||Secretary and Commissioner||CEO- HANUMANGARH||BDO-NOHAR</t>
        </is>
      </c>
      <c r="D1507" t="inlineStr">
        <is>
          <t>21-May-2025 02:00 PM</t>
        </is>
      </c>
      <c r="E1507" t="inlineStr">
        <is>
          <t>6,24,000</t>
        </is>
      </c>
      <c r="F1507" t="inlineStr">
        <is>
          <t>Works including garbage collection and segregation from household and commercial establishments, road and drain cleaning and cleaning of community sanitary complex at Revenue Village GORKHANA of Gram Panchayat Gorkhana Panchayat Samiti Nohar</t>
        </is>
      </c>
      <c r="G1507" t="inlineStr">
        <is>
          <t>Gorkhana</t>
        </is>
      </c>
    </row>
    <row r="1508">
      <c r="A1508" s="1" t="n">
        <v>1506</v>
      </c>
      <c r="B1508">
        <f>HYPERLINK("https://eproc.rajasthan.gov.in/nicgep/app?component=%24DirectLink&amp;page=FrontEndViewTender&amp;service=direct&amp;session=T&amp;sp=SxEUOmqmy0sm77H7tpU4xVQ%3D%3D", "ARNIA JAGIR ANGANWADI CENTRE 01 ANGANWADI BUILDING CONSTRUCTION WORK GP UMMEDPURA")</f>
        <v/>
      </c>
      <c r="C1508" t="inlineStr">
        <is>
          <t>Panchayati Raj Department||Secretary and Commissioner||CEO-BHILWARA||BDO-SAHADA</t>
        </is>
      </c>
      <c r="D1508" t="inlineStr">
        <is>
          <t>22-May-2025 06:00 PM</t>
        </is>
      </c>
      <c r="E1508" t="inlineStr">
        <is>
          <t>10,00,000</t>
        </is>
      </c>
      <c r="F1508" t="inlineStr">
        <is>
          <t>ARNIA JAGIR ANGANWADI CENTRE 01 ANGANWADI BUILDING CONSTRUCTION WORK GP UMMEDPURA</t>
        </is>
      </c>
      <c r="G1508" t="inlineStr">
        <is>
          <t>SAHADA</t>
        </is>
      </c>
    </row>
    <row r="1509">
      <c r="A1509" s="1" t="n">
        <v>1507</v>
      </c>
      <c r="B1509">
        <f>HYPERLINK("https://eproc.rajasthan.gov.in/nicgep/app?component=%24DirectLink&amp;page=FrontEndViewTender&amp;service=direct&amp;session=T&amp;sp=SIBebUoxdOkJWrJWguJ8FrQ%3D%3D", "KANGNI ANGANWADI CENTRE 01 ANGANWADI BUILDING CONSTRUCTION WORK GP KANGNI")</f>
        <v/>
      </c>
      <c r="C1509" t="inlineStr">
        <is>
          <t>Panchayati Raj Department||Secretary and Commissioner||CEO-BHILWARA||BDO-SAHADA</t>
        </is>
      </c>
      <c r="D1509" t="inlineStr">
        <is>
          <t>22-May-2025 06:00 PM</t>
        </is>
      </c>
      <c r="E1509" t="inlineStr">
        <is>
          <t>10,00,000</t>
        </is>
      </c>
      <c r="F1509" t="inlineStr">
        <is>
          <t>KANGNI ANGANWADI CENTRE 01 ANGANWADI BUILDING CONSTRUCTION WORK GP KANGNI</t>
        </is>
      </c>
      <c r="G1509" t="inlineStr">
        <is>
          <t>SAHADA</t>
        </is>
      </c>
    </row>
    <row r="1510">
      <c r="A1510" s="1" t="n">
        <v>1508</v>
      </c>
      <c r="B1510">
        <f>HYPERLINK("https://eproc.rajasthan.gov.in/nicgep/app?component=%24DirectLink&amp;page=FrontEndViewTender&amp;service=direct&amp;session=T&amp;sp=S%2Fc5dmtmowPd%2BGQtjsqaykw%3D%3D", "Works including garbage collection and segregation from household and commercial establishments, road and drain cleaning and cleaning of community sanitary complex at Revenue Village Dumasar of Gram Panchayat Gorkhana Panchayat Samiti Nohar")</f>
        <v/>
      </c>
      <c r="C1510" t="inlineStr">
        <is>
          <t>Panchayati Raj Department||Secretary and Commissioner||CEO- HANUMANGARH||BDO-NOHAR</t>
        </is>
      </c>
      <c r="D1510" t="inlineStr">
        <is>
          <t>21-May-2025 02:00 PM</t>
        </is>
      </c>
      <c r="E1510" t="inlineStr">
        <is>
          <t>1,35,000</t>
        </is>
      </c>
      <c r="F1510" t="inlineStr">
        <is>
          <t>Works including garbage collection and segregation from household and commercial establishments, road and drain cleaning and cleaning of community sanitary complex at Revenue Village Dumasar of Gram Panchayat Gorkhana Panchayat Samiti Nohar</t>
        </is>
      </c>
      <c r="G1510" t="inlineStr">
        <is>
          <t>Gorkhana</t>
        </is>
      </c>
    </row>
    <row r="1511">
      <c r="A1511" s="1" t="n">
        <v>1509</v>
      </c>
      <c r="B1511">
        <f>HYPERLINK("https://eproc.rajasthan.gov.in/nicgep/app?component=%24DirectLink&amp;page=FrontEndViewTender&amp;service=direct&amp;session=T&amp;sp=SW1IvOuC%2F10U0VJbO9SZWAw%3D%3D", "SURAT SINGH JI KA KHEDA ANGANWADI CENTRE 01 ANGANWADI BUILDING CONSTRUCTION WORK GP UMMEDPURA")</f>
        <v/>
      </c>
      <c r="C1511" t="inlineStr">
        <is>
          <t>Panchayati Raj Department||Secretary and Commissioner||CEO-BHILWARA||BDO-SAHADA</t>
        </is>
      </c>
      <c r="D1511" t="inlineStr">
        <is>
          <t>22-May-2025 06:00 PM</t>
        </is>
      </c>
      <c r="E1511" t="inlineStr">
        <is>
          <t>10,00,000</t>
        </is>
      </c>
      <c r="F1511" t="inlineStr">
        <is>
          <t>SURAT SINGH JI KA KHEDA ANGANWADI CENTRE 01 ANGANWADI BUILDING CONSTRUCTION WORK GP UMMEDPURA</t>
        </is>
      </c>
      <c r="G1511" t="inlineStr">
        <is>
          <t>SAHADA</t>
        </is>
      </c>
    </row>
    <row r="1512">
      <c r="A1512" s="1" t="n">
        <v>1510</v>
      </c>
      <c r="B1512">
        <f>HYPERLINK("https://eproc.rajasthan.gov.in/nicgep/app?component=%24DirectLink&amp;page=FrontEndViewTender&amp;service=direct&amp;session=T&amp;sp=SYy1LJMo%2BDQV1FWI%2Ba0%2BHPA%3D%3D", "Works including garbage collection and segregation from household and commercial establishments, road and drain cleaning and cleaning of community sanitary complex at Revenue Village Bhagwansar of Gram Panchayat Gorkhana Panchayat Samiti Nohar")</f>
        <v/>
      </c>
      <c r="C1512" t="inlineStr">
        <is>
          <t>Panchayati Raj Department||Secretary and Commissioner||CEO- HANUMANGARH||BDO-NOHAR</t>
        </is>
      </c>
      <c r="D1512" t="inlineStr">
        <is>
          <t>21-May-2025 02:00 PM</t>
        </is>
      </c>
      <c r="E1512" t="inlineStr">
        <is>
          <t>2,61,000</t>
        </is>
      </c>
      <c r="F1512" t="inlineStr">
        <is>
          <t>Works including garbage collection and segregation from household and commercial establishments, road and drain cleaning and cleaning of community sanitary complex at Revenue Village Karamsana of Gram Panchayat Gorkhana Panchayat Samiti Nohar</t>
        </is>
      </c>
      <c r="G1512" t="inlineStr">
        <is>
          <t>Gorkhana</t>
        </is>
      </c>
    </row>
    <row r="1513">
      <c r="A1513" s="1" t="n">
        <v>1511</v>
      </c>
      <c r="B1513">
        <f>HYPERLINK("https://eproc.rajasthan.gov.in/nicgep/app?component=%24DirectLink&amp;page=FrontEndViewTender&amp;service=direct&amp;session=T&amp;sp=Sai9ugeLRu6QabIWc4ygGVQ%3D%3D", "Works including garbage collection and segregation from household and commercial establishments, road and drain cleaning and cleaning of community sanitary complex at Revenue Village Bhagwansar of Gram Panchayat Gorkhana Panchayat Samiti Nohar")</f>
        <v/>
      </c>
      <c r="C1513" t="inlineStr">
        <is>
          <t>Panchayati Raj Department||Secretary and Commissioner||CEO- HANUMANGARH||BDO-NOHAR</t>
        </is>
      </c>
      <c r="D1513" t="inlineStr">
        <is>
          <t>21-May-2025 02:00 PM</t>
        </is>
      </c>
      <c r="E1513" t="inlineStr">
        <is>
          <t>5,86,000</t>
        </is>
      </c>
      <c r="F1513" t="inlineStr">
        <is>
          <t>Works including garbage collection and segregation from household and commercial establishments, road and drain cleaning and cleaning of community sanitary complex at Revenue Village Bhagwansar of Gram Panchayat Gorkhana Panchayat Samiti Nohar</t>
        </is>
      </c>
      <c r="G1513" t="inlineStr">
        <is>
          <t>Gorkhana</t>
        </is>
      </c>
    </row>
    <row r="1514">
      <c r="A1514" s="1" t="n">
        <v>1512</v>
      </c>
      <c r="B1514">
        <f>HYPERLINK("https://eproc.rajasthan.gov.in/nicgep/app?component=%24DirectLink&amp;page=FrontEndViewTender&amp;service=direct&amp;session=T&amp;sp=ScHMrtTOu81mj0CHenl7LBA%3D%3D", "RAGHUNATHPURA ANGANWADI CENTRE 01 ANGANWADI BUILDING CONSTRUCTION WORK GP DELANA")</f>
        <v/>
      </c>
      <c r="C1514" t="inlineStr">
        <is>
          <t>Panchayati Raj Department||Secretary and Commissioner||CEO-BHILWARA||BDO-SAHADA</t>
        </is>
      </c>
      <c r="D1514" t="inlineStr">
        <is>
          <t>22-May-2025 06:00 PM</t>
        </is>
      </c>
      <c r="E1514" t="inlineStr">
        <is>
          <t>10,00,000</t>
        </is>
      </c>
      <c r="F1514" t="inlineStr">
        <is>
          <t>RAGHUNATHPURA ANGANWADI CENTRE 01 ANGANWADI BUILDING CONSTRUCTION WORK GP DELANA</t>
        </is>
      </c>
      <c r="G1514" t="inlineStr">
        <is>
          <t>SAHADA</t>
        </is>
      </c>
    </row>
    <row r="1515">
      <c r="A1515" s="1" t="n">
        <v>1513</v>
      </c>
      <c r="B1515">
        <f>HYPERLINK("https://eproc.rajasthan.gov.in/nicgep/app?component=%24DirectLink&amp;page=FrontEndViewTender&amp;service=direct&amp;session=T&amp;sp=Sj6RawA%2BYwlqDfYHplPH9Vg%3D%3D", "NEEM KHEDA ANGANWADI CENTRE 01 ANGANWADI BUILDING CONSTRUCTION WORK GP UMMEDPURA")</f>
        <v/>
      </c>
      <c r="C1515" t="inlineStr">
        <is>
          <t>Panchayati Raj Department||Secretary and Commissioner||CEO-BHILWARA||BDO-SAHADA</t>
        </is>
      </c>
      <c r="D1515" t="inlineStr">
        <is>
          <t>22-May-2025 06:00 PM</t>
        </is>
      </c>
      <c r="E1515" t="inlineStr">
        <is>
          <t>10,00,000</t>
        </is>
      </c>
      <c r="F1515" t="inlineStr">
        <is>
          <t>NEEM KHEDA ANGANWADI CENTRE 01 ANGANWADI BUILDING CONSTRUCTION WORK GP UMMEDPURA</t>
        </is>
      </c>
      <c r="G1515" t="inlineStr">
        <is>
          <t>SAHADA</t>
        </is>
      </c>
    </row>
    <row r="1516">
      <c r="A1516" s="1" t="n">
        <v>1514</v>
      </c>
      <c r="B1516">
        <f>HYPERLINK("https://eproc.rajasthan.gov.in/nicgep/app?component=%24DirectLink&amp;page=FrontEndViewTender&amp;service=direct&amp;session=T&amp;sp=SHBFSr0W4Dtt9gXeE5FvJmA%3D%3D", "cleaning and sanitation work for gp raharai")</f>
        <v/>
      </c>
      <c r="C1516" t="inlineStr">
        <is>
          <t>Panchayati Raj Department||Secretary and Commissioner||CEO-DHOLPUR||BDO-SARMATHURA</t>
        </is>
      </c>
      <c r="D1516" t="inlineStr">
        <is>
          <t>23-May-2025 06:00 PM</t>
        </is>
      </c>
      <c r="E1516" t="inlineStr">
        <is>
          <t>5,56,000</t>
        </is>
      </c>
      <c r="F1516" t="inlineStr">
        <is>
          <t>cleaning and sanitation work for gp raharai</t>
        </is>
      </c>
      <c r="G1516" t="inlineStr">
        <is>
          <t>PS SARMATHURA</t>
        </is>
      </c>
    </row>
    <row r="1517">
      <c r="A1517" s="1" t="n">
        <v>1515</v>
      </c>
      <c r="B1517">
        <f>HYPERLINK("https://eproc.rajasthan.gov.in/nicgep/app?component=%24DirectLink&amp;page=FrontEndViewTender&amp;service=direct&amp;session=T&amp;sp=S%2BU2%2BDmE1C9YsnMcwl7sGKw%3D%3D", "cleaning and sanitation work for gp BHIJOLI")</f>
        <v/>
      </c>
      <c r="C1517" t="inlineStr">
        <is>
          <t>Panchayati Raj Department||Secretary and Commissioner||CEO-DHOLPUR||BDO-SARMATHURA</t>
        </is>
      </c>
      <c r="D1517" t="inlineStr">
        <is>
          <t>23-May-2025 06:00 PM</t>
        </is>
      </c>
      <c r="E1517" t="inlineStr">
        <is>
          <t>2,74,500</t>
        </is>
      </c>
      <c r="F1517" t="inlineStr">
        <is>
          <t>cleaning and sanitation work for gp BHIJOLI</t>
        </is>
      </c>
      <c r="G1517" t="inlineStr">
        <is>
          <t>PS SARMATHURA</t>
        </is>
      </c>
    </row>
    <row r="1518">
      <c r="A1518" s="1" t="n">
        <v>1516</v>
      </c>
      <c r="B1518">
        <f>HYPERLINK("https://eproc.rajasthan.gov.in/nicgep/app?component=%24DirectLink&amp;page=FrontEndViewTender&amp;service=direct&amp;session=T&amp;sp=SM1r4S4qdqCkU9hpFlFf0BA%3D%3D", "Supply of Construction Materials and Service of Equipments (Financial Year 2025-26) for Gram Panchayat Gilund")</f>
        <v/>
      </c>
      <c r="C1518" t="inlineStr">
        <is>
          <t>Panchayati Raj Department||Secretary and Commissioner||CEO-RAJSAMAND||BDO-RAILMAGARA</t>
        </is>
      </c>
      <c r="D1518" t="inlineStr">
        <is>
          <t>24-May-2025 06:00 PM</t>
        </is>
      </c>
      <c r="E1518" t="inlineStr">
        <is>
          <t>50,00,000</t>
        </is>
      </c>
      <c r="F1518" t="inlineStr">
        <is>
          <t>Supply of Construction Materials and Service of Equipments (Financial Year 2025-26) for Gram Panchayat Gilund</t>
        </is>
      </c>
      <c r="G1518" t="inlineStr">
        <is>
          <t>GRAM PANCHAYAT GILUND</t>
        </is>
      </c>
    </row>
    <row r="1519">
      <c r="A1519" s="1" t="n">
        <v>1517</v>
      </c>
      <c r="B1519">
        <f>HYPERLINK("https://eproc.rajasthan.gov.in/nicgep/app?component=%24DirectLink&amp;page=FrontEndViewTender&amp;service=direct&amp;session=T&amp;sp=Ss41dbJNZ4yX55njkAWLwqQ%3D%3D", "Works including garbage collection and segregation from household and commercial establishments, road and drain cleaning and cleaning of community sanitary complex at Revenue Villages of Gram Panchayat Lalaniya Panchayat Samiti Nohar")</f>
        <v/>
      </c>
      <c r="C1519" t="inlineStr">
        <is>
          <t>Panchayati Raj Department||Secretary and Commissioner||CEO- HANUMANGARH||BDO-NOHAR</t>
        </is>
      </c>
      <c r="D1519" t="inlineStr">
        <is>
          <t>21-May-2025 02:00 PM</t>
        </is>
      </c>
      <c r="E1519" t="inlineStr">
        <is>
          <t>8,72,000</t>
        </is>
      </c>
      <c r="F1519" t="inlineStr">
        <is>
          <t>Works including garbage collection and segregation from household and commercial establishments, road and drain cleaning and cleaning of community sanitary complex at Revenue Villages of Gram Panchayat Lalaniya Panchayat Samiti Nohar</t>
        </is>
      </c>
      <c r="G1519" t="inlineStr">
        <is>
          <t>Lalaniya</t>
        </is>
      </c>
    </row>
    <row r="1520">
      <c r="A1520" s="1" t="n">
        <v>1518</v>
      </c>
      <c r="B1520">
        <f>HYPERLINK("https://eproc.rajasthan.gov.in/nicgep/app?component=%24DirectLink&amp;page=FrontEndViewTender&amp;service=direct&amp;session=T&amp;sp=Sgk3NhD4mG%2BxQGebeFI2zEQ%3D%3D", "Supply of Construction Materials and Service of Equipments (Financial Year 2025-26) for Gram Panchayat Oda.")</f>
        <v/>
      </c>
      <c r="C1520" t="inlineStr">
        <is>
          <t>Panchayati Raj Department||Secretary and Commissioner||CEO-RAJSAMAND||BDO-RAILMAGARA</t>
        </is>
      </c>
      <c r="D1520" t="inlineStr">
        <is>
          <t>24-May-2025 06:00 PM</t>
        </is>
      </c>
      <c r="E1520" t="inlineStr">
        <is>
          <t>50,00,000</t>
        </is>
      </c>
      <c r="F1520" t="inlineStr">
        <is>
          <t>Supply of Construction Materials and Service of Equipments (Financial Year 2025-26) for Gram Panchayat Oda.</t>
        </is>
      </c>
      <c r="G1520" t="inlineStr">
        <is>
          <t>GRAM PANCHAYAT ODA</t>
        </is>
      </c>
    </row>
    <row r="1521">
      <c r="A1521" s="1" t="n">
        <v>1519</v>
      </c>
      <c r="B1521">
        <f>HYPERLINK("https://eproc.rajasthan.gov.in/nicgep/app?component=%24DirectLink&amp;page=FrontEndViewTender&amp;service=direct&amp;session=T&amp;sp=SaafIn4o5%2FxCniuW6Om8Baw%3D%3D", "Works including garbage collection and segregation from household and commercial establishments, road and drain cleaning and cleaning of community sanitary complex at Revenue Villages of Gram Panchayat Lakhasar Panchayat Samiti Nohar")</f>
        <v/>
      </c>
      <c r="C1521" t="inlineStr">
        <is>
          <t>Panchayati Raj Department||Secretary and Commissioner||CEO- HANUMANGARH||BDO-NOHAR</t>
        </is>
      </c>
      <c r="D1521" t="inlineStr">
        <is>
          <t>21-May-2025 02:00 PM</t>
        </is>
      </c>
      <c r="E1521" t="inlineStr">
        <is>
          <t>9,01,001</t>
        </is>
      </c>
      <c r="F1521" t="inlineStr">
        <is>
          <t>Works including garbage collection and segregation from household and commercial establishments, road and drain cleaning and cleaning of community sanitary complex at Revenue Villages of Gram Panchayat Lakhasar Panchayat Samiti Nohar</t>
        </is>
      </c>
      <c r="G1521" t="inlineStr">
        <is>
          <t>Lakhasar</t>
        </is>
      </c>
    </row>
    <row r="1522">
      <c r="A1522" s="1" t="n">
        <v>1520</v>
      </c>
      <c r="B1522">
        <f>HYPERLINK("https://eproc.rajasthan.gov.in/nicgep/app?component=%24DirectLink&amp;page=FrontEndViewTender&amp;service=direct&amp;session=T&amp;sp=S2l1c0u6kVUtvImXoa%2F0OLw%3D%3D", "Works including garbage collection and segregation from household and commercial establishments, road and drain cleaning and cleaning of community sanitary complex at Revenue Villages of Gram Panchayat Lalana Utrada Panchayat Samiti Nohar")</f>
        <v/>
      </c>
      <c r="C1522" t="inlineStr">
        <is>
          <t>Panchayati Raj Department||Secretary and Commissioner||CEO- HANUMANGARH||BDO-NOHAR</t>
        </is>
      </c>
      <c r="D1522" t="inlineStr">
        <is>
          <t>21-May-2025 02:00 PM</t>
        </is>
      </c>
      <c r="E1522" t="inlineStr">
        <is>
          <t>9,91,000</t>
        </is>
      </c>
      <c r="F1522" t="inlineStr">
        <is>
          <t>Works including garbage collection and segregation from household and commercial establishments, road and drain cleaning and cleaning of community sanitary complex at Revenue Villages of Gram Panchayat Lalana Utrada Panchayat Samiti Nohar</t>
        </is>
      </c>
      <c r="G1522" t="inlineStr">
        <is>
          <t>Lalana Utrada</t>
        </is>
      </c>
    </row>
    <row r="1523">
      <c r="A1523" s="1" t="n">
        <v>1521</v>
      </c>
      <c r="B1523">
        <f>HYPERLINK("https://eproc.rajasthan.gov.in/nicgep/app?component=%24DirectLink&amp;page=FrontEndViewTender&amp;service=direct&amp;session=T&amp;sp=S6VZJKAQBtOx%2FTuWg4fZZcg%3D%3D", "NAREGA AND OTHER SCHEME METERIAL SUPPLY FY 2025-26 BALLUPURA")</f>
        <v/>
      </c>
      <c r="C1523" t="inlineStr">
        <is>
          <t>Panchayati Raj Department||Secretary and Commissioner||CEO-SIKAR||BDO-PATAN</t>
        </is>
      </c>
      <c r="D1523" t="inlineStr">
        <is>
          <t>26-May-2025 06:00 PM</t>
        </is>
      </c>
      <c r="E1523" t="inlineStr">
        <is>
          <t>30,00,000</t>
        </is>
      </c>
      <c r="F1523" t="inlineStr">
        <is>
          <t>NAREGA AND OTHER SCHEME METERIAL SUPPLY FY 2025-26 BALLUPURA</t>
        </is>
      </c>
      <c r="G1523" t="inlineStr">
        <is>
          <t>GP BALLUPURA</t>
        </is>
      </c>
    </row>
    <row r="1524">
      <c r="A1524" s="1" t="n">
        <v>1522</v>
      </c>
      <c r="B1524">
        <f>HYPERLINK("https://eproc.rajasthan.gov.in/nicgep/app?component=%24DirectLink&amp;page=FrontEndViewTender&amp;service=direct&amp;session=T&amp;sp=SETSzyk17nAEpbi6LY8mtAQ%3D%3D", "Rate Contract for Supply of Construction Material and equipment in Gram Panchayat MALIKPUR FOR YEAR 2025-26")</f>
        <v/>
      </c>
      <c r="C1524" t="inlineStr">
        <is>
          <t>Panchayati Raj Department||Secretary and Commissioner||CEO-SIKAR||BDO-KHANDELA</t>
        </is>
      </c>
      <c r="D1524" t="inlineStr">
        <is>
          <t>23-May-2025 06:00 PM</t>
        </is>
      </c>
      <c r="E1524" t="inlineStr">
        <is>
          <t>40,00,000</t>
        </is>
      </c>
      <c r="F1524" t="inlineStr">
        <is>
          <t>Rate Contract for Supply of Construction Material and equipment in Gram Panchayat MALIKPUR FOR YEAR 2025-26</t>
        </is>
      </c>
      <c r="G1524" t="inlineStr">
        <is>
          <t>GP MALIKPUR</t>
        </is>
      </c>
    </row>
    <row r="1525">
      <c r="A1525" s="1" t="n">
        <v>1523</v>
      </c>
      <c r="B1525">
        <f>HYPERLINK("https://eproc.rajasthan.gov.in/nicgep/app?component=%24DirectLink&amp;page=FrontEndViewTender&amp;service=direct&amp;session=T&amp;sp=SQ0rq1hD1tk%2Fgzk3LG9Dg1Q%3D%3D", "Works including garbage collection and segregation from household and commercial establishments, road and drain cleaning and cleaning of community sanitary complex at Revenue Villages of Gram Panchayat Malwani Panchayat Samiti Nohar")</f>
        <v/>
      </c>
      <c r="C1525" t="inlineStr">
        <is>
          <t>Panchayati Raj Department||Secretary and Commissioner||CEO- HANUMANGARH||BDO-NOHAR</t>
        </is>
      </c>
      <c r="D1525" t="inlineStr">
        <is>
          <t>21-May-2025 02:00 PM</t>
        </is>
      </c>
      <c r="E1525" t="inlineStr">
        <is>
          <t>7,99,000</t>
        </is>
      </c>
      <c r="F1525" t="inlineStr">
        <is>
          <t>Works including garbage collection and segregation from household and commercial establishments, road and drain cleaning and cleaning of community sanitary complex at Revenue Villages of Gram Panchayat Malwani Panchayat Samiti Nohar</t>
        </is>
      </c>
      <c r="G1525" t="inlineStr">
        <is>
          <t>Malwani</t>
        </is>
      </c>
    </row>
    <row r="1526">
      <c r="A1526" s="1" t="n">
        <v>1524</v>
      </c>
      <c r="B1526">
        <f>HYPERLINK("https://eproc.rajasthan.gov.in/nicgep/app?component=%24DirectLink&amp;page=FrontEndViewTender&amp;service=direct&amp;session=T&amp;sp=SF34zJ491mylOIfNchxQEYw%3D%3D", "cleaning and sanitation work for gp BAROLI")</f>
        <v/>
      </c>
      <c r="C1526" t="inlineStr">
        <is>
          <t>Panchayati Raj Department||Secretary and Commissioner||CEO-DHOLPUR||BDO-SARMATHURA</t>
        </is>
      </c>
      <c r="D1526" t="inlineStr">
        <is>
          <t>23-May-2025 06:00 PM</t>
        </is>
      </c>
      <c r="E1526" t="inlineStr">
        <is>
          <t>7,50,548</t>
        </is>
      </c>
      <c r="F1526" t="inlineStr">
        <is>
          <t>cleaning and sanitation work for gp BAROLI</t>
        </is>
      </c>
      <c r="G1526" t="inlineStr">
        <is>
          <t>GP BAROLI</t>
        </is>
      </c>
    </row>
    <row r="1527">
      <c r="A1527" s="1" t="n">
        <v>1525</v>
      </c>
      <c r="B1527">
        <f>HYPERLINK("https://eproc.rajasthan.gov.in/nicgep/app?component=%24DirectLink&amp;page=FrontEndViewTender&amp;service=direct&amp;session=T&amp;sp=SBAoQTkzD1lNz0s7E541Ubg%3D%3D", "Works including garbage collection and segregation from household and commercial establishments, road and drain cleaning and cleaning of community sanitary complex at Revenue Village Kikarali of Gram Panchayat Kikarali Panchayat Samiti Nohar")</f>
        <v/>
      </c>
      <c r="C1527" t="inlineStr">
        <is>
          <t>Panchayati Raj Department||Secretary and Commissioner||CEO- HANUMANGARH||BDO-NOHAR</t>
        </is>
      </c>
      <c r="D1527" t="inlineStr">
        <is>
          <t>21-May-2025 02:00 PM</t>
        </is>
      </c>
      <c r="E1527" t="inlineStr">
        <is>
          <t>6,50,000</t>
        </is>
      </c>
      <c r="F1527" t="inlineStr">
        <is>
          <t>Works including garbage collection and segregation from household and commercial establishments, road and drain cleaning and cleaning of community sanitary complex at Revenue Village Kikarali of Gram Panchayat Kikarali Panchayat Samiti Nohar</t>
        </is>
      </c>
      <c r="G1527" t="inlineStr">
        <is>
          <t>Kikarali</t>
        </is>
      </c>
    </row>
    <row r="1528">
      <c r="A1528" s="1" t="n">
        <v>1526</v>
      </c>
      <c r="B1528">
        <f>HYPERLINK("https://eproc.rajasthan.gov.in/nicgep/app?component=%24DirectLink&amp;page=FrontEndViewTender&amp;service=direct&amp;session=T&amp;sp=SbtLZeo44IwottXei5Ko6HA%3D%3D", "Rate contract For Supply of Construction Material and Providing Equipments for NREGA, RD and PR Schemes at Gram Panchayat Maheshwara Khurd Panchayat Samiti DAUSA Dist Dausa For FY 2025-26")</f>
        <v/>
      </c>
      <c r="C1528" t="inlineStr">
        <is>
          <t>Panchayati Raj Department||Secretary and Commissioner||CEO-DAUSA||BDO-DAUSA</t>
        </is>
      </c>
      <c r="D1528" t="inlineStr">
        <is>
          <t>26-May-2025 09:30 AM</t>
        </is>
      </c>
      <c r="E1528" t="inlineStr">
        <is>
          <t>50,00,000</t>
        </is>
      </c>
      <c r="F1528" t="inlineStr">
        <is>
          <t>Rate contract For Supply of Construction Material and Providing Equipments for NREGA, RD and PR Schemes at Gram Panchayat Maheshwara Khurd Panchayat Samiti DAUSA Dist Dausa For FY 2025-26</t>
        </is>
      </c>
      <c r="G1528" t="inlineStr">
        <is>
          <t>Maheshwara Khurd</t>
        </is>
      </c>
    </row>
    <row r="1529">
      <c r="A1529" s="1" t="n">
        <v>1527</v>
      </c>
      <c r="B1529">
        <f>HYPERLINK("https://eproc.rajasthan.gov.in/nicgep/app?component=%24DirectLink&amp;page=FrontEndViewTender&amp;service=direct&amp;session=T&amp;sp=S7ZgO6RlFnBWg9oeSM1MpNA%3D%3D", "Works including garbage collection and segregation from household and commercial establishments, road and drain cleaning and cleaning of community sanitary complex at Revenue Villages of Gram Panchayat Jabrasar Panchayat Samiti Nohar")</f>
        <v/>
      </c>
      <c r="C1529" t="inlineStr">
        <is>
          <t>Panchayati Raj Department||Secretary and Commissioner||CEO- HANUMANGARH||BDO-NOHAR</t>
        </is>
      </c>
      <c r="D1529" t="inlineStr">
        <is>
          <t>21-May-2025 02:00 PM</t>
        </is>
      </c>
      <c r="E1529" t="inlineStr">
        <is>
          <t>9,23,000</t>
        </is>
      </c>
      <c r="F1529" t="inlineStr">
        <is>
          <t>Works including garbage collection and segregation from household and commercial establishments, road and drain cleaning and cleaning of community sanitary complex at Revenue Villages of Gram Panchayat Jabrasar Panchayat Samiti Nohar</t>
        </is>
      </c>
      <c r="G1529" t="inlineStr">
        <is>
          <t>Jabrasar</t>
        </is>
      </c>
    </row>
    <row r="1530">
      <c r="A1530" s="1" t="n">
        <v>1528</v>
      </c>
      <c r="B1530">
        <f>HYPERLINK("https://eproc.rajasthan.gov.in/nicgep/app?component=%24DirectLink&amp;page=FrontEndViewTender&amp;service=direct&amp;session=T&amp;sp=SDxaTwg0tAXW7A8XO51pojQ%3D%3D", "Works including garbage collection and segregation from household and commercial establishments, road and drain cleaning and cleaning of community sanitary complex at Revenue Villages of Gram Panchayat Ararki Panchayat Samiti Nohar")</f>
        <v/>
      </c>
      <c r="C1530" t="inlineStr">
        <is>
          <t>Panchayati Raj Department||Secretary and Commissioner||CEO- HANUMANGARH||BDO-NOHAR</t>
        </is>
      </c>
      <c r="D1530" t="inlineStr">
        <is>
          <t>21-May-2025 02:00 PM</t>
        </is>
      </c>
      <c r="E1530" t="inlineStr">
        <is>
          <t>9,96,250</t>
        </is>
      </c>
      <c r="F1530" t="inlineStr">
        <is>
          <t>Works including garbage collection and segregation from household and commercial establishments, road and drain cleaning and cleaning of community sanitary complex at Revenue Villages of Gram Panchayat Ararki Panchayat Samiti Nohar</t>
        </is>
      </c>
      <c r="G1530" t="inlineStr">
        <is>
          <t>Ararki</t>
        </is>
      </c>
    </row>
    <row r="1531">
      <c r="A1531" s="1" t="n">
        <v>1529</v>
      </c>
      <c r="B1531">
        <f>HYPERLINK("https://eproc.rajasthan.gov.in/nicgep/app?component=%24DirectLink&amp;page=FrontEndViewTender&amp;service=direct&amp;session=T&amp;sp=S%2F78D%2Ffli9o7onHkWGlF3GQ%3D%3D", "cleaning and sanitation work for gp VATIKARA")</f>
        <v/>
      </c>
      <c r="C1531" t="inlineStr">
        <is>
          <t>Panchayati Raj Department||Secretary and Commissioner||CEO-DHOLPUR||BDO-SARMATHURA</t>
        </is>
      </c>
      <c r="D1531" t="inlineStr">
        <is>
          <t>23-May-2025 06:00 PM</t>
        </is>
      </c>
      <c r="E1531" t="inlineStr">
        <is>
          <t>5,85,000</t>
        </is>
      </c>
      <c r="F1531" t="inlineStr">
        <is>
          <t>cleaning and sanitation work for gp VATIKARA</t>
        </is>
      </c>
      <c r="G1531" t="inlineStr">
        <is>
          <t>PS SARMATHURA</t>
        </is>
      </c>
    </row>
    <row r="1532">
      <c r="A1532" s="1" t="n">
        <v>1530</v>
      </c>
      <c r="B1532">
        <f>HYPERLINK("https://eproc.rajasthan.gov.in/nicgep/app?component=%24DirectLink&amp;page=FrontEndViewTender&amp;service=direct&amp;session=T&amp;sp=SBU82chNDofTORgxsc%2F9ZSA%3D%3D", "Works including garbage collection and segregation from household and commercial establishments, road and drain cleaning and cleaning of community sanitary complex at Revenue Villages of Gram Panchayat Khuiyan Panchayat Samiti Nohar")</f>
        <v/>
      </c>
      <c r="C1532" t="inlineStr">
        <is>
          <t>Panchayati Raj Department||Secretary and Commissioner||CEO- HANUMANGARH||BDO-NOHAR</t>
        </is>
      </c>
      <c r="D1532" t="inlineStr">
        <is>
          <t>21-May-2025 02:00 PM</t>
        </is>
      </c>
      <c r="E1532" t="inlineStr">
        <is>
          <t>9,41,000</t>
        </is>
      </c>
      <c r="F1532" t="inlineStr">
        <is>
          <t>Works including garbage collection and segregation from household and commercial establishments, road and drain cleaning and cleaning of community sanitary complex at Revenue Villages of Gram Panchayat Khuiyan Panchayat Samiti Nohar</t>
        </is>
      </c>
      <c r="G1532" t="inlineStr">
        <is>
          <t>Khuiyan</t>
        </is>
      </c>
    </row>
    <row r="1533">
      <c r="A1533" s="1" t="n">
        <v>1531</v>
      </c>
      <c r="B1533">
        <f>HYPERLINK("https://eproc.rajasthan.gov.in/nicgep/app?component=%24DirectLink&amp;page=FrontEndViewTender&amp;service=direct&amp;session=T&amp;sp=Sr4EZy5l1qgZLWQ4CBnnYXw%3D%3D", "GP Kalanada/SBM /Retender/224")</f>
        <v/>
      </c>
      <c r="C1533" t="inlineStr">
        <is>
          <t>Panchayati Raj Department||Secretary and Commissioner||CEO-AJMER||BDO-ARAI</t>
        </is>
      </c>
      <c r="D1533" t="inlineStr">
        <is>
          <t>23-May-2025 06:00 PM</t>
        </is>
      </c>
      <c r="E1533" t="inlineStr">
        <is>
          <t>14,90,988</t>
        </is>
      </c>
      <c r="F1533" t="inlineStr">
        <is>
          <t>GP Kalanada SBM Tender 2025-26</t>
        </is>
      </c>
      <c r="G1533" t="inlineStr">
        <is>
          <t>GP Kalanada</t>
        </is>
      </c>
    </row>
    <row r="1534">
      <c r="A1534" s="1" t="n">
        <v>1532</v>
      </c>
      <c r="B1534">
        <f>HYPERLINK("https://eproc.rajasthan.gov.in/nicgep/app?component=%24DirectLink&amp;page=FrontEndViewTender&amp;service=direct&amp;session=T&amp;sp=SHuFewJ3Yo586tRiOj2bKxA%3D%3D", "Door to Door residential or community Garbedge collection, street and drain cleaning and community sanitation including street cleaning are carried out in all the villages of panchayat samiti AKLERA JILA JHALAWAR at gram THAROL")</f>
        <v/>
      </c>
      <c r="C1534" t="inlineStr">
        <is>
          <t>Panchayati Raj Department||Secretary and Commissioner||CEO- JHALAWAR||BDO-AKLERA</t>
        </is>
      </c>
      <c r="D1534" t="inlineStr">
        <is>
          <t>22-May-2025 12:00 PM</t>
        </is>
      </c>
      <c r="E1534" t="inlineStr">
        <is>
          <t>17,77,268</t>
        </is>
      </c>
      <c r="F1534" t="inlineStr">
        <is>
          <t>Door to Door residential or community Garbedge collection, street and drain cleaning and community sanitation including street cleaning are carried out in all the villages of panchayat samiti AKLERA JILA JHALAWAR at gram THAROL</t>
        </is>
      </c>
      <c r="G1534" t="inlineStr">
        <is>
          <t>JHALAWAR</t>
        </is>
      </c>
    </row>
    <row r="1535">
      <c r="A1535" s="1" t="n">
        <v>1533</v>
      </c>
      <c r="B1535">
        <f>HYPERLINK("https://eproc.rajasthan.gov.in/nicgep/app?component=%24DirectLink&amp;page=FrontEndViewTender&amp;service=direct&amp;session=T&amp;sp=S7LpWJ6C0Qx7gqFC0h%2B0FOQ%3D%3D", "Door to Door residential or community Garbedge collection, street and drain cleaning and community sanitation including street cleaning are carried out in all the villages of panchayat samiti AKLERA JILA JHALAWAR at gram BINDAKHEDA")</f>
        <v/>
      </c>
      <c r="C1535" t="inlineStr">
        <is>
          <t>Panchayati Raj Department||Secretary and Commissioner||CEO- JHALAWAR||BDO-AKLERA</t>
        </is>
      </c>
      <c r="D1535" t="inlineStr">
        <is>
          <t>22-May-2025 12:00 PM</t>
        </is>
      </c>
      <c r="E1535" t="inlineStr">
        <is>
          <t>17,49,065</t>
        </is>
      </c>
      <c r="F1535" t="inlineStr">
        <is>
          <t>Door to Door residential or community Garbedge collection, street and drain cleaning and community sanitation including street cleaning are carried out in all the villages of panchayat samiti AKLERA JILA JHALAWAR at gram BINDAKHEDA</t>
        </is>
      </c>
      <c r="G1535" t="inlineStr">
        <is>
          <t>JHALAWAR</t>
        </is>
      </c>
    </row>
    <row r="1536">
      <c r="A1536" s="1" t="n">
        <v>1534</v>
      </c>
      <c r="B1536">
        <f>HYPERLINK("https://eproc.rajasthan.gov.in/nicgep/app?component=%24DirectLink&amp;page=FrontEndViewTender&amp;service=direct&amp;session=T&amp;sp=Se8sMYBZxKCMJPW4te%2FaOIg%3D%3D", "Door to Door residential or community Garbedge collection, street and drain cleaning and community sanitation including street cleaning are carried out in all the villages of panchayat samiti AKLERA JILA JHALAWAR at gram DEVLI")</f>
        <v/>
      </c>
      <c r="C1536" t="inlineStr">
        <is>
          <t>Panchayati Raj Department||Secretary and Commissioner||CEO- JHALAWAR||BDO-AKLERA</t>
        </is>
      </c>
      <c r="D1536" t="inlineStr">
        <is>
          <t>22-May-2025 12:00 PM</t>
        </is>
      </c>
      <c r="E1536" t="inlineStr">
        <is>
          <t>11,41,980</t>
        </is>
      </c>
      <c r="F1536" t="inlineStr">
        <is>
          <t>Door to Door residential or community Garbedge collection, street and drain cleaning and community sanitation including street cleaning are carried out in all the villages of panchayat samiti AKLERA JILA JHALAWAR at gram DEVLI</t>
        </is>
      </c>
      <c r="G1536" t="inlineStr">
        <is>
          <t>JHALAWAR</t>
        </is>
      </c>
    </row>
    <row r="1537">
      <c r="A1537" s="1" t="n">
        <v>1535</v>
      </c>
      <c r="B1537">
        <f>HYPERLINK("https://eproc.rajasthan.gov.in/nicgep/app?component=%24DirectLink&amp;page=FrontEndViewTender&amp;service=direct&amp;session=T&amp;sp=SQThNBGuVF9u4kHD7MvIIRA%3D%3D", "Door to Door residential or community Garbedge collection, street and drain cleaning and community sanitation including street cleaning are carried out in all the villages of panchayat samiti AKLERA JILA JHALAWAR at gram AASALPUR")</f>
        <v/>
      </c>
      <c r="C1537" t="inlineStr">
        <is>
          <t>Panchayati Raj Department||Secretary and Commissioner||CEO- JHALAWAR||BDO-AKLERA</t>
        </is>
      </c>
      <c r="D1537" t="inlineStr">
        <is>
          <t>22-May-2025 12:00 PM</t>
        </is>
      </c>
      <c r="E1537" t="inlineStr">
        <is>
          <t>18,95,031</t>
        </is>
      </c>
      <c r="F1537" t="inlineStr">
        <is>
          <t>Door to Door residential or community Garbedge collection, street and drain cleaning and community sanitation including street cleaning are carried out in all the villages of panchayat samiti AKLERA JILA JHALAWAR at gram AASALPUR</t>
        </is>
      </c>
      <c r="G1537" t="inlineStr">
        <is>
          <t>JHALAWAR</t>
        </is>
      </c>
    </row>
    <row r="1538">
      <c r="A1538" s="1" t="n">
        <v>1536</v>
      </c>
      <c r="B1538">
        <f>HYPERLINK("https://eproc.rajasthan.gov.in/nicgep/app?component=%24DirectLink&amp;page=FrontEndViewTender&amp;service=direct&amp;session=T&amp;sp=Sb3FAeDgKdOdCl20Pnaa0nQ%3D%3D", "Door to Door residential or community Garbedge collection, street and drain cleaning and community sanitation including street cleaning are carried out in all the villages of panchayat samiti AKLERA JILA JHALAWAR at gram BANSKHEDI LODHAN")</f>
        <v/>
      </c>
      <c r="C1538" t="inlineStr">
        <is>
          <t>Panchayati Raj Department||Secretary and Commissioner||CEO- JHALAWAR||BDO-AKLERA</t>
        </is>
      </c>
      <c r="D1538" t="inlineStr">
        <is>
          <t>22-May-2025 12:00 PM</t>
        </is>
      </c>
      <c r="E1538" t="inlineStr">
        <is>
          <t>18,99,659</t>
        </is>
      </c>
      <c r="F1538" t="inlineStr">
        <is>
          <t>Door to Door residential or community Garbedge collection, street and drain cleaning and community sanitation including street cleaning are carried out in all the villages of panchayat samiti AKLERA JILA JHALAWAR at gram BANSKHEDI LODHAN</t>
        </is>
      </c>
      <c r="G1538" t="inlineStr">
        <is>
          <t>JHALAWAR</t>
        </is>
      </c>
    </row>
    <row r="1539">
      <c r="A1539" s="1" t="n">
        <v>1537</v>
      </c>
      <c r="B1539">
        <f>HYPERLINK("https://eproc.rajasthan.gov.in/nicgep/app?component=%24DirectLink&amp;page=FrontEndViewTender&amp;service=direct&amp;session=T&amp;sp=SH1ymEgNbLKT1Lj6NMPaS5g%3D%3D", "Samudhayak Bhawan Nirman gram Shrangarchavri Gram Panchayat Piplund")</f>
        <v/>
      </c>
      <c r="C1539" t="inlineStr">
        <is>
          <t>Panchayati Raj Department||Secretary and Commissioner||CEO-BHILWARA||BDO-JAHAJPUR</t>
        </is>
      </c>
      <c r="D1539" t="inlineStr">
        <is>
          <t>23-May-2025 02:00 PM</t>
        </is>
      </c>
      <c r="E1539" t="inlineStr">
        <is>
          <t>25,00,000</t>
        </is>
      </c>
      <c r="F1539" t="inlineStr">
        <is>
          <t>Samudhayak Bhawan Nirman gram Shrangarchavri Gram Panchayat Piplund</t>
        </is>
      </c>
      <c r="G1539" t="inlineStr">
        <is>
          <t>Piplund</t>
        </is>
      </c>
    </row>
    <row r="1540">
      <c r="A1540" s="1" t="n">
        <v>1538</v>
      </c>
      <c r="B1540">
        <f>HYPERLINK("https://eproc.rajasthan.gov.in/nicgep/app?component=%24DirectLink&amp;page=FrontEndViewTender&amp;service=direct&amp;session=T&amp;sp=Suq0hnj6F5rxxQEljTdQAKg%3D%3D", "gram panchayat ke samast kshetr me ghar ghar (residential and commercial) kachra sangrahan, parthkaran road and nali safai and samudayik sawchtha parisar ki safai and mart pashu nistaran shit kary gram panchyat AWADA")</f>
        <v/>
      </c>
      <c r="C1540" t="inlineStr">
        <is>
          <t>Panchayati Raj Department||Secretary and Commissioner||CEO-TONK||BDO-MALPURA</t>
        </is>
      </c>
      <c r="D1540" t="inlineStr">
        <is>
          <t>23-May-2025 06:00 PM</t>
        </is>
      </c>
      <c r="E1540" t="inlineStr">
        <is>
          <t>23,79,000</t>
        </is>
      </c>
      <c r="F1540" t="inlineStr">
        <is>
          <t>gram panchayat ke samast kshetr me ghar ghar (residential and commercial) kachra sangrahan, parthkaran road and nali safai and samudayik sawchtha parisar ki safai and mart pashu nistaran shit kary gram panchayat AWADA</t>
        </is>
      </c>
      <c r="G1540" t="inlineStr">
        <is>
          <t>AAWDA</t>
        </is>
      </c>
    </row>
    <row r="1541">
      <c r="A1541" s="1" t="n">
        <v>1539</v>
      </c>
      <c r="B1541">
        <f>HYPERLINK("https://eproc.rajasthan.gov.in/nicgep/app?component=%24DirectLink&amp;page=FrontEndViewTender&amp;service=direct&amp;session=T&amp;sp=Sl9eONm8Igh71naxfpvDbOA%3D%3D", "GP DEVA")</f>
        <v/>
      </c>
      <c r="C1541" t="inlineStr">
        <is>
          <t>Panchayati Raj Department||Secretary and Commissioner||CEO- JAISALMER||BDO-MOHANGARH</t>
        </is>
      </c>
      <c r="D1541" t="inlineStr">
        <is>
          <t>23-May-2025 12:00 PM</t>
        </is>
      </c>
      <c r="E1541" t="inlineStr">
        <is>
          <t>8,00,000</t>
        </is>
      </c>
      <c r="F1541" t="inlineStr">
        <is>
          <t>Work including door-to-door residential and commercial garbage collection and separation road and drain cleaning and community sanitation premises cleaning in all villages of Gram Panchayat DEVA</t>
        </is>
      </c>
      <c r="G1541" t="inlineStr">
        <is>
          <t>GP DEVA</t>
        </is>
      </c>
    </row>
    <row r="1542">
      <c r="A1542" s="1" t="n">
        <v>1540</v>
      </c>
      <c r="B1542">
        <f>HYPERLINK("https://eproc.rajasthan.gov.in/nicgep/app?component=%24DirectLink&amp;page=FrontEndViewTender&amp;service=direct&amp;session=T&amp;sp=SpLMbMd5GArkYMp1L7gUzuQ%3D%3D", "SBM BAHLA")</f>
        <v/>
      </c>
      <c r="C1542" t="inlineStr">
        <is>
          <t>Panchayati Raj Department||Secretary and Commissioner||CEO- JAISALMER||BDO-MOHANGARH</t>
        </is>
      </c>
      <c r="D1542" t="inlineStr">
        <is>
          <t>23-May-2025 12:00 PM</t>
        </is>
      </c>
      <c r="E1542" t="inlineStr">
        <is>
          <t>9,50,000</t>
        </is>
      </c>
      <c r="F1542" t="inlineStr">
        <is>
          <t>Work including door-to-door residential and commercial garbage collection and separation road and drain cleaning and community sanitation premises cleaning in all villages of Gram Panchayat BAHLA</t>
        </is>
      </c>
      <c r="G1542" t="inlineStr">
        <is>
          <t>GP BAHLA</t>
        </is>
      </c>
    </row>
    <row r="1543">
      <c r="A1543" s="1" t="n">
        <v>1541</v>
      </c>
      <c r="B1543">
        <f>HYPERLINK("https://eproc.rajasthan.gov.in/nicgep/app?component=%24DirectLink&amp;page=FrontEndViewTender&amp;service=direct&amp;session=T&amp;sp=SlEG%2BN7fVemkbSp%2BSe0YRKg%3D%3D", "cc sadak 3 gram panchayat ramsar")</f>
        <v/>
      </c>
      <c r="C1543" t="inlineStr">
        <is>
          <t>Panchayati Raj Department||Secretary and Commissioner||CEO-BADMER||BDO-RAMSAR</t>
        </is>
      </c>
      <c r="D1543" t="inlineStr">
        <is>
          <t>24-May-2025 05:00 PM</t>
        </is>
      </c>
      <c r="E1543" t="inlineStr">
        <is>
          <t>30,00,000</t>
        </is>
      </c>
      <c r="F1543" t="inlineStr">
        <is>
          <t>1 CC road construction work in the area of Dargiyo Ramsar 2 CC road construction work from Padmaram shop to the old police station in Ramsar 3 CC road construction work near the Gurudwara in Ramsar</t>
        </is>
      </c>
      <c r="G1543" t="inlineStr">
        <is>
          <t>gram panchayat ramsar</t>
        </is>
      </c>
    </row>
    <row r="1544">
      <c r="A1544" s="1" t="n">
        <v>1542</v>
      </c>
      <c r="B1544">
        <f>HYPERLINK("https://eproc.rajasthan.gov.in/nicgep/app?component=%24DirectLink&amp;page=FrontEndViewTender&amp;service=direct&amp;session=T&amp;sp=SG2hq1HSkoCQNZBGezaQ3ug%3D%3D", "GRAM PANCHAYAT KE SAMAST GAVO ME GHR GHR SE KACHRA SANGRHAN V PRATHAKKRAN SADAK V NALI SAFAI V CSC SAFAI GP UPREDA")</f>
        <v/>
      </c>
      <c r="C1544" t="inlineStr">
        <is>
          <t>Panchayati Raj Department||Secretary and Commissioner||CEO-CHITTORGARH||BDO-RASHMI</t>
        </is>
      </c>
      <c r="D1544" t="inlineStr">
        <is>
          <t>22-May-2025 10:00 AM</t>
        </is>
      </c>
      <c r="E1544" t="inlineStr">
        <is>
          <t>8,59,993</t>
        </is>
      </c>
      <c r="F1544" t="inlineStr">
        <is>
          <t>GRAM PANCHAYAT KE SAMAST GAVO ME GHR GHR SE KACHRA SANGRHAN V PRATHAKKRAN SADAK V NALI SAFAI V CSC SAFAI GP UPREDA</t>
        </is>
      </c>
      <c r="G1544" t="inlineStr">
        <is>
          <t>gram panchayat Upreda</t>
        </is>
      </c>
    </row>
    <row r="1545">
      <c r="A1545" s="1" t="n">
        <v>1543</v>
      </c>
      <c r="B1545">
        <f>HYPERLINK("https://eproc.rajasthan.gov.in/nicgep/app?component=%24DirectLink&amp;page=FrontEndViewTender&amp;service=direct&amp;session=T&amp;sp=ST7LaZW%2BhrHOvSElOo5jOpw%3D%3D", "GP NEHDAI")</f>
        <v/>
      </c>
      <c r="C1545" t="inlineStr">
        <is>
          <t>Panchayati Raj Department||Secretary and Commissioner||CEO- JAISALMER||BDO-MOHANGARH</t>
        </is>
      </c>
      <c r="D1545" t="inlineStr">
        <is>
          <t>23-May-2025 12:00 PM</t>
        </is>
      </c>
      <c r="E1545" t="inlineStr">
        <is>
          <t>10,00,000</t>
        </is>
      </c>
      <c r="F1545" t="inlineStr">
        <is>
          <t>Work including door-to-door residential and commercial garbage collection and separation road and drain cleaning and community sanitation premises cleaning in all villages of Gram Panchayat NEHDAI</t>
        </is>
      </c>
      <c r="G1545" t="inlineStr">
        <is>
          <t>GP NEHDAI</t>
        </is>
      </c>
    </row>
    <row r="1546">
      <c r="A1546" s="1" t="n">
        <v>1544</v>
      </c>
      <c r="B1546">
        <f>HYPERLINK("https://eproc.rajasthan.gov.in/nicgep/app?component=%24DirectLink&amp;page=FrontEndViewTender&amp;service=direct&amp;session=T&amp;sp=S4c6uG8KINfyJHlO%2F4KbwMw%3D%3D", "CONTRUCTION OF C C ROAD NIRMAN KARYA")</f>
        <v/>
      </c>
      <c r="C1546" t="inlineStr">
        <is>
          <t>Panchayati Raj Department||Secretary and Commissioner||CEO-S.MADHOPUR||BDO-MALARANA DUNGAR</t>
        </is>
      </c>
      <c r="D1546" t="inlineStr">
        <is>
          <t>26-May-2025 06:00 PM</t>
        </is>
      </c>
      <c r="E1546" t="inlineStr">
        <is>
          <t>20,00,000</t>
        </is>
      </c>
      <c r="F1546" t="inlineStr">
        <is>
          <t>CONTRUCTION OF C C ROAD NIRMAN KARYA</t>
        </is>
      </c>
      <c r="G1546" t="inlineStr">
        <is>
          <t>gram panchayat chandnoli</t>
        </is>
      </c>
    </row>
    <row r="1547">
      <c r="A1547" s="1" t="n">
        <v>1545</v>
      </c>
      <c r="B1547">
        <f>HYPERLINK("https://eproc.rajasthan.gov.in/nicgep/app?component=%24DirectLink&amp;page=FrontEndViewTender&amp;service=direct&amp;session=T&amp;sp=SjvwrzfSHOdWgczBIiPxWwQ%3D%3D", "Supply of Various Construction Materials and Equipment Service Gram Panchayat Upreda P.S. Rashmi")</f>
        <v/>
      </c>
      <c r="C1547" t="inlineStr">
        <is>
          <t>Panchayati Raj Department||Secretary and Commissioner||CEO-CHITTORGARH||BDO-RASHMI</t>
        </is>
      </c>
      <c r="D1547" t="inlineStr">
        <is>
          <t>26-May-2025 10:00 AM</t>
        </is>
      </c>
      <c r="E1547" t="inlineStr">
        <is>
          <t>45,30,000</t>
        </is>
      </c>
      <c r="F1547" t="inlineStr">
        <is>
          <t>Supply of Various Construction Materials and Equipment Service Gram Panchayat Upreda P.S. Rashmi</t>
        </is>
      </c>
      <c r="G1547" t="inlineStr">
        <is>
          <t>gram panchayat Upreda</t>
        </is>
      </c>
    </row>
    <row r="1548">
      <c r="A1548" s="1" t="n">
        <v>1546</v>
      </c>
      <c r="B1548">
        <f>HYPERLINK("https://eproc.rajasthan.gov.in/nicgep/app?component=%24DirectLink&amp;page=FrontEndViewTender&amp;service=direct&amp;session=T&amp;sp=SnOAsFM0Np2hfRInhUs4twg%3D%3D", "Rate Contract for Supply of Construction Material and equipment in Gram Panchayat TAPIPLYA FOR YEAR 2025-26")</f>
        <v/>
      </c>
      <c r="C1548" t="inlineStr">
        <is>
          <t>Panchayati Raj Department||Secretary and Commissioner||CEO-SIKAR||BDO-KHANDELA</t>
        </is>
      </c>
      <c r="D1548" t="inlineStr">
        <is>
          <t>23-May-2025 06:00 PM</t>
        </is>
      </c>
      <c r="E1548" t="inlineStr">
        <is>
          <t>40,00,000</t>
        </is>
      </c>
      <c r="F1548" t="inlineStr">
        <is>
          <t>Rate Contract for Supply of Construction Material and equipment in Gram Panchayat TAPIPLYA FOR YEAR 2025-26</t>
        </is>
      </c>
      <c r="G1548" t="inlineStr">
        <is>
          <t>GP TAPIPLYA</t>
        </is>
      </c>
    </row>
    <row r="1549">
      <c r="A1549" s="1" t="n">
        <v>1547</v>
      </c>
      <c r="B1549">
        <f>HYPERLINK("https://eproc.rajasthan.gov.in/nicgep/app?component=%24DirectLink&amp;page=FrontEndViewTender&amp;service=direct&amp;session=T&amp;sp=SLh%2BxpGuNQclojesP8ZipKA%3D%3D", "2 cc road gp ramsar")</f>
        <v/>
      </c>
      <c r="C1549" t="inlineStr">
        <is>
          <t>Panchayati Raj Department||Secretary and Commissioner||CEO-BADMER||BDO-RAMSAR</t>
        </is>
      </c>
      <c r="D1549" t="inlineStr">
        <is>
          <t>24-May-2025 05:00 PM</t>
        </is>
      </c>
      <c r="E1549" t="inlineStr">
        <is>
          <t>20,00,000</t>
        </is>
      </c>
      <c r="F1549" t="inlineStr">
        <is>
          <t>1. CC construction work from the railway station to Gensinh Sodha shop in Ramsar 2. CC road construction work from the village panchayat to Chamunda Mata Temple in Ramsar</t>
        </is>
      </c>
      <c r="G1549" t="inlineStr">
        <is>
          <t>gram panchayat ramsar</t>
        </is>
      </c>
    </row>
    <row r="1550">
      <c r="A1550" s="1" t="n">
        <v>1548</v>
      </c>
      <c r="B1550">
        <f>HYPERLINK("https://eproc.rajasthan.gov.in/nicgep/app?component=%24DirectLink&amp;page=FrontEndViewTender&amp;service=direct&amp;session=T&amp;sp=S8KvSR%2FikHuEAm6R0ZvDehw%3D%3D", "MATERIAL SUPPLY GP JHAJHAR")</f>
        <v/>
      </c>
      <c r="C1550" t="inlineStr">
        <is>
          <t>Panchayati Raj Department||Secretary and Commissioner||CEO-SIKAR||BDO-NECHWA</t>
        </is>
      </c>
      <c r="D1550" t="inlineStr">
        <is>
          <t>26-May-2025 06:00 PM</t>
        </is>
      </c>
      <c r="E1550" t="inlineStr">
        <is>
          <t>40,00,000</t>
        </is>
      </c>
      <c r="F1550" t="inlineStr">
        <is>
          <t>Construction and building material, equipment supply in GP JHAJHAR and villages Panchayat Samiti Nechhwa Distt. Sikar YEAR 2025-26</t>
        </is>
      </c>
      <c r="G1550" t="inlineStr">
        <is>
          <t>GP JHAJHAR AND VILLAGES</t>
        </is>
      </c>
    </row>
    <row r="1551">
      <c r="A1551" s="1" t="n">
        <v>1549</v>
      </c>
      <c r="B1551">
        <f>HYPERLINK("https://eproc.rajasthan.gov.in/nicgep/app?component=%24DirectLink&amp;page=FrontEndViewTender&amp;service=direct&amp;session=T&amp;sp=ScFR5fSLeCAdSBQRD%2BWDstQ%3D%3D", "DEVELOPEMENT WORKS IN GP SIRMOLI AS PER NIT DOCUMENT")</f>
        <v/>
      </c>
      <c r="C1551" t="inlineStr">
        <is>
          <t>Panchayati Raj Department||Secretary and Commissioner||CEO-ALWAR||BDO-UMRAIN</t>
        </is>
      </c>
      <c r="D1551" t="inlineStr">
        <is>
          <t>23-May-2025 04:00 PM</t>
        </is>
      </c>
      <c r="E1551" t="inlineStr">
        <is>
          <t>15,00,000</t>
        </is>
      </c>
      <c r="F1551" t="inlineStr">
        <is>
          <t>DEVELOPEMENT WORKS IN GP SIRMOLI AS PER NIT DOCUMENT</t>
        </is>
      </c>
      <c r="G1551" t="inlineStr">
        <is>
          <t>GP SIRMOLI</t>
        </is>
      </c>
    </row>
    <row r="1552">
      <c r="A1552" s="1" t="n">
        <v>1550</v>
      </c>
      <c r="B1552">
        <f>HYPERLINK("https://eproc.rajasthan.gov.in/nicgep/app?component=%24DirectLink&amp;page=FrontEndViewTender&amp;service=direct&amp;session=T&amp;sp=SOHAOj4ndh2DsAUltI5srGA%3D%3D", "3 cc road gp ramsar")</f>
        <v/>
      </c>
      <c r="C1552" t="inlineStr">
        <is>
          <t>Panchayati Raj Department||Secretary and Commissioner||CEO-BADMER||BDO-RAMSAR</t>
        </is>
      </c>
      <c r="D1552" t="inlineStr">
        <is>
          <t>24-May-2025 05:00 PM</t>
        </is>
      </c>
      <c r="E1552" t="inlineStr">
        <is>
          <t>30,00,000</t>
        </is>
      </c>
      <c r="F1552" t="inlineStr">
        <is>
          <t>1. Construction work of CC road from Hathi Singh house to Shyam Sundar house in Ramsar 2. Construction work of CC road near Shani Dev Ji temple in Ramsar 3. Construction work of CC road from Vasu Ji plot to Anganwadi center in Ramsar</t>
        </is>
      </c>
      <c r="G1552" t="inlineStr">
        <is>
          <t>gram panchayat ramsar</t>
        </is>
      </c>
    </row>
    <row r="1553">
      <c r="A1553" s="1" t="n">
        <v>1551</v>
      </c>
      <c r="B1553">
        <f>HYPERLINK("https://eproc.rajasthan.gov.in/nicgep/app?component=%24DirectLink&amp;page=FrontEndViewTender&amp;service=direct&amp;session=T&amp;sp=SrwQ8B8xoDBzBSM81els1PQ%3D%3D", "material supply ingp rajpura")</f>
        <v/>
      </c>
      <c r="C1553" t="inlineStr">
        <is>
          <t>Panchayati Raj Department||Secretary and Commissioner||CEO-SIKAR||BDO-PIPARALI</t>
        </is>
      </c>
      <c r="D1553" t="inlineStr">
        <is>
          <t>22-May-2025 06:00 PM</t>
        </is>
      </c>
      <c r="E1553" t="inlineStr">
        <is>
          <t>40,00,000</t>
        </is>
      </c>
      <c r="F1553" t="inlineStr">
        <is>
          <t>material supply ingp rajpura and villages in year 2025-26</t>
        </is>
      </c>
      <c r="G1553" t="inlineStr">
        <is>
          <t>gp rajpura</t>
        </is>
      </c>
    </row>
    <row r="1554">
      <c r="A1554" s="1" t="n">
        <v>1552</v>
      </c>
      <c r="B1554">
        <f>HYPERLINK("https://eproc.rajasthan.gov.in/nicgep/app?component=%24DirectLink&amp;page=FrontEndViewTender&amp;service=direct&amp;session=T&amp;sp=SwbYooFnBvZHDDeeSXCH5Vg%3D%3D", "3 cc road gp ramsar")</f>
        <v/>
      </c>
      <c r="C1554" t="inlineStr">
        <is>
          <t>Panchayati Raj Department||Secretary and Commissioner||CEO-BADMER||BDO-RAMSAR</t>
        </is>
      </c>
      <c r="D1554" t="inlineStr">
        <is>
          <t>24-May-2025 05:00 PM</t>
        </is>
      </c>
      <c r="E1554" t="inlineStr">
        <is>
          <t>30,00,000</t>
        </is>
      </c>
      <c r="F1554" t="inlineStr">
        <is>
          <t>1. Construction work of CC road from Madan Pannu house to Harsani road in Ramsar 2. Construction work of CC road from Baleba Road to Uttam Singh Pond in Ramsar 3. Construction work of CC road from Udar Ram Wadi house to Gordhan Ram house in Ramsar</t>
        </is>
      </c>
      <c r="G1554" t="inlineStr">
        <is>
          <t>gram panchayat ramsar</t>
        </is>
      </c>
    </row>
    <row r="1555">
      <c r="A1555" s="1" t="n">
        <v>1553</v>
      </c>
      <c r="B1555">
        <f>HYPERLINK("https://eproc.rajasthan.gov.in/nicgep/app?component=%24DirectLink&amp;page=FrontEndViewTender&amp;service=direct&amp;session=T&amp;sp=S37P255nzpoxazNAZNA7d6w%3D%3D", "3 cc sadak gp ramsar")</f>
        <v/>
      </c>
      <c r="C1555" t="inlineStr">
        <is>
          <t>Panchayati Raj Department||Secretary and Commissioner||CEO-BADMER||BDO-RAMSAR</t>
        </is>
      </c>
      <c r="D1555" t="inlineStr">
        <is>
          <t>24-May-2025 05:00 PM</t>
        </is>
      </c>
      <c r="E1555" t="inlineStr">
        <is>
          <t>30,00,000</t>
        </is>
      </c>
      <c r="F1555" t="inlineStr">
        <is>
          <t>1. CC road construction work from Magaram shop to Ranaram house in Ramsar 2. CC road construction work from Magaram house to Madan Pannu house in Ramsar 3. CC road construction work in Mirasio settlement in Ramsar</t>
        </is>
      </c>
      <c r="G1555" t="inlineStr">
        <is>
          <t>gram panchayat ramsar</t>
        </is>
      </c>
    </row>
    <row r="1556">
      <c r="A1556" s="1" t="n">
        <v>1554</v>
      </c>
      <c r="B1556">
        <f>HYPERLINK("https://eproc.rajasthan.gov.in/nicgep/app?component=%24DirectLink&amp;page=FrontEndViewTender&amp;service=direct&amp;session=T&amp;sp=Skbi%2FpLKMbZEgAgS7CpR5Rg%3D%3D", "SUPPLY OF BUILDING MATERIAL AND EQUIPMENT IN GP Kosale Ki Dhani PS DHORIMANA")</f>
        <v/>
      </c>
      <c r="C1556" t="inlineStr">
        <is>
          <t>Panchayati Raj Department||Secretary and Commissioner||CEO-BADMER||BDO-DHORIMANNA</t>
        </is>
      </c>
      <c r="D1556" t="inlineStr">
        <is>
          <t>31-May-2025 06:00 PM</t>
        </is>
      </c>
      <c r="E1556" t="inlineStr">
        <is>
          <t>70,00,000</t>
        </is>
      </c>
      <c r="F1556" t="inlineStr">
        <is>
          <t>SUPPLY OF BUILDING MATERIAL AND EQUIPMENT IN GP Kosale Ki Dhani PS DHORIMANA</t>
        </is>
      </c>
      <c r="G1556" t="inlineStr">
        <is>
          <t>GP Koshle ki Dhani</t>
        </is>
      </c>
    </row>
    <row r="1557">
      <c r="A1557" s="1" t="n">
        <v>1555</v>
      </c>
      <c r="B1557">
        <f>HYPERLINK("https://eproc.rajasthan.gov.in/nicgep/app?component=%24DirectLink&amp;page=FrontEndViewTender&amp;service=direct&amp;session=T&amp;sp=SlDW7h4Vbxn8yL1ATw82mZg%3D%3D", "ghar ghar kchara sangran etc in gp harasar")</f>
        <v/>
      </c>
      <c r="C1557" t="inlineStr">
        <is>
          <t>Panchayati Raj Department||Secretary and Commissioner||CEO-CHURU||BDO-SUJANGARH</t>
        </is>
      </c>
      <c r="D1557" t="inlineStr">
        <is>
          <t>20-May-2025 06:00 PM</t>
        </is>
      </c>
      <c r="E1557" t="inlineStr">
        <is>
          <t>9,70,000</t>
        </is>
      </c>
      <c r="F1557" t="inlineStr">
        <is>
          <t>ghar ghar kchara sangran etc in gp harasar</t>
        </is>
      </c>
      <c r="G1557" t="inlineStr">
        <is>
          <t>gp harasar</t>
        </is>
      </c>
    </row>
    <row r="1558">
      <c r="A1558" s="1" t="n">
        <v>1556</v>
      </c>
      <c r="B1558">
        <f>HYPERLINK("https://eproc.rajasthan.gov.in/nicgep/app?component=%24DirectLink&amp;page=FrontEndViewTender&amp;service=direct&amp;session=T&amp;sp=SOdTveJjTsccy8XWb5J61Ig%3D%3D", "Gram Panchayat GANDRAWA All village, Home to Home Garbage collection and segregation from(residential and commercial)areas, street and drain cleaning and community sanitation,premises cleaning work,GP GANDRAWA PS SIKANDARA")</f>
        <v/>
      </c>
      <c r="C1558" t="inlineStr">
        <is>
          <t>Panchayati Raj Department||Secretary and Commissioner||CEO-DAUSA||BDO-SIKARAI</t>
        </is>
      </c>
      <c r="D1558" t="inlineStr">
        <is>
          <t>28-May-2025 05:00 PM</t>
        </is>
      </c>
      <c r="E1558" t="inlineStr">
        <is>
          <t>9,94,000</t>
        </is>
      </c>
      <c r="F1558" t="inlineStr">
        <is>
          <t>Gram Panchayat GANDRAWA All village, Home to Home Garbage collection and segregation from(residential and commercial)areas, street and drain cleaning and community sanitation,premises cleaning work,GP GANDRAWA PS SIKANDARA</t>
        </is>
      </c>
      <c r="G1558" t="inlineStr">
        <is>
          <t>GRAM PACNHAYAT GANDRAWA</t>
        </is>
      </c>
    </row>
    <row r="1559">
      <c r="A1559" s="1" t="n">
        <v>1557</v>
      </c>
      <c r="B1559">
        <f>HYPERLINK("https://eproc.rajasthan.gov.in/nicgep/app?component=%24DirectLink&amp;page=FrontEndViewTender&amp;service=direct&amp;session=T&amp;sp=SfIKPMrYPBv9eS%2BT%2FeyxbnA%3D%3D", "Work including garbage collection and separation from every house (residential and commercial), road and drain cleaning, and cleaning of community sanitation complex in all the villages of Gram Panchayat nangaljhamarwada")</f>
        <v/>
      </c>
      <c r="C1559" t="inlineStr">
        <is>
          <t>Panchayati Raj Department||Secretary and Commissioner||CEO-DAUSA||BDO-BAIJUPADA</t>
        </is>
      </c>
      <c r="D1559" t="inlineStr">
        <is>
          <t>22-May-2025 05:00 PM</t>
        </is>
      </c>
      <c r="E1559" t="inlineStr">
        <is>
          <t>3,27,000</t>
        </is>
      </c>
      <c r="F1559" t="inlineStr">
        <is>
          <t>Work including garbage collection and separation from every house (residential and commercial), road and drain cleaning, and cleaning of community sanitation complex in all the villages of Gram Panchayat nangaljhamarwada</t>
        </is>
      </c>
      <c r="G1559" t="inlineStr">
        <is>
          <t>gram panchayat nangal jhamarwada</t>
        </is>
      </c>
    </row>
    <row r="1560">
      <c r="A1560" s="1" t="n">
        <v>1558</v>
      </c>
      <c r="B1560">
        <f>HYPERLINK("https://eproc.rajasthan.gov.in/nicgep/app?component=%24DirectLink&amp;page=FrontEndViewTender&amp;service=direct&amp;session=T&amp;sp=SaxO%2BaPWvVb79sU0QOeWxXA%3D%3D", "Rate Contract for Construction Material and Equipments for MGNREGS works for the Year 2025-26 panchayat samiti AKLERA District Jhalawar At Gram Panchayats LASUDIYASHAH")</f>
        <v/>
      </c>
      <c r="C1560" t="inlineStr">
        <is>
          <t>Panchayati Raj Department||Secretary and Commissioner||CEO- JHALAWAR||BDO-AKLERA</t>
        </is>
      </c>
      <c r="D1560" t="inlineStr">
        <is>
          <t>26-May-2025 05:00 PM</t>
        </is>
      </c>
      <c r="E1560" t="inlineStr">
        <is>
          <t>80,00,000</t>
        </is>
      </c>
      <c r="F1560" t="inlineStr">
        <is>
          <t>Rate Contract for Construction Material and Equipments for MGNREGS works for the Year 2025-26 panchayat samiti AKLERA District Jhalawar At Gram Panchayats LASUDIYASHAH</t>
        </is>
      </c>
      <c r="G1560" t="inlineStr">
        <is>
          <t>JHALAWAR</t>
        </is>
      </c>
    </row>
    <row r="1561">
      <c r="A1561" s="1" t="n">
        <v>1559</v>
      </c>
      <c r="B1561">
        <f>HYPERLINK("https://eproc.rajasthan.gov.in/nicgep/app?component=%24DirectLink&amp;page=FrontEndViewTender&amp;service=direct&amp;session=T&amp;sp=SZJwzE%2FRezedgRUGYxf7XJA%3D%3D", "Rate Contract for Construction Material and Equipments for MGNREGS works for the Year 2025-26 panchayat samiti AKLERA District Jhalawar At Gram Panchayats BINDAKHEDA")</f>
        <v/>
      </c>
      <c r="C1561" t="inlineStr">
        <is>
          <t>Panchayati Raj Department||Secretary and Commissioner||CEO- JHALAWAR||BDO-AKLERA</t>
        </is>
      </c>
      <c r="D1561" t="inlineStr">
        <is>
          <t>26-May-2025 05:00 PM</t>
        </is>
      </c>
      <c r="E1561" t="inlineStr">
        <is>
          <t>80,00,000</t>
        </is>
      </c>
      <c r="F1561" t="inlineStr">
        <is>
          <t>Rate Contract for Construction Material and Equipments for MGNREGS works for the Year 2025-26 panchayat samiti AKLERA District Jhalawar At Gram Panchayats BINDAKHEDA</t>
        </is>
      </c>
      <c r="G1561" t="inlineStr">
        <is>
          <t>JHALAWAR</t>
        </is>
      </c>
    </row>
    <row r="1562">
      <c r="A1562" s="1" t="n">
        <v>1560</v>
      </c>
      <c r="B1562">
        <f>HYPERLINK("https://eproc.rajasthan.gov.in/nicgep/app?component=%24DirectLink&amp;page=FrontEndViewTender&amp;service=direct&amp;session=T&amp;sp=SxHlcbP%2F%2BZ6B0u%2BcHPJfV%2BA%3D%3D", "Rate Contract for Construction Material and Equipments for MGNREGS works for the Year 2025-26 panchayat samiti AKLERA District Jhalawar At Gram Panchayats SARKHANDIYA")</f>
        <v/>
      </c>
      <c r="C1562" t="inlineStr">
        <is>
          <t>Panchayati Raj Department||Secretary and Commissioner||CEO- JHALAWAR||BDO-AKLERA</t>
        </is>
      </c>
      <c r="D1562" t="inlineStr">
        <is>
          <t>26-May-2025 05:00 PM</t>
        </is>
      </c>
      <c r="E1562" t="inlineStr">
        <is>
          <t>60,00,000</t>
        </is>
      </c>
      <c r="F1562" t="inlineStr">
        <is>
          <t>Rate Contract for Construction Material and Equipments for MGNREGS works for the Year 2025-26 panchayat samiti AKLERA District Jhalawar At Gram Panchayats SARKHANDIYA</t>
        </is>
      </c>
      <c r="G1562" t="inlineStr">
        <is>
          <t>JHALAWAR</t>
        </is>
      </c>
    </row>
    <row r="1563">
      <c r="A1563" s="1" t="n">
        <v>1561</v>
      </c>
      <c r="B1563">
        <f>HYPERLINK("https://eproc.rajasthan.gov.in/nicgep/app?component=%24DirectLink&amp;page=FrontEndViewTender&amp;service=direct&amp;session=T&amp;sp=Sym3QtLqqmklSOAWMuzdVQw%3D%3D", "RAJKIYE PRATHMIK VIDHALYE BICHHWAL KI CHHATIGRAST CHARDIWARI KA NIRMAN KARYE GRAM PANCHAYAT PEMASAR")</f>
        <v/>
      </c>
      <c r="C1563" t="inlineStr">
        <is>
          <t>Panchayati Raj Department||Secretary and Commissioner||CEO-BIKANER||BDO-BIKANER</t>
        </is>
      </c>
      <c r="D1563" t="inlineStr">
        <is>
          <t>26-May-2025 12:00 PM</t>
        </is>
      </c>
      <c r="E1563" t="inlineStr">
        <is>
          <t>4,99,000</t>
        </is>
      </c>
      <c r="F1563" t="inlineStr">
        <is>
          <t>RAJKIYE PRATHMIK VIDHALYE BICHHWAL KI CHHATIGRAST CHARDIWARI KA NIRMAN KARYE GRAM PANCHAYAT PEMASAR</t>
        </is>
      </c>
      <c r="G1563" t="inlineStr">
        <is>
          <t>GRAM PANCHAYAT PEMASAR</t>
        </is>
      </c>
    </row>
    <row r="1564">
      <c r="A1564" s="1" t="n">
        <v>1562</v>
      </c>
      <c r="B1564">
        <f>HYPERLINK("https://eproc.rajasthan.gov.in/nicgep/app?component=%24DirectLink&amp;page=FrontEndViewTender&amp;service=direct&amp;session=T&amp;sp=SulZBpKiMyiOj55RB0IXA0A%3D%3D", "Rate Contract for Construction Material and Equipments for MGNREGS works for the Year 2025-26 panchayat samiti AKLERA District Jhalawar At Gram Panchayats KHARPA")</f>
        <v/>
      </c>
      <c r="C1564" t="inlineStr">
        <is>
          <t>Panchayati Raj Department||Secretary and Commissioner||CEO- JHALAWAR||BDO-AKLERA</t>
        </is>
      </c>
      <c r="D1564" t="inlineStr">
        <is>
          <t>26-May-2025 05:00 PM</t>
        </is>
      </c>
      <c r="E1564" t="inlineStr">
        <is>
          <t>60,00,000</t>
        </is>
      </c>
      <c r="F1564" t="inlineStr">
        <is>
          <t>Rate Contract for Construction Material and Equipments for MGNREGS works for the Year 2025-26 panchayat samiti AKLERA District Jhalawar At Gram Panchayats KHARPA</t>
        </is>
      </c>
      <c r="G1564" t="inlineStr">
        <is>
          <t>JHALAWAR</t>
        </is>
      </c>
    </row>
    <row r="1565">
      <c r="A1565" s="1" t="n">
        <v>1563</v>
      </c>
      <c r="B1565">
        <f>HYPERLINK("https://eproc.rajasthan.gov.in/nicgep/app?component=%24DirectLink&amp;page=FrontEndViewTender&amp;service=direct&amp;session=T&amp;sp=SMa88xBXbsrhww5uh0kJH4Q%3D%3D", "Rate Contract for Construction Material and Equipments for MGNREGS works for the Year 2025-26 panchayat samiti AKLERA District Jhalawar At Gram Panchayats GHATOLI")</f>
        <v/>
      </c>
      <c r="C1565" t="inlineStr">
        <is>
          <t>Panchayati Raj Department||Secretary and Commissioner||CEO- JHALAWAR||BDO-AKLERA</t>
        </is>
      </c>
      <c r="D1565" t="inlineStr">
        <is>
          <t>26-May-2025 05:00 PM</t>
        </is>
      </c>
      <c r="E1565" t="inlineStr">
        <is>
          <t>60,00,000</t>
        </is>
      </c>
      <c r="F1565" t="inlineStr">
        <is>
          <t>Rate Contract for Construction Material and Equipments for MGNREGS works for the Year 2025-26 panchayat samiti AKLERA District Jhalawar At Gram Panchayats GHATOLI</t>
        </is>
      </c>
      <c r="G1565" t="inlineStr">
        <is>
          <t>JHALAWAR</t>
        </is>
      </c>
    </row>
    <row r="1566">
      <c r="A1566" s="1" t="n">
        <v>1564</v>
      </c>
      <c r="B1566">
        <f>HYPERLINK("https://eproc.rajasthan.gov.in/nicgep/app?component=%24DirectLink&amp;page=FrontEndViewTender&amp;service=direct&amp;session=T&amp;sp=StGdZaugS%2BCPiGK5aDQYN5A%3D%3D", "Rate Contract for Construction Material and Equipments for MGNREGS works for the Year 2025-26 panchayat samiti AKLERA District Jhalawar At Gram Panchayats DEVLI")</f>
        <v/>
      </c>
      <c r="C1566" t="inlineStr">
        <is>
          <t>Panchayati Raj Department||Secretary and Commissioner||CEO- JHALAWAR||BDO-AKLERA</t>
        </is>
      </c>
      <c r="D1566" t="inlineStr">
        <is>
          <t>26-May-2025 05:00 PM</t>
        </is>
      </c>
      <c r="E1566" t="inlineStr">
        <is>
          <t>60,00,000</t>
        </is>
      </c>
      <c r="F1566" t="inlineStr">
        <is>
          <t>Rate Contract for Construction Material and Equipments for MGNREGS works for the Year 2025-26 panchayat samiti AKLERA District Jhalawar At Gram Panchayats DEVLI</t>
        </is>
      </c>
      <c r="G1566" t="inlineStr">
        <is>
          <t>JHALAWAR</t>
        </is>
      </c>
    </row>
    <row r="1567">
      <c r="A1567" s="1" t="n">
        <v>1565</v>
      </c>
      <c r="B1567">
        <f>HYPERLINK("https://eproc.rajasthan.gov.in/nicgep/app?component=%24DirectLink&amp;page=FrontEndViewTender&amp;service=direct&amp;session=T&amp;sp=SyhTqy9Ay4tXEOhCz1q6ZRw%3D%3D", "Rate Contract for Construction Material and Equipments for MGNREGS works for the Year 2025-26 panchayat samiti AKLERA District Jhalawar At Gram Panchayats GEHUKHEDI")</f>
        <v/>
      </c>
      <c r="C1567" t="inlineStr">
        <is>
          <t>Panchayati Raj Department||Secretary and Commissioner||CEO- JHALAWAR||BDO-AKLERA</t>
        </is>
      </c>
      <c r="D1567" t="inlineStr">
        <is>
          <t>26-May-2025 05:00 PM</t>
        </is>
      </c>
      <c r="E1567" t="inlineStr">
        <is>
          <t>60,00,000</t>
        </is>
      </c>
      <c r="F1567" t="inlineStr">
        <is>
          <t>Rate Contract for Construction Material and Equipments for MGNREGS works for the Year 2025-26 panchayat samiti AKLERA District Jhalawar At Gram Panchayats GEHUKHEDI</t>
        </is>
      </c>
      <c r="G1567" t="inlineStr">
        <is>
          <t>JHALAWAR</t>
        </is>
      </c>
    </row>
    <row r="1568">
      <c r="A1568" s="1" t="n">
        <v>1566</v>
      </c>
      <c r="B1568">
        <f>HYPERLINK("https://eproc.rajasthan.gov.in/nicgep/app?component=%24DirectLink&amp;page=FrontEndViewTender&amp;service=direct&amp;session=T&amp;sp=SOzmhMKmk1xUj7oX3SMElNg%3D%3D", "Rate Contract for Construction Material and Equipments for MGNREGS works for the Year 2025-26 panchayat samiti AKLERA District Jhalawar At Gram Panchayats BORBAND")</f>
        <v/>
      </c>
      <c r="C1568" t="inlineStr">
        <is>
          <t>Panchayati Raj Department||Secretary and Commissioner||CEO- JHALAWAR||BDO-AKLERA</t>
        </is>
      </c>
      <c r="D1568" t="inlineStr">
        <is>
          <t>26-May-2025 05:00 PM</t>
        </is>
      </c>
      <c r="E1568" t="inlineStr">
        <is>
          <t>60,00,000</t>
        </is>
      </c>
      <c r="F1568" t="inlineStr">
        <is>
          <t>Rate Contract for Construction Material and Equipments for MGNREGS works for the Year 2025-26 panchayat samiti AKLERA District Jhalawar At Gram Panchayats BORBAND</t>
        </is>
      </c>
      <c r="G1568" t="inlineStr">
        <is>
          <t>JHALAWAR</t>
        </is>
      </c>
    </row>
    <row r="1569">
      <c r="A1569" s="1" t="n">
        <v>1567</v>
      </c>
      <c r="B1569">
        <f>HYPERLINK("https://eproc.rajasthan.gov.in/nicgep/app?component=%24DirectLink&amp;page=FrontEndViewTender&amp;service=direct&amp;session=T&amp;sp=Spwx7L9I3alNzl5b3x14JvQ%3D%3D", "Rate Contract for Construction Material and Equipments for MGNREGS works for the Year 2025-26 panchayat samiti AKLERA District Jhalawar At Gram Panchayats GOPALPURA")</f>
        <v/>
      </c>
      <c r="C1569" t="inlineStr">
        <is>
          <t>Panchayati Raj Department||Secretary and Commissioner||CEO- JHALAWAR||BDO-AKLERA</t>
        </is>
      </c>
      <c r="D1569" t="inlineStr">
        <is>
          <t>26-May-2025 05:00 PM</t>
        </is>
      </c>
      <c r="E1569" t="inlineStr">
        <is>
          <t>80,00,000</t>
        </is>
      </c>
      <c r="F1569" t="inlineStr">
        <is>
          <t>Rate Contract for Construction Material and Equipments for MGNREGS works for the Year 2025-26 panchayat samiti AKLERA District Jhalawar At Gram Panchayats GOPALPURA</t>
        </is>
      </c>
      <c r="G1569" t="inlineStr">
        <is>
          <t>JHALAWAR</t>
        </is>
      </c>
    </row>
    <row r="1570">
      <c r="A1570" s="1" t="n">
        <v>1568</v>
      </c>
      <c r="B1570">
        <f>HYPERLINK("https://eproc.rajasthan.gov.in/nicgep/app?component=%24DirectLink&amp;page=FrontEndViewTender&amp;service=direct&amp;session=T&amp;sp=SXkHvqABmemvYTu8hpxvqSA%3D%3D", "GRAM BICHHWAL ME BARSATI PANI NIKASHI KE NISHPADAN HETU KACHI TALAI NIRMAN KARYE GRAM PANCHAYAT PEMASAR")</f>
        <v/>
      </c>
      <c r="C1570" t="inlineStr">
        <is>
          <t>Panchayati Raj Department||Secretary and Commissioner||CEO-BIKANER||BDO-BIKANER</t>
        </is>
      </c>
      <c r="D1570" t="inlineStr">
        <is>
          <t>26-May-2025 12:00 PM</t>
        </is>
      </c>
      <c r="E1570" t="inlineStr">
        <is>
          <t>9,49,000</t>
        </is>
      </c>
      <c r="F1570" t="inlineStr">
        <is>
          <t>GRAM BICHHWAL ME BARSATI PANI NIKASHI KE NISHPADAN HETU KACHI TALAI NIRMAN KARYE GRAM PANCHAYAT PEMASAR</t>
        </is>
      </c>
      <c r="G1570" t="inlineStr">
        <is>
          <t>GRAM PANCHAYAT PEMASAR</t>
        </is>
      </c>
    </row>
    <row r="1571">
      <c r="A1571" s="1" t="n">
        <v>1569</v>
      </c>
      <c r="B1571">
        <f>HYPERLINK("https://eproc.rajasthan.gov.in/nicgep/app?component=%24DirectLink&amp;page=FrontEndViewTender&amp;service=direct&amp;session=T&amp;sp=ScU7%2B16rEq2iOSFnsDczBVg%3D%3D", "supply of construction metarial and providing equipment in NREGA and other RDPR scheme at G.P DAWADA P S FATEHGARH Financial year 2025-26")</f>
        <v/>
      </c>
      <c r="C1571" t="inlineStr">
        <is>
          <t>Panchayati Raj Department||Secretary and Commissioner||CEO- JAISALMER||BDO-FATEH GARH</t>
        </is>
      </c>
      <c r="D1571" t="inlineStr">
        <is>
          <t>24-May-2025 04:00 PM</t>
        </is>
      </c>
      <c r="E1571" t="inlineStr">
        <is>
          <t>45,00,000</t>
        </is>
      </c>
      <c r="F1571" t="inlineStr">
        <is>
          <t>supply of construction metarial and providing equipment in NREGA and other RDPR scheme at G.P DAWADA P S FATEHGARH Financial year 2025-26</t>
        </is>
      </c>
      <c r="G1571" t="inlineStr">
        <is>
          <t>SARPANCH GRAM PANCHAYAT DAWARA P S FATEHGARH</t>
        </is>
      </c>
    </row>
    <row r="1572">
      <c r="A1572" s="1" t="n">
        <v>1570</v>
      </c>
      <c r="B1572">
        <f>HYPERLINK("https://eproc.rajasthan.gov.in/nicgep/app?component=%24DirectLink&amp;page=FrontEndViewTender&amp;service=direct&amp;session=T&amp;sp=S2ZsNgMpaQyANGBT7K5ostg%3D%3D", "Constuction matarial GP KEBANIYA")</f>
        <v/>
      </c>
      <c r="C1572" t="inlineStr">
        <is>
          <t>Panchayati Raj Department||Secretary and Commissioner||CEO-AJMER||BDO-SARWAD</t>
        </is>
      </c>
      <c r="D1572" t="inlineStr">
        <is>
          <t>23-May-2025 06:00 PM</t>
        </is>
      </c>
      <c r="E1572" t="inlineStr">
        <is>
          <t>70,00,000</t>
        </is>
      </c>
      <c r="F1572" t="inlineStr">
        <is>
          <t>Construction matarial</t>
        </is>
      </c>
      <c r="G1572" t="inlineStr">
        <is>
          <t>GP KEBANIYA</t>
        </is>
      </c>
    </row>
    <row r="1573">
      <c r="A1573" s="1" t="n">
        <v>1571</v>
      </c>
      <c r="B1573">
        <f>HYPERLINK("https://eproc.rajasthan.gov.in/nicgep/app?component=%24DirectLink&amp;page=FrontEndViewTender&amp;service=direct&amp;session=T&amp;sp=S9kir9%2Fu4LkeBj6%2FGhtdNwA%3D%3D", "material supply in gp kushalpura")</f>
        <v/>
      </c>
      <c r="C1573" t="inlineStr">
        <is>
          <t>Panchayati Raj Department||Secretary and Commissioner||CEO-SIKAR||BDO-PIPARALI</t>
        </is>
      </c>
      <c r="D1573" t="inlineStr">
        <is>
          <t>26-May-2025 06:00 PM</t>
        </is>
      </c>
      <c r="E1573" t="inlineStr">
        <is>
          <t>40,00,000</t>
        </is>
      </c>
      <c r="F1573" t="inlineStr">
        <is>
          <t>material supply in gp kushalpura and villages in year 2025-26</t>
        </is>
      </c>
      <c r="G1573" t="inlineStr">
        <is>
          <t>gp kushalpura</t>
        </is>
      </c>
    </row>
    <row r="1574">
      <c r="A1574" s="1" t="n">
        <v>1572</v>
      </c>
      <c r="B1574">
        <f>HYPERLINK("https://eproc.rajasthan.gov.in/nicgep/app?component=%24DirectLink&amp;page=FrontEndViewTender&amp;service=direct&amp;session=T&amp;sp=SqqGIqSHm8pCiRmc6%2FNGCCw%3D%3D", "SBM BHAGU KA GAON")</f>
        <v/>
      </c>
      <c r="C1574" t="inlineStr">
        <is>
          <t>Panchayati Raj Department||Secretary and Commissioner||CEO- JAISALMER||BDO-JAISALMER</t>
        </is>
      </c>
      <c r="D1574" t="inlineStr">
        <is>
          <t>23-May-2025 01:00 PM</t>
        </is>
      </c>
      <c r="E1574" t="inlineStr">
        <is>
          <t>18,00,000</t>
        </is>
      </c>
      <c r="F1574" t="inlineStr">
        <is>
          <t>Work including door-to-door residential and commercial garbage collection and separation road and drain cleaning and community sanitation premises cleaning in all villages of Gram Panchayat BHAGU KA GAON</t>
        </is>
      </c>
      <c r="G1574" t="inlineStr">
        <is>
          <t>Gram Panchayat BHAGU KA GAON</t>
        </is>
      </c>
    </row>
    <row r="1575">
      <c r="A1575" s="1" t="n">
        <v>1573</v>
      </c>
      <c r="B1575">
        <f>HYPERLINK("https://eproc.rajasthan.gov.in/nicgep/app?component=%24DirectLink&amp;page=FrontEndViewTender&amp;service=direct&amp;session=T&amp;sp=S7RLdkugbKNhalorxgewbFQ%3D%3D", "Work including garbage collection and separation from homes and commercial establishments, road and drain cleaning and community sanitation complex cleaning in all the villages of Gram Panchayat Bhugor")</f>
        <v/>
      </c>
      <c r="C1575" t="inlineStr">
        <is>
          <t>Panchayati Raj Department||Secretary and Commissioner||CEO-ALWAR||BDO-UMRAIN</t>
        </is>
      </c>
      <c r="D1575" t="inlineStr">
        <is>
          <t>26-May-2025 06:00 PM</t>
        </is>
      </c>
      <c r="E1575" t="inlineStr">
        <is>
          <t>26,00,000</t>
        </is>
      </c>
      <c r="F1575" t="inlineStr">
        <is>
          <t>Work including garbage collection and separation from homes and commercial establishments, road and drain cleaning and community sanitation complex cleaning in all the villages of Gram Panchayat Bhugor</t>
        </is>
      </c>
      <c r="G1575" t="inlineStr">
        <is>
          <t>GP BHUGOR</t>
        </is>
      </c>
    </row>
    <row r="1576">
      <c r="A1576" s="1" t="n">
        <v>1574</v>
      </c>
      <c r="B1576">
        <f>HYPERLINK("https://eproc.rajasthan.gov.in/nicgep/app?component=%24DirectLink&amp;page=FrontEndViewTender&amp;service=direct&amp;session=T&amp;sp=SgoyUWcdHDwhiPHb7hFyWZw%3D%3D", "BARSATI PANI NIKASHI HETU SIVIR LINE DALNE KE APURN KARYE KO PURN KARNA BICHHWAL")</f>
        <v/>
      </c>
      <c r="C1576" t="inlineStr">
        <is>
          <t>Panchayati Raj Department||Secretary and Commissioner||CEO-BIKANER||BDO-BIKANER</t>
        </is>
      </c>
      <c r="D1576" t="inlineStr">
        <is>
          <t>26-May-2025 12:00 PM</t>
        </is>
      </c>
      <c r="E1576" t="inlineStr">
        <is>
          <t>9,61,000</t>
        </is>
      </c>
      <c r="F1576" t="inlineStr">
        <is>
          <t>BARSATI PANI NIKASHI HETU SIVIR LINE DALNE KE APURN KARYE KO PURN KARNA BICHHWAL</t>
        </is>
      </c>
      <c r="G1576" t="inlineStr">
        <is>
          <t>GRAM PANCHAYAT PEMASAR</t>
        </is>
      </c>
    </row>
    <row r="1577">
      <c r="A1577" s="1" t="n">
        <v>1575</v>
      </c>
      <c r="B1577">
        <f>HYPERLINK("https://eproc.rajasthan.gov.in/nicgep/app?component=%24DirectLink&amp;page=FrontEndViewTender&amp;service=direct&amp;session=T&amp;sp=SIQQcz2CdUtYgIlNZ%2Fgvz%2BQ%3D%3D", "SBM CHOD")</f>
        <v/>
      </c>
      <c r="C1577" t="inlineStr">
        <is>
          <t>Panchayati Raj Department||Secretary and Commissioner||CEO- JAISALMER||BDO-JAISALMER</t>
        </is>
      </c>
      <c r="D1577" t="inlineStr">
        <is>
          <t>23-May-2025 01:00 PM</t>
        </is>
      </c>
      <c r="E1577" t="inlineStr">
        <is>
          <t>12,00,000</t>
        </is>
      </c>
      <c r="F1577" t="inlineStr">
        <is>
          <t>Work including door-to-door residential and commercial garbage collection and separation road and drain cleaning and community sanitation premises cleaning in all villages of Gram Panchayat CHOD</t>
        </is>
      </c>
      <c r="G1577" t="inlineStr">
        <is>
          <t>Gram Panchayat CHOD</t>
        </is>
      </c>
    </row>
    <row r="1578">
      <c r="A1578" s="1" t="n">
        <v>1576</v>
      </c>
      <c r="B1578">
        <f>HYPERLINK("https://eproc.rajasthan.gov.in/nicgep/app?component=%24DirectLink&amp;page=FrontEndViewTender&amp;service=direct&amp;session=T&amp;sp=Swu9Wf5nyEWp52pyu1Z7ifQ%3D%3D", "Supply of Various Construction Materials and Equipment Service Gram Panchayat Sankhli P.S. Rashmi")</f>
        <v/>
      </c>
      <c r="C1578" t="inlineStr">
        <is>
          <t>Panchayati Raj Department||Secretary and Commissioner||CEO-CHITTORGARH||BDO-RASHMI</t>
        </is>
      </c>
      <c r="D1578" t="inlineStr">
        <is>
          <t>26-May-2025 10:00 AM</t>
        </is>
      </c>
      <c r="E1578" t="inlineStr">
        <is>
          <t>45,30,000</t>
        </is>
      </c>
      <c r="F1578" t="inlineStr">
        <is>
          <t>Supply of Various Construction Materials and Equipment Service Gram Panchayat Sankhli P.S. Rashmi</t>
        </is>
      </c>
      <c r="G1578" t="inlineStr">
        <is>
          <t>gram panchayat Sankhli</t>
        </is>
      </c>
    </row>
    <row r="1579">
      <c r="A1579" s="1" t="n">
        <v>1577</v>
      </c>
      <c r="B1579">
        <f>HYPERLINK("https://eproc.rajasthan.gov.in/nicgep/app?component=%24DirectLink&amp;page=FrontEndViewTender&amp;service=direct&amp;session=T&amp;sp=SmdFWiyxAtax2Hb3ZI5iUNg%3D%3D", "ANGANBADI KENDER NIRMAN EVM CHARDIWARI NIRMAN KARYE BICHHWAL")</f>
        <v/>
      </c>
      <c r="C1579" t="inlineStr">
        <is>
          <t>Panchayati Raj Department||Secretary and Commissioner||CEO-BIKANER||BDO-BIKANER</t>
        </is>
      </c>
      <c r="D1579" t="inlineStr">
        <is>
          <t>26-May-2025 12:00 PM</t>
        </is>
      </c>
      <c r="E1579" t="inlineStr">
        <is>
          <t>12,00,000</t>
        </is>
      </c>
      <c r="F1579" t="inlineStr">
        <is>
          <t>ANGANBADI KENDER NIRMAN EVM CHARDIWARI NIRMAN KARYE BICHHWAL</t>
        </is>
      </c>
      <c r="G1579" t="inlineStr">
        <is>
          <t>GRAM PANCHAYAT PEMASAR</t>
        </is>
      </c>
    </row>
    <row r="1580">
      <c r="A1580" s="1" t="n">
        <v>1578</v>
      </c>
      <c r="B1580">
        <f>HYPERLINK("https://eproc.rajasthan.gov.in/nicgep/app?component=%24DirectLink&amp;page=FrontEndViewTender&amp;service=direct&amp;session=T&amp;sp=SDUXSFMrh72VhO0X6FGskow%3D%3D", "METERIAL SUPPLY WORKS GP NOOR NAGAR")</f>
        <v/>
      </c>
      <c r="C1580" t="inlineStr">
        <is>
          <t>Panchayati Raj Department||Secretary and Commissioner||CEO-ALWAR||BDO-KISHANGARHWAS</t>
        </is>
      </c>
      <c r="D1580" t="inlineStr">
        <is>
          <t>20-May-2025 06:00 PM</t>
        </is>
      </c>
      <c r="E1580" t="inlineStr">
        <is>
          <t>NA</t>
        </is>
      </c>
      <c r="F1580" t="inlineStr">
        <is>
          <t>METERIAL SUPPLY WORKS GP NOOR NAGAR</t>
        </is>
      </c>
      <c r="G1580" t="inlineStr">
        <is>
          <t>GP NOOR NAGAR</t>
        </is>
      </c>
    </row>
    <row r="1581">
      <c r="A1581" s="1" t="n">
        <v>1579</v>
      </c>
      <c r="B1581">
        <f>HYPERLINK("https://eproc.rajasthan.gov.in/nicgep/app?component=%24DirectLink&amp;page=FrontEndViewTender&amp;service=direct&amp;session=T&amp;sp=S0%2BhR5grDrTxQswBhpolYcw%3D%3D", "material supply gram panchayat sakroda")</f>
        <v/>
      </c>
      <c r="C1581" t="inlineStr">
        <is>
          <t>Panchayati Raj Department||Secretary and Commissioner||CEO-RAJSAMAND||BDO-RAJSAMAND</t>
        </is>
      </c>
      <c r="D1581" t="inlineStr">
        <is>
          <t>23-May-2025 05:00 PM</t>
        </is>
      </c>
      <c r="E1581" t="inlineStr">
        <is>
          <t>90,00,000</t>
        </is>
      </c>
      <c r="F1581" t="inlineStr">
        <is>
          <t>material supply gram panchayat sakroda</t>
        </is>
      </c>
      <c r="G1581" t="inlineStr">
        <is>
          <t>gram panchayat sakroda</t>
        </is>
      </c>
    </row>
    <row r="1582">
      <c r="A1582" s="1" t="n">
        <v>1580</v>
      </c>
      <c r="B1582">
        <f>HYPERLINK("https://eproc.rajasthan.gov.in/nicgep/app?component=%24DirectLink&amp;page=FrontEndViewTender&amp;service=direct&amp;session=T&amp;sp=SNfSAa2ugyUNE3WN0YjJ0sA%3D%3D", "Yearly Rate Contract (F.Y. 2025-26) for Supply of Construction Material and All item for Gram Panchayat MADAR (Rates based on BSR 2025-26 (RDPRD) PS Badgaon, Dist Udaipur)")</f>
        <v/>
      </c>
      <c r="C1582" t="inlineStr">
        <is>
          <t>Panchayati Raj Department||Secretary and Commissioner||CEO-UDAIPUR||BDO-BADGAON</t>
        </is>
      </c>
      <c r="D1582" t="inlineStr">
        <is>
          <t>20-May-2025 06:00 PM</t>
        </is>
      </c>
      <c r="E1582" t="inlineStr">
        <is>
          <t>60,00,000</t>
        </is>
      </c>
      <c r="F1582" t="inlineStr">
        <is>
          <t>Yearly Rate Contract (F.Y. 2025-26) for Supply of Construction Material and All item for Gram Panchayat MADAR (Rates based on BSR 2025-26 (RDPRD) PS Badgaon, Dist Udaipur)</t>
        </is>
      </c>
      <c r="G1582" t="inlineStr">
        <is>
          <t>GRAM PANCHAYAT MADAR</t>
        </is>
      </c>
    </row>
    <row r="1583">
      <c r="A1583" s="1" t="n">
        <v>1581</v>
      </c>
      <c r="B1583">
        <f>HYPERLINK("https://eproc.rajasthan.gov.in/nicgep/app?component=%24DirectLink&amp;page=FrontEndViewTender&amp;service=direct&amp;session=T&amp;sp=SdpJLlQ4nLy7BA5qzW3rCFg%3D%3D", "SUPPLY OF CONSTRUCTION MATERIAL AND PROVIDING EQUIPMENT IN GP SURELI PS UNIYARA")</f>
        <v/>
      </c>
      <c r="C1583" t="inlineStr">
        <is>
          <t>Panchayati Raj Department||Secretary and Commissioner||CEO-TONK||BDO-UNIYARA</t>
        </is>
      </c>
      <c r="D1583" t="inlineStr">
        <is>
          <t>26-May-2025 06:00 PM</t>
        </is>
      </c>
      <c r="E1583" t="inlineStr">
        <is>
          <t>60,00,000</t>
        </is>
      </c>
      <c r="F1583" t="inlineStr">
        <is>
          <t>SUPPLY OF CONSTRUCTION MATERIAL AND PROVIDING EQUIPMENT IN GP SURELI PS UNIYARA</t>
        </is>
      </c>
      <c r="G1583" t="inlineStr">
        <is>
          <t>GP SURELI</t>
        </is>
      </c>
    </row>
    <row r="1584">
      <c r="A1584" s="1" t="n">
        <v>1582</v>
      </c>
      <c r="B1584">
        <f>HYPERLINK("https://eproc.rajasthan.gov.in/nicgep/app?component=%24DirectLink&amp;page=FrontEndViewTender&amp;service=direct&amp;session=T&amp;sp=Sg8bEOyl9dAUhGTc8r87NXQ%3D%3D", "METERIAL SUPPLY WORKS GP JEELOTA")</f>
        <v/>
      </c>
      <c r="C1584" t="inlineStr">
        <is>
          <t>Panchayati Raj Department||Secretary and Commissioner||CEO-ALWAR||BDO-KISHANGARHWAS</t>
        </is>
      </c>
      <c r="D1584" t="inlineStr">
        <is>
          <t>20-May-2025 06:00 PM</t>
        </is>
      </c>
      <c r="E1584" t="inlineStr">
        <is>
          <t>NA</t>
        </is>
      </c>
      <c r="F1584" t="inlineStr">
        <is>
          <t>METERIAL SUPPLY WORKS GP JEELOTA</t>
        </is>
      </c>
      <c r="G1584" t="inlineStr">
        <is>
          <t>GP JEELOTA</t>
        </is>
      </c>
    </row>
    <row r="1585">
      <c r="A1585" s="1" t="n">
        <v>1583</v>
      </c>
      <c r="B1585">
        <f>HYPERLINK("https://eproc.rajasthan.gov.in/nicgep/app?component=%24DirectLink&amp;page=FrontEndViewTender&amp;service=direct&amp;session=T&amp;sp=SyR6s2yqYWXcbIr6bso16vA%3D%3D", "cleaning and sanition work for gp")</f>
        <v/>
      </c>
      <c r="C1585" t="inlineStr">
        <is>
          <t>Panchayati Raj Department||Secretary and Commissioner||CEO-BADMER||BDO-KALYANPUR</t>
        </is>
      </c>
      <c r="D1585" t="inlineStr">
        <is>
          <t>20-May-2025 05:00 PM</t>
        </is>
      </c>
      <c r="E1585" t="inlineStr">
        <is>
          <t>5,81,260</t>
        </is>
      </c>
      <c r="F1585" t="inlineStr">
        <is>
          <t>cleaning and sanition work</t>
        </is>
      </c>
      <c r="G1585" t="inlineStr">
        <is>
          <t>gp pataukhurd</t>
        </is>
      </c>
    </row>
    <row r="1586">
      <c r="A1586" s="1" t="n">
        <v>1584</v>
      </c>
      <c r="B1586">
        <f>HYPERLINK("https://eproc.rajasthan.gov.in/nicgep/app?component=%24DirectLink&amp;page=FrontEndViewTender&amp;service=direct&amp;session=T&amp;sp=S1MS3iIcpN4eaTBi610FaNg%3D%3D", "Yearly Rate Contract (F.Y. 2025-26) for Supply of Construction Material and All item for Gram Panchayat BADGAON- (Rates based on BSR 2025-26 (RDPRD) PS Badgaon, Dist Udaipur)")</f>
        <v/>
      </c>
      <c r="C1586" t="inlineStr">
        <is>
          <t>Panchayati Raj Department||Secretary and Commissioner||CEO-UDAIPUR||BDO-BADGAON</t>
        </is>
      </c>
      <c r="D1586" t="inlineStr">
        <is>
          <t>20-May-2025 06:00 PM</t>
        </is>
      </c>
      <c r="E1586" t="inlineStr">
        <is>
          <t>60,00,000</t>
        </is>
      </c>
      <c r="F1586" t="inlineStr">
        <is>
          <t>Yearly Rate Contract (F.Y. 2025-26) for Supply of Construction Material and All item for Gram Panchayat BADGAON- (Rates based on BSR 2025-26 (RDPRD) PS Badgaon, Dist Udaipur)</t>
        </is>
      </c>
      <c r="G1586" t="inlineStr">
        <is>
          <t>GRAM PANCHAYAT BADGAON-</t>
        </is>
      </c>
    </row>
    <row r="1587">
      <c r="A1587" s="1" t="n">
        <v>1585</v>
      </c>
      <c r="B1587">
        <f>HYPERLINK("https://eproc.rajasthan.gov.in/nicgep/app?component=%24DirectLink&amp;page=FrontEndViewTender&amp;service=direct&amp;session=T&amp;sp=SwJkCo4J4qIWULwWpSwqeNA%3D%3D", "cleaning and sanition work for gp")</f>
        <v/>
      </c>
      <c r="C1587" t="inlineStr">
        <is>
          <t>Panchayati Raj Department||Secretary and Commissioner||CEO-BADMER||BDO-KALYANPUR</t>
        </is>
      </c>
      <c r="D1587" t="inlineStr">
        <is>
          <t>20-May-2025 05:00 PM</t>
        </is>
      </c>
      <c r="E1587" t="inlineStr">
        <is>
          <t>4,51,049</t>
        </is>
      </c>
      <c r="F1587" t="inlineStr">
        <is>
          <t>cleaning and sanition work</t>
        </is>
      </c>
      <c r="G1587" t="inlineStr">
        <is>
          <t>gp rodwa kall</t>
        </is>
      </c>
    </row>
    <row r="1588">
      <c r="A1588" s="1" t="n">
        <v>1586</v>
      </c>
      <c r="B1588">
        <f>HYPERLINK("https://eproc.rajasthan.gov.in/nicgep/app?component=%24DirectLink&amp;page=FrontEndViewTender&amp;service=direct&amp;session=T&amp;sp=SUhe5nhPIGFd1Tvq3YTQQjg%3D%3D", "GROUP A Material supply and equipment supply for Construction work in G.P. UTIYA")</f>
        <v/>
      </c>
      <c r="C1588" t="inlineStr">
        <is>
          <t>Panchayati Raj Department||Secretary and Commissioner||CEO- DUNGARPUR||BDO-JHOTHARI</t>
        </is>
      </c>
      <c r="D1588" t="inlineStr">
        <is>
          <t>23-May-2025 06:00 PM</t>
        </is>
      </c>
      <c r="E1588" t="inlineStr">
        <is>
          <t>25,00,000</t>
        </is>
      </c>
      <c r="F1588" t="inlineStr">
        <is>
          <t>GROUP A Material supply and equipment supply for Construction work in G.P. UTIYA</t>
        </is>
      </c>
      <c r="G1588" t="inlineStr">
        <is>
          <t>UTIYA</t>
        </is>
      </c>
    </row>
    <row r="1589">
      <c r="A1589" s="1" t="n">
        <v>1587</v>
      </c>
      <c r="B1589">
        <f>HYPERLINK("https://eproc.rajasthan.gov.in/nicgep/app?component=%24DirectLink&amp;page=FrontEndViewTender&amp;service=direct&amp;session=T&amp;sp=SWmbmWT%2Bq%2FSFB%2BbViw9lg%2FA%3D%3D", "Cleaning Johad GP Rampura")</f>
        <v/>
      </c>
      <c r="C1589" t="inlineStr">
        <is>
          <t>Panchayati Raj Department||Secretary and Commissioner||CEO- HANUMANGARH||BDO-PILIBANGA</t>
        </is>
      </c>
      <c r="D1589" t="inlineStr">
        <is>
          <t>20-May-2025 06:00 PM</t>
        </is>
      </c>
      <c r="E1589" t="inlineStr">
        <is>
          <t>NA</t>
        </is>
      </c>
      <c r="F1589" t="inlineStr">
        <is>
          <t>Cleaning Johad GP Rampura</t>
        </is>
      </c>
      <c r="G1589" t="inlineStr">
        <is>
          <t>GP Rampura</t>
        </is>
      </c>
    </row>
    <row r="1590">
      <c r="A1590" s="1" t="n">
        <v>1588</v>
      </c>
      <c r="B1590">
        <f>HYPERLINK("https://eproc.rajasthan.gov.in/nicgep/app?component=%24DirectLink&amp;page=FrontEndViewTender&amp;service=direct&amp;session=T&amp;sp=SGveOfeG65manP%2F%2BlwFGejw%3D%3D", "Gram goth me papal ke ped pathwari ke sthan se ratanlal , ramprasad gurjar aur girraj gurjarke makan ki aur cc sadak nirman karya")</f>
        <v/>
      </c>
      <c r="C1590" t="inlineStr">
        <is>
          <t>Panchayati Raj Department||Secretary and Commissioner||CEO-S.MADHOPUR||BDO-BAMANWAS</t>
        </is>
      </c>
      <c r="D1590" t="inlineStr">
        <is>
          <t>19-May-2025 06:00 PM</t>
        </is>
      </c>
      <c r="E1590" t="inlineStr">
        <is>
          <t>10,00,000</t>
        </is>
      </c>
      <c r="F1590" t="inlineStr">
        <is>
          <t>Gram goth me papal ke ped pathwari ke sthan se ratanlal , ramprasad gurjar aur girraj gurjarke makan ki aur cc sadak nirman karya</t>
        </is>
      </c>
      <c r="G1590" t="inlineStr">
        <is>
          <t>GRAM PANCHYAT GOTH</t>
        </is>
      </c>
    </row>
    <row r="1591">
      <c r="A1591" s="1" t="n">
        <v>1589</v>
      </c>
      <c r="B1591">
        <f>HYPERLINK("https://eproc.rajasthan.gov.in/nicgep/app?component=%24DirectLink&amp;page=FrontEndViewTender&amp;service=direct&amp;session=T&amp;sp=SpX4KvnCpu1%2BEp%2BYJRPzNkg%3D%3D", "INTER BLOCK SADAK NIRMAN KARY ROOPSINGH KE MKAAN SE HEERAMAL MANDIR KI AUR CHIND KI DHANI PANCHUDALA")</f>
        <v/>
      </c>
      <c r="C1591" t="inlineStr">
        <is>
          <t>Panchayati Raj Department||Secretary and Commissioner||CEO- JAIPUR||BDO-PAWTA</t>
        </is>
      </c>
      <c r="D1591" t="inlineStr">
        <is>
          <t>20-May-2025 04:00 PM</t>
        </is>
      </c>
      <c r="E1591" t="inlineStr">
        <is>
          <t>7,41,816</t>
        </is>
      </c>
      <c r="F1591" t="inlineStr">
        <is>
          <t>INTER BLOCK SADAK NIRMAN KARY ROOPSINGH KE MKAAN SE HEERAMAL MANDIR KI AUR CHIND KI DHANI PANCHUDALA</t>
        </is>
      </c>
      <c r="G1591" t="inlineStr">
        <is>
          <t>GP PANCHUDALA</t>
        </is>
      </c>
    </row>
    <row r="1592">
      <c r="A1592" s="1" t="n">
        <v>1590</v>
      </c>
      <c r="B1592">
        <f>HYPERLINK("https://eproc.rajasthan.gov.in/nicgep/app?component=%24DirectLink&amp;page=FrontEndViewTender&amp;service=direct&amp;session=T&amp;sp=Sa%2FW4nkG%2BP%2BVYpAbFitL%2Brg%3D%3D", "Garbage collection and Street-Drain Cleaning GP Indergarh")</f>
        <v/>
      </c>
      <c r="C1592" t="inlineStr">
        <is>
          <t>Panchayati Raj Department||Secretary and Commissioner||CEO- HANUMANGARH||BDO-SANGARIYA</t>
        </is>
      </c>
      <c r="D1592" t="inlineStr">
        <is>
          <t>20-May-2025 06:00 PM</t>
        </is>
      </c>
      <c r="E1592" t="inlineStr">
        <is>
          <t>6,85,000</t>
        </is>
      </c>
      <c r="F1592" t="inlineStr">
        <is>
          <t>Garbage collection and Street-Drain Cleaning GP Indergarh</t>
        </is>
      </c>
      <c r="G1592" t="inlineStr">
        <is>
          <t>GP Indergarh</t>
        </is>
      </c>
    </row>
    <row r="1593">
      <c r="A1593" s="1" t="n">
        <v>1591</v>
      </c>
      <c r="B1593">
        <f>HYPERLINK("https://eproc.rajasthan.gov.in/nicgep/app?component=%24DirectLink&amp;page=FrontEndViewTender&amp;service=direct&amp;session=T&amp;sp=SnV%2BsU72WUWLpSwnvS7A21A%3D%3D", "SUPPLY OF CONSTRUCTION MATERIAL AND PROVIDING EQUIPMENT IN GP ROOPPURA PS UNIYARA")</f>
        <v/>
      </c>
      <c r="C1593" t="inlineStr">
        <is>
          <t>Panchayati Raj Department||Secretary and Commissioner||CEO-TONK||BDO-UNIYARA</t>
        </is>
      </c>
      <c r="D1593" t="inlineStr">
        <is>
          <t>26-May-2025 06:00 PM</t>
        </is>
      </c>
      <c r="E1593" t="inlineStr">
        <is>
          <t>60,00,000</t>
        </is>
      </c>
      <c r="F1593" t="inlineStr">
        <is>
          <t>SUPPLY OF CONSTRUCTION MATERIAL AND PROVIDING EQUIPMENT IN GP ROOPPURA PS UNIYARA</t>
        </is>
      </c>
      <c r="G1593" t="inlineStr">
        <is>
          <t>GP ROOPPURA</t>
        </is>
      </c>
    </row>
    <row r="1594">
      <c r="A1594" s="1" t="n">
        <v>1592</v>
      </c>
      <c r="B1594">
        <f>HYPERLINK("https://eproc.rajasthan.gov.in/nicgep/app?component=%24DirectLink&amp;page=FrontEndViewTender&amp;service=direct&amp;session=T&amp;sp=S3C%2BBJGNI3634F9snLO8W3w%3D%3D", "Yearly Rate Contract (F.Y. 2025-26) for Supply of Construction Material and All item for Gram Panchayat WATI (Rates based on BSR 2025-26 (RDPRD) PS Badgaon, Dist Udaipur)")</f>
        <v/>
      </c>
      <c r="C1594" t="inlineStr">
        <is>
          <t>Panchayati Raj Department||Secretary and Commissioner||CEO-UDAIPUR||BDO-BADGAON</t>
        </is>
      </c>
      <c r="D1594" t="inlineStr">
        <is>
          <t>20-May-2025 06:00 PM</t>
        </is>
      </c>
      <c r="E1594" t="inlineStr">
        <is>
          <t>60,00,000</t>
        </is>
      </c>
      <c r="F1594" t="inlineStr">
        <is>
          <t>Yearly Rate Contract (F.Y. 2025-26) for Supply of Construction Material and All item for Gram Panchayat WATI (Rates based on BSR 2025-26 (RDPRD) PS Badgaon, Dist Udaipur)</t>
        </is>
      </c>
      <c r="G1594" t="inlineStr">
        <is>
          <t>GRAM PANCHAYAT WATI</t>
        </is>
      </c>
    </row>
    <row r="1595">
      <c r="A1595" s="1" t="n">
        <v>1593</v>
      </c>
      <c r="B1595">
        <f>HYPERLINK("https://eproc.rajasthan.gov.in/nicgep/app?component=%24DirectLink&amp;page=FrontEndViewTender&amp;service=direct&amp;session=T&amp;sp=SNn43%2FObC1HdpMDnaeElULw%3D%3D", "Garbage collection and Street-Drain Cleaning GP Nukera")</f>
        <v/>
      </c>
      <c r="C1595" t="inlineStr">
        <is>
          <t>Panchayati Raj Department||Secretary and Commissioner||CEO- HANUMANGARH||BDO-SANGARIYA</t>
        </is>
      </c>
      <c r="D1595" t="inlineStr">
        <is>
          <t>20-May-2025 06:00 PM</t>
        </is>
      </c>
      <c r="E1595" t="inlineStr">
        <is>
          <t>9,89,000</t>
        </is>
      </c>
      <c r="F1595" t="inlineStr">
        <is>
          <t>Garbage collection and Street-Drain Cleaning GP Nukera</t>
        </is>
      </c>
      <c r="G1595" t="inlineStr">
        <is>
          <t>GP Nukera</t>
        </is>
      </c>
    </row>
    <row r="1596">
      <c r="A1596" s="1" t="n">
        <v>1594</v>
      </c>
      <c r="B1596">
        <f>HYPERLINK("https://eproc.rajasthan.gov.in/nicgep/app?component=%24DirectLink&amp;page=FrontEndViewTender&amp;service=direct&amp;session=T&amp;sp=SDoxfCs44TfrtszjKH6Q2sg%3D%3D", "GROUP D WALL PAINTING WORK IN G.P. UTIYA")</f>
        <v/>
      </c>
      <c r="C1596" t="inlineStr">
        <is>
          <t>Panchayati Raj Department||Secretary and Commissioner||CEO- DUNGARPUR||BDO-JHOTHARI</t>
        </is>
      </c>
      <c r="D1596" t="inlineStr">
        <is>
          <t>23-May-2025 06:00 PM</t>
        </is>
      </c>
      <c r="E1596" t="inlineStr">
        <is>
          <t>2,00,000</t>
        </is>
      </c>
      <c r="F1596" t="inlineStr">
        <is>
          <t>GROUP D WALL PAINTING WORK IN G.P. UTIYA</t>
        </is>
      </c>
      <c r="G1596" t="inlineStr">
        <is>
          <t>UTIYA</t>
        </is>
      </c>
    </row>
    <row r="1597">
      <c r="A1597" s="1" t="n">
        <v>1595</v>
      </c>
      <c r="B1597">
        <f>HYPERLINK("https://eproc.rajasthan.gov.in/nicgep/app?component=%24DirectLink&amp;page=FrontEndViewTender&amp;service=direct&amp;session=T&amp;sp=SvzFAteOSUSNuaD0X4Urr0w%3D%3D", "Garbage collection and Street-Drain Cleaning GP Jandwala Shikhan")</f>
        <v/>
      </c>
      <c r="C1597" t="inlineStr">
        <is>
          <t>Panchayati Raj Department||Secretary and Commissioner||CEO- HANUMANGARH||BDO-SANGARIYA</t>
        </is>
      </c>
      <c r="D1597" t="inlineStr">
        <is>
          <t>20-May-2025 06:00 PM</t>
        </is>
      </c>
      <c r="E1597" t="inlineStr">
        <is>
          <t>8,50,000</t>
        </is>
      </c>
      <c r="F1597" t="inlineStr">
        <is>
          <t>Garbage collection and Street-Drain Cleaning GP Jandwala Shikhan</t>
        </is>
      </c>
      <c r="G1597" t="inlineStr">
        <is>
          <t>GP Jandwala Shikhan</t>
        </is>
      </c>
    </row>
    <row r="1598">
      <c r="A1598" s="1" t="n">
        <v>1596</v>
      </c>
      <c r="B1598">
        <f>HYPERLINK("https://eproc.rajasthan.gov.in/nicgep/app?component=%24DirectLink&amp;page=FrontEndViewTender&amp;service=direct&amp;session=T&amp;sp=SErnb5tGJ7zNs3Bd%2BSBeD9w%3D%3D", "GROUP C Material supply and equipment supply for Construction work in G.P. UTIYA")</f>
        <v/>
      </c>
      <c r="C1598" t="inlineStr">
        <is>
          <t>Panchayati Raj Department||Secretary and Commissioner||CEO- DUNGARPUR||BDO-JHOTHARI</t>
        </is>
      </c>
      <c r="D1598" t="inlineStr">
        <is>
          <t>23-May-2025 06:00 PM</t>
        </is>
      </c>
      <c r="E1598" t="inlineStr">
        <is>
          <t>8,00,000</t>
        </is>
      </c>
      <c r="F1598" t="inlineStr">
        <is>
          <t>GROUP C Material supply and equipment supply for Construction work in G.P. UTIYA</t>
        </is>
      </c>
      <c r="G1598" t="inlineStr">
        <is>
          <t>UTIYA</t>
        </is>
      </c>
    </row>
    <row r="1599">
      <c r="A1599" s="1" t="n">
        <v>1597</v>
      </c>
      <c r="B1599">
        <f>HYPERLINK("https://eproc.rajasthan.gov.in/nicgep/app?component=%24DirectLink&amp;page=FrontEndViewTender&amp;service=direct&amp;session=T&amp;sp=SYeGbdkFlUIcMSjjAU42dDg%3D%3D", "SUPPLY OF CONSTRUCTION MATERIAL AND PROVIDING EQUIPMENT IN GP SOONTHRA PS UNIYARA")</f>
        <v/>
      </c>
      <c r="C1599" t="inlineStr">
        <is>
          <t>Panchayati Raj Department||Secretary and Commissioner||CEO-TONK||BDO-UNIYARA</t>
        </is>
      </c>
      <c r="D1599" t="inlineStr">
        <is>
          <t>26-May-2025 06:00 PM</t>
        </is>
      </c>
      <c r="E1599" t="inlineStr">
        <is>
          <t>50,00,000</t>
        </is>
      </c>
      <c r="F1599" t="inlineStr">
        <is>
          <t>SUPPLY OF CONSTRUCTION MATERIAL AND PROVIDING EQUIPMENT IN GP SOONTHRA PS UNIYARA</t>
        </is>
      </c>
      <c r="G1599" t="inlineStr">
        <is>
          <t>GP SOONTHRA</t>
        </is>
      </c>
    </row>
    <row r="1600">
      <c r="A1600" s="1" t="n">
        <v>1598</v>
      </c>
      <c r="B1600">
        <f>HYPERLINK("https://eproc.rajasthan.gov.in/nicgep/app?component=%24DirectLink&amp;page=FrontEndViewTender&amp;service=direct&amp;session=T&amp;sp=Sgqnhm5rxRd9MbgJ2QEMIZA%3D%3D", "Garbage collection and Street-Drain Cleaning GP Santpura")</f>
        <v/>
      </c>
      <c r="C1600" t="inlineStr">
        <is>
          <t>Panchayati Raj Department||Secretary and Commissioner||CEO- HANUMANGARH||BDO-SANGARIYA</t>
        </is>
      </c>
      <c r="D1600" t="inlineStr">
        <is>
          <t>20-May-2025 06:00 PM</t>
        </is>
      </c>
      <c r="E1600" t="inlineStr">
        <is>
          <t>7,42,000</t>
        </is>
      </c>
      <c r="F1600" t="inlineStr">
        <is>
          <t>Garbage collection and Street-Drain Cleaning GP Santpura</t>
        </is>
      </c>
      <c r="G1600" t="inlineStr">
        <is>
          <t>GP Santpura</t>
        </is>
      </c>
    </row>
    <row r="1601">
      <c r="A1601" s="1" t="n">
        <v>1599</v>
      </c>
      <c r="B1601">
        <f>HYPERLINK("https://eproc.rajasthan.gov.in/nicgep/app?component=%24DirectLink&amp;page=FrontEndViewTender&amp;service=direct&amp;session=T&amp;sp=Sj%2BjvuV3khTBp4vpRGNrOvA%3D%3D", "cleaning and sanietionwork for gp")</f>
        <v/>
      </c>
      <c r="C1601" t="inlineStr">
        <is>
          <t>Panchayati Raj Department||Secretary and Commissioner||CEO-BADMER||BDO-KALYANPUR</t>
        </is>
      </c>
      <c r="D1601" t="inlineStr">
        <is>
          <t>20-May-2025 05:00 PM</t>
        </is>
      </c>
      <c r="E1601" t="inlineStr">
        <is>
          <t>7,80,847</t>
        </is>
      </c>
      <c r="F1601" t="inlineStr">
        <is>
          <t>cleaning and sanietionwork</t>
        </is>
      </c>
      <c r="G1601" t="inlineStr">
        <is>
          <t>gp newari</t>
        </is>
      </c>
    </row>
    <row r="1602">
      <c r="A1602" s="1" t="n">
        <v>1600</v>
      </c>
      <c r="B1602">
        <f>HYPERLINK("https://eproc.rajasthan.gov.in/nicgep/app?component=%24DirectLink&amp;page=FrontEndViewTender&amp;service=direct&amp;session=T&amp;sp=SeMLJg1DpsSctJu3oyVFbhQ%3D%3D", "GROUP B Material supply and equipment supply for Construction work in G.P. UTIYA")</f>
        <v/>
      </c>
      <c r="C1602" t="inlineStr">
        <is>
          <t>Panchayati Raj Department||Secretary and Commissioner||CEO- DUNGARPUR||BDO-JHOTHARI</t>
        </is>
      </c>
      <c r="D1602" t="inlineStr">
        <is>
          <t>23-May-2025 06:00 PM</t>
        </is>
      </c>
      <c r="E1602" t="inlineStr">
        <is>
          <t>25,00,000</t>
        </is>
      </c>
      <c r="F1602" t="inlineStr">
        <is>
          <t>GROUP B Material supply and equipment supply for Construction work in G.P. UTIYA</t>
        </is>
      </c>
      <c r="G1602" t="inlineStr">
        <is>
          <t>UTIYA</t>
        </is>
      </c>
    </row>
    <row r="1603">
      <c r="A1603" s="1" t="n">
        <v>1601</v>
      </c>
      <c r="B1603">
        <f>HYPERLINK("https://eproc.rajasthan.gov.in/nicgep/app?component=%24DirectLink&amp;page=FrontEndViewTender&amp;service=direct&amp;session=T&amp;sp=SL%2F11Kb3W2KuvP%2FV30A%2BuXg%3D%3D", "Yearly Rate Contract (F.Y. 2025-26) for Supply of Construction Material and All item for Gram Panchayat RAMA (Rates based on BSR 2025-26 (RDPRD) PS Badgaon, Dist Udaipur)")</f>
        <v/>
      </c>
      <c r="C1603" t="inlineStr">
        <is>
          <t>Panchayati Raj Department||Secretary and Commissioner||CEO-UDAIPUR||BDO-BADGAON</t>
        </is>
      </c>
      <c r="D1603" t="inlineStr">
        <is>
          <t>20-May-2025 06:00 PM</t>
        </is>
      </c>
      <c r="E1603" t="inlineStr">
        <is>
          <t>60,00,000</t>
        </is>
      </c>
      <c r="F1603" t="inlineStr">
        <is>
          <t>Yearly Rate Contract (F.Y. 2025-26) for Supply of Construction Material and All item for Gram Panchayat RAMA (Rates based on BSR 2025-26 (RDPRD) PS Badgaon, Dist Udaipur)</t>
        </is>
      </c>
      <c r="G1603" t="inlineStr">
        <is>
          <t>GRAM PANCHAYAT RAMA</t>
        </is>
      </c>
    </row>
    <row r="1604">
      <c r="A1604" s="1" t="n">
        <v>1602</v>
      </c>
      <c r="B1604">
        <f>HYPERLINK("https://eproc.rajasthan.gov.in/nicgep/app?component=%24DirectLink&amp;page=FrontEndViewTender&amp;service=direct&amp;session=T&amp;sp=Sq4b%2FXfAfveR1%2BdR92Loitg%3D%3D", "Garbage collection and Street-Drain Cleaning GP Morjand Sikhan")</f>
        <v/>
      </c>
      <c r="C1604" t="inlineStr">
        <is>
          <t>Panchayati Raj Department||Secretary and Commissioner||CEO- HANUMANGARH||BDO-SANGARIYA</t>
        </is>
      </c>
      <c r="D1604" t="inlineStr">
        <is>
          <t>20-May-2025 06:00 PM</t>
        </is>
      </c>
      <c r="E1604" t="inlineStr">
        <is>
          <t>9,37,000</t>
        </is>
      </c>
      <c r="F1604" t="inlineStr">
        <is>
          <t>Garbage collection and Street-Drain Cleaning GP Morjand Sikhan</t>
        </is>
      </c>
      <c r="G1604" t="inlineStr">
        <is>
          <t>GP Morjand Sikhan</t>
        </is>
      </c>
    </row>
    <row r="1605">
      <c r="A1605" s="1" t="n">
        <v>1603</v>
      </c>
      <c r="B1605">
        <f>HYPERLINK("https://eproc.rajasthan.gov.in/nicgep/app?component=%24DirectLink&amp;page=FrontEndViewTender&amp;service=direct&amp;session=T&amp;sp=S6vA8c9I6CKB9HTwB05rLyA%3D%3D", "Garbage collection and Street-Drain Cleaning GP Shahpini")</f>
        <v/>
      </c>
      <c r="C1605" t="inlineStr">
        <is>
          <t>Panchayati Raj Department||Secretary and Commissioner||CEO- HANUMANGARH||BDO-SANGARIYA</t>
        </is>
      </c>
      <c r="D1605" t="inlineStr">
        <is>
          <t>20-May-2025 06:00 PM</t>
        </is>
      </c>
      <c r="E1605" t="inlineStr">
        <is>
          <t>9,48,000</t>
        </is>
      </c>
      <c r="F1605" t="inlineStr">
        <is>
          <t>Garbage collection and Street-Drain Cleaning GP Shahpini</t>
        </is>
      </c>
      <c r="G1605" t="inlineStr">
        <is>
          <t>GP Shahpini</t>
        </is>
      </c>
    </row>
    <row r="1606">
      <c r="A1606" s="1" t="n">
        <v>1604</v>
      </c>
      <c r="B1606">
        <f>HYPERLINK("https://eproc.rajasthan.gov.in/nicgep/app?component=%24DirectLink&amp;page=FrontEndViewTender&amp;service=direct&amp;session=T&amp;sp=SxRKhYbAfYTq8zN%2FQDl7Ugw%3D%3D", "Garbage collection, separation, road and drain cleaning and community sanitation, campus cleaning work GP AAMLI PS UNIYARA")</f>
        <v/>
      </c>
      <c r="C1606" t="inlineStr">
        <is>
          <t>Panchayati Raj Department||Secretary and Commissioner||CEO-TONK||BDO-UNIYARA</t>
        </is>
      </c>
      <c r="D1606" t="inlineStr">
        <is>
          <t>26-May-2025 06:00 PM</t>
        </is>
      </c>
      <c r="E1606" t="inlineStr">
        <is>
          <t>15,00,000</t>
        </is>
      </c>
      <c r="F1606" t="inlineStr">
        <is>
          <t>Garbage collection, separation, road and drain cleaning and community sanitation, campus cleaning work GP AAMLI PS UNIYARA</t>
        </is>
      </c>
      <c r="G1606" t="inlineStr">
        <is>
          <t>GP AAMLI</t>
        </is>
      </c>
    </row>
    <row r="1607">
      <c r="A1607" s="1" t="n">
        <v>1605</v>
      </c>
      <c r="B1607">
        <f>HYPERLINK("https://eproc.rajasthan.gov.in/nicgep/app?component=%24DirectLink&amp;page=FrontEndViewTender&amp;service=direct&amp;session=T&amp;sp=Sw%2Bsj%2FhsB4yP%2B%2FFh53X1R6Q%3D%3D", "NAREGA AND OTHER SCHEME METERIAL SUPPLY FY 2025-26 BIHAR")</f>
        <v/>
      </c>
      <c r="C1607" t="inlineStr">
        <is>
          <t>Panchayati Raj Department||Secretary and Commissioner||CEO-SIKAR||BDO-PATAN</t>
        </is>
      </c>
      <c r="D1607" t="inlineStr">
        <is>
          <t>26-May-2025 06:00 PM</t>
        </is>
      </c>
      <c r="E1607" t="inlineStr">
        <is>
          <t>30,00,000</t>
        </is>
      </c>
      <c r="F1607" t="inlineStr">
        <is>
          <t>NAREGA AND OTHER SCHEME METERIAL SUPPLY FY 2025-26 BIHAR</t>
        </is>
      </c>
      <c r="G1607" t="inlineStr">
        <is>
          <t>GP BIHAR</t>
        </is>
      </c>
    </row>
    <row r="1608">
      <c r="A1608" s="1" t="n">
        <v>1606</v>
      </c>
      <c r="B1608">
        <f>HYPERLINK("https://eproc.rajasthan.gov.in/nicgep/app?component=%24DirectLink&amp;page=FrontEndViewTender&amp;service=direct&amp;session=T&amp;sp=SWYrD4fyrA%2FP416cQRjTdRg%3D%3D", "Yearly Rate Contract (F.Y. 2025-26) for Supply of Construction Material and All item for Gram Panchayat BEDLA KHURD (Rates based on BSR 2025-26 (RDPRD) PS Badgaon, Dist Udaipur)")</f>
        <v/>
      </c>
      <c r="C1608" t="inlineStr">
        <is>
          <t>Panchayati Raj Department||Secretary and Commissioner||CEO-UDAIPUR||BDO-BADGAON</t>
        </is>
      </c>
      <c r="D1608" t="inlineStr">
        <is>
          <t>20-May-2025 06:00 PM</t>
        </is>
      </c>
      <c r="E1608" t="inlineStr">
        <is>
          <t>60,00,000</t>
        </is>
      </c>
      <c r="F1608" t="inlineStr">
        <is>
          <t>Yearly Rate Contract (F.Y. 2025-26) for Supply of Construction Material and All item for Gram Panchayat BEDLA KHURD (Rates based on BSR 2025-26 (RDPRD) PS Badgaon, Dist Udaipur)</t>
        </is>
      </c>
      <c r="G1608" t="inlineStr">
        <is>
          <t>GRAM PANCHAYAT BEDLA KHURD</t>
        </is>
      </c>
    </row>
    <row r="1609">
      <c r="A1609" s="1" t="n">
        <v>1607</v>
      </c>
      <c r="B1609">
        <f>HYPERLINK("https://eproc.rajasthan.gov.in/nicgep/app?component=%24DirectLink&amp;page=FrontEndViewTender&amp;service=direct&amp;session=T&amp;sp=SLhftraucYMBbYwWaOvy5AA%3D%3D", "Yearly Rate Contract (F.Y. 2025-26) for Supply of Construction Material and All item for Gram Panchayat CHIRWA (Rates based on BSR 2025-26 (RDPRD) PS Badgaon, Dist Udaipur)")</f>
        <v/>
      </c>
      <c r="C1609" t="inlineStr">
        <is>
          <t>Panchayati Raj Department||Secretary and Commissioner||CEO-UDAIPUR||BDO-BADGAON</t>
        </is>
      </c>
      <c r="D1609" t="inlineStr">
        <is>
          <t>20-May-2025 06:00 PM</t>
        </is>
      </c>
      <c r="E1609" t="inlineStr">
        <is>
          <t>60,00,000</t>
        </is>
      </c>
      <c r="F1609" t="inlineStr">
        <is>
          <t>Yearly Rate Contract (F.Y. 2025-26) for Supply of Construction Material and All item for Gram Panchayat CHIRWA (Rates based on BSR 2025-26 (RDPRD) PS Badgaon, Dist Udaipur)</t>
        </is>
      </c>
      <c r="G1609" t="inlineStr">
        <is>
          <t>GRAM PANCHAYAT CHIRWA</t>
        </is>
      </c>
    </row>
    <row r="1610">
      <c r="A1610" s="1" t="n">
        <v>1608</v>
      </c>
      <c r="B1610">
        <f>HYPERLINK("https://eproc.rajasthan.gov.in/nicgep/app?component=%24DirectLink&amp;page=FrontEndViewTender&amp;service=direct&amp;session=T&amp;sp=SgdOt%2FqeKjq3epes4ylMFZg%3D%3D", "Construction Matarial GP SARANA")</f>
        <v/>
      </c>
      <c r="C1610" t="inlineStr">
        <is>
          <t>Panchayati Raj Department||Secretary and Commissioner||CEO-AJMER||BDO-SARWAD</t>
        </is>
      </c>
      <c r="D1610" t="inlineStr">
        <is>
          <t>23-May-2025 06:00 PM</t>
        </is>
      </c>
      <c r="E1610" t="inlineStr">
        <is>
          <t>90,00,000</t>
        </is>
      </c>
      <c r="F1610" t="inlineStr">
        <is>
          <t>Construction Matarial</t>
        </is>
      </c>
      <c r="G1610" t="inlineStr">
        <is>
          <t>gp sarana</t>
        </is>
      </c>
    </row>
    <row r="1611">
      <c r="A1611" s="1" t="n">
        <v>1609</v>
      </c>
      <c r="B1611">
        <f>HYPERLINK("https://eproc.rajasthan.gov.in/nicgep/app?component=%24DirectLink&amp;page=FrontEndViewTender&amp;service=direct&amp;session=T&amp;sp=SZhV7Uk9nSt%2BX4xd9x1qppg%3D%3D", "Yearly Rate Contract (F.Y. 2025-26) for Supply of Construction Material and All item for Gram Panchayat KAVITA (Rates based on BSR 2025-26 (RDPRD) PS Badgaon, Dist Udaipur)")</f>
        <v/>
      </c>
      <c r="C1611" t="inlineStr">
        <is>
          <t>Panchayati Raj Department||Secretary and Commissioner||CEO-UDAIPUR||BDO-BADGAON</t>
        </is>
      </c>
      <c r="D1611" t="inlineStr">
        <is>
          <t>20-May-2025 06:00 PM</t>
        </is>
      </c>
      <c r="E1611" t="inlineStr">
        <is>
          <t>60,00,000</t>
        </is>
      </c>
      <c r="F1611" t="inlineStr">
        <is>
          <t>Yearly Rate Contract (F.Y. 2025-26) for Supply of Construction Material and All item for Gram Panchayat KAVITA (Rates based on BSR 2025-26 (RDPRD) PS Badgaon, Dist Udaipur)</t>
        </is>
      </c>
      <c r="G1611" t="inlineStr">
        <is>
          <t>GRAM PANCHAYAT KAVITA</t>
        </is>
      </c>
    </row>
    <row r="1612">
      <c r="A1612" s="1" t="n">
        <v>1610</v>
      </c>
      <c r="B1612">
        <f>HYPERLINK("https://eproc.rajasthan.gov.in/nicgep/app?component=%24DirectLink&amp;page=FrontEndViewTender&amp;service=direct&amp;session=T&amp;sp=SHwc2nyrdOilUFOy8KKUUtw%3D%3D", "cleaning and sanitation workfor gp nagana")</f>
        <v/>
      </c>
      <c r="C1612" t="inlineStr">
        <is>
          <t>Panchayati Raj Department||Secretary and Commissioner||CEO-BADMER||BDO-KALYANPUR</t>
        </is>
      </c>
      <c r="D1612" t="inlineStr">
        <is>
          <t>20-May-2025 05:00 PM</t>
        </is>
      </c>
      <c r="E1612" t="inlineStr">
        <is>
          <t>6,98,511</t>
        </is>
      </c>
      <c r="F1612" t="inlineStr">
        <is>
          <t>cleaning and sanitation workfor</t>
        </is>
      </c>
      <c r="G1612" t="inlineStr">
        <is>
          <t>gp nagana</t>
        </is>
      </c>
    </row>
    <row r="1613">
      <c r="A1613" s="1" t="n">
        <v>1611</v>
      </c>
      <c r="B1613">
        <f>HYPERLINK("https://eproc.rajasthan.gov.in/nicgep/app?component=%24DirectLink&amp;page=FrontEndViewTender&amp;service=direct&amp;session=T&amp;sp=SCmHw%2FN5Q2aBz1r2v8Wy1tg%3D%3D", "Construction of 1 Class Room in Govt. Pre. School Beda Khabda GP Khatikamdi")</f>
        <v/>
      </c>
      <c r="C1613" t="inlineStr">
        <is>
          <t>Panchayati Raj Department||Secretary and Commissioner||CEO-UDAIPUR||BDO-SALUMBAR</t>
        </is>
      </c>
      <c r="D1613" t="inlineStr">
        <is>
          <t>23-May-2025 06:00 PM</t>
        </is>
      </c>
      <c r="E1613" t="inlineStr">
        <is>
          <t>10,00,000</t>
        </is>
      </c>
      <c r="F1613" t="inlineStr">
        <is>
          <t>Construction of 1 Class Room in Govt. Pre. School Beda Khabda GP Khatikamdi</t>
        </is>
      </c>
      <c r="G1613" t="inlineStr">
        <is>
          <t>GP Khatikamdi</t>
        </is>
      </c>
    </row>
    <row r="1614">
      <c r="A1614" s="1" t="n">
        <v>1612</v>
      </c>
      <c r="B1614">
        <f>HYPERLINK("https://eproc.rajasthan.gov.in/nicgep/app?component=%24DirectLink&amp;page=FrontEndViewTender&amp;service=direct&amp;session=T&amp;sp=SiSHaJueOZX2EyYX8GkbCww%3D%3D", "Construction of 2 Class Room in Govt. Sr. Sec. School Khatikamdi GP Khatikamdi")</f>
        <v/>
      </c>
      <c r="C1614" t="inlineStr">
        <is>
          <t>Panchayati Raj Department||Secretary and Commissioner||CEO-UDAIPUR||BDO-SALUMBAR</t>
        </is>
      </c>
      <c r="D1614" t="inlineStr">
        <is>
          <t>23-May-2025 06:00 PM</t>
        </is>
      </c>
      <c r="E1614" t="inlineStr">
        <is>
          <t>20,00,000</t>
        </is>
      </c>
      <c r="F1614" t="inlineStr">
        <is>
          <t>Construction of 2 Class Room in Govt. Sr. Sec. School Khatikamdi GP Khatikamdi</t>
        </is>
      </c>
      <c r="G1614" t="inlineStr">
        <is>
          <t>GP Khatikamdi</t>
        </is>
      </c>
    </row>
    <row r="1615">
      <c r="A1615" s="1" t="n">
        <v>1613</v>
      </c>
      <c r="B1615">
        <f>HYPERLINK("https://eproc.rajasthan.gov.in/nicgep/app?component=%24DirectLink&amp;page=FrontEndViewTender&amp;service=direct&amp;session=T&amp;sp=SLlC3DeE8mtIHr9Eo5T1PYg%3D%3D", "Construction of 2 Class Room in Govt. Pre. School Badolpiya GP Khatikamdi")</f>
        <v/>
      </c>
      <c r="C1615" t="inlineStr">
        <is>
          <t>Panchayati Raj Department||Secretary and Commissioner||CEO-UDAIPUR||BDO-SALUMBAR</t>
        </is>
      </c>
      <c r="D1615" t="inlineStr">
        <is>
          <t>23-May-2025 06:00 PM</t>
        </is>
      </c>
      <c r="E1615" t="inlineStr">
        <is>
          <t>20,00,000</t>
        </is>
      </c>
      <c r="F1615" t="inlineStr">
        <is>
          <t>Construction of 2 Class Room in Govt. Pre. School Badolpiya GP Khatikamdi</t>
        </is>
      </c>
      <c r="G1615" t="inlineStr">
        <is>
          <t>GP Khatikamdi</t>
        </is>
      </c>
    </row>
    <row r="1616">
      <c r="A1616" s="1" t="n">
        <v>1614</v>
      </c>
      <c r="B1616">
        <f>HYPERLINK("https://eproc.rajasthan.gov.in/nicgep/app?component=%24DirectLink&amp;page=FrontEndViewTender&amp;service=direct&amp;session=T&amp;sp=S9jYlK02LRBJUbdUTn%2Fn0TA%3D%3D", "Work including door-to-door residential and commercial garbage collection and separation road and drain cleaning and community sanitation premises cleaning in all villages of Gram Panchayat TUDIYANA Panchayat Samiti Mahwa Dist. Dausa For FY 2025-26")</f>
        <v/>
      </c>
      <c r="C1616" t="inlineStr">
        <is>
          <t>Panchayati Raj Department||Secretary and Commissioner||CEO-DAUSA||BDO-MAHUVA</t>
        </is>
      </c>
      <c r="D1616" t="inlineStr">
        <is>
          <t>23-May-2025 05:00 PM</t>
        </is>
      </c>
      <c r="E1616" t="inlineStr">
        <is>
          <t>5,83,901</t>
        </is>
      </c>
      <c r="F1616" t="inlineStr">
        <is>
          <t>Work including door-to-door residential and commercial garbage collection and separation road and drain cleaning and community sanitation premises cleaning in all villages of Gram Panchayat TUDIYANA Panchayat Samiti Mahwa Dist. Dausa For FY 2025-26</t>
        </is>
      </c>
      <c r="G1616" t="inlineStr">
        <is>
          <t>Gram Panchayat TUDIYANA</t>
        </is>
      </c>
    </row>
    <row r="1617">
      <c r="A1617" s="1" t="n">
        <v>1615</v>
      </c>
      <c r="B1617">
        <f>HYPERLINK("https://eproc.rajasthan.gov.in/nicgep/app?component=%24DirectLink&amp;page=FrontEndViewTender&amp;service=direct&amp;session=T&amp;sp=SVlW2nL6NBu6uPw5%2BAnc0uw%3D%3D", "cieaning and sanitation work for gp mool ki dhani")</f>
        <v/>
      </c>
      <c r="C1617" t="inlineStr">
        <is>
          <t>Panchayati Raj Department||Secretary and Commissioner||CEO-BADMER||BDO-KALYANPUR</t>
        </is>
      </c>
      <c r="D1617" t="inlineStr">
        <is>
          <t>20-May-2025 05:00 PM</t>
        </is>
      </c>
      <c r="E1617" t="inlineStr">
        <is>
          <t>5,33,534</t>
        </is>
      </c>
      <c r="F1617" t="inlineStr">
        <is>
          <t>cieaning and sanitation work</t>
        </is>
      </c>
      <c r="G1617" t="inlineStr">
        <is>
          <t>gp mool ki dhani</t>
        </is>
      </c>
    </row>
    <row r="1618">
      <c r="A1618" s="1" t="n">
        <v>1616</v>
      </c>
      <c r="B1618">
        <f>HYPERLINK("https://eproc.rajasthan.gov.in/nicgep/app?component=%24DirectLink&amp;page=FrontEndViewTender&amp;service=direct&amp;session=T&amp;sp=SdSxVbtTjqsQRFEWGxrRDdw%3D%3D", "Repair of Class room with Chat in Govt. Pre. School Newaj GP Newaj")</f>
        <v/>
      </c>
      <c r="C1618" t="inlineStr">
        <is>
          <t>Panchayati Raj Department||Secretary and Commissioner||CEO-UDAIPUR||BDO-SALUMBAR</t>
        </is>
      </c>
      <c r="D1618" t="inlineStr">
        <is>
          <t>23-May-2025 06:00 PM</t>
        </is>
      </c>
      <c r="E1618" t="inlineStr">
        <is>
          <t>10,00,000</t>
        </is>
      </c>
      <c r="F1618" t="inlineStr">
        <is>
          <t>Repair of Class room with Chat in Govt. Pre. School Newaj GP Newaj</t>
        </is>
      </c>
      <c r="G1618" t="inlineStr">
        <is>
          <t>GP Newaj</t>
        </is>
      </c>
    </row>
    <row r="1619">
      <c r="A1619" s="1" t="n">
        <v>1617</v>
      </c>
      <c r="B1619">
        <f>HYPERLINK("https://eproc.rajasthan.gov.in/nicgep/app?component=%24DirectLink&amp;page=FrontEndViewTender&amp;service=direct&amp;session=T&amp;sp=So9qWnWFs888RFLgegeNq%2Fg%3D%3D", "Construction of 2 Class Room in Govt. Sr. Pre. School Balvi GP Khatikamdi")</f>
        <v/>
      </c>
      <c r="C1619" t="inlineStr">
        <is>
          <t>Panchayati Raj Department||Secretary and Commissioner||CEO-UDAIPUR||BDO-SALUMBAR</t>
        </is>
      </c>
      <c r="D1619" t="inlineStr">
        <is>
          <t>23-May-2025 06:00 PM</t>
        </is>
      </c>
      <c r="E1619" t="inlineStr">
        <is>
          <t>20,00,000</t>
        </is>
      </c>
      <c r="F1619" t="inlineStr">
        <is>
          <t>Construction of 2 Class Room in Govt. Sr. Pre. School Balvi GP Khatikamdi</t>
        </is>
      </c>
      <c r="G1619" t="inlineStr">
        <is>
          <t>GP Khatikamdi</t>
        </is>
      </c>
    </row>
    <row r="1620">
      <c r="A1620" s="1" t="n">
        <v>1618</v>
      </c>
      <c r="B1620">
        <f>HYPERLINK("https://eproc.rajasthan.gov.in/nicgep/app?component=%24DirectLink&amp;page=FrontEndViewTender&amp;service=direct&amp;session=T&amp;sp=ShE3fj19EPJv1POn3zjNyWQ%3D%3D", "nala nirman karya shamshan milakpur se dhaturiya ki or gram milakpur")</f>
        <v/>
      </c>
      <c r="C1620" t="inlineStr">
        <is>
          <t>Panchayati Raj Department||Secretary and Commissioner||CEO-ALWAR||BDO-RAMGARH</t>
        </is>
      </c>
      <c r="D1620" t="inlineStr">
        <is>
          <t>21-May-2025 06:00 PM</t>
        </is>
      </c>
      <c r="E1620" t="inlineStr">
        <is>
          <t>10,00,000</t>
        </is>
      </c>
      <c r="F1620" t="inlineStr">
        <is>
          <t>nala nirman karya shamshan milakpur se dhaturiya ki or gram milakpur</t>
        </is>
      </c>
      <c r="G1620" t="inlineStr">
        <is>
          <t>gp milakpur</t>
        </is>
      </c>
    </row>
    <row r="1621">
      <c r="A1621" s="1" t="n">
        <v>1619</v>
      </c>
      <c r="B1621">
        <f>HYPERLINK("https://eproc.rajasthan.gov.in/nicgep/app?component=%24DirectLink&amp;page=FrontEndViewTender&amp;service=direct&amp;session=T&amp;sp=SabFUsH9mtWBnwG0d%2Fd5Itg%3D%3D", "Work including garbage collection and separation from homes and commercial establishments, road and drain cleaning and community sanitation complex cleaning in all the villages of Gram Panchayat Kasbadahra")</f>
        <v/>
      </c>
      <c r="C1621" t="inlineStr">
        <is>
          <t>Panchayati Raj Department||Secretary and Commissioner||CEO-ALWAR||BDO-UMRAIN</t>
        </is>
      </c>
      <c r="D1621" t="inlineStr">
        <is>
          <t>27-May-2025 06:00 PM</t>
        </is>
      </c>
      <c r="E1621" t="inlineStr">
        <is>
          <t>25,00,000</t>
        </is>
      </c>
      <c r="F1621" t="inlineStr">
        <is>
          <t>Work including garbage collection and separation from homes and commercial establishments, road and drain cleaning and community sanitation complex cleaning in all the villages of Gram Panchayat Kasbadahra</t>
        </is>
      </c>
      <c r="G1621" t="inlineStr">
        <is>
          <t>GP KASBADAHRA</t>
        </is>
      </c>
    </row>
    <row r="1622">
      <c r="A1622" s="1" t="n">
        <v>1620</v>
      </c>
      <c r="B1622">
        <f>HYPERLINK("https://eproc.rajasthan.gov.in/nicgep/app?component=%24DirectLink&amp;page=FrontEndViewTender&amp;service=direct&amp;session=T&amp;sp=S4zb3pYOTb9TKHkJ8YxmG6w%3D%3D", "gram jadoli me sc mohalle se shiv mandir ki or nala nirman karya")</f>
        <v/>
      </c>
      <c r="C1622" t="inlineStr">
        <is>
          <t>Panchayati Raj Department||Secretary and Commissioner||CEO-ALWAR||BDO-RAMGARH</t>
        </is>
      </c>
      <c r="D1622" t="inlineStr">
        <is>
          <t>21-May-2025 06:00 PM</t>
        </is>
      </c>
      <c r="E1622" t="inlineStr">
        <is>
          <t>8,00,000</t>
        </is>
      </c>
      <c r="F1622" t="inlineStr">
        <is>
          <t>gram jadoli me sc mohalle se shiv mandir ki or nala nirman karya</t>
        </is>
      </c>
      <c r="G1622" t="inlineStr">
        <is>
          <t>gp milakpur</t>
        </is>
      </c>
    </row>
    <row r="1623">
      <c r="A1623" s="1" t="n">
        <v>1621</v>
      </c>
      <c r="B1623">
        <f>HYPERLINK("https://eproc.rajasthan.gov.in/nicgep/app?component=%24DirectLink&amp;page=FrontEndViewTender&amp;service=direct&amp;session=T&amp;sp=Si3Ep5bdoJcpK03cbLJMzIw%3D%3D", "MATERIAL SUPPLY IN GRAM PANCHAYAT KACHOLIYA OF PANCHAYAT SAMITI BASSI")</f>
        <v/>
      </c>
      <c r="C1623" t="inlineStr">
        <is>
          <t>Panchayati Raj Department||Secretary and Commissioner||CEO- JAIPUR||BDO-BASSI</t>
        </is>
      </c>
      <c r="D1623" t="inlineStr">
        <is>
          <t>26-May-2025 02:00 PM</t>
        </is>
      </c>
      <c r="E1623" t="inlineStr">
        <is>
          <t>60,00,000</t>
        </is>
      </c>
      <c r="F1623" t="inlineStr">
        <is>
          <t>MATERIAL SUPPLY IN GRAM PANCHAYAT KACHOLIYA OF PANCHAYAT SAMITI BASSI</t>
        </is>
      </c>
      <c r="G1623" t="inlineStr">
        <is>
          <t>PANCHAYAT SAMITI BASSI</t>
        </is>
      </c>
    </row>
    <row r="1624">
      <c r="A1624" s="1" t="n">
        <v>1622</v>
      </c>
      <c r="B1624">
        <f>HYPERLINK("https://eproc.rajasthan.gov.in/nicgep/app?component=%24DirectLink&amp;page=FrontEndViewTender&amp;service=direct&amp;session=T&amp;sp=SlgqG34oFYSCs7n%2FxuGpufQ%3D%3D", "MATERIAL SUPPLY IN GRAM PANCHAYAT VIJAY MUKUNDPURA OF PANCHAYAT SAMITI BASSI")</f>
        <v/>
      </c>
      <c r="C1624" t="inlineStr">
        <is>
          <t>Panchayati Raj Department||Secretary and Commissioner||CEO- JAIPUR||BDO-BASSI</t>
        </is>
      </c>
      <c r="D1624" t="inlineStr">
        <is>
          <t>26-May-2025 02:00 PM</t>
        </is>
      </c>
      <c r="E1624" t="inlineStr">
        <is>
          <t>50,00,000</t>
        </is>
      </c>
      <c r="F1624" t="inlineStr">
        <is>
          <t>MATERIAL SUPPLY IN GRAM PANCHAYAT VIJAY MUKUNDPURA OF PANCHAYAT SAMITI BASSI</t>
        </is>
      </c>
      <c r="G1624" t="inlineStr">
        <is>
          <t>PANCHAYAT SAMITI BASSI</t>
        </is>
      </c>
    </row>
    <row r="1625">
      <c r="A1625" s="1" t="n">
        <v>1623</v>
      </c>
      <c r="B1625">
        <f>HYPERLINK("https://eproc.rajasthan.gov.in/nicgep/app?component=%24DirectLink&amp;page=FrontEndViewTender&amp;service=direct&amp;session=T&amp;sp=SOgqdX1B%2FcGv%2Fe%2FIRqeQrvA%3D%3D", "MATERIAL SUPPLY IN GRAM PANCHAYAT TAHATARA OF PANCHAYAT SAMITI BASSI")</f>
        <v/>
      </c>
      <c r="C1625" t="inlineStr">
        <is>
          <t>Panchayati Raj Department||Secretary and Commissioner||CEO- JAIPUR||BDO-BASSI</t>
        </is>
      </c>
      <c r="D1625" t="inlineStr">
        <is>
          <t>26-May-2025 02:00 PM</t>
        </is>
      </c>
      <c r="E1625" t="inlineStr">
        <is>
          <t>1,00,00,000</t>
        </is>
      </c>
      <c r="F1625" t="inlineStr">
        <is>
          <t>MATERIAL SUPPLY IN GRAM PANCHAYAT TAHATARA OF PANCHAYAT SAMITI BASSI</t>
        </is>
      </c>
      <c r="G1625" t="inlineStr">
        <is>
          <t>PANCHAYAT SAMITI BASSI</t>
        </is>
      </c>
    </row>
    <row r="1626">
      <c r="A1626" s="1" t="n">
        <v>1624</v>
      </c>
      <c r="B1626">
        <f>HYPERLINK("https://eproc.rajasthan.gov.in/nicgep/app?component=%24DirectLink&amp;page=FrontEndViewTender&amp;service=direct&amp;session=T&amp;sp=SZpHvDDyOxD5LtmGS35RuEg%3D%3D", "MATERIAL SUPPLY IN GRAM PANCHAYAT RAMSER PALAWALA OF PANCHAYAT SAMITI BASSI")</f>
        <v/>
      </c>
      <c r="C1626" t="inlineStr">
        <is>
          <t>Panchayati Raj Department||Secretary and Commissioner||CEO- JAIPUR||BDO-BASSI</t>
        </is>
      </c>
      <c r="D1626" t="inlineStr">
        <is>
          <t>26-May-2025 02:00 PM</t>
        </is>
      </c>
      <c r="E1626" t="inlineStr">
        <is>
          <t>80,00,000</t>
        </is>
      </c>
      <c r="F1626" t="inlineStr">
        <is>
          <t>MATERIAL SUPPLY IN GRAM PANCHAYAT RAMSER PALAWALA OF PANCHAYAT SAMITI BASSI</t>
        </is>
      </c>
      <c r="G1626" t="inlineStr">
        <is>
          <t>PANCHAYAT SAMITI BASSI</t>
        </is>
      </c>
    </row>
    <row r="1627">
      <c r="A1627" s="1" t="n">
        <v>1625</v>
      </c>
      <c r="B1627">
        <f>HYPERLINK("https://eproc.rajasthan.gov.in/nicgep/app?component=%24DirectLink&amp;page=FrontEndViewTender&amp;service=direct&amp;session=T&amp;sp=S%2BaEydcIn%2FJNAVnqEn3DAxw%3D%3D", "MATERIAL SUPPLY IN GRAM PANCHAYAT RAMRATNPURA OF PANCHAYAT SAMITI BASSI")</f>
        <v/>
      </c>
      <c r="C1627" t="inlineStr">
        <is>
          <t>Panchayati Raj Department||Secretary and Commissioner||CEO- JAIPUR||BDO-BASSI</t>
        </is>
      </c>
      <c r="D1627" t="inlineStr">
        <is>
          <t>26-May-2025 02:00 PM</t>
        </is>
      </c>
      <c r="E1627" t="inlineStr">
        <is>
          <t>35,00,000</t>
        </is>
      </c>
      <c r="F1627" t="inlineStr">
        <is>
          <t>MATERIAL SUPPLY IN GRAM PANCHAYAT RAMRATNPURA OF PANCHAYAT SAMITI BASSI</t>
        </is>
      </c>
      <c r="G1627" t="inlineStr">
        <is>
          <t>PANCHAYAT SAMITI BASSI</t>
        </is>
      </c>
    </row>
    <row r="1628">
      <c r="A1628" s="1" t="n">
        <v>1626</v>
      </c>
      <c r="B1628">
        <f>HYPERLINK("https://eproc.rajasthan.gov.in/nicgep/app?component=%24DirectLink&amp;page=FrontEndViewTender&amp;service=direct&amp;session=T&amp;sp=S9NolN6ZXvf78LUU5PBaXJQ%3D%3D", "MATERIAL SUPPLY IN GRAM PANCHAYAT SINDOLI OF PANCHAYAT SAMITI BASSI")</f>
        <v/>
      </c>
      <c r="C1628" t="inlineStr">
        <is>
          <t>Panchayati Raj Department||Secretary and Commissioner||CEO- JAIPUR||BDO-BASSI</t>
        </is>
      </c>
      <c r="D1628" t="inlineStr">
        <is>
          <t>26-May-2025 02:00 PM</t>
        </is>
      </c>
      <c r="E1628" t="inlineStr">
        <is>
          <t>70,00,000</t>
        </is>
      </c>
      <c r="F1628" t="inlineStr">
        <is>
          <t>MATERIAL SUPPLY IN GRAM PANCHAYAT SINDOLI OF PANCHAYAT SAMITI BASSI</t>
        </is>
      </c>
      <c r="G1628" t="inlineStr">
        <is>
          <t>PANCHAYAT SAMITI BASSI</t>
        </is>
      </c>
    </row>
    <row r="1629">
      <c r="A1629" s="1" t="n">
        <v>1627</v>
      </c>
      <c r="B1629">
        <f>HYPERLINK("https://eproc.rajasthan.gov.in/nicgep/app?component=%24DirectLink&amp;page=FrontEndViewTender&amp;service=direct&amp;session=T&amp;sp=S%2BvpZ87OmQGc4u0abjfo5Iw%3D%3D", "MATERIAL SUPPLY IN GRAM PANCHAYAT TOODA BHATA OF PANCHAYAT SAMITI BASSI")</f>
        <v/>
      </c>
      <c r="C1629" t="inlineStr">
        <is>
          <t>Panchayati Raj Department||Secretary and Commissioner||CEO- JAIPUR||BDO-BASSI</t>
        </is>
      </c>
      <c r="D1629" t="inlineStr">
        <is>
          <t>26-May-2025 02:00 PM</t>
        </is>
      </c>
      <c r="E1629" t="inlineStr">
        <is>
          <t>80,00,000</t>
        </is>
      </c>
      <c r="F1629" t="inlineStr">
        <is>
          <t>MATERIAL SUPPLY IN GRAM PANCHAYAT TOODA BHATA OF PANCHAYAT SAMITI BASSI</t>
        </is>
      </c>
      <c r="G1629" t="inlineStr">
        <is>
          <t>PANCHAYAT SAMITI BASSI</t>
        </is>
      </c>
    </row>
    <row r="1630">
      <c r="A1630" s="1" t="n">
        <v>1628</v>
      </c>
      <c r="B1630">
        <f>HYPERLINK("https://eproc.rajasthan.gov.in/nicgep/app?component=%24DirectLink&amp;page=FrontEndViewTender&amp;service=direct&amp;session=T&amp;sp=Ska3qwZzHDGK66Ml1UBwyaA%3D%3D", "MATERIAL SUPPLY IN GRAM PANCHAYAT PHALYAWAS OF PANCHAYAT SAMITI BASSI")</f>
        <v/>
      </c>
      <c r="C1630" t="inlineStr">
        <is>
          <t>Panchayati Raj Department||Secretary and Commissioner||CEO- JAIPUR||BDO-BASSI</t>
        </is>
      </c>
      <c r="D1630" t="inlineStr">
        <is>
          <t>26-May-2025 02:00 PM</t>
        </is>
      </c>
      <c r="E1630" t="inlineStr">
        <is>
          <t>60,00,000</t>
        </is>
      </c>
      <c r="F1630" t="inlineStr">
        <is>
          <t>MATERIAL SUPPLY IN GRAM PANCHAYAT PHALYAWAS OF PANCHAYAT SAMITI BASSI</t>
        </is>
      </c>
      <c r="G1630" t="inlineStr">
        <is>
          <t>PANCHAYAT SAMITI BASSI</t>
        </is>
      </c>
    </row>
    <row r="1631">
      <c r="A1631" s="1" t="n">
        <v>1629</v>
      </c>
      <c r="B1631">
        <f>HYPERLINK("https://eproc.rajasthan.gov.in/nicgep/app?component=%24DirectLink&amp;page=FrontEndViewTender&amp;service=direct&amp;session=T&amp;sp=SQftQc693t1GTX9NAw%2Fre4g%3D%3D", "MATERIAL SUPPLY IN GRAM PANCHAYAT MOHANPURA OF PANCHAYAT SAMITI BASSI")</f>
        <v/>
      </c>
      <c r="C1631" t="inlineStr">
        <is>
          <t>Panchayati Raj Department||Secretary and Commissioner||CEO- JAIPUR||BDO-BASSI</t>
        </is>
      </c>
      <c r="D1631" t="inlineStr">
        <is>
          <t>26-May-2025 02:00 PM</t>
        </is>
      </c>
      <c r="E1631" t="inlineStr">
        <is>
          <t>55,00,000</t>
        </is>
      </c>
      <c r="F1631" t="inlineStr">
        <is>
          <t>MATERIAL SUPPLY IN GRAM PANCHAYAT MOHANPURA OF PANCHAYAT SAMITI BASSI</t>
        </is>
      </c>
      <c r="G1631" t="inlineStr">
        <is>
          <t>PANCHAYAT SAMITI BASSI</t>
        </is>
      </c>
    </row>
    <row r="1632">
      <c r="A1632" s="1" t="n">
        <v>1630</v>
      </c>
      <c r="B1632">
        <f>HYPERLINK("https://eproc.rajasthan.gov.in/nicgep/app?component=%24DirectLink&amp;page=FrontEndViewTender&amp;service=direct&amp;session=T&amp;sp=SYaQXxkVtqk%2FdzDRvFsySAg%3D%3D", "MATERIAL SUPPLY IN GRAM PANCHAYAT MANSER KHERI OF PANCHAYAT SAMITI BASSI")</f>
        <v/>
      </c>
      <c r="C1632" t="inlineStr">
        <is>
          <t>Panchayati Raj Department||Secretary and Commissioner||CEO- JAIPUR||BDO-BASSI</t>
        </is>
      </c>
      <c r="D1632" t="inlineStr">
        <is>
          <t>26-May-2025 02:00 PM</t>
        </is>
      </c>
      <c r="E1632" t="inlineStr">
        <is>
          <t>45,00,000</t>
        </is>
      </c>
      <c r="F1632" t="inlineStr">
        <is>
          <t>MATERIAL SUPPLY IN GRAM PANCHAYAT MANSER KHERI OF PANCHAYAT SAMITI BASSI</t>
        </is>
      </c>
      <c r="G1632" t="inlineStr">
        <is>
          <t>PANCHAYAT SAMITI BASSI</t>
        </is>
      </c>
    </row>
    <row r="1633">
      <c r="A1633" s="1" t="n">
        <v>1631</v>
      </c>
      <c r="B1633">
        <f>HYPERLINK("https://eproc.rajasthan.gov.in/nicgep/app?component=%24DirectLink&amp;page=FrontEndViewTender&amp;service=direct&amp;session=T&amp;sp=SDrz8zl4ay0rfyCpmGq9pTQ%3D%3D", "MATERIAL SUPPLY IN GRAM PANCHAYAT MANGRAH KHOKHAWALA OF PANCHAYAT SAMITI BASSI")</f>
        <v/>
      </c>
      <c r="C1633" t="inlineStr">
        <is>
          <t>Panchayati Raj Department||Secretary and Commissioner||CEO- JAIPUR||BDO-BASSI</t>
        </is>
      </c>
      <c r="D1633" t="inlineStr">
        <is>
          <t>26-May-2025 02:00 PM</t>
        </is>
      </c>
      <c r="E1633" t="inlineStr">
        <is>
          <t>50,00,000</t>
        </is>
      </c>
      <c r="F1633" t="inlineStr">
        <is>
          <t>MATERIAL SUPPLY IN GRAM PANCHAYAT MANGRAH KHOKHAWALA OF PANCHAYAT SAMITI BASSI</t>
        </is>
      </c>
      <c r="G1633" t="inlineStr">
        <is>
          <t>PANCHAYAT SAMITI BASSI</t>
        </is>
      </c>
    </row>
    <row r="1634">
      <c r="A1634" s="1" t="n">
        <v>1632</v>
      </c>
      <c r="B1634">
        <f>HYPERLINK("https://eproc.rajasthan.gov.in/nicgep/app?component=%24DirectLink&amp;page=FrontEndViewTender&amp;service=direct&amp;session=T&amp;sp=SfZg1tG982RyW60zapM6foA%3D%3D", "MATERIAL SUPPLY IN GRAM PANCHAYAT MNOHARPURA OF PANCHAYAT SAMITI BASSI")</f>
        <v/>
      </c>
      <c r="C1634" t="inlineStr">
        <is>
          <t>Panchayati Raj Department||Secretary and Commissioner||CEO- JAIPUR||BDO-BASSI</t>
        </is>
      </c>
      <c r="D1634" t="inlineStr">
        <is>
          <t>26-May-2025 02:00 PM</t>
        </is>
      </c>
      <c r="E1634" t="inlineStr">
        <is>
          <t>60,00,000</t>
        </is>
      </c>
      <c r="F1634" t="inlineStr">
        <is>
          <t>MATERIAL SUPPLY IN GRAM PANCHAYAT MNOHARPURA OF PANCHAYAT SAMITI BASSI</t>
        </is>
      </c>
      <c r="G1634" t="inlineStr">
        <is>
          <t>PANCHAYAT SAMITI BASSI</t>
        </is>
      </c>
    </row>
    <row r="1635">
      <c r="A1635" s="1" t="n">
        <v>1633</v>
      </c>
      <c r="B1635">
        <f>HYPERLINK("https://eproc.rajasthan.gov.in/nicgep/app?component=%24DirectLink&amp;page=FrontEndViewTender&amp;service=direct&amp;session=T&amp;sp=S3KeuF9hXzPZOnlqB07nEAg%3D%3D", "MATERIAL SUPPLY IN GRAM PANCHAYAT KUTHARA KHURD OF PANCHAYAT SAMITI BASSI")</f>
        <v/>
      </c>
      <c r="C1635" t="inlineStr">
        <is>
          <t>Panchayati Raj Department||Secretary and Commissioner||CEO- JAIPUR||BDO-BASSI</t>
        </is>
      </c>
      <c r="D1635" t="inlineStr">
        <is>
          <t>26-May-2025 02:00 PM</t>
        </is>
      </c>
      <c r="E1635" t="inlineStr">
        <is>
          <t>50,00,000</t>
        </is>
      </c>
      <c r="F1635" t="inlineStr">
        <is>
          <t>MATERIAL SUPPLY IN GRAM PANCHAYAT KUTHARA KHURD OF PANCHAYAT SAMITI BASSI</t>
        </is>
      </c>
      <c r="G1635" t="inlineStr">
        <is>
          <t>PANCHAYAT SAMITI BASSI</t>
        </is>
      </c>
    </row>
    <row r="1636">
      <c r="A1636" s="1" t="n">
        <v>1634</v>
      </c>
      <c r="B1636">
        <f>HYPERLINK("https://eproc.rajasthan.gov.in/nicgep/app?component=%24DirectLink&amp;page=FrontEndViewTender&amp;service=direct&amp;session=T&amp;sp=SmldDJQuQfyzFri2bhGJEpQ%3D%3D", "MATERIAL SUPPLY IN GRAM PANCHAYAT LALGRAH OF PANCHAYAT SAMITI BASSI")</f>
        <v/>
      </c>
      <c r="C1636" t="inlineStr">
        <is>
          <t>Panchayati Raj Department||Secretary and Commissioner||CEO- JAIPUR||BDO-BASSI</t>
        </is>
      </c>
      <c r="D1636" t="inlineStr">
        <is>
          <t>26-May-2025 02:00 PM</t>
        </is>
      </c>
      <c r="E1636" t="inlineStr">
        <is>
          <t>60,00,000</t>
        </is>
      </c>
      <c r="F1636" t="inlineStr">
        <is>
          <t>MATERIAL SUPPLY IN GRAM PANCHAYAT LALGRAH OF PANCHAYAT SAMITI BASSI</t>
        </is>
      </c>
      <c r="G1636" t="inlineStr">
        <is>
          <t>PANCHAYAT SAMITI BASSI</t>
        </is>
      </c>
    </row>
    <row r="1637">
      <c r="A1637" s="1" t="n">
        <v>1635</v>
      </c>
      <c r="B1637">
        <f>HYPERLINK("https://eproc.rajasthan.gov.in/nicgep/app?component=%24DirectLink&amp;page=FrontEndViewTender&amp;service=direct&amp;session=T&amp;sp=SSEksJRRWCRhxYiSxK7kzMw%3D%3D", "CC Sadak mae chamber nirman kaary Ramdev Kagat Ke ghar Se Jassha Ram Kagat Ke ghar ki traf Ramgad")</f>
        <v/>
      </c>
      <c r="C1637" t="inlineStr">
        <is>
          <t>Panchayati Raj Department||Secretary and Commissioner||CEO-NAGORE||BDO-DEGANA</t>
        </is>
      </c>
      <c r="D1637" t="inlineStr">
        <is>
          <t>20-May-2025 06:00 PM</t>
        </is>
      </c>
      <c r="E1637" t="inlineStr">
        <is>
          <t>7,60,000</t>
        </is>
      </c>
      <c r="F1637" t="inlineStr">
        <is>
          <t>CC Sadak mae chamber nirman kaary Ramdev Kagat Ke ghar Se Jassha Ram Kagat Ke ghar ki traf Ramgad</t>
        </is>
      </c>
      <c r="G1637" t="inlineStr">
        <is>
          <t>PS Degana</t>
        </is>
      </c>
    </row>
    <row r="1638">
      <c r="A1638" s="1" t="n">
        <v>1636</v>
      </c>
      <c r="B1638">
        <f>HYPERLINK("https://eproc.rajasthan.gov.in/nicgep/app?component=%24DirectLink&amp;page=FrontEndViewTender&amp;service=direct&amp;session=T&amp;sp=SGJ54hOKlUaUN3%2FOhJH2pRg%3D%3D", "Construction of Community Open Baramda Work Radha Krishn Temple ke pass Surkhand Kheda G P Surkhand Kheda PS Semari under DMFT Fund")</f>
        <v/>
      </c>
      <c r="C1638" t="inlineStr">
        <is>
          <t>Panchayati Raj Department||Secretary and Commissioner||CEO-UDAIPUR||BDO-SEMARI</t>
        </is>
      </c>
      <c r="D1638" t="inlineStr">
        <is>
          <t>21-May-2025 06:00 PM</t>
        </is>
      </c>
      <c r="E1638" t="inlineStr">
        <is>
          <t>8,00,000</t>
        </is>
      </c>
      <c r="F1638" t="inlineStr">
        <is>
          <t>Construction of Community Open Baramda Work Radha Krishn Temple ke pass Surkhand Kheda G P Surkhand Kheda PS Semari under DMFT Fund</t>
        </is>
      </c>
      <c r="G1638" t="inlineStr">
        <is>
          <t>G P Surkhand Kheda</t>
        </is>
      </c>
    </row>
    <row r="1639">
      <c r="A1639" s="1" t="n">
        <v>1637</v>
      </c>
      <c r="B1639">
        <f>HYPERLINK("https://eproc.rajasthan.gov.in/nicgep/app?component=%24DirectLink&amp;page=FrontEndViewTender&amp;service=direct&amp;session=T&amp;sp=SLALCsPT5SInGGqyRGVQKRQ%3D%3D", "GHAR GHAR KACHRA SANGRAHAN V SAF SAFAI KARYA SAMSTA GRAM PANCHAYAT KSHETRA ME CHIMANPURA")</f>
        <v/>
      </c>
      <c r="C1639" t="inlineStr">
        <is>
          <t>Panchayati Raj Department||Secretary and Commissioner||CEO- JAIPUR||BDO-KOTPUTALI</t>
        </is>
      </c>
      <c r="D1639" t="inlineStr">
        <is>
          <t>23-May-2025 11:00 AM</t>
        </is>
      </c>
      <c r="E1639" t="inlineStr">
        <is>
          <t>10,45,000</t>
        </is>
      </c>
      <c r="F1639" t="inlineStr">
        <is>
          <t>GHAR GHAR KACHRA SANGRAHAN V SAF SAFAI KARYA SAMSTA GRAM PANCHAYAT KSHETRA ME CHIMANPURA</t>
        </is>
      </c>
      <c r="G1639" t="inlineStr">
        <is>
          <t>CHIMANPURA</t>
        </is>
      </c>
    </row>
    <row r="1640">
      <c r="A1640" s="1" t="n">
        <v>1638</v>
      </c>
      <c r="B1640">
        <f>HYPERLINK("https://eproc.rajasthan.gov.in/nicgep/app?component=%24DirectLink&amp;page=FrontEndViewTender&amp;service=direct&amp;session=T&amp;sp=SYRbf0CoDLzcqWl6k0FZkiA%3D%3D", "ILK NIRMAN KARY DAKIRAM BABA KE MANDIR SE RA U MA VI KI OR GRAM V GRAM PANCHAYAT JEELO")</f>
        <v/>
      </c>
      <c r="C1640" t="inlineStr">
        <is>
          <t>Panchayati Raj Department||Secretary and Commissioner||CEO-SIKAR||BDO-PATAN</t>
        </is>
      </c>
      <c r="D1640" t="inlineStr">
        <is>
          <t>19-May-2025 06:00 PM</t>
        </is>
      </c>
      <c r="E1640" t="inlineStr">
        <is>
          <t>7,00,000</t>
        </is>
      </c>
      <c r="F1640" t="inlineStr">
        <is>
          <t>ILK NIRMAN KARY DAKIRAM BABA KE MANDIR SE RA U MA VI KI OR GRAM V GRAM PANCHAYAT JEELO</t>
        </is>
      </c>
      <c r="G1640" t="inlineStr">
        <is>
          <t>gp jeelo</t>
        </is>
      </c>
    </row>
    <row r="1641">
      <c r="A1641" s="1" t="n">
        <v>1639</v>
      </c>
      <c r="B1641">
        <f>HYPERLINK("https://eproc.rajasthan.gov.in/nicgep/app?component=%24DirectLink&amp;page=FrontEndViewTender&amp;service=direct&amp;session=T&amp;sp=SStKgk02x1ARTVIgNBEWcZw%3D%3D", "ghar ghar kchara sangran etc IN GP GOPALPURA")</f>
        <v/>
      </c>
      <c r="C1641" t="inlineStr">
        <is>
          <t>Panchayati Raj Department||Secretary and Commissioner||CEO-CHURU||BDO-SUJANGARH</t>
        </is>
      </c>
      <c r="D1641" t="inlineStr">
        <is>
          <t>20-May-2025 06:00 PM</t>
        </is>
      </c>
      <c r="E1641" t="inlineStr">
        <is>
          <t>9,99,000</t>
        </is>
      </c>
      <c r="F1641" t="inlineStr">
        <is>
          <t>ghar ghar kchara sangran etc IN GP GOPALPURA</t>
        </is>
      </c>
      <c r="G1641" t="inlineStr">
        <is>
          <t>GP GOPALPURA</t>
        </is>
      </c>
    </row>
    <row r="1642">
      <c r="A1642" s="1" t="n">
        <v>1640</v>
      </c>
      <c r="B1642">
        <f>HYPERLINK("https://eproc.rajasthan.gov.in/nicgep/app?component=%24DirectLink&amp;page=FrontEndViewTender&amp;service=direct&amp;session=T&amp;sp=SFJ7XPzqWKaMZaIS2ZAIZYQ%3D%3D", "GHAR GHAR KACHRA SANGRAHAN V SAF SAFAI KARYA SAMSTA GRAM PANCHAYAT KSHETRA ME BANETHI")</f>
        <v/>
      </c>
      <c r="C1642" t="inlineStr">
        <is>
          <t>Panchayati Raj Department||Secretary and Commissioner||CEO- JAIPUR||BDO-KOTPUTALI</t>
        </is>
      </c>
      <c r="D1642" t="inlineStr">
        <is>
          <t>23-May-2025 11:00 AM</t>
        </is>
      </c>
      <c r="E1642" t="inlineStr">
        <is>
          <t>12,54,000</t>
        </is>
      </c>
      <c r="F1642" t="inlineStr">
        <is>
          <t>GHAR GHAR KACHRA SANGRAHAN V SAF SAFAI KARYA SAMSTA GRAM PANCHAYAT KSHETRA ME BANETHI</t>
        </is>
      </c>
      <c r="G1642" t="inlineStr">
        <is>
          <t>BANETHI</t>
        </is>
      </c>
    </row>
    <row r="1643">
      <c r="A1643" s="1" t="n">
        <v>1641</v>
      </c>
      <c r="B1643">
        <f>HYPERLINK("https://eproc.rajasthan.gov.in/nicgep/app?component=%24DirectLink&amp;page=FrontEndViewTender&amp;service=direct&amp;session=T&amp;sp=S%2BTc78kJ2c3WWYj5vgk5cUA%3D%3D", "GHAR GHAR KACHRA SANGRAHAN V SAF SAFAI KARYA SAMSTA GRAM PANCHAYAT KSHETRA ME BANAR")</f>
        <v/>
      </c>
      <c r="C1643" t="inlineStr">
        <is>
          <t>Panchayati Raj Department||Secretary and Commissioner||CEO- JAIPUR||BDO-KOTPUTALI</t>
        </is>
      </c>
      <c r="D1643" t="inlineStr">
        <is>
          <t>23-May-2025 11:00 AM</t>
        </is>
      </c>
      <c r="E1643" t="inlineStr">
        <is>
          <t>8,28,000</t>
        </is>
      </c>
      <c r="F1643" t="inlineStr">
        <is>
          <t>GHAR GHAR KACHRA SANGRAHAN V SAF SAFAI KARYA SAMSTA GRAM PANCHAYAT KSHETRA ME BANAR</t>
        </is>
      </c>
      <c r="G1643" t="inlineStr">
        <is>
          <t>BANAR</t>
        </is>
      </c>
    </row>
    <row r="1644">
      <c r="A1644" s="1" t="n">
        <v>1642</v>
      </c>
      <c r="B1644">
        <f>HYPERLINK("https://eproc.rajasthan.gov.in/nicgep/app?component=%24DirectLink&amp;page=FrontEndViewTender&amp;service=direct&amp;session=T&amp;sp=SGVZn6yxfkIbk44ljKqoeaA%3D%3D", "rajkiy uchh madhymik vidhyalay dhelai me 02 kaksa kaksh nirman")</f>
        <v/>
      </c>
      <c r="C1644" t="inlineStr">
        <is>
          <t>Panchayati Raj Department||Secretary and Commissioner||CEO-UDAIPUR||BDO-SARADA</t>
        </is>
      </c>
      <c r="D1644" t="inlineStr">
        <is>
          <t>26-May-2025 06:00 PM</t>
        </is>
      </c>
      <c r="E1644" t="inlineStr">
        <is>
          <t>23,17,000</t>
        </is>
      </c>
      <c r="F1644" t="inlineStr">
        <is>
          <t>dmft</t>
        </is>
      </c>
      <c r="G1644" t="inlineStr">
        <is>
          <t>dhelai</t>
        </is>
      </c>
    </row>
    <row r="1645">
      <c r="A1645" s="1" t="n">
        <v>1643</v>
      </c>
      <c r="B1645">
        <f>HYPERLINK("https://eproc.rajasthan.gov.in/nicgep/app?component=%24DirectLink&amp;page=FrontEndViewTender&amp;service=direct&amp;session=T&amp;sp=Sl5JYgEjA6pcm08KAVbSaRw%3D%3D", "CC Sadak mae Nala Nirman Kaary Ramniwas Kasnwa Ke Ghar se Gram Panchayat Ki traf Gonarda")</f>
        <v/>
      </c>
      <c r="C1645" t="inlineStr">
        <is>
          <t>Panchayati Raj Department||Secretary and Commissioner||CEO-NAGORE||BDO-DEGANA</t>
        </is>
      </c>
      <c r="D1645" t="inlineStr">
        <is>
          <t>20-May-2025 06:00 PM</t>
        </is>
      </c>
      <c r="E1645" t="inlineStr">
        <is>
          <t>10,00,000</t>
        </is>
      </c>
      <c r="F1645" t="inlineStr">
        <is>
          <t>CC Sadak mae Nala Nirman Kaary Ramniwas Kasnwa Ke Ghar se Gram Panchayat Ki traf Gonarda</t>
        </is>
      </c>
      <c r="G1645" t="inlineStr">
        <is>
          <t>PS Degana</t>
        </is>
      </c>
    </row>
    <row r="1646">
      <c r="A1646" s="1" t="n">
        <v>1644</v>
      </c>
      <c r="B1646">
        <f>HYPERLINK("https://eproc.rajasthan.gov.in/nicgep/app?component=%24DirectLink&amp;page=FrontEndViewTender&amp;service=direct&amp;session=T&amp;sp=SEH1xVelIDW7NKL3W8%2FeAOg%3D%3D", "GHAR GHAR KACHRA SANGRAHAN V SAF SAFAI KARYA SAMSTA GRAM PANCHAYAT KSHETRA ME CHURI")</f>
        <v/>
      </c>
      <c r="C1646" t="inlineStr">
        <is>
          <t>Panchayati Raj Department||Secretary and Commissioner||CEO- JAIPUR||BDO-KOTPUTALI</t>
        </is>
      </c>
      <c r="D1646" t="inlineStr">
        <is>
          <t>23-May-2025 11:00 AM</t>
        </is>
      </c>
      <c r="E1646" t="inlineStr">
        <is>
          <t>7,81,000</t>
        </is>
      </c>
      <c r="F1646" t="inlineStr">
        <is>
          <t>GHAR GHAR KACHRA SANGRAHAN V SAF SAFAI KARYA SAMSTA GRAM PANCHAYAT KSHETRA ME CHURI</t>
        </is>
      </c>
      <c r="G1646" t="inlineStr">
        <is>
          <t>CHURI</t>
        </is>
      </c>
    </row>
    <row r="1647">
      <c r="A1647" s="1" t="n">
        <v>1645</v>
      </c>
      <c r="B1647">
        <f>HYPERLINK("https://eproc.rajasthan.gov.in/nicgep/app?component=%24DirectLink&amp;page=FrontEndViewTender&amp;service=direct&amp;session=T&amp;sp=SW3BsGKuykaW%2BZRUvDD6m6A%3D%3D", "GHAR GHAR KACHRA SANGRAHAN V SAF SAFAI KARYA SAMSTA GRAM PANCHAYAT KSHETRA ME BHALOJI")</f>
        <v/>
      </c>
      <c r="C1647" t="inlineStr">
        <is>
          <t>Panchayati Raj Department||Secretary and Commissioner||CEO- JAIPUR||BDO-KOTPUTALI</t>
        </is>
      </c>
      <c r="D1647" t="inlineStr">
        <is>
          <t>23-May-2025 11:00 AM</t>
        </is>
      </c>
      <c r="E1647" t="inlineStr">
        <is>
          <t>10,34,000</t>
        </is>
      </c>
      <c r="F1647" t="inlineStr">
        <is>
          <t>GHAR GHAR KACHRA SANGRAHAN V SAF SAFAI KARYA SAMSTA GRAM PANCHAYAT KSHETRA ME BHALOJI</t>
        </is>
      </c>
      <c r="G1647" t="inlineStr">
        <is>
          <t>BHALOJI</t>
        </is>
      </c>
    </row>
    <row r="1648">
      <c r="A1648" s="1" t="n">
        <v>1646</v>
      </c>
      <c r="B1648">
        <f>HYPERLINK("https://eproc.rajasthan.gov.in/nicgep/app?component=%24DirectLink&amp;page=FrontEndViewTender&amp;service=direct&amp;session=T&amp;sp=SQj3yABq7C9Zfc1WJ2WCrKA%3D%3D", "GHAR GHAR KACHRA SANGRAHAN V SAF SAFAI KARYA SAMSTA GRAM PANCHAYAT KSHETRA ME BASAI")</f>
        <v/>
      </c>
      <c r="C1648" t="inlineStr">
        <is>
          <t>Panchayati Raj Department||Secretary and Commissioner||CEO- JAIPUR||BDO-KOTPUTALI</t>
        </is>
      </c>
      <c r="D1648" t="inlineStr">
        <is>
          <t>23-May-2025 11:00 AM</t>
        </is>
      </c>
      <c r="E1648" t="inlineStr">
        <is>
          <t>10,56,000</t>
        </is>
      </c>
      <c r="F1648" t="inlineStr">
        <is>
          <t>GHAR GHAR KACHRA SANGRAHAN V SAF SAFAI KARYA SAMSTA GRAM PANCHAYAT KSHETRA ME BASAI</t>
        </is>
      </c>
      <c r="G1648" t="inlineStr">
        <is>
          <t>BASAI</t>
        </is>
      </c>
    </row>
    <row r="1649">
      <c r="A1649" s="1" t="n">
        <v>1647</v>
      </c>
      <c r="B1649">
        <f>HYPERLINK("https://eproc.rajasthan.gov.in/nicgep/app?component=%24DirectLink&amp;page=FrontEndViewTender&amp;service=direct&amp;session=T&amp;sp=S%2F3pCLi3XeDuxCUDfKAVy9Q%3D%3D", "gram panchayat me nirman karyo par samgri ki aapurti vittiy varsh 2025-26")</f>
        <v/>
      </c>
      <c r="C1649" t="inlineStr">
        <is>
          <t>Panchayati Raj Department||Secretary and Commissioner||CEO-ALWAR||BDO-RAMGARH</t>
        </is>
      </c>
      <c r="D1649" t="inlineStr">
        <is>
          <t>23-May-2025 06:00 PM</t>
        </is>
      </c>
      <c r="E1649" t="inlineStr">
        <is>
          <t>30,00,000</t>
        </is>
      </c>
      <c r="F1649" t="inlineStr">
        <is>
          <t>gram panchayat me nirman karyo par samgri ki aapurti vittiy varsh 2025-26</t>
        </is>
      </c>
      <c r="G1649" t="inlineStr">
        <is>
          <t>gp lalawandi</t>
        </is>
      </c>
    </row>
    <row r="1650">
      <c r="A1650" s="1" t="n">
        <v>1648</v>
      </c>
      <c r="B1650">
        <f>HYPERLINK("https://eproc.rajasthan.gov.in/nicgep/app?component=%24DirectLink&amp;page=FrontEndViewTender&amp;service=direct&amp;session=T&amp;sp=SVdA3bvrPicRX2uF%2FQRyAkw%3D%3D", "Work including garbage collection and separation from homes and commercial establishments, road and drain cleaning and community sanitation complex cleaning in all the villages of Gram Panchayat Bakhtpura")</f>
        <v/>
      </c>
      <c r="C1650" t="inlineStr">
        <is>
          <t>Panchayati Raj Department||Secretary and Commissioner||CEO-ALWAR||BDO-UMRAIN</t>
        </is>
      </c>
      <c r="D1650" t="inlineStr">
        <is>
          <t>22-May-2025 06:00 PM</t>
        </is>
      </c>
      <c r="E1650" t="inlineStr">
        <is>
          <t>20,00,000</t>
        </is>
      </c>
      <c r="F1650" t="inlineStr">
        <is>
          <t>Work including garbage collection and separation from homes and commercial establishments, road and drain cleaning and community sanitation complex cleaning in all the villages of Gram Panchayat Bakhtpura</t>
        </is>
      </c>
      <c r="G1650" t="inlineStr">
        <is>
          <t>GP BAKHTPURA</t>
        </is>
      </c>
    </row>
    <row r="1651">
      <c r="A1651" s="1" t="n">
        <v>1649</v>
      </c>
      <c r="B1651">
        <f>HYPERLINK("https://eproc.rajasthan.gov.in/nicgep/app?component=%24DirectLink&amp;page=FrontEndViewTender&amp;service=direct&amp;session=T&amp;sp=SuJFSM3T3RfbbvUzox6Uv6A%3D%3D", "gram panchayat me nirman karyo par samgri ki aapurti vittiy varsh 2025-26")</f>
        <v/>
      </c>
      <c r="C1651" t="inlineStr">
        <is>
          <t>Panchayati Raj Department||Secretary and Commissioner||CEO-ALWAR||BDO-RAMGARH</t>
        </is>
      </c>
      <c r="D1651" t="inlineStr">
        <is>
          <t>23-May-2025 06:00 PM</t>
        </is>
      </c>
      <c r="E1651" t="inlineStr">
        <is>
          <t>30,00,000</t>
        </is>
      </c>
      <c r="F1651" t="inlineStr">
        <is>
          <t>gram panchayat me nirman karyo par samgri ki aapurti vittiy varsh 2025-26</t>
        </is>
      </c>
      <c r="G1651" t="inlineStr">
        <is>
          <t>gp milakpur</t>
        </is>
      </c>
    </row>
    <row r="1652">
      <c r="A1652" s="1" t="n">
        <v>1650</v>
      </c>
      <c r="B1652">
        <f>HYPERLINK("https://eproc.rajasthan.gov.in/nicgep/app?component=%24DirectLink&amp;page=FrontEndViewTender&amp;service=direct&amp;session=T&amp;sp=Sv8BnV56ZrkaizndEQPlN%2Bw%3D%3D", "gram panchayat me nirman karyo par samgri aapurti vittiy varsh 2025-26")</f>
        <v/>
      </c>
      <c r="C1652" t="inlineStr">
        <is>
          <t>Panchayati Raj Department||Secretary and Commissioner||CEO-ALWAR||BDO-RAMGARH</t>
        </is>
      </c>
      <c r="D1652" t="inlineStr">
        <is>
          <t>22-May-2025 06:00 PM</t>
        </is>
      </c>
      <c r="E1652" t="inlineStr">
        <is>
          <t>30,00,000</t>
        </is>
      </c>
      <c r="F1652" t="inlineStr">
        <is>
          <t>gram panchayat me nirman karyo par samgri aapurti vittiy varsh 2025-26</t>
        </is>
      </c>
      <c r="G1652" t="inlineStr">
        <is>
          <t>gp khutenta kalan</t>
        </is>
      </c>
    </row>
    <row r="1653">
      <c r="A1653" s="1" t="n">
        <v>1651</v>
      </c>
      <c r="B1653">
        <f>HYPERLINK("https://eproc.rajasthan.gov.in/nicgep/app?component=%24DirectLink&amp;page=FrontEndViewTender&amp;service=direct&amp;session=T&amp;sp=ShbGiUK1ZQcg5zeTkqm00cg%3D%3D", "GHAR GHAR KACHRA SANGRAHAN V SAF SAFAI KARYA SAMSTA GRAM PANCHAYAT KSHETRA ME BAKHRANA")</f>
        <v/>
      </c>
      <c r="C1653" t="inlineStr">
        <is>
          <t>Panchayati Raj Department||Secretary and Commissioner||CEO- JAIPUR||BDO-KOTPUTALI</t>
        </is>
      </c>
      <c r="D1653" t="inlineStr">
        <is>
          <t>23-May-2025 11:00 AM</t>
        </is>
      </c>
      <c r="E1653" t="inlineStr">
        <is>
          <t>10,56,000</t>
        </is>
      </c>
      <c r="F1653" t="inlineStr">
        <is>
          <t>GHAR GHAR KACHRA SANGRAHAN V SAF SAFAI KARYA SAMSTA GRAM PANCHAYAT KSHETRA ME BAKHRANA</t>
        </is>
      </c>
      <c r="G1653" t="inlineStr">
        <is>
          <t>BAKHARANA</t>
        </is>
      </c>
    </row>
    <row r="1654">
      <c r="A1654" s="1" t="n">
        <v>1652</v>
      </c>
      <c r="B1654">
        <f>HYPERLINK("https://eproc.rajasthan.gov.in/nicgep/app?component=%24DirectLink&amp;page=FrontEndViewTender&amp;service=direct&amp;session=T&amp;sp=S6AQrwsiTCVDPFT8a3H%2BigA%3D%3D", "CC Sadak mae nali nirman kaary Mata ji Mandir se Kesherya Kanvarji Mandir ki Traf Gram Gonarda")</f>
        <v/>
      </c>
      <c r="C1654" t="inlineStr">
        <is>
          <t>Panchayati Raj Department||Secretary and Commissioner||CEO-NAGORE||BDO-DEGANA</t>
        </is>
      </c>
      <c r="D1654" t="inlineStr">
        <is>
          <t>20-May-2025 06:00 PM</t>
        </is>
      </c>
      <c r="E1654" t="inlineStr">
        <is>
          <t>10,00,000</t>
        </is>
      </c>
      <c r="F1654" t="inlineStr">
        <is>
          <t>CC Sadak mae nali nirman kaary Mata ji Mandir se Kesherya Kanvarji Mandir ki Traf Gram Gonarda</t>
        </is>
      </c>
      <c r="G1654" t="inlineStr">
        <is>
          <t>PS Degana</t>
        </is>
      </c>
    </row>
    <row r="1655">
      <c r="A1655" s="1" t="n">
        <v>1653</v>
      </c>
      <c r="B1655">
        <f>HYPERLINK("https://eproc.rajasthan.gov.in/nicgep/app?component=%24DirectLink&amp;page=FrontEndViewTender&amp;service=direct&amp;session=T&amp;sp=S10RV%2FBPuREgJO7NpKVSLig%3D%3D", "cleaning and sanitation work for gp mandali")</f>
        <v/>
      </c>
      <c r="C1655" t="inlineStr">
        <is>
          <t>Panchayati Raj Department||Secretary and Commissioner||CEO-BADMER||BDO-KALYANPUR</t>
        </is>
      </c>
      <c r="D1655" t="inlineStr">
        <is>
          <t>20-May-2025 05:00 PM</t>
        </is>
      </c>
      <c r="E1655" t="inlineStr">
        <is>
          <t>8,60,364</t>
        </is>
      </c>
      <c r="F1655" t="inlineStr">
        <is>
          <t>cleaning and sanitation work</t>
        </is>
      </c>
      <c r="G1655" t="inlineStr">
        <is>
          <t>gp mandli</t>
        </is>
      </c>
    </row>
    <row r="1656">
      <c r="A1656" s="1" t="n">
        <v>1654</v>
      </c>
      <c r="B1656">
        <f>HYPERLINK("https://eproc.rajasthan.gov.in/nicgep/app?component=%24DirectLink&amp;page=FrontEndViewTender&amp;service=direct&amp;session=T&amp;sp=SZbMOIALhFZLspyZz3nG34g%3D%3D", "rajkiy ucch madhymik vidhyalay karma talab me hall nirman kary")</f>
        <v/>
      </c>
      <c r="C1656" t="inlineStr">
        <is>
          <t>Panchayati Raj Department||Secretary and Commissioner||CEO-UDAIPUR||BDO-SARADA</t>
        </is>
      </c>
      <c r="D1656" t="inlineStr">
        <is>
          <t>22-May-2025 06:00 PM</t>
        </is>
      </c>
      <c r="E1656" t="inlineStr">
        <is>
          <t>14,70,000</t>
        </is>
      </c>
      <c r="F1656" t="inlineStr">
        <is>
          <t>kalat</t>
        </is>
      </c>
      <c r="G1656" t="inlineStr">
        <is>
          <t>gp kalat</t>
        </is>
      </c>
    </row>
    <row r="1657">
      <c r="A1657" s="1" t="n">
        <v>1655</v>
      </c>
      <c r="B1657">
        <f>HYPERLINK("https://eproc.rajasthan.gov.in/nicgep/app?component=%24DirectLink&amp;page=FrontEndViewTender&amp;service=direct&amp;session=T&amp;sp=SHmiZWcrRenvMfL3BldIO7Q%3D%3D", "gram panchayat ke samast kshetr me ghar ghar (residential and commercial) kachra sangrahan, parthkaran road and nali safai and samudayik sawchtha parisar ki safai and mart pashu nistaran shit kary gram panchyat DESHMA")</f>
        <v/>
      </c>
      <c r="C1657" t="inlineStr">
        <is>
          <t>Panchayati Raj Department||Secretary and Commissioner||CEO-TONK||BDO-MALPURA</t>
        </is>
      </c>
      <c r="D1657" t="inlineStr">
        <is>
          <t>23-May-2025 06:00 PM</t>
        </is>
      </c>
      <c r="E1657" t="inlineStr">
        <is>
          <t>17,30,496</t>
        </is>
      </c>
      <c r="F1657" t="inlineStr">
        <is>
          <t>gram panchayat ke samast kshetr me ghar ghar (residential and commercial) kachra sangrahan, parthkaran road and nali safai and samudayik sawchtha parisar ki safai and mart pashu nistaran shit kary gram panchayat DESHMA</t>
        </is>
      </c>
      <c r="G1657" t="inlineStr">
        <is>
          <t>DESHMA</t>
        </is>
      </c>
    </row>
    <row r="1658">
      <c r="A1658" s="1" t="n">
        <v>1656</v>
      </c>
      <c r="B1658">
        <f>HYPERLINK("https://eproc.rajasthan.gov.in/nicgep/app?component=%24DirectLink&amp;page=FrontEndViewTender&amp;service=direct&amp;session=T&amp;sp=SOu3gNInwi4trDORMZOjMjw%3D%3D", "MATERIAL SUPPLY IN GRAM PANCHAYAT PARASOLI OF PANCHAYAT SAMITI BASSI")</f>
        <v/>
      </c>
      <c r="C1658" t="inlineStr">
        <is>
          <t>Panchayati Raj Department||Secretary and Commissioner||CEO- JAIPUR||BDO-BASSI</t>
        </is>
      </c>
      <c r="D1658" t="inlineStr">
        <is>
          <t>26-May-2025 02:00 PM</t>
        </is>
      </c>
      <c r="E1658" t="inlineStr">
        <is>
          <t>55,00,000</t>
        </is>
      </c>
      <c r="F1658" t="inlineStr">
        <is>
          <t>MATERIAL SUPPLY IN GRAM PANCHAYAT PARASOLI OF PANCHAYAT SAMITI BASSI</t>
        </is>
      </c>
      <c r="G1658" t="inlineStr">
        <is>
          <t>PANCHAYAT SAMITI BASSI</t>
        </is>
      </c>
    </row>
    <row r="1659">
      <c r="A1659" s="1" t="n">
        <v>1657</v>
      </c>
      <c r="B1659">
        <f>HYPERLINK("https://eproc.rajasthan.gov.in/nicgep/app?component=%24DirectLink&amp;page=FrontEndViewTender&amp;service=direct&amp;session=T&amp;sp=STkGdAAm9U5mGvV99oE4NTA%3D%3D", "Rate contract For Supply of Construction Material and Providing Equipments for NREGA, RD and PR Schemes at Gram Panchayat Chawandeda Panchayat Samiti DAUSA Dist Dausa For FY 2025-26 up to 31 March 2026")</f>
        <v/>
      </c>
      <c r="C1659" t="inlineStr">
        <is>
          <t>Panchayati Raj Department||Secretary and Commissioner||CEO-DAUSA||BDO-DAUSA</t>
        </is>
      </c>
      <c r="D1659" t="inlineStr">
        <is>
          <t>26-May-2025 09:30 AM</t>
        </is>
      </c>
      <c r="E1659" t="inlineStr">
        <is>
          <t>40,00,000</t>
        </is>
      </c>
      <c r="F1659" t="inlineStr">
        <is>
          <t>Rate contract For Supply of Construction Material and Providing Equipments for NREGA, RD and PR Schemes at Gram Panchayat Chawandeda Panchayat Samiti DAUSA Dist Dausa For FY 2025-26 up to 31 March 2026</t>
        </is>
      </c>
      <c r="G1659" t="inlineStr">
        <is>
          <t>Chawandeda</t>
        </is>
      </c>
    </row>
    <row r="1660">
      <c r="A1660" s="1" t="n">
        <v>1658</v>
      </c>
      <c r="B1660">
        <f>HYPERLINK("https://eproc.rajasthan.gov.in/nicgep/app?component=%24DirectLink&amp;page=FrontEndViewTender&amp;service=direct&amp;session=T&amp;sp=SsYi5NSUzAJknGh01lzkthg%3D%3D", "cleaning and sanitation work for gp godawas")</f>
        <v/>
      </c>
      <c r="C1660" t="inlineStr">
        <is>
          <t>Panchayati Raj Department||Secretary and Commissioner||CEO-BADMER||BDO-KALYANPUR</t>
        </is>
      </c>
      <c r="D1660" t="inlineStr">
        <is>
          <t>20-May-2025 05:00 PM</t>
        </is>
      </c>
      <c r="E1660" t="inlineStr">
        <is>
          <t>5,42,430</t>
        </is>
      </c>
      <c r="F1660" t="inlineStr">
        <is>
          <t>cleaning and sanitation work</t>
        </is>
      </c>
      <c r="G1660" t="inlineStr">
        <is>
          <t>gram panchayat godawas</t>
        </is>
      </c>
    </row>
    <row r="1661">
      <c r="A1661" s="1" t="n">
        <v>1659</v>
      </c>
      <c r="B1661">
        <f>HYPERLINK("https://eproc.rajasthan.gov.in/nicgep/app?component=%24DirectLink&amp;page=FrontEndViewTender&amp;service=direct&amp;session=T&amp;sp=Sm7JmPnCPpEuJ8dzZpPjjnw%3D%3D", "cleaning and sanitation work gram panchayat jasti")</f>
        <v/>
      </c>
      <c r="C1661" t="inlineStr">
        <is>
          <t>Panchayati Raj Department||Secretary and Commissioner||CEO-BADMER||BDO-KALYANPUR</t>
        </is>
      </c>
      <c r="D1661" t="inlineStr">
        <is>
          <t>20-May-2025 05:00 PM</t>
        </is>
      </c>
      <c r="E1661" t="inlineStr">
        <is>
          <t>4,02,416</t>
        </is>
      </c>
      <c r="F1661" t="inlineStr">
        <is>
          <t>cleaning and sanitation work</t>
        </is>
      </c>
      <c r="G1661" t="inlineStr">
        <is>
          <t>gram panchayat jasti</t>
        </is>
      </c>
    </row>
    <row r="1662">
      <c r="A1662" s="1" t="n">
        <v>1660</v>
      </c>
      <c r="B1662">
        <f>HYPERLINK("https://eproc.rajasthan.gov.in/nicgep/app?component=%24DirectLink&amp;page=FrontEndViewTender&amp;service=direct&amp;session=T&amp;sp=STNTf4%2FWo1Gf9vQgUgqQhOg%3D%3D", "cleaning and sanitation work for gp gwalnada")</f>
        <v/>
      </c>
      <c r="C1662" t="inlineStr">
        <is>
          <t>Panchayati Raj Department||Secretary and Commissioner||CEO-BADMER||BDO-KALYANPUR</t>
        </is>
      </c>
      <c r="D1662" t="inlineStr">
        <is>
          <t>20-May-2025 05:00 PM</t>
        </is>
      </c>
      <c r="E1662" t="inlineStr">
        <is>
          <t>6,72,418</t>
        </is>
      </c>
      <c r="F1662" t="inlineStr">
        <is>
          <t>cleaning and sanitation work</t>
        </is>
      </c>
      <c r="G1662" t="inlineStr">
        <is>
          <t>gp gwalnada</t>
        </is>
      </c>
    </row>
    <row r="1663">
      <c r="A1663" s="1" t="n">
        <v>1661</v>
      </c>
      <c r="B1663">
        <f>HYPERLINK("https://eproc.rajasthan.gov.in/nicgep/app?component=%24DirectLink&amp;page=FrontEndViewTender&amp;service=direct&amp;session=T&amp;sp=S%2BacUI%2BdSYEeHwGmjoqho4w%3D%3D", "cleaning and sanitation work for gp kudi")</f>
        <v/>
      </c>
      <c r="C1663" t="inlineStr">
        <is>
          <t>Panchayati Raj Department||Secretary and Commissioner||CEO-BADMER||BDO-KALYANPUR</t>
        </is>
      </c>
      <c r="D1663" t="inlineStr">
        <is>
          <t>20-May-2025 05:00 PM</t>
        </is>
      </c>
      <c r="E1663" t="inlineStr">
        <is>
          <t>6,94,277</t>
        </is>
      </c>
      <c r="F1663" t="inlineStr">
        <is>
          <t>cleaning and sanitation work</t>
        </is>
      </c>
      <c r="G1663" t="inlineStr">
        <is>
          <t>gp kudi</t>
        </is>
      </c>
    </row>
    <row r="1664">
      <c r="A1664" s="1" t="n">
        <v>1662</v>
      </c>
      <c r="B1664">
        <f>HYPERLINK("https://eproc.rajasthan.gov.in/nicgep/app?component=%24DirectLink&amp;page=FrontEndViewTender&amp;service=direct&amp;session=T&amp;sp=SbT136Fp5ZKIvJ4gAKj%2BkZQ%3D%3D", "cleaning and sanitation work gp korna")</f>
        <v/>
      </c>
      <c r="C1664" t="inlineStr">
        <is>
          <t>Panchayati Raj Department||Secretary and Commissioner||CEO-BADMER||BDO-KALYANPUR</t>
        </is>
      </c>
      <c r="D1664" t="inlineStr">
        <is>
          <t>20-May-2025 05:00 PM</t>
        </is>
      </c>
      <c r="E1664" t="inlineStr">
        <is>
          <t>6,41,585</t>
        </is>
      </c>
      <c r="F1664" t="inlineStr">
        <is>
          <t>cleaning and sanitation work</t>
        </is>
      </c>
      <c r="G1664" t="inlineStr">
        <is>
          <t>gp korna</t>
        </is>
      </c>
    </row>
    <row r="1665">
      <c r="A1665" s="1" t="n">
        <v>1663</v>
      </c>
      <c r="B1665">
        <f>HYPERLINK("https://eproc.rajasthan.gov.in/nicgep/app?component=%24DirectLink&amp;page=FrontEndViewTender&amp;service=direct&amp;session=T&amp;sp=Sh2qu%2Bwu7MKlbOaZ%2BHlG73g%3D%3D", "Rate Contract for BSR 2025-26 FOR MATERIAL AND EQUIPMENT SUPPLY FOR GRAM PANCHAYAT DEVA")</f>
        <v/>
      </c>
      <c r="C1665" t="inlineStr">
        <is>
          <t>Panchayati Raj Department||Secretary and Commissioner||CEO- JAISALMER||BDO-MOHANGARH</t>
        </is>
      </c>
      <c r="D1665" t="inlineStr">
        <is>
          <t>22-May-2025 06:00 PM</t>
        </is>
      </c>
      <c r="E1665" t="inlineStr">
        <is>
          <t>NA</t>
        </is>
      </c>
      <c r="F1665" t="inlineStr">
        <is>
          <t>Rate Contract for BSR 2025-26 FOR MATERIAL AND EQUIPMENT SUPPLY FOR GRAM PANCHAYAT DEVA</t>
        </is>
      </c>
      <c r="G1665" t="inlineStr">
        <is>
          <t>GRAM PANCHAYAT DEVA</t>
        </is>
      </c>
    </row>
    <row r="1666">
      <c r="A1666" s="1" t="n">
        <v>1664</v>
      </c>
      <c r="B1666">
        <f>HYPERLINK("https://eproc.rajasthan.gov.in/nicgep/app?component=%24DirectLink&amp;page=FrontEndViewTender&amp;service=direct&amp;session=T&amp;sp=SYQ2LtoM4X2F5OuD0%2Bucykw%3D%3D", "CONSTRUCTION AND ESTABLISHMENT OF TUBEWELL AND HANDPUMP WORKS PANCHAYAT SAMITI MAHWA /MANDAWAR AND ALL GRAM PANCHAYAT AERA IN PS MAHWA/MANDAWAR FOR FY 2025-26 UP to 31 March 2026 (ITEM WISE RATE AS PEAR ATTACHED G SCHEDULE)")</f>
        <v/>
      </c>
      <c r="C1666" t="inlineStr">
        <is>
          <t>Panchayati Raj Department||Secretary and Commissioner||CEO-DAUSA||BDO-MAHUVA</t>
        </is>
      </c>
      <c r="D1666" t="inlineStr">
        <is>
          <t>28-May-2025 05:00 PM</t>
        </is>
      </c>
      <c r="E1666" t="inlineStr">
        <is>
          <t>90,00,000</t>
        </is>
      </c>
      <c r="F1666" t="inlineStr">
        <is>
          <t>CONSTRUCTION AND ESTABLISHMENT OF TUBEWELL AND HANDPUMP WORKS PANCHAYAT SAMITI MAHWA /MANDAWAR AND ALL GRAM PANCHAYAT AERA IN PS MAHWA/MANDAWAR FOR FY 2025-26 UP to 31 March 2026 (ITEM WISE RATE AS PEAR ATTACHED G SCHEDULE)</t>
        </is>
      </c>
      <c r="G1666" t="inlineStr">
        <is>
          <t>Panchayat Samiti Mahwa</t>
        </is>
      </c>
    </row>
    <row r="1667">
      <c r="A1667" s="1" t="n">
        <v>1665</v>
      </c>
      <c r="B1667">
        <f>HYPERLINK("https://eproc.rajasthan.gov.in/nicgep/app?component=%24DirectLink&amp;page=FrontEndViewTender&amp;service=direct&amp;session=T&amp;sp=Se0HAczQ1q83gJfWvsaaIww%3D%3D", "cleaning and sanitation work for gram panchayat kankrala")</f>
        <v/>
      </c>
      <c r="C1667" t="inlineStr">
        <is>
          <t>Panchayati Raj Department||Secretary and Commissioner||CEO-BADMER||BDO-KALYANPUR</t>
        </is>
      </c>
      <c r="D1667" t="inlineStr">
        <is>
          <t>20-May-2025 05:00 PM</t>
        </is>
      </c>
      <c r="E1667" t="inlineStr">
        <is>
          <t>9,27,541</t>
        </is>
      </c>
      <c r="F1667" t="inlineStr">
        <is>
          <t>cleaning and sanitation work</t>
        </is>
      </c>
      <c r="G1667" t="inlineStr">
        <is>
          <t>gram panchayat kankarala</t>
        </is>
      </c>
    </row>
    <row r="1668">
      <c r="A1668" s="1" t="n">
        <v>1666</v>
      </c>
      <c r="B1668">
        <f>HYPERLINK("https://eproc.rajasthan.gov.in/nicgep/app?component=%24DirectLink&amp;page=FrontEndViewTender&amp;service=direct&amp;session=T&amp;sp=SgzKnu4p7OXAup7sq%2Fp0lYw%3D%3D", "gram panchayat ke samast kshetr me ghar ghar (residential and commercial) kachra sangrahan, parthkaran road and nali safai and samudayik sawchtha parisar ki safai and mart pashu nistaran shit kary gram panchyat CHANDSEN")</f>
        <v/>
      </c>
      <c r="C1668" t="inlineStr">
        <is>
          <t>Panchayati Raj Department||Secretary and Commissioner||CEO-TONK||BDO-MALPURA</t>
        </is>
      </c>
      <c r="D1668" t="inlineStr">
        <is>
          <t>23-May-2025 06:00 PM</t>
        </is>
      </c>
      <c r="E1668" t="inlineStr">
        <is>
          <t>25,05,969</t>
        </is>
      </c>
      <c r="F1668" t="inlineStr">
        <is>
          <t>gram panchayat ke samast kshetr me ghar ghar (residential and commercial) kachra sangrahan, parthkaran road and nali safai and samudayik sawchtha parisar ki safai and mart pashu nistaran shit kary gram panchayat CHANDSEN</t>
        </is>
      </c>
      <c r="G1668" t="inlineStr">
        <is>
          <t>CHANDSEN</t>
        </is>
      </c>
    </row>
    <row r="1669">
      <c r="A1669" s="1" t="n">
        <v>1667</v>
      </c>
      <c r="B1669">
        <f>HYPERLINK("https://eproc.rajasthan.gov.in/nicgep/app?component=%24DirectLink&amp;page=FrontEndViewTender&amp;service=direct&amp;session=T&amp;sp=SvC1Uh%2BFooOqWCV5bVAhk%2BA%3D%3D", "rajkiy uchh madhymik vidhyalay delwas me 02 kaksha kaksh nirman")</f>
        <v/>
      </c>
      <c r="C1669" t="inlineStr">
        <is>
          <t>Panchayati Raj Department||Secretary and Commissioner||CEO-UDAIPUR||BDO-SARADA</t>
        </is>
      </c>
      <c r="D1669" t="inlineStr">
        <is>
          <t>22-May-2025 06:00 PM</t>
        </is>
      </c>
      <c r="E1669" t="inlineStr">
        <is>
          <t>21,63,000</t>
        </is>
      </c>
      <c r="F1669" t="inlineStr">
        <is>
          <t>delwas</t>
        </is>
      </c>
      <c r="G1669" t="inlineStr">
        <is>
          <t>gp delwas</t>
        </is>
      </c>
    </row>
    <row r="1670">
      <c r="A1670" s="1" t="n">
        <v>1668</v>
      </c>
      <c r="B1670">
        <f>HYPERLINK("https://eproc.rajasthan.gov.in/nicgep/app?component=%24DirectLink&amp;page=FrontEndViewTender&amp;service=direct&amp;session=T&amp;sp=SjDfb0B89IhdlBo%2FMjBh9xg%3D%3D", "cleaning and sanitation work for gram panchayat kheepali kheda")</f>
        <v/>
      </c>
      <c r="C1670" t="inlineStr">
        <is>
          <t>Panchayati Raj Department||Secretary and Commissioner||CEO-BADMER||BDO-KALYANPUR</t>
        </is>
      </c>
      <c r="D1670" t="inlineStr">
        <is>
          <t>20-May-2025 05:00 PM</t>
        </is>
      </c>
      <c r="E1670" t="inlineStr">
        <is>
          <t>3,48,962</t>
        </is>
      </c>
      <c r="F1670" t="inlineStr">
        <is>
          <t>cleaning and sanitation work</t>
        </is>
      </c>
      <c r="G1670" t="inlineStr">
        <is>
          <t>gram panchayat kheepali kheda</t>
        </is>
      </c>
    </row>
    <row r="1671">
      <c r="A1671" s="1" t="n">
        <v>1669</v>
      </c>
      <c r="B1671">
        <f>HYPERLINK("https://eproc.rajasthan.gov.in/nicgep/app?component=%24DirectLink&amp;page=FrontEndViewTender&amp;service=direct&amp;session=T&amp;sp=Sna1g2bWNqsdXucWyzKkMcw%3D%3D", "gram panchayat ke samast kshetr me ghar ghar (residential and commercial) kachra sangrahan, parthkaran road and nali safai and samudayik sawchtha parisar ki safai and mart pashu nistaran shit kary gram panchyat BAGDI")</f>
        <v/>
      </c>
      <c r="C1671" t="inlineStr">
        <is>
          <t>Panchayati Raj Department||Secretary and Commissioner||CEO-TONK||BDO-MALPURA</t>
        </is>
      </c>
      <c r="D1671" t="inlineStr">
        <is>
          <t>23-May-2025 06:00 PM</t>
        </is>
      </c>
      <c r="E1671" t="inlineStr">
        <is>
          <t>10,23,193</t>
        </is>
      </c>
      <c r="F1671" t="inlineStr">
        <is>
          <t>gram panchayat ke samast kshetr me ghar ghar (residential and commercial) kachra sangrahan, parthkaran road and nali safai and samudayik sawchtha parisar ki safai and mart pashu nistaran shit kary gram panchayat BAGDI</t>
        </is>
      </c>
      <c r="G1671" t="inlineStr">
        <is>
          <t>BAGDI</t>
        </is>
      </c>
    </row>
    <row r="1672">
      <c r="A1672" s="1" t="n">
        <v>1670</v>
      </c>
      <c r="B1672">
        <f>HYPERLINK("https://eproc.rajasthan.gov.in/nicgep/app?component=%24DirectLink&amp;page=FrontEndViewTender&amp;service=direct&amp;session=T&amp;sp=S1xDkzz3DxlOWJMYIgE3lbg%3D%3D", "Construction work of boundary wall of Government Higher Primary School Sanskrit Sawai Sawal, Sawai Sawal")</f>
        <v/>
      </c>
      <c r="C1672" t="inlineStr">
        <is>
          <t>Panchayati Raj Department||Secretary and Commissioner||CEO-CHURU||BDO-SARDARSHAHAR</t>
        </is>
      </c>
      <c r="D1672" t="inlineStr">
        <is>
          <t>23-May-2025 10:00 AM</t>
        </is>
      </c>
      <c r="E1672" t="inlineStr">
        <is>
          <t>9,96,000</t>
        </is>
      </c>
      <c r="F1672" t="inlineStr">
        <is>
          <t>Construction work of boundary wall of Government Higher Primary School Sanskrit Sawai Sawal, Sawai Sawal</t>
        </is>
      </c>
      <c r="G1672" t="inlineStr">
        <is>
          <t>SAWAI BADI</t>
        </is>
      </c>
    </row>
    <row r="1673">
      <c r="A1673" s="1" t="n">
        <v>1671</v>
      </c>
      <c r="B1673">
        <f>HYPERLINK("https://eproc.rajasthan.gov.in/nicgep/app?component=%24DirectLink&amp;page=FrontEndViewTender&amp;service=direct&amp;session=T&amp;sp=SUrWst61E%2FZcMnLdvfCwvfA%3D%3D", "Construction work of room from class 1 to 8 in Government Upper Primary School, Sanskrit Sawai Sawal, Sawai Sawal")</f>
        <v/>
      </c>
      <c r="C1673" t="inlineStr">
        <is>
          <t>Panchayati Raj Department||Secretary and Commissioner||CEO-CHURU||BDO-SARDARSHAHAR</t>
        </is>
      </c>
      <c r="D1673" t="inlineStr">
        <is>
          <t>23-May-2025 10:00 AM</t>
        </is>
      </c>
      <c r="E1673" t="inlineStr">
        <is>
          <t>6,07,000</t>
        </is>
      </c>
      <c r="F1673" t="inlineStr">
        <is>
          <t>Construction work of room from class 1 to 8 in Government Upper Primary School, Sanskrit Sawai Sawal, Sawai Sawal</t>
        </is>
      </c>
      <c r="G1673" t="inlineStr">
        <is>
          <t>SAWAI BADI</t>
        </is>
      </c>
    </row>
    <row r="1674">
      <c r="A1674" s="1" t="n">
        <v>1672</v>
      </c>
      <c r="B1674">
        <f>HYPERLINK("https://eproc.rajasthan.gov.in/nicgep/app?component=%24DirectLink&amp;page=FrontEndViewTender&amp;service=direct&amp;session=T&amp;sp=SkV5CI4W2t3DcyFWo9XUIIQ%3D%3D", "Work including door-to-door residential and commercial garbage collection and separation road and drain cleaning and community sanitation premises cleaning in all villages of Gram Panchayat Dholkheda Panchayat Samiti Mandawar Dist. Dausa For FY 2025-")</f>
        <v/>
      </c>
      <c r="C1674" t="inlineStr">
        <is>
          <t>Panchayati Raj Department||Secretary and Commissioner||CEO-DAUSA||BDO-MAHUVA</t>
        </is>
      </c>
      <c r="D1674" t="inlineStr">
        <is>
          <t>23-May-2025 05:00 PM</t>
        </is>
      </c>
      <c r="E1674" t="inlineStr">
        <is>
          <t>8,73,395</t>
        </is>
      </c>
      <c r="F1674" t="inlineStr">
        <is>
          <t>Work including door-to-door residential and commercial garbage collection and separation road and drain cleaning and community sanitation premises cleaning in all villages of Gram Panchayat Dholkheda Panchayat Samiti Mandawar Dist. Dausa For FY 2025-</t>
        </is>
      </c>
      <c r="G1674" t="inlineStr">
        <is>
          <t>Gram Panchayat Dholkheda</t>
        </is>
      </c>
    </row>
    <row r="1675">
      <c r="A1675" s="1" t="n">
        <v>1673</v>
      </c>
      <c r="B1675">
        <f>HYPERLINK("https://eproc.rajasthan.gov.in/nicgep/app?component=%24DirectLink&amp;page=FrontEndViewTender&amp;service=direct&amp;session=T&amp;sp=Sk2N7ucrWkBjeeWrMQT5B3g%3D%3D", "Work including door-to-door residential and commercial garbage collection and separation road and drain cleaning and community sanitation premises cleaning in all villages of Gram Panchayat BALAHEDEE Panchayat Samiti Mahwa Dist. Dausa For FY 2025-26")</f>
        <v/>
      </c>
      <c r="C1675" t="inlineStr">
        <is>
          <t>Panchayati Raj Department||Secretary and Commissioner||CEO-DAUSA||BDO-MAHUVA</t>
        </is>
      </c>
      <c r="D1675" t="inlineStr">
        <is>
          <t>23-May-2025 05:00 PM</t>
        </is>
      </c>
      <c r="E1675" t="inlineStr">
        <is>
          <t>6,84,452</t>
        </is>
      </c>
      <c r="F1675" t="inlineStr">
        <is>
          <t>Work including door-to-door residential and commercial garbage collection and separation road and drain cleaning and community sanitation premises cleaning in all villages of Gram Panchayat BALAHEDEE Panchayat Samiti Mahwa Dist. Dausa For FY 2025-26</t>
        </is>
      </c>
      <c r="G1675" t="inlineStr">
        <is>
          <t>Gram Panchayat BALAHEDEE</t>
        </is>
      </c>
    </row>
    <row r="1676">
      <c r="A1676" s="1" t="n">
        <v>1674</v>
      </c>
      <c r="B1676">
        <f>HYPERLINK("https://eproc.rajasthan.gov.in/nicgep/app?component=%24DirectLink&amp;page=FrontEndViewTender&amp;service=direct&amp;session=T&amp;sp=Sa5u1e0WmEqVJM9WszEHvtg%3D%3D", "CC interlocking tiles road construction work Chad ki Dhani Gram Panchayat Nizampura")</f>
        <v/>
      </c>
      <c r="C1676" t="inlineStr">
        <is>
          <t>Panchayati Raj Department||Secretary and Commissioner||CEO-DAUSA||BDO-RAMGARH PACHWARA</t>
        </is>
      </c>
      <c r="D1676" t="inlineStr">
        <is>
          <t>23-May-2025 06:00 PM</t>
        </is>
      </c>
      <c r="E1676" t="inlineStr">
        <is>
          <t>8,00,000</t>
        </is>
      </c>
      <c r="F1676" t="inlineStr">
        <is>
          <t>CC interlocking tiles road construction work Chad ki Dhani Gram Panchayat Nizampura</t>
        </is>
      </c>
      <c r="G1676" t="inlineStr">
        <is>
          <t>Gram Panchayat Nizampura</t>
        </is>
      </c>
    </row>
    <row r="1677">
      <c r="A1677" s="1" t="n">
        <v>1675</v>
      </c>
      <c r="B1677">
        <f>HYPERLINK("https://eproc.rajasthan.gov.in/nicgep/app?component=%24DirectLink&amp;page=FrontEndViewTender&amp;service=direct&amp;session=T&amp;sp=Sn5CJ77Y%2BwaJLq6nbLjd5ig%3D%3D", "Work including door-to-door residential and commercial garbage collection and separation road and drain cleaning and community sanitation premises cleaning in all villages of Gram Panchayat UKRUND Panchayat Samiti Mandawar Dist. Dausa For FY 2025-26")</f>
        <v/>
      </c>
      <c r="C1677" t="inlineStr">
        <is>
          <t>Panchayati Raj Department||Secretary and Commissioner||CEO-DAUSA||BDO-MAHUVA</t>
        </is>
      </c>
      <c r="D1677" t="inlineStr">
        <is>
          <t>22-May-2025 05:00 PM</t>
        </is>
      </c>
      <c r="E1677" t="inlineStr">
        <is>
          <t>4,69,996</t>
        </is>
      </c>
      <c r="F1677" t="inlineStr">
        <is>
          <t>Work including door-to-door residential and commercial garbage collection and separation road and drain cleaning and community sanitation premises cleaning in all villages of Gram Panchayat UKRUND Panchayat Samiti Mandawar Dist. Dausa For FY 2025-26</t>
        </is>
      </c>
      <c r="G1677" t="inlineStr">
        <is>
          <t>Gram Panchayat UKRUND</t>
        </is>
      </c>
    </row>
    <row r="1678">
      <c r="A1678" s="1" t="n">
        <v>1676</v>
      </c>
      <c r="B1678">
        <f>HYPERLINK("https://eproc.rajasthan.gov.in/nicgep/app?component=%24DirectLink&amp;page=FrontEndViewTender&amp;service=direct&amp;session=T&amp;sp=S8umxfnaTvSh%2B5AwHKyAScA%3D%3D", "METERIAL SUPPLY WORKS GP BAGHERI KALA")</f>
        <v/>
      </c>
      <c r="C1678" t="inlineStr">
        <is>
          <t>Panchayati Raj Department||Secretary and Commissioner||CEO-ALWAR||BDO-KISHANGARHWAS</t>
        </is>
      </c>
      <c r="D1678" t="inlineStr">
        <is>
          <t>20-May-2025 06:00 PM</t>
        </is>
      </c>
      <c r="E1678" t="inlineStr">
        <is>
          <t>NA</t>
        </is>
      </c>
      <c r="F1678" t="inlineStr">
        <is>
          <t>METERIAL SUPPLY WORKS GP BAGHERI KALA</t>
        </is>
      </c>
      <c r="G1678" t="inlineStr">
        <is>
          <t>GP BAGHERI KALA</t>
        </is>
      </c>
    </row>
    <row r="1679">
      <c r="A1679" s="1" t="n">
        <v>1677</v>
      </c>
      <c r="B1679">
        <f>HYPERLINK("https://eproc.rajasthan.gov.in/nicgep/app?component=%24DirectLink&amp;page=FrontEndViewTender&amp;service=direct&amp;session=T&amp;sp=S9xVnoHA0oQ0JK6iXhKh5hg%3D%3D", "Material Supply Work in Mahatma Gandhi Nerga Yojana And Various Rural Devlopment Scheme in Gram Panchayat Ghooghra Panchayat Samiti Ajmer Rural")</f>
        <v/>
      </c>
      <c r="C1679" t="inlineStr">
        <is>
          <t>Panchayati Raj Department||Secretary and Commissioner||CEO-AJMER||BDO-AJMER RURAL</t>
        </is>
      </c>
      <c r="D1679" t="inlineStr">
        <is>
          <t>21-May-2025 05:00 PM</t>
        </is>
      </c>
      <c r="E1679" t="inlineStr">
        <is>
          <t>50,00,000</t>
        </is>
      </c>
      <c r="F1679" t="inlineStr">
        <is>
          <t>Material Supply Work in Mahatma Gandhi Nerga Yojana And Various Rural Devlopment Scheme in Gram Panchayat Ghooghra Panchayat Samiti Ajmer Rural</t>
        </is>
      </c>
      <c r="G1679" t="inlineStr">
        <is>
          <t>Gram Panchayat Ghooghra</t>
        </is>
      </c>
    </row>
    <row r="1680">
      <c r="A1680" s="1" t="n">
        <v>1678</v>
      </c>
      <c r="B1680">
        <f>HYPERLINK("https://eproc.rajasthan.gov.in/nicgep/app?component=%24DirectLink&amp;page=FrontEndViewTender&amp;service=direct&amp;session=T&amp;sp=S%2FuO%2Bv7IQMGijmaKb8mNMQw%3D%3D", "METERIAL SUPPLY WORKS GP MUSA KHEDA")</f>
        <v/>
      </c>
      <c r="C1680" t="inlineStr">
        <is>
          <t>Panchayati Raj Department||Secretary and Commissioner||CEO-ALWAR||BDO-KISHANGARHWAS</t>
        </is>
      </c>
      <c r="D1680" t="inlineStr">
        <is>
          <t>20-May-2025 06:00 PM</t>
        </is>
      </c>
      <c r="E1680" t="inlineStr">
        <is>
          <t>NA</t>
        </is>
      </c>
      <c r="F1680" t="inlineStr">
        <is>
          <t>METERIAL SUPPLY WORKS GP MUSA KHEDA</t>
        </is>
      </c>
      <c r="G1680" t="inlineStr">
        <is>
          <t>GRAM PANCHAYAT MUSA KHEDA</t>
        </is>
      </c>
    </row>
    <row r="1681">
      <c r="A1681" s="1" t="n">
        <v>1679</v>
      </c>
      <c r="B1681">
        <f>HYPERLINK("https://eproc.rajasthan.gov.in/nicgep/app?component=%24DirectLink&amp;page=FrontEndViewTender&amp;service=direct&amp;session=T&amp;sp=S0DmJhYr4mgJRNGAJPNkhyQ%3D%3D", "Jal nikasi hetu puliya lalshankar ke ghar ke pass")</f>
        <v/>
      </c>
      <c r="C1681" t="inlineStr">
        <is>
          <t>Panchayati Raj Department||Secretary and Commissioner||CEO-BANSWARA||BDO-GANGADTALAI</t>
        </is>
      </c>
      <c r="D1681" t="inlineStr">
        <is>
          <t>19-May-2025 09:00 AM</t>
        </is>
      </c>
      <c r="E1681" t="inlineStr">
        <is>
          <t>8,00,000</t>
        </is>
      </c>
      <c r="F1681" t="inlineStr">
        <is>
          <t>Jal nikasi hetu puliya lalshankar ke ghar ke pass</t>
        </is>
      </c>
      <c r="G1681" t="inlineStr">
        <is>
          <t>gangadtalai</t>
        </is>
      </c>
    </row>
    <row r="1682">
      <c r="A1682" s="1" t="n">
        <v>1680</v>
      </c>
      <c r="B1682">
        <f>HYPERLINK("https://eproc.rajasthan.gov.in/nicgep/app?component=%24DirectLink&amp;page=FrontEndViewTender&amp;service=direct&amp;session=T&amp;sp=Szr4dfARz84ftTEBwAeFoBw%3D%3D", "MATERIAL SUPPLY AND EQUIPMENT SUPPLY FOR CONSTRUCTION WORK IN G.P. SAVGARH P.S. DOVDA DISTRICT DUNGARPUR")</f>
        <v/>
      </c>
      <c r="C1682" t="inlineStr">
        <is>
          <t>Panchayati Raj Department||Secretary and Commissioner||CEO- DUNGARPUR||BDO-DOWARA</t>
        </is>
      </c>
      <c r="D1682" t="inlineStr">
        <is>
          <t>23-May-2025 06:00 PM</t>
        </is>
      </c>
      <c r="E1682" t="inlineStr">
        <is>
          <t>1,00,00,000</t>
        </is>
      </c>
      <c r="F1682" t="inlineStr">
        <is>
          <t>MATERIAL SUPPLY AND EQUIPMENT SUPPLY FOR CONSTRUCTION WORK IN G.P. SAVGARH P.S. DOVDA DISTRICT DUNGARPUR</t>
        </is>
      </c>
      <c r="G1682" t="inlineStr">
        <is>
          <t>PS DOVDA</t>
        </is>
      </c>
    </row>
    <row r="1683">
      <c r="A1683" s="1" t="n">
        <v>1681</v>
      </c>
      <c r="B1683">
        <f>HYPERLINK("https://eproc.rajasthan.gov.in/nicgep/app?component=%24DirectLink&amp;page=FrontEndViewTender&amp;service=direct&amp;session=T&amp;sp=S2FBSToGweTZVckG5B67UvQ%3D%3D", "MATERIAL SUPPLY AND EQUIPMENT SUPPLY FOR CONSTRUCTION WORK IN G.P. HIRATA P.S. DOVDA DISTRICT DUNGARPUR")</f>
        <v/>
      </c>
      <c r="C1683" t="inlineStr">
        <is>
          <t>Panchayati Raj Department||Secretary and Commissioner||CEO- DUNGARPUR||BDO-DOWARA</t>
        </is>
      </c>
      <c r="D1683" t="inlineStr">
        <is>
          <t>23-May-2025 06:00 PM</t>
        </is>
      </c>
      <c r="E1683" t="inlineStr">
        <is>
          <t>1,00,00,000</t>
        </is>
      </c>
      <c r="F1683" t="inlineStr">
        <is>
          <t>MATERIAL SUPPLY AND EQUIPMENT SUPPLY FOR CONSTRUCTION WORK IN G.P. HIRATA P.S. DOVDA DISTRICT DUNGARPUR</t>
        </is>
      </c>
      <c r="G1683" t="inlineStr">
        <is>
          <t>PS DOVDA</t>
        </is>
      </c>
    </row>
    <row r="1684">
      <c r="A1684" s="1" t="n">
        <v>1682</v>
      </c>
      <c r="B1684">
        <f>HYPERLINK("https://eproc.rajasthan.gov.in/nicgep/app?component=%24DirectLink&amp;page=FrontEndViewTender&amp;service=direct&amp;session=T&amp;sp=S0KL0H5xq%2BWn%2BO7qL3i4G%2FA%3D%3D", "MATERIAL SUPPLY AND EQUIPMENT SUPPLY FOR CONSTRUCTION WORK IN G.P. KAHARI P.S. DOVDA DISTRICT DUNGARPUR")</f>
        <v/>
      </c>
      <c r="C1684" t="inlineStr">
        <is>
          <t>Panchayati Raj Department||Secretary and Commissioner||CEO- DUNGARPUR||BDO-DOWARA</t>
        </is>
      </c>
      <c r="D1684" t="inlineStr">
        <is>
          <t>23-May-2025 06:00 PM</t>
        </is>
      </c>
      <c r="E1684" t="inlineStr">
        <is>
          <t>1,00,00,000</t>
        </is>
      </c>
      <c r="F1684" t="inlineStr">
        <is>
          <t>MATERIAL SUPPLY AND EQUIPMENT SUPPLY FOR CONSTRUCTION WORK IN G.P. KAHARI P.S. DOVDA DISTRICT DUNGARPUR</t>
        </is>
      </c>
      <c r="G1684" t="inlineStr">
        <is>
          <t>PS DOVDA</t>
        </is>
      </c>
    </row>
    <row r="1685">
      <c r="A1685" s="1" t="n">
        <v>1683</v>
      </c>
      <c r="B1685">
        <f>HYPERLINK("https://eproc.rajasthan.gov.in/nicgep/app?component=%24DirectLink&amp;page=FrontEndViewTender&amp;service=direct&amp;session=T&amp;sp=SpDAfEn8D2CkBESmQN%2B6SCw%3D%3D", "Work including garbage collection and separation from every house (residential and commercial), road and drain cleaning, and cleaning of community sanitation complex in all the villages of Gram Panchayat pundarpada")</f>
        <v/>
      </c>
      <c r="C1685" t="inlineStr">
        <is>
          <t>Panchayati Raj Department||Secretary and Commissioner||CEO-DAUSA||BDO-BAIJUPADA</t>
        </is>
      </c>
      <c r="D1685" t="inlineStr">
        <is>
          <t>22-May-2025 05:00 PM</t>
        </is>
      </c>
      <c r="E1685" t="inlineStr">
        <is>
          <t>7,16,000</t>
        </is>
      </c>
      <c r="F1685" t="inlineStr">
        <is>
          <t>Work including garbage collection and separation from every house (residential and commercial), road and drain cleaning, and cleaning of community sanitation complex in all the villages of Gram Panchayat pundarpada</t>
        </is>
      </c>
      <c r="G1685" t="inlineStr">
        <is>
          <t>gram panchayat pundarpada</t>
        </is>
      </c>
    </row>
    <row r="1686">
      <c r="A1686" s="1" t="n">
        <v>1684</v>
      </c>
      <c r="B1686">
        <f>HYPERLINK("https://eproc.rajasthan.gov.in/nicgep/app?component=%24DirectLink&amp;page=FrontEndViewTender&amp;service=direct&amp;session=T&amp;sp=SZeMiK%2FJQVDCM8j7e4u6%2B5A%3D%3D", "MATERIAL SUPPLY AND EQUIPMENT SUPPLY FOR CONSTRUCTION WORK IN G.P. RAGELA P.S. DOVDA DISTRICT DUNGARPUR")</f>
        <v/>
      </c>
      <c r="C1686" t="inlineStr">
        <is>
          <t>Panchayati Raj Department||Secretary and Commissioner||CEO- DUNGARPUR||BDO-DOWARA</t>
        </is>
      </c>
      <c r="D1686" t="inlineStr">
        <is>
          <t>23-May-2025 06:00 PM</t>
        </is>
      </c>
      <c r="E1686" t="inlineStr">
        <is>
          <t>1,00,00,000</t>
        </is>
      </c>
      <c r="F1686" t="inlineStr">
        <is>
          <t>MATERIAL SUPPLY AND EQUIPMENT SUPPLY FOR CONSTRUCTION WORK IN G.P. RAGELA P.S. DOVDA DISTRICT DUNGARPUR</t>
        </is>
      </c>
      <c r="G1686" t="inlineStr">
        <is>
          <t>PS DOVDA</t>
        </is>
      </c>
    </row>
    <row r="1687">
      <c r="A1687" s="1" t="n">
        <v>1685</v>
      </c>
      <c r="B1687">
        <f>HYPERLINK("https://eproc.rajasthan.gov.in/nicgep/app?component=%24DirectLink&amp;page=FrontEndViewTender&amp;service=direct&amp;session=T&amp;sp=Sl7l47a90A48mCK1%2BKuN6iA%3D%3D", "MATERIAL SUPPLY AND EQUIPMENT SUPPLY FOR CONSTRUCTION WORK IN G.P. DEV SOMNATH P.S. DOVDA DISTRICT DUNGARPUR")</f>
        <v/>
      </c>
      <c r="C1687" t="inlineStr">
        <is>
          <t>Panchayati Raj Department||Secretary and Commissioner||CEO- DUNGARPUR||BDO-DOWARA</t>
        </is>
      </c>
      <c r="D1687" t="inlineStr">
        <is>
          <t>23-May-2025 06:00 PM</t>
        </is>
      </c>
      <c r="E1687" t="inlineStr">
        <is>
          <t>1,00,00,000</t>
        </is>
      </c>
      <c r="F1687" t="inlineStr">
        <is>
          <t>MATERIAL SUPPLY AND EQUIPMENT SUPPLY FOR CONSTRUCTION WORK IN G.P. DEV SOMNATH P.S. DOVDA DISTRICT DUNGARPUR</t>
        </is>
      </c>
      <c r="G1687" t="inlineStr">
        <is>
          <t>PS DOVDA</t>
        </is>
      </c>
    </row>
    <row r="1688">
      <c r="A1688" s="1" t="n">
        <v>1686</v>
      </c>
      <c r="B1688">
        <f>HYPERLINK("https://eproc.rajasthan.gov.in/nicgep/app?component=%24DirectLink&amp;page=FrontEndViewTender&amp;service=direct&amp;session=T&amp;sp=SKQHR4mRTpgvEyUklyAcDaA%3D%3D", "MATERIAL SUPPLY AND EQUIPMENT SUPPLY FOR CONSTRUCTION WORK IN G.P. NARANIYA P.S. DOVDA DISTRICT DUNGARPUR")</f>
        <v/>
      </c>
      <c r="C1688" t="inlineStr">
        <is>
          <t>Panchayati Raj Department||Secretary and Commissioner||CEO- DUNGARPUR||BDO-DOWARA</t>
        </is>
      </c>
      <c r="D1688" t="inlineStr">
        <is>
          <t>23-May-2025 06:00 PM</t>
        </is>
      </c>
      <c r="E1688" t="inlineStr">
        <is>
          <t>1,00,00,000</t>
        </is>
      </c>
      <c r="F1688" t="inlineStr">
        <is>
          <t>MATERIAL SUPPLY AND EQUIPMENT SUPPLY FOR CONSTRUCTION WORK IN G.P. NARANIYA P.S. DOVDA DISTRICT DUNGARPUR</t>
        </is>
      </c>
      <c r="G1688" t="inlineStr">
        <is>
          <t>PS DOVDA</t>
        </is>
      </c>
    </row>
    <row r="1689">
      <c r="A1689" s="1" t="n">
        <v>1687</v>
      </c>
      <c r="B1689">
        <f>HYPERLINK("https://eproc.rajasthan.gov.in/nicgep/app?component=%24DirectLink&amp;page=FrontEndViewTender&amp;service=direct&amp;session=T&amp;sp=SvDGB2RUz8JRhvm0zPgjo7g%3D%3D", "MATERIAL SUPPLY AND EQUIPMENT SUPPLY FOR CONSTRUCTION WORK IN G.P. PAL KOLKHANDA P.S. DOVDA DISTRICT DUNGARPUR")</f>
        <v/>
      </c>
      <c r="C1689" t="inlineStr">
        <is>
          <t>Panchayati Raj Department||Secretary and Commissioner||CEO- DUNGARPUR||BDO-DOWARA</t>
        </is>
      </c>
      <c r="D1689" t="inlineStr">
        <is>
          <t>23-May-2025 06:00 PM</t>
        </is>
      </c>
      <c r="E1689" t="inlineStr">
        <is>
          <t>1,00,00,000</t>
        </is>
      </c>
      <c r="F1689" t="inlineStr">
        <is>
          <t>MATERIAL SUPPLY AND EQUIPMENT SUPPLY FOR CONSTRUCTION WORK IN G.P. PAL KOLKHANDA P.S. DOVDA DISTRICT DUNGARPUR</t>
        </is>
      </c>
      <c r="G1689" t="inlineStr">
        <is>
          <t>PS DOVDA</t>
        </is>
      </c>
    </row>
    <row r="1690">
      <c r="A1690" s="1" t="n">
        <v>1688</v>
      </c>
      <c r="B1690">
        <f>HYPERLINK("https://eproc.rajasthan.gov.in/nicgep/app?component=%24DirectLink&amp;page=FrontEndViewTender&amp;service=direct&amp;session=T&amp;sp=SulMDP9tAu%2FKVd6sfI5kMOQ%3D%3D", "MATERIAL SUPPLY AND EQUIPMENT SUPPLY FOR CONSTRUCTION WORK IN G.P. Raghunathpura P.S. DOVDA DISTRICT DUNGARPUR")</f>
        <v/>
      </c>
      <c r="C1690" t="inlineStr">
        <is>
          <t>Panchayati Raj Department||Secretary and Commissioner||CEO- DUNGARPUR||BDO-DOWARA</t>
        </is>
      </c>
      <c r="D1690" t="inlineStr">
        <is>
          <t>23-May-2025 06:00 PM</t>
        </is>
      </c>
      <c r="E1690" t="inlineStr">
        <is>
          <t>1,00,00,000</t>
        </is>
      </c>
      <c r="F1690" t="inlineStr">
        <is>
          <t>MATERIAL SUPPLY AND EQUIPMENT SUPPLY FOR CONSTRUCTION WORK IN G.P. Raghunathpura P.S. DOVDA DISTRICT DUNGARPUR</t>
        </is>
      </c>
      <c r="G1690" t="inlineStr">
        <is>
          <t>PS DOVDA</t>
        </is>
      </c>
    </row>
    <row r="1691">
      <c r="A1691" s="1" t="n">
        <v>1689</v>
      </c>
      <c r="B1691">
        <f>HYPERLINK("https://eproc.rajasthan.gov.in/nicgep/app?component=%24DirectLink&amp;page=FrontEndViewTender&amp;service=direct&amp;session=T&amp;sp=SpQjQOTDKlwEEnIrFqwzoNA%3D%3D", "Construction of Aditional Class Room Govt Upper Primary School Maylo ki Basti")</f>
        <v/>
      </c>
      <c r="C1691" t="inlineStr">
        <is>
          <t>Panchayati Raj Department||Secretary and Commissioner||CEO-BADMER||BDO-FAGLIYA</t>
        </is>
      </c>
      <c r="D1691" t="inlineStr">
        <is>
          <t>23-May-2025 05:00 PM</t>
        </is>
      </c>
      <c r="E1691" t="inlineStr">
        <is>
          <t>6,99,000</t>
        </is>
      </c>
      <c r="F1691" t="inlineStr">
        <is>
          <t>Construction of Aditional Class Room Govt Upper Primary School Maylo ki Basti</t>
        </is>
      </c>
      <c r="G1691" t="inlineStr">
        <is>
          <t>GP KAPRAU</t>
        </is>
      </c>
    </row>
    <row r="1692">
      <c r="A1692" s="1" t="n">
        <v>1690</v>
      </c>
      <c r="B1692">
        <f>HYPERLINK("https://eproc.rajasthan.gov.in/nicgep/app?component=%24DirectLink&amp;page=FrontEndViewTender&amp;service=direct&amp;session=T&amp;sp=S84zM8Xylrf4MrnY3e%2Fr22A%3D%3D", "MATERIAL SUPPLY AND EQUIPMENT SUPPLY FOR CONSTRUCTION WORK IN G.P. PARDA MORU P.S. DOVDA DISTRICT DUNGARPUR")</f>
        <v/>
      </c>
      <c r="C1692" t="inlineStr">
        <is>
          <t>Panchayati Raj Department||Secretary and Commissioner||CEO- DUNGARPUR||BDO-DOWARA</t>
        </is>
      </c>
      <c r="D1692" t="inlineStr">
        <is>
          <t>23-May-2025 06:00 PM</t>
        </is>
      </c>
      <c r="E1692" t="inlineStr">
        <is>
          <t>1,00,00,000</t>
        </is>
      </c>
      <c r="F1692" t="inlineStr">
        <is>
          <t>MATERIAL SUPPLY AND EQUIPMENT SUPPLY FOR CONSTRUCTION WORK IN G.P. PARDA MORU P.S. DOVDA DISTRICT DUNGARPUR</t>
        </is>
      </c>
      <c r="G1692" t="inlineStr">
        <is>
          <t>PS DOVDA</t>
        </is>
      </c>
    </row>
    <row r="1693">
      <c r="A1693" s="1" t="n">
        <v>1691</v>
      </c>
      <c r="B1693">
        <f>HYPERLINK("https://eproc.rajasthan.gov.in/nicgep/app?component=%24DirectLink&amp;page=FrontEndViewTender&amp;service=direct&amp;session=T&amp;sp=SmKH5JCbEAHcaCDXnH1CfWg%3D%3D", "MATERIAL SUPPLY AND EQUIPMENT SUPPLY FOR CONSTRUCTION WORK IN G.P. MANDVA P.S. DOVDA DISTRICT DUNGARPUR")</f>
        <v/>
      </c>
      <c r="C1693" t="inlineStr">
        <is>
          <t>Panchayati Raj Department||Secretary and Commissioner||CEO- DUNGARPUR||BDO-DOWARA</t>
        </is>
      </c>
      <c r="D1693" t="inlineStr">
        <is>
          <t>23-May-2025 06:00 PM</t>
        </is>
      </c>
      <c r="E1693" t="inlineStr">
        <is>
          <t>1,00,00,000</t>
        </is>
      </c>
      <c r="F1693" t="inlineStr">
        <is>
          <t>MATERIAL SUPPLY AND EQUIPMENT SUPPLY FOR CONSTRUCTION WORK IN G.P. MANDVAP.S. DOVDA DISTRICT DUNGARPUR</t>
        </is>
      </c>
      <c r="G1693" t="inlineStr">
        <is>
          <t>PS DOVDA</t>
        </is>
      </c>
    </row>
    <row r="1694">
      <c r="A1694" s="1" t="n">
        <v>1692</v>
      </c>
      <c r="B1694">
        <f>HYPERLINK("https://eproc.rajasthan.gov.in/nicgep/app?component=%24DirectLink&amp;page=FrontEndViewTender&amp;service=direct&amp;session=T&amp;sp=SOBrwdTVsIhaoOFzYFWm%2B4A%3D%3D", "MATERIAL SUPPLY AND EQUIPMENT SUPPLY FOR CONSTRUCTION WORK IN G.P. DHAWARI P.S. DOVDA DISTRICT DUNGARPUR")</f>
        <v/>
      </c>
      <c r="C1694" t="inlineStr">
        <is>
          <t>Panchayati Raj Department||Secretary and Commissioner||CEO- DUNGARPUR||BDO-DOWARA</t>
        </is>
      </c>
      <c r="D1694" t="inlineStr">
        <is>
          <t>23-May-2025 06:00 PM</t>
        </is>
      </c>
      <c r="E1694" t="inlineStr">
        <is>
          <t>1,00,00,000</t>
        </is>
      </c>
      <c r="F1694" t="inlineStr">
        <is>
          <t>MATERIAL SUPPLY AND EQUIPMENT SUPPLY FOR CONSTRUCTION WORK IN G.P. DHAWARI P.S. DOVDA DISTRICT DUNGARPUR</t>
        </is>
      </c>
      <c r="G1694" t="inlineStr">
        <is>
          <t>PS DOVDA</t>
        </is>
      </c>
    </row>
    <row r="1695">
      <c r="A1695" s="1" t="n">
        <v>1693</v>
      </c>
      <c r="B1695">
        <f>HYPERLINK("https://eproc.rajasthan.gov.in/nicgep/app?component=%24DirectLink&amp;page=FrontEndViewTender&amp;service=direct&amp;session=T&amp;sp=SsnMvWsW8SxGbVlK3jCU7UQ%3D%3D", "MATERIAL SUPPLY AND EQUIPMENT SUPPLY FOR CONSTRUCTION WORK IN G.P. ANTRI P.S. DOVDA DISTRICT DUNGARPUR")</f>
        <v/>
      </c>
      <c r="C1695" t="inlineStr">
        <is>
          <t>Panchayati Raj Department||Secretary and Commissioner||CEO- DUNGARPUR||BDO-DOWARA</t>
        </is>
      </c>
      <c r="D1695" t="inlineStr">
        <is>
          <t>23-May-2025 06:00 PM</t>
        </is>
      </c>
      <c r="E1695" t="inlineStr">
        <is>
          <t>1,00,00,000</t>
        </is>
      </c>
      <c r="F1695" t="inlineStr">
        <is>
          <t>MATERIAL SUPPLY AND EQUIPMENT SUPPLY FOR CONSTRUCTION WORK IN G.P. ANTRI P.S. DOVDA DISTRICT DUNGARPUR</t>
        </is>
      </c>
      <c r="G1695" t="inlineStr">
        <is>
          <t>PS DOVDA</t>
        </is>
      </c>
    </row>
    <row r="1696">
      <c r="A1696" s="1" t="n">
        <v>1694</v>
      </c>
      <c r="B1696">
        <f>HYPERLINK("https://eproc.rajasthan.gov.in/nicgep/app?component=%24DirectLink&amp;page=FrontEndViewTender&amp;service=direct&amp;session=T&amp;sp=Sm6gTaA4z29R%2FO8S8c%2FDtJg%3D%3D", "MATERIALS AND EQUIPMENT SUPPLY IN MGREGA AND RDPRD SCHEME GP KATHOTI")</f>
        <v/>
      </c>
      <c r="C1696" t="inlineStr">
        <is>
          <t>Panchayati Raj Department||Secretary and Commissioner||CEO-NAGORE||BDO-JAYAL</t>
        </is>
      </c>
      <c r="D1696" t="inlineStr">
        <is>
          <t>24-May-2025 06:00 PM</t>
        </is>
      </c>
      <c r="E1696" t="inlineStr">
        <is>
          <t>50,00,000</t>
        </is>
      </c>
      <c r="F1696" t="inlineStr">
        <is>
          <t>MATERIALS AND EQUIPMENT SUPPLY IN MGREGA AND RDPRD SCHEME GP KATHOTI</t>
        </is>
      </c>
      <c r="G1696" t="inlineStr">
        <is>
          <t>kathoti</t>
        </is>
      </c>
    </row>
    <row r="1697">
      <c r="A1697" s="1" t="n">
        <v>1695</v>
      </c>
      <c r="B1697">
        <f>HYPERLINK("https://eproc.rajasthan.gov.in/nicgep/app?component=%24DirectLink&amp;page=FrontEndViewTender&amp;service=direct&amp;session=T&amp;sp=S5xONGiF21A636tIHxbZlnw%3D%3D", "MATERIAL SUPPLY AND EQUIPMENT SUPPLY FOR CONSTRUCTION WORK IN G.P. VASSI P.S. DOVDA DISTRICT DUNGARPUR")</f>
        <v/>
      </c>
      <c r="C1697" t="inlineStr">
        <is>
          <t>Panchayati Raj Department||Secretary and Commissioner||CEO- DUNGARPUR||BDO-DOWARA</t>
        </is>
      </c>
      <c r="D1697" t="inlineStr">
        <is>
          <t>23-May-2025 06:00 PM</t>
        </is>
      </c>
      <c r="E1697" t="inlineStr">
        <is>
          <t>1,00,00,000</t>
        </is>
      </c>
      <c r="F1697" t="inlineStr">
        <is>
          <t>MATERIAL SUPPLY AND EQUIPMENT SUPPLY FOR CONSTRUCTION WORK IN G.P. VASSI.S. DOVDA DISTRICT DUNGARPUR</t>
        </is>
      </c>
      <c r="G1697" t="inlineStr">
        <is>
          <t>PS DOVDA</t>
        </is>
      </c>
    </row>
    <row r="1698">
      <c r="A1698" s="1" t="n">
        <v>1696</v>
      </c>
      <c r="B1698">
        <f>HYPERLINK("https://eproc.rajasthan.gov.in/nicgep/app?component=%24DirectLink&amp;page=FrontEndViewTender&amp;service=direct&amp;session=T&amp;sp=SluB4dU9HXgIdcpdz1oVTHw%3D%3D", "Supply of Various Construction Materials and Equipment Service Gram Panchayat Somi P.S. Rashmi")</f>
        <v/>
      </c>
      <c r="C1698" t="inlineStr">
        <is>
          <t>Panchayati Raj Department||Secretary and Commissioner||CEO-CHITTORGARH||BDO-RASHMI</t>
        </is>
      </c>
      <c r="D1698" t="inlineStr">
        <is>
          <t>26-May-2025 10:00 AM</t>
        </is>
      </c>
      <c r="E1698" t="inlineStr">
        <is>
          <t>45,30,000</t>
        </is>
      </c>
      <c r="F1698" t="inlineStr">
        <is>
          <t>Supply of Various Construction Materials and Equipment Service Gram Panchayat Somi P.S. Rashmi</t>
        </is>
      </c>
      <c r="G1698" t="inlineStr">
        <is>
          <t>sarpanch gram panchayat Somi</t>
        </is>
      </c>
    </row>
    <row r="1699">
      <c r="A1699" s="1" t="n">
        <v>1697</v>
      </c>
      <c r="B1699">
        <f>HYPERLINK("https://eproc.rajasthan.gov.in/nicgep/app?component=%24DirectLink&amp;page=FrontEndViewTender&amp;service=direct&amp;session=T&amp;sp=SeOK%2F6%2FWW5uxwikSr0Nb75w%3D%3D", "MATERIAL SUPPLY AND EQUIPMENT SUPPLY FOR CONSTRUCTION WORK IN G.P. DAMDI P.S. DOVDA DISTRICT DUNGARPUR")</f>
        <v/>
      </c>
      <c r="C1699" t="inlineStr">
        <is>
          <t>Panchayati Raj Department||Secretary and Commissioner||CEO- DUNGARPUR||BDO-DOWARA</t>
        </is>
      </c>
      <c r="D1699" t="inlineStr">
        <is>
          <t>23-May-2025 06:00 PM</t>
        </is>
      </c>
      <c r="E1699" t="inlineStr">
        <is>
          <t>1,00,00,000</t>
        </is>
      </c>
      <c r="F1699" t="inlineStr">
        <is>
          <t>MATERIAL SUPPLY AND EQUIPMENT SUPPLY FOR CONSTRUCTION WORK IN G.P. DAMDI P.S. DOVDA DISTRICT DUNGARPUR</t>
        </is>
      </c>
      <c r="G1699" t="inlineStr">
        <is>
          <t>PS DOVDA</t>
        </is>
      </c>
    </row>
    <row r="1700">
      <c r="A1700" s="1" t="n">
        <v>1698</v>
      </c>
      <c r="B1700">
        <f>HYPERLINK("https://eproc.rajasthan.gov.in/nicgep/app?component=%24DirectLink&amp;page=FrontEndViewTender&amp;service=direct&amp;session=T&amp;sp=Sgp73ooMBwbMRDn2AkOwiwA%3D%3D", "MATERIAL SUPPLY AND EQUIPMENT SUPPLY FOR CONSTRUCTION WORK IN G.P. SATTU P.S. DOVDA DISTRICT DUNGARPUR")</f>
        <v/>
      </c>
      <c r="C1700" t="inlineStr">
        <is>
          <t>Panchayati Raj Department||Secretary and Commissioner||CEO- DUNGARPUR||BDO-DOWARA</t>
        </is>
      </c>
      <c r="D1700" t="inlineStr">
        <is>
          <t>23-May-2025 06:00 PM</t>
        </is>
      </c>
      <c r="E1700" t="inlineStr">
        <is>
          <t>1,00,00,000</t>
        </is>
      </c>
      <c r="F1700" t="inlineStr">
        <is>
          <t>MATERIAL SUPPLY AND EQUIPMENT SUPPLY FOR CONSTRUCTION WORK IN G.P. SATTU P.S. DOVDA DISTRICT DUNGARPUR</t>
        </is>
      </c>
      <c r="G1700" t="inlineStr">
        <is>
          <t>PS DOVDA</t>
        </is>
      </c>
    </row>
    <row r="1701">
      <c r="A1701" s="1" t="n">
        <v>1699</v>
      </c>
      <c r="B1701">
        <f>HYPERLINK("https://eproc.rajasthan.gov.in/nicgep/app?component=%24DirectLink&amp;page=FrontEndViewTender&amp;service=direct&amp;session=T&amp;sp=SByivY14quwDTudAHREuiqg%3D%3D", "MATERIAL SUPPLY AND EQUIPMENT SUPPLY FOR CONSTRUCTION WORK IN G.P. DOZA P.S. DOVDA DISTRICT DUNGARPUR")</f>
        <v/>
      </c>
      <c r="C1701" t="inlineStr">
        <is>
          <t>Panchayati Raj Department||Secretary and Commissioner||CEO- DUNGARPUR||BDO-DOWARA</t>
        </is>
      </c>
      <c r="D1701" t="inlineStr">
        <is>
          <t>23-May-2025 06:00 PM</t>
        </is>
      </c>
      <c r="E1701" t="inlineStr">
        <is>
          <t>1,00,00,000</t>
        </is>
      </c>
      <c r="F1701" t="inlineStr">
        <is>
          <t>MATERIAL SUPPLY AND EQUIPMENT SUPPLY FOR CONSTRUCTION WORK IN G.P. DOZA P.S. DOVDA DISTRICT DUNGARPUR</t>
        </is>
      </c>
      <c r="G1701" t="inlineStr">
        <is>
          <t>PS DOVDA</t>
        </is>
      </c>
    </row>
    <row r="1702">
      <c r="A1702" s="1" t="n">
        <v>1700</v>
      </c>
      <c r="B1702">
        <f>HYPERLINK("https://eproc.rajasthan.gov.in/nicgep/app?component=%24DirectLink&amp;page=FrontEndViewTender&amp;service=direct&amp;session=T&amp;sp=Sl5RiuVyJH3T0D72zSTCjaw%3D%3D", "MATERIAL SUPPLY AND EQUIPMENT SUPPLY FOR CONSTRUCTION WORK IN G.P. LOLAKPUR P.S. DOVDA DISTRICT DUNGARPUR")</f>
        <v/>
      </c>
      <c r="C1702" t="inlineStr">
        <is>
          <t>Panchayati Raj Department||Secretary and Commissioner||CEO- DUNGARPUR||BDO-DOWARA</t>
        </is>
      </c>
      <c r="D1702" t="inlineStr">
        <is>
          <t>23-May-2025 06:00 PM</t>
        </is>
      </c>
      <c r="E1702" t="inlineStr">
        <is>
          <t>1,00,00,000</t>
        </is>
      </c>
      <c r="F1702" t="inlineStr">
        <is>
          <t>MATERIAL SUPPLY AND EQUIPMENT SUPPLY FOR CONSTRUCTION WORK IN G.P. LOLAKPUR P.S. DOVDA DISTRICT DUNGARPUR</t>
        </is>
      </c>
      <c r="G1702" t="inlineStr">
        <is>
          <t>PS DOVDA</t>
        </is>
      </c>
    </row>
    <row r="1703">
      <c r="A1703" s="1" t="n">
        <v>1701</v>
      </c>
      <c r="B1703">
        <f>HYPERLINK("https://eproc.rajasthan.gov.in/nicgep/app?component=%24DirectLink&amp;page=FrontEndViewTender&amp;service=direct&amp;session=T&amp;sp=S8UZnVWWOTc7DlJ%2FDueWNXA%3D%3D", "MATERIAL SUPPLY AND EQUIPMENT SUPPLY FOR CONSTRUCTION WORK IN G.P. BHAJATO KA ODA P.S. DOVDA DISTRICT DUNGARPUR")</f>
        <v/>
      </c>
      <c r="C1703" t="inlineStr">
        <is>
          <t>Panchayati Raj Department||Secretary and Commissioner||CEO- DUNGARPUR||BDO-DOWARA</t>
        </is>
      </c>
      <c r="D1703" t="inlineStr">
        <is>
          <t>23-May-2025 06:00 PM</t>
        </is>
      </c>
      <c r="E1703" t="inlineStr">
        <is>
          <t>1,00,00,000</t>
        </is>
      </c>
      <c r="F1703" t="inlineStr">
        <is>
          <t>MATERIAL SUPPLY AND EQUIPMENT SUPPLY FOR CONSTRUCTION WORK IN G.P. BHAJATO KA ODA P.S. DOVDA DISTRICT DUNGARPUR</t>
        </is>
      </c>
      <c r="G1703" t="inlineStr">
        <is>
          <t>PS DOVDA</t>
        </is>
      </c>
    </row>
    <row r="1704">
      <c r="A1704" s="1" t="n">
        <v>1702</v>
      </c>
      <c r="B1704">
        <f>HYPERLINK("https://eproc.rajasthan.gov.in/nicgep/app?component=%24DirectLink&amp;page=FrontEndViewTender&amp;service=direct&amp;session=T&amp;sp=SxbVv0cFD2jakVh8qlWGa6g%3D%3D", "MATERIAL SUPPLY AND EQUIPMENT SUPPLY FOR CONSTRUCTION WORK IN G.P. KHEMPUR P.S. DOVDA DISTRICT DUNGARPUR")</f>
        <v/>
      </c>
      <c r="C1704" t="inlineStr">
        <is>
          <t>Panchayati Raj Department||Secretary and Commissioner||CEO- DUNGARPUR||BDO-DOWARA</t>
        </is>
      </c>
      <c r="D1704" t="inlineStr">
        <is>
          <t>23-May-2025 06:00 PM</t>
        </is>
      </c>
      <c r="E1704" t="inlineStr">
        <is>
          <t>1,00,00,000</t>
        </is>
      </c>
      <c r="F1704" t="inlineStr">
        <is>
          <t>MATERIAL SUPPLY AND EQUIPMENT SUPPLY FOR CONSTRUCTION WORK IN G.P. KHEMPUR P.S. DOVDA DISTRICT DUNGARPUR</t>
        </is>
      </c>
      <c r="G1704" t="inlineStr">
        <is>
          <t>PS DOVDA</t>
        </is>
      </c>
    </row>
    <row r="1705">
      <c r="A1705" s="1" t="n">
        <v>1703</v>
      </c>
      <c r="B1705">
        <f>HYPERLINK("https://eproc.rajasthan.gov.in/nicgep/app?component=%24DirectLink&amp;page=FrontEndViewTender&amp;service=direct&amp;session=T&amp;sp=Sv68srxixPqDn6bu%2FZwU1cQ%3D%3D", "Rajkiya Uchch Madhyamik Vidyalaya Tarpal me 02 kamare nirman karya")</f>
        <v/>
      </c>
      <c r="C1705" t="inlineStr">
        <is>
          <t>Panchayati Raj Department||Secretary and Commissioner||CEO-UDAIPUR||BDO-SAYRA</t>
        </is>
      </c>
      <c r="D1705" t="inlineStr">
        <is>
          <t>19-May-2025 06:00 PM</t>
        </is>
      </c>
      <c r="E1705" t="inlineStr">
        <is>
          <t>24,00,000</t>
        </is>
      </c>
      <c r="F1705" t="inlineStr">
        <is>
          <t>Rajkiya Uchch Madhyamik Vidyalaya Tarpal me 02 kamare nirman karya Gram Panchayat Tarpal</t>
        </is>
      </c>
      <c r="G1705" t="inlineStr">
        <is>
          <t>Tarpal</t>
        </is>
      </c>
    </row>
    <row r="1706">
      <c r="A1706" s="1" t="n">
        <v>1704</v>
      </c>
      <c r="B1706">
        <f>HYPERLINK("https://eproc.rajasthan.gov.in/nicgep/app?component=%24DirectLink&amp;page=FrontEndViewTender&amp;service=direct&amp;session=T&amp;sp=SfVQvxo2729XS2jAeHnIOWw%3D%3D", "MATERIAL SUPPLY AND EQUIPMENT SUPPLY FOR CONSTRUCTION WORK IN G.P. MANPUR P.S. DOVDA DISTRICT DUNGARPUR")</f>
        <v/>
      </c>
      <c r="C1706" t="inlineStr">
        <is>
          <t>Panchayati Raj Department||Secretary and Commissioner||CEO- DUNGARPUR||BDO-DOWARA</t>
        </is>
      </c>
      <c r="D1706" t="inlineStr">
        <is>
          <t>23-May-2025 06:00 PM</t>
        </is>
      </c>
      <c r="E1706" t="inlineStr">
        <is>
          <t>1,00,00,000</t>
        </is>
      </c>
      <c r="F1706" t="inlineStr">
        <is>
          <t>MATERIAL SUPPLY AND EQUIPMENT SUPPLY FOR CONSTRUCTION WORK IN G.P. MANPUR P.S. DOVDA DISTRICT DUNGARPUR</t>
        </is>
      </c>
      <c r="G1706" t="inlineStr">
        <is>
          <t>PS DOVDA</t>
        </is>
      </c>
    </row>
    <row r="1707">
      <c r="A1707" s="1" t="n">
        <v>1705</v>
      </c>
      <c r="B1707">
        <f>HYPERLINK("https://eproc.rajasthan.gov.in/nicgep/app?component=%24DirectLink&amp;page=FrontEndViewTender&amp;service=direct&amp;session=T&amp;sp=StP8%2FGaR26YNUlVbUabWkWg%3D%3D", "MATERIAL SUPPLY AND EQUIPMENT SUPPLY FOR CONSTRUCTION WORK IN G.P. PUNALI P.S. DOVDA DISTRICT DUNGARPUR")</f>
        <v/>
      </c>
      <c r="C1707" t="inlineStr">
        <is>
          <t>Panchayati Raj Department||Secretary and Commissioner||CEO- DUNGARPUR||BDO-DOWARA</t>
        </is>
      </c>
      <c r="D1707" t="inlineStr">
        <is>
          <t>23-May-2025 06:00 PM</t>
        </is>
      </c>
      <c r="E1707" t="inlineStr">
        <is>
          <t>1,00,00,000</t>
        </is>
      </c>
      <c r="F1707" t="inlineStr">
        <is>
          <t>MATERIAL SUPPLY AND EQUIPMENT SUPPLY FOR CONSTRUCTION WORK IN G.P. PUNALI P.S. DOVDA DISTRICT DUNGARPUR</t>
        </is>
      </c>
      <c r="G1707" t="inlineStr">
        <is>
          <t>PS DOVDA</t>
        </is>
      </c>
    </row>
    <row r="1708">
      <c r="A1708" s="1" t="n">
        <v>1706</v>
      </c>
      <c r="B1708">
        <f>HYPERLINK("https://eproc.rajasthan.gov.in/nicgep/app?component=%24DirectLink&amp;page=FrontEndViewTender&amp;service=direct&amp;session=T&amp;sp=SqXXEQ6SKqA5PZLqYkPVk8A%3D%3D", "MATERIAL SUPPLY AND EQUIPMENT SUPPLY FOR CONSTRUCTION WORK IN G.P. GHATAU P.S. DOVDA DISTRICT DUNGARPUR")</f>
        <v/>
      </c>
      <c r="C1708" t="inlineStr">
        <is>
          <t>Panchayati Raj Department||Secretary and Commissioner||CEO- DUNGARPUR||BDO-DOWARA</t>
        </is>
      </c>
      <c r="D1708" t="inlineStr">
        <is>
          <t>23-May-2025 06:00 PM</t>
        </is>
      </c>
      <c r="E1708" t="inlineStr">
        <is>
          <t>1,00,00,000</t>
        </is>
      </c>
      <c r="F1708" t="inlineStr">
        <is>
          <t>MATERIAL SUPPLY AND EQUIPMENT SUPPLY FOR CONSTRUCTION WORK IN G.P. GHATAU P.S. DOVDA DISTRICT DUNGARPUR</t>
        </is>
      </c>
      <c r="G1708" t="inlineStr">
        <is>
          <t>PS DOVDA</t>
        </is>
      </c>
    </row>
    <row r="1709">
      <c r="A1709" s="1" t="n">
        <v>1707</v>
      </c>
      <c r="B1709">
        <f>HYPERLINK("https://eproc.rajasthan.gov.in/nicgep/app?component=%24DirectLink&amp;page=FrontEndViewTender&amp;service=direct&amp;session=T&amp;sp=ShS5OUyvTahnUuIatjlUCiw%3D%3D", "MATERIAL SUPPLY AND EQUIPMENT SUPPLY FOR CONSTRUCTION WORK IN G.P. VALOTA P.S. DOVDA DISTRICT DUNGARPUR")</f>
        <v/>
      </c>
      <c r="C1709" t="inlineStr">
        <is>
          <t>Panchayati Raj Department||Secretary and Commissioner||CEO- DUNGARPUR||BDO-DOWARA</t>
        </is>
      </c>
      <c r="D1709" t="inlineStr">
        <is>
          <t>23-May-2025 06:00 PM</t>
        </is>
      </c>
      <c r="E1709" t="inlineStr">
        <is>
          <t>1,00,00,000</t>
        </is>
      </c>
      <c r="F1709" t="inlineStr">
        <is>
          <t>MATERIAL SUPPLY AND EQUIPMENT SUPPLY FOR CONSTRUCTION WORK IN G.P. VALOTA P.S. DOVDA DISTRICT DUNGARPUR</t>
        </is>
      </c>
      <c r="G1709" t="inlineStr">
        <is>
          <t>PS DOVDA</t>
        </is>
      </c>
    </row>
    <row r="1710">
      <c r="A1710" s="1" t="n">
        <v>1708</v>
      </c>
      <c r="B1710">
        <f>HYPERLINK("https://eproc.rajasthan.gov.in/nicgep/app?component=%24DirectLink&amp;page=FrontEndViewTender&amp;service=direct&amp;session=T&amp;sp=S2b5%2Btoh9UxIfp5SCx1PFCw%3D%3D", "MATERIAL SUPPLY AND EQUIPMENT SUPPLY FOR CONSTRUCTION WORK IN G.P. FALOJ P.S. DOVDA DISTRICT DUNGARPUR")</f>
        <v/>
      </c>
      <c r="C1710" t="inlineStr">
        <is>
          <t>Panchayati Raj Department||Secretary and Commissioner||CEO- DUNGARPUR||BDO-DOWARA</t>
        </is>
      </c>
      <c r="D1710" t="inlineStr">
        <is>
          <t>23-May-2025 06:00 PM</t>
        </is>
      </c>
      <c r="E1710" t="inlineStr">
        <is>
          <t>1,00,00,000</t>
        </is>
      </c>
      <c r="F1710" t="inlineStr">
        <is>
          <t>MATERIAL SUPPLY AND EQUIPMENT SUPPLY FOR CONSTRUCTION WORK IN G.P. FALOJ P.S. DOVDA DISTRICT DUNGARPUR</t>
        </is>
      </c>
      <c r="G1710" t="inlineStr">
        <is>
          <t>PS DOVDA</t>
        </is>
      </c>
    </row>
    <row r="1711">
      <c r="A1711" s="1" t="n">
        <v>1709</v>
      </c>
      <c r="B1711">
        <f>HYPERLINK("https://eproc.rajasthan.gov.in/nicgep/app?component=%24DirectLink&amp;page=FrontEndViewTender&amp;service=direct&amp;session=T&amp;sp=SSlES%2FBN4W%2FHKwGTmykAa3w%3D%3D", "MATERIAL SUPPLY AND EQUIPMENT SUPPLY FOR CONSTRUCTION WORK IN G.P. DOVDA P.S. DOVDA DISTRICT DUNGARPUR")</f>
        <v/>
      </c>
      <c r="C1711" t="inlineStr">
        <is>
          <t>Panchayati Raj Department||Secretary and Commissioner||CEO- DUNGARPUR||BDO-DOWARA</t>
        </is>
      </c>
      <c r="D1711" t="inlineStr">
        <is>
          <t>23-May-2025 06:00 PM</t>
        </is>
      </c>
      <c r="E1711" t="inlineStr">
        <is>
          <t>1,00,00,000</t>
        </is>
      </c>
      <c r="F1711" t="inlineStr">
        <is>
          <t>MATERIAL SUPPLY AND EQUIPMENT SUPPLY FOR CONSTRUCTION WORK IN G.P. DOVDA P.S. DOVDA DISTRICT DUNGARPUR</t>
        </is>
      </c>
      <c r="G1711" t="inlineStr">
        <is>
          <t>PS DOVDA</t>
        </is>
      </c>
    </row>
    <row r="1712">
      <c r="A1712" s="1" t="n">
        <v>1710</v>
      </c>
      <c r="B1712">
        <f>HYPERLINK("https://eproc.rajasthan.gov.in/nicgep/app?component=%24DirectLink&amp;page=FrontEndViewTender&amp;service=direct&amp;session=T&amp;sp=SoKdWSZ9m%2BV1H0YbrfdC9gg%3D%3D", "MATERIAL SUPPLY AND EQUIPMENT SUPPLY FOR CONSTRUCTION WORK IN G.P. PAL VASSI P.S. DOVDA DISTRICT DUNGARPUR")</f>
        <v/>
      </c>
      <c r="C1712" t="inlineStr">
        <is>
          <t>Panchayati Raj Department||Secretary and Commissioner||CEO- DUNGARPUR||BDO-DOWARA</t>
        </is>
      </c>
      <c r="D1712" t="inlineStr">
        <is>
          <t>23-May-2025 06:00 PM</t>
        </is>
      </c>
      <c r="E1712" t="inlineStr">
        <is>
          <t>1,00,00,000</t>
        </is>
      </c>
      <c r="F1712" t="inlineStr">
        <is>
          <t>MATERIAL SUPPLY AND EQUIPMENT SUPPLY FOR CONSTRUCTION WORK IN G.P. PAL VASSI P.S. DOVDA DISTRICT DUNGARPUR</t>
        </is>
      </c>
      <c r="G1712" t="inlineStr">
        <is>
          <t>PS DOVDA</t>
        </is>
      </c>
    </row>
    <row r="1713">
      <c r="A1713" s="1" t="n">
        <v>1711</v>
      </c>
      <c r="B1713">
        <f>HYPERLINK("https://eproc.rajasthan.gov.in/nicgep/app?component=%24DirectLink&amp;page=FrontEndViewTender&amp;service=direct&amp;session=T&amp;sp=SBqrUzuXS0207GCULqTfJyw%3D%3D", "MATERIAL SUPPLY AND EQUIPMENT SUPPLY FOR CONSTRUCTION WORK IN G.P. HATHAI P.S. DOVDA DISTRICT DUNGARPUR")</f>
        <v/>
      </c>
      <c r="C1713" t="inlineStr">
        <is>
          <t>Panchayati Raj Department||Secretary and Commissioner||CEO- DUNGARPUR||BDO-DOWARA</t>
        </is>
      </c>
      <c r="D1713" t="inlineStr">
        <is>
          <t>23-May-2025 06:00 PM</t>
        </is>
      </c>
      <c r="E1713" t="inlineStr">
        <is>
          <t>1,00,00,000</t>
        </is>
      </c>
      <c r="F1713" t="inlineStr">
        <is>
          <t>MATERIAL SUPPLY AND EQUIPMENT SUPPLY FOR CONSTRUCTION WORK IN G.P. HATHAI P.S. DOVDA DISTRICT DUNGARPUR</t>
        </is>
      </c>
      <c r="G1713" t="inlineStr">
        <is>
          <t>PS DOVDA</t>
        </is>
      </c>
    </row>
    <row r="1714">
      <c r="A1714" s="1" t="n">
        <v>1712</v>
      </c>
      <c r="B1714">
        <f>HYPERLINK("https://eproc.rajasthan.gov.in/nicgep/app?component=%24DirectLink&amp;page=FrontEndViewTender&amp;service=direct&amp;session=T&amp;sp=SQmjTyevCWUpIgsaNnPwO3Q%3D%3D", "MATERIAL SUPPLY AND EQUIPMENT SUPPLY FOR CONSTRUCTION WORK IN G.P. KOLKHANDA KHAS P.S. DOVDA DISTRICT DUNGARPUR")</f>
        <v/>
      </c>
      <c r="C1714" t="inlineStr">
        <is>
          <t>Panchayati Raj Department||Secretary and Commissioner||CEO- DUNGARPUR||BDO-DOWARA</t>
        </is>
      </c>
      <c r="D1714" t="inlineStr">
        <is>
          <t>23-May-2025 06:00 PM</t>
        </is>
      </c>
      <c r="E1714" t="inlineStr">
        <is>
          <t>1,00,00,000</t>
        </is>
      </c>
      <c r="F1714" t="inlineStr">
        <is>
          <t>MATERIAL SUPPLY AND EQUIPMENT SUPPLY FOR CONSTRUCTION WORK IN G.P. KOLKHANDA KHAS P.S. DOVDA DISTRICT DUNGARPUR</t>
        </is>
      </c>
      <c r="G1714" t="inlineStr">
        <is>
          <t>PS DOVDA</t>
        </is>
      </c>
    </row>
    <row r="1715">
      <c r="A1715" s="1" t="n">
        <v>1713</v>
      </c>
      <c r="B1715">
        <f>HYPERLINK("https://eproc.rajasthan.gov.in/nicgep/app?component=%24DirectLink&amp;page=FrontEndViewTender&amp;service=direct&amp;session=T&amp;sp=SNvdppi2uQES6OQV%2BZw3bHg%3D%3D", "Single phase boring nirman kary bhaisa ghati baleta")</f>
        <v/>
      </c>
      <c r="C1715" t="inlineStr">
        <is>
          <t>Panchayati Raj Department||Secretary and Commissioner||CEO-ALWAR||BDO-MALA KHERA</t>
        </is>
      </c>
      <c r="D1715" t="inlineStr">
        <is>
          <t>26-May-2025 11:00 AM</t>
        </is>
      </c>
      <c r="E1715" t="inlineStr">
        <is>
          <t>5,87,369</t>
        </is>
      </c>
      <c r="F1715" t="inlineStr">
        <is>
          <t>Single phase boring nirman kary bhaisa ghati baleta</t>
        </is>
      </c>
      <c r="G1715" t="inlineStr">
        <is>
          <t>Baleta</t>
        </is>
      </c>
    </row>
    <row r="1716">
      <c r="A1716" s="1" t="n">
        <v>1714</v>
      </c>
      <c r="B1716">
        <f>HYPERLINK("https://eproc.rajasthan.gov.in/nicgep/app?component=%24DirectLink&amp;page=FrontEndViewTender&amp;service=direct&amp;session=T&amp;sp=Sajm6qAfGy5D6PnArnRGUxA%3D%3D", "MATERIAL SUPPLY AND EQUIPMENT SUPPLY FOR CONSTRUCTION WORK IN G.P. SELAJ P.S. DOVDA DISTRICT DUNGARPUR")</f>
        <v/>
      </c>
      <c r="C1716" t="inlineStr">
        <is>
          <t>Panchayati Raj Department||Secretary and Commissioner||CEO- DUNGARPUR||BDO-DOWARA</t>
        </is>
      </c>
      <c r="D1716" t="inlineStr">
        <is>
          <t>23-May-2025 06:00 PM</t>
        </is>
      </c>
      <c r="E1716" t="inlineStr">
        <is>
          <t>1,00,00,000</t>
        </is>
      </c>
      <c r="F1716" t="inlineStr">
        <is>
          <t>MATERIAL SUPPLY AND EQUIPMENT SUPPLY FOR CONSTRUCTION WORK IN G.P. SELAJ P.S. DOVDA DISTRICT DUNGARPUR</t>
        </is>
      </c>
      <c r="G1716" t="inlineStr">
        <is>
          <t>PS DOVDA</t>
        </is>
      </c>
    </row>
    <row r="1717">
      <c r="A1717" s="1" t="n">
        <v>1715</v>
      </c>
      <c r="B1717">
        <f>HYPERLINK("https://eproc.rajasthan.gov.in/nicgep/app?component=%24DirectLink&amp;page=FrontEndViewTender&amp;service=direct&amp;session=T&amp;sp=SsmfF3vzNXkBxyk5WWblAEA%3D%3D", "MATERIAL SUPPLY AND EQUIPMENT SUPPLY FOR CONSTRUCTION WORK IN G.P. ODWADIYA P.S. DOVDA DISTRICT DUNGARPUR")</f>
        <v/>
      </c>
      <c r="C1717" t="inlineStr">
        <is>
          <t>Panchayati Raj Department||Secretary and Commissioner||CEO- DUNGARPUR||BDO-DOWARA</t>
        </is>
      </c>
      <c r="D1717" t="inlineStr">
        <is>
          <t>23-May-2025 06:00 PM</t>
        </is>
      </c>
      <c r="E1717" t="inlineStr">
        <is>
          <t>1,00,00,000</t>
        </is>
      </c>
      <c r="F1717" t="inlineStr">
        <is>
          <t>MATERIAL SUPPLY AND EQUIPMENT SUPPLY FOR CONSTRUCTION WORK IN G.P. ODWADIYA P.S. DOVDA DISTRICT DUNGARPUR</t>
        </is>
      </c>
      <c r="G1717" t="inlineStr">
        <is>
          <t>PS DOVDA</t>
        </is>
      </c>
    </row>
    <row r="1718">
      <c r="A1718" s="1" t="n">
        <v>1716</v>
      </c>
      <c r="B1718">
        <f>HYPERLINK("https://eproc.rajasthan.gov.in/nicgep/app?component=%24DirectLink&amp;page=FrontEndViewTender&amp;service=direct&amp;session=T&amp;sp=S4OVXWZOVyI6Vl176uQ1Xmw%3D%3D", "MATERIAL SUPPLY AND EQUIPMENT SUPPLY FOR CONSTRUCTION WORK IN G.P. PAL MANDAV P.S. DOVDA DISTRICT DUNGARPUR")</f>
        <v/>
      </c>
      <c r="C1718" t="inlineStr">
        <is>
          <t>Panchayati Raj Department||Secretary and Commissioner||CEO- DUNGARPUR||BDO-DOWARA</t>
        </is>
      </c>
      <c r="D1718" t="inlineStr">
        <is>
          <t>23-May-2025 06:00 PM</t>
        </is>
      </c>
      <c r="E1718" t="inlineStr">
        <is>
          <t>1,00,00,000</t>
        </is>
      </c>
      <c r="F1718" t="inlineStr">
        <is>
          <t>MATERIAL SUPPLY AND EQUIPMENT SUPPLY FOR CONSTRUCTION WORK IN G.P. PAL MANDAV P.S. DOVDA DISTRICT DUNGARPUR</t>
        </is>
      </c>
      <c r="G1718" t="inlineStr">
        <is>
          <t>PS DOVDA</t>
        </is>
      </c>
    </row>
    <row r="1719">
      <c r="A1719" s="1" t="n">
        <v>1717</v>
      </c>
      <c r="B1719">
        <f>HYPERLINK("https://eproc.rajasthan.gov.in/nicgep/app?component=%24DirectLink&amp;page=FrontEndViewTender&amp;service=direct&amp;session=T&amp;sp=SjjwjJmAAoAHfrWoP8wIVjw%3D%3D", "MATERIAL SUPPLY AND EQUIPMENT SUPPLY FOR CONSTRUCTION WORK IN G.P. ASELA P.S. DOVDA DISTRICT DUNGARPUR")</f>
        <v/>
      </c>
      <c r="C1719" t="inlineStr">
        <is>
          <t>Panchayati Raj Department||Secretary and Commissioner||CEO- DUNGARPUR||BDO-DOWARA</t>
        </is>
      </c>
      <c r="D1719" t="inlineStr">
        <is>
          <t>23-May-2025 06:00 PM</t>
        </is>
      </c>
      <c r="E1719" t="inlineStr">
        <is>
          <t>1,00,00,000</t>
        </is>
      </c>
      <c r="F1719" t="inlineStr">
        <is>
          <t>MATERIAL SUPPLY AND EQUIPMENT SUPPLY FOR CONSTRUCTION WORK IN G.P. ASELA P.S. DOVDA DISTRICT DUNGARPUR</t>
        </is>
      </c>
      <c r="G1719" t="inlineStr">
        <is>
          <t>PS DOVDA</t>
        </is>
      </c>
    </row>
    <row r="1720">
      <c r="A1720" s="1" t="n">
        <v>1718</v>
      </c>
      <c r="B1720">
        <f>HYPERLINK("https://eproc.rajasthan.gov.in/nicgep/app?component=%24DirectLink&amp;page=FrontEndViewTender&amp;service=direct&amp;session=T&amp;sp=SpSqsFmA%2BE48nAkBn3Hjs%2Fw%3D%3D", "Mahatma Gandhi Rajkiya Vidyalaya Angreji Madhyam Bokhada me 02 kamare nirman karya")</f>
        <v/>
      </c>
      <c r="C1720" t="inlineStr">
        <is>
          <t>Panchayati Raj Department||Secretary and Commissioner||CEO-UDAIPUR||BDO-SAYRA</t>
        </is>
      </c>
      <c r="D1720" t="inlineStr">
        <is>
          <t>21-May-2025 06:00 PM</t>
        </is>
      </c>
      <c r="E1720" t="inlineStr">
        <is>
          <t>24,00,000</t>
        </is>
      </c>
      <c r="F1720" t="inlineStr">
        <is>
          <t>Mahatma Gandhi Rajkiya Vidyalaya Angreji Madhyam Bokhada me 02 kamare nirman karya Gram Panchayat Bokhada</t>
        </is>
      </c>
      <c r="G1720" t="inlineStr">
        <is>
          <t>Bokhada</t>
        </is>
      </c>
    </row>
    <row r="1721">
      <c r="A1721" s="1" t="n">
        <v>1719</v>
      </c>
      <c r="B1721">
        <f>HYPERLINK("https://eproc.rajasthan.gov.in/nicgep/app?component=%24DirectLink&amp;page=FrontEndViewTender&amp;service=direct&amp;session=T&amp;sp=SAFAo49OF0SZC3cozRpMvVQ%3D%3D", "MATERIAL SUPPLY AND EQUIPMENT SUPPLY FOR CONSTRUCTION WORK IN G.P. BAIYODA P.S. DOVDA DISTRICT DUNGARPUR")</f>
        <v/>
      </c>
      <c r="C1721" t="inlineStr">
        <is>
          <t>Panchayati Raj Department||Secretary and Commissioner||CEO- DUNGARPUR||BDO-DOWARA</t>
        </is>
      </c>
      <c r="D1721" t="inlineStr">
        <is>
          <t>23-May-2025 06:00 PM</t>
        </is>
      </c>
      <c r="E1721" t="inlineStr">
        <is>
          <t>1,00,00,000</t>
        </is>
      </c>
      <c r="F1721" t="inlineStr">
        <is>
          <t>MATERIAL SUPPLY AND EQUIPMENT SUPPLY FOR CONSTRUCTION WORK IN G.P. BAIYODA P.S. DOVDA DISTRICT DUNGARPUR</t>
        </is>
      </c>
      <c r="G1721" t="inlineStr">
        <is>
          <t>PS DOVDA</t>
        </is>
      </c>
    </row>
    <row r="1722">
      <c r="A1722" s="1" t="n">
        <v>1720</v>
      </c>
      <c r="B1722">
        <f>HYPERLINK("https://eproc.rajasthan.gov.in/nicgep/app?component=%24DirectLink&amp;page=FrontEndViewTender&amp;service=direct&amp;session=T&amp;sp=S5mhqh0H4xQZ9NH93dOQ2ag%3D%3D", "MATERIAL SUPPLY AND EQUIPMENT SUPPLY FOR CONSTRUCTION WORK IN G.P. PANTLI P.S. DOVDA DISTRICT DUNGARPUR")</f>
        <v/>
      </c>
      <c r="C1722" t="inlineStr">
        <is>
          <t>Panchayati Raj Department||Secretary and Commissioner||CEO- DUNGARPUR||BDO-DOWARA</t>
        </is>
      </c>
      <c r="D1722" t="inlineStr">
        <is>
          <t>23-May-2025 06:00 PM</t>
        </is>
      </c>
      <c r="E1722" t="inlineStr">
        <is>
          <t>1,00,00,000</t>
        </is>
      </c>
      <c r="F1722" t="inlineStr">
        <is>
          <t>MATERIAL SUPPLY AND EQUIPMENT SUPPLY FOR CONSTRUCTION WORK IN G.P. PANTLI P.S. DOVDA DISTRICT DUNGARPUR</t>
        </is>
      </c>
      <c r="G1722" t="inlineStr">
        <is>
          <t>PS DOVDA</t>
        </is>
      </c>
    </row>
    <row r="1723">
      <c r="A1723" s="1" t="n">
        <v>1721</v>
      </c>
      <c r="B1723">
        <f>HYPERLINK("https://eproc.rajasthan.gov.in/nicgep/app?component=%24DirectLink&amp;page=FrontEndViewTender&amp;service=direct&amp;session=T&amp;sp=SiQc37PROp1a4lb%2BjNYPUFQ%3D%3D", "Rajkiya Uchch Madhyamik Vidyalaya Visma me 02 kamare nirman karya")</f>
        <v/>
      </c>
      <c r="C1723" t="inlineStr">
        <is>
          <t>Panchayati Raj Department||Secretary and Commissioner||CEO-UDAIPUR||BDO-SAYRA</t>
        </is>
      </c>
      <c r="D1723" t="inlineStr">
        <is>
          <t>20-May-2025 06:00 PM</t>
        </is>
      </c>
      <c r="E1723" t="inlineStr">
        <is>
          <t>24,00,000</t>
        </is>
      </c>
      <c r="F1723" t="inlineStr">
        <is>
          <t>Rajkiya Uchch Madhyamik Vidyalaya Visma me 02 kamare nirman karya Gram Panchayat Visma</t>
        </is>
      </c>
      <c r="G1723" t="inlineStr">
        <is>
          <t>Visma</t>
        </is>
      </c>
    </row>
    <row r="1724">
      <c r="A1724" s="1" t="n">
        <v>1722</v>
      </c>
      <c r="B1724">
        <f>HYPERLINK("https://eproc.rajasthan.gov.in/nicgep/app?component=%24DirectLink&amp;page=FrontEndViewTender&amp;service=direct&amp;session=T&amp;sp=SAhabikDEpgXi0wTOw3%2BYLw%3D%3D", "Construction of Aditional Class Room Govt Primary School Maylo ki Basti")</f>
        <v/>
      </c>
      <c r="C1724" t="inlineStr">
        <is>
          <t>Panchayati Raj Department||Secretary and Commissioner||CEO-BADMER||BDO-FAGLIYA</t>
        </is>
      </c>
      <c r="D1724" t="inlineStr">
        <is>
          <t>23-May-2025 05:00 PM</t>
        </is>
      </c>
      <c r="E1724" t="inlineStr">
        <is>
          <t>7,00,000</t>
        </is>
      </c>
      <c r="F1724" t="inlineStr">
        <is>
          <t>Construction of Aditional Class Room Govt Primary School Maylo ki Basti</t>
        </is>
      </c>
      <c r="G1724" t="inlineStr">
        <is>
          <t>GP KAPRAU</t>
        </is>
      </c>
    </row>
    <row r="1725">
      <c r="A1725" s="1" t="n">
        <v>1723</v>
      </c>
      <c r="B1725">
        <f>HYPERLINK("https://eproc.rajasthan.gov.in/nicgep/app?component=%24DirectLink&amp;page=FrontEndViewTender&amp;service=direct&amp;session=T&amp;sp=S%2BOKWBkVDFLMRxNc15HDJDQ%3D%3D", "HANDPUMP AND SINGLE POINT WITH TANKI NIRMAN KARYA")</f>
        <v/>
      </c>
      <c r="C1725" t="inlineStr">
        <is>
          <t>Panchayati Raj Department||Secretary and Commissioner||CEO-DAUSA||BDO-BANDIKUI</t>
        </is>
      </c>
      <c r="D1725" t="inlineStr">
        <is>
          <t>26-May-2025 06:00 PM</t>
        </is>
      </c>
      <c r="E1725" t="inlineStr">
        <is>
          <t>90,00,000</t>
        </is>
      </c>
      <c r="F1725" t="inlineStr">
        <is>
          <t>HANDPUMP AND SINGLE POINT WITH TANKI NIRMAN KARYA</t>
        </is>
      </c>
      <c r="G1725" t="inlineStr">
        <is>
          <t>PANCHYAT SAMITI BANDIKUI</t>
        </is>
      </c>
    </row>
    <row r="1726">
      <c r="A1726" s="1" t="n">
        <v>1724</v>
      </c>
      <c r="B1726">
        <f>HYPERLINK("https://eproc.rajasthan.gov.in/nicgep/app?component=%24DirectLink&amp;page=FrontEndViewTender&amp;service=direct&amp;session=T&amp;sp=SD5yMPUNyj9Gg2ccT%2BzLC%2Bg%3D%3D", "Supply of Various Construction Materials and Equipment Service Gram Panchayat RashmiP.S. Rashmi")</f>
        <v/>
      </c>
      <c r="C1726" t="inlineStr">
        <is>
          <t>Panchayati Raj Department||Secretary and Commissioner||CEO-CHITTORGARH||BDO-RASHMI</t>
        </is>
      </c>
      <c r="D1726" t="inlineStr">
        <is>
          <t>26-May-2025 10:00 AM</t>
        </is>
      </c>
      <c r="E1726" t="inlineStr">
        <is>
          <t>49,86,000</t>
        </is>
      </c>
      <c r="F1726" t="inlineStr">
        <is>
          <t>Supply of Various Construction Materials and Equipment Service Gram Panchayat RashmiP.S. Rashmi</t>
        </is>
      </c>
      <c r="G1726" t="inlineStr">
        <is>
          <t>sarpanch gram panchayat RASHMI P.S. RASHMI</t>
        </is>
      </c>
    </row>
    <row r="1727">
      <c r="A1727" s="1" t="n">
        <v>1725</v>
      </c>
      <c r="B1727">
        <f>HYPERLINK("https://eproc.rajasthan.gov.in/nicgep/app?component=%24DirectLink&amp;page=FrontEndViewTender&amp;service=direct&amp;session=T&amp;sp=SC274OBA45B1t9NMXSFZEIA%3D%3D", "GRAM PANHAYAT KE SAMAST GAVO ME GHR GHR (AAVASIY AV VYVSAYIK ) SE KACHRA SANGRHAN AV PRATHAK SADAK AV NALI SAFAI TATHA SAMUDAYAK PARISAR KI SAFAI SAHIT KARYA gp somi")</f>
        <v/>
      </c>
      <c r="C1727" t="inlineStr">
        <is>
          <t>Panchayati Raj Department||Secretary and Commissioner||CEO-CHITTORGARH||BDO-RASHMI</t>
        </is>
      </c>
      <c r="D1727" t="inlineStr">
        <is>
          <t>22-May-2025 10:00 AM</t>
        </is>
      </c>
      <c r="E1727" t="inlineStr">
        <is>
          <t>8,67,909</t>
        </is>
      </c>
      <c r="F1727" t="inlineStr">
        <is>
          <t>GRAM PANHAYAT KE SAMAST GAVO ME GHR GHR (AAVASIY AV VYVSAYIK ) SE KACHRA SANGRHAN AV PRATHAK SADAK AV NALI SAFAI TATHA SAMUDAYAK PARISAR KI SAFAI SAHIT KARYA gp somi</t>
        </is>
      </c>
      <c r="G1727" t="inlineStr">
        <is>
          <t>sarpanch gram panchayat Somi</t>
        </is>
      </c>
    </row>
    <row r="1728">
      <c r="A1728" s="1" t="n">
        <v>1726</v>
      </c>
      <c r="B1728">
        <f>HYPERLINK("https://eproc.rajasthan.gov.in/nicgep/app?component=%24DirectLink&amp;page=FrontEndViewTender&amp;service=direct&amp;session=T&amp;sp=SCLt%2B0qnk7qvPGqEmyM6Awg%3D%3D", "MATERIAL SUPPLY FOR MGNREGA WORKS IN GP Gangapura PS PATODI DISTRICT BALOTRA")</f>
        <v/>
      </c>
      <c r="C1728" t="inlineStr">
        <is>
          <t>Panchayati Raj Department||Secretary and Commissioner||CEO-BADMER||BDO-PATODI</t>
        </is>
      </c>
      <c r="D1728" t="inlineStr">
        <is>
          <t>24-May-2025 06:00 PM</t>
        </is>
      </c>
      <c r="E1728" t="inlineStr">
        <is>
          <t>90,00,000</t>
        </is>
      </c>
      <c r="F1728" t="inlineStr">
        <is>
          <t>MATERIAL SUPPLY FOR MGNREGA WORKS IN GP Gangapura PS PATODI DISTRICT BALOTRA</t>
        </is>
      </c>
      <c r="G1728" t="inlineStr">
        <is>
          <t>Gram Panchayat Gangapura</t>
        </is>
      </c>
    </row>
    <row r="1729">
      <c r="A1729" s="1" t="n">
        <v>1727</v>
      </c>
      <c r="B1729">
        <f>HYPERLINK("https://eproc.rajasthan.gov.in/nicgep/app?component=%24DirectLink&amp;page=FrontEndViewTender&amp;service=direct&amp;session=T&amp;sp=SnttNqq6Gz%2B8Pl5s6kXp0zQ%3D%3D", "MATERIAL SUPPLY FOR MGNREGA WORKS IN GP Navoda Bera PS PATODI DISTRICT BALOTRA")</f>
        <v/>
      </c>
      <c r="C1729" t="inlineStr">
        <is>
          <t>Panchayati Raj Department||Secretary and Commissioner||CEO-BADMER||BDO-PATODI</t>
        </is>
      </c>
      <c r="D1729" t="inlineStr">
        <is>
          <t>24-May-2025 06:00 PM</t>
        </is>
      </c>
      <c r="E1729" t="inlineStr">
        <is>
          <t>98,00,000</t>
        </is>
      </c>
      <c r="F1729" t="inlineStr">
        <is>
          <t>MATERIAL SUPPLY FOR MGNREGA WORKS IN GP Navoda Bera PS PATODI DISTRICT BALOTRA</t>
        </is>
      </c>
      <c r="G1729" t="inlineStr">
        <is>
          <t>Gram Panchayat Navoda Bera</t>
        </is>
      </c>
    </row>
    <row r="1730">
      <c r="A1730" s="1" t="n">
        <v>1728</v>
      </c>
      <c r="B1730">
        <f>HYPERLINK("https://eproc.rajasthan.gov.in/nicgep/app?component=%24DirectLink&amp;page=FrontEndViewTender&amp;service=direct&amp;session=T&amp;sp=SgRrm2hAfkLUP%2BC4wH1A%2FPQ%3D%3D", "RATE CONTRACT FOR SUPPLY OF CONSTRUCTION MATERIAL FOR THE FINANCIAL YEAR 2025-26 IN GRAM PANCHAYAT KARAD PANCHAYAT SAMITI DANTARAMGARH DISTT SIKAR")</f>
        <v/>
      </c>
      <c r="C1730" t="inlineStr">
        <is>
          <t>Panchayati Raj Department||Secretary and Commissioner||CEO-SIKAR||BDO-DANTARAMGARH</t>
        </is>
      </c>
      <c r="D1730" t="inlineStr">
        <is>
          <t>24-May-2025 06:00 PM</t>
        </is>
      </c>
      <c r="E1730" t="inlineStr">
        <is>
          <t>40,00,000</t>
        </is>
      </c>
      <c r="F1730" t="inlineStr">
        <is>
          <t>RATE CONTRACT FOR SUPPLY OF CONSTRUCTION MATERIAL FOR THE FINANCIAL YEAR 2025-26 IN GRAM PANCHAYAT KARAD PANCHAYAT SAMITI DANTARAMGARH DISTT SIKAR</t>
        </is>
      </c>
      <c r="G1730" t="inlineStr">
        <is>
          <t>GRAM PANCHAYAT KARAD</t>
        </is>
      </c>
    </row>
    <row r="1731">
      <c r="A1731" s="1" t="n">
        <v>1729</v>
      </c>
      <c r="B1731">
        <f>HYPERLINK("https://eproc.rajasthan.gov.in/nicgep/app?component=%24DirectLink&amp;page=FrontEndViewTender&amp;service=direct&amp;session=T&amp;sp=SdmAyyTsXBpRCoxmKzb0NbA%3D%3D", "Rate Contract for BSR 2025-26 FOR MATERIAL AND EQUIPMENT SUPPLY FOR GRAM PANCHAYAT SULTANA")</f>
        <v/>
      </c>
      <c r="C1731" t="inlineStr">
        <is>
          <t>Panchayati Raj Department||Secretary and Commissioner||CEO- JAISALMER||BDO-MOHANGARH</t>
        </is>
      </c>
      <c r="D1731" t="inlineStr">
        <is>
          <t>23-May-2025 06:00 PM</t>
        </is>
      </c>
      <c r="E1731" t="inlineStr">
        <is>
          <t>NA</t>
        </is>
      </c>
      <c r="F1731" t="inlineStr">
        <is>
          <t>Rate Contract for BSR 2025-26 FOR MATERIAL AND EQUIPMENT SUPPLY FOR GRAM PANCHAYAT SULTANA</t>
        </is>
      </c>
      <c r="G1731" t="inlineStr">
        <is>
          <t>GRAM PANCHAYAT SULTANA</t>
        </is>
      </c>
    </row>
    <row r="1732">
      <c r="A1732" s="1" t="n">
        <v>1730</v>
      </c>
      <c r="B1732">
        <f>HYPERLINK("https://eproc.rajasthan.gov.in/nicgep/app?component=%24DirectLink&amp;page=FrontEndViewTender&amp;service=direct&amp;session=T&amp;sp=S7gQDMQZzWURcAJUOJeMrng%3D%3D", "Rate Contract for BSR 2025-26 FOR MATERIAL AND EQUIPMENT SUPPLY FOR GRAM PANCHAYAT KATHODI")</f>
        <v/>
      </c>
      <c r="C1732" t="inlineStr">
        <is>
          <t>Panchayati Raj Department||Secretary and Commissioner||CEO- JAISALMER||BDO-MOHANGARH</t>
        </is>
      </c>
      <c r="D1732" t="inlineStr">
        <is>
          <t>23-May-2025 06:00 PM</t>
        </is>
      </c>
      <c r="E1732" t="inlineStr">
        <is>
          <t>NA</t>
        </is>
      </c>
      <c r="F1732" t="inlineStr">
        <is>
          <t>Rate Contract for BSR 2025-26 FOR MATERIAL AND EQUIPMENT SUPPLY FOR GRAM PANCHAYAT KATHODI</t>
        </is>
      </c>
      <c r="G1732" t="inlineStr">
        <is>
          <t>GRAM PANCHAYAT KATHODI</t>
        </is>
      </c>
    </row>
    <row r="1733">
      <c r="A1733" s="1" t="n">
        <v>1731</v>
      </c>
      <c r="B1733">
        <f>HYPERLINK("https://eproc.rajasthan.gov.in/nicgep/app?component=%24DirectLink&amp;page=FrontEndViewTender&amp;service=direct&amp;session=T&amp;sp=SqMe1TwTXHSepRBwzRvBHzw%3D%3D", "Rate Contract for BSR 2025-26 FOR MATERIAL AND EQUIPMENT SUPPLY FOR GRAM PANCHAYAT DHAUWA")</f>
        <v/>
      </c>
      <c r="C1733" t="inlineStr">
        <is>
          <t>Panchayati Raj Department||Secretary and Commissioner||CEO- JAISALMER||BDO-JAISALMER</t>
        </is>
      </c>
      <c r="D1733" t="inlineStr">
        <is>
          <t>23-May-2025 06:00 PM</t>
        </is>
      </c>
      <c r="E1733" t="inlineStr">
        <is>
          <t>NA</t>
        </is>
      </c>
      <c r="F1733" t="inlineStr">
        <is>
          <t>Rate Contract for BSR 2025-26 FOR MATERIAL AND EQUIPMENT SUPPLY FOR GRAM PANCHAYAT DHAUWA</t>
        </is>
      </c>
      <c r="G1733" t="inlineStr">
        <is>
          <t>GRAM PANCHAYAT DHAUWA</t>
        </is>
      </c>
    </row>
    <row r="1734">
      <c r="A1734" s="1" t="n">
        <v>1732</v>
      </c>
      <c r="B1734">
        <f>HYPERLINK("https://eproc.rajasthan.gov.in/nicgep/app?component=%24DirectLink&amp;page=FrontEndViewTender&amp;service=direct&amp;session=T&amp;sp=SxubVObIYuRH%2BT0hd4Kv17A%3D%3D", "05/2025-26")</f>
        <v/>
      </c>
      <c r="C1734" t="inlineStr">
        <is>
          <t>Panchayati Raj Department||Secretary and Commissioner||CEO- JAISALMER||BDO-JAISALMER</t>
        </is>
      </c>
      <c r="D1734" t="inlineStr">
        <is>
          <t>23-May-2025 06:00 PM</t>
        </is>
      </c>
      <c r="E1734" t="inlineStr">
        <is>
          <t>NA</t>
        </is>
      </c>
      <c r="F1734" t="inlineStr">
        <is>
          <t>Rate Contract for BSR 2025-26 FOR MATERIAL AND EQUIPMENT SUPPLY FOR GRAM PANCHAYAT KITA</t>
        </is>
      </c>
      <c r="G1734" t="inlineStr">
        <is>
          <t>GRAM PANCHAYAT KITA</t>
        </is>
      </c>
    </row>
    <row r="1735">
      <c r="A1735" s="1" t="n">
        <v>1733</v>
      </c>
      <c r="B1735">
        <f>HYPERLINK("https://eproc.rajasthan.gov.in/nicgep/app?component=%24DirectLink&amp;page=FrontEndViewTender&amp;service=direct&amp;session=T&amp;sp=SqoeUxPekr%2FHqcZUF3zmiVQ%3D%3D", "Rate Contract for BSR 2025-26 FOR MATERIAL AND EQUIPMENT SUPPLY FOR GRAM PANCHAYAT BADODA GAON")</f>
        <v/>
      </c>
      <c r="C1735" t="inlineStr">
        <is>
          <t>Panchayati Raj Department||Secretary and Commissioner||CEO- JAISALMER||BDO-JAISALMER</t>
        </is>
      </c>
      <c r="D1735" t="inlineStr">
        <is>
          <t>28-May-2025 06:00 PM</t>
        </is>
      </c>
      <c r="E1735" t="inlineStr">
        <is>
          <t>NA</t>
        </is>
      </c>
      <c r="F1735" t="inlineStr">
        <is>
          <t>Rate Contract for BSR 2025-26 FOR MATERIAL AND EQUIPMENT SUPPLY FOR GRAM PANCHAYAT BADODA GAON</t>
        </is>
      </c>
      <c r="G1735" t="inlineStr">
        <is>
          <t>GRAM PANCHAYAT BADODA GAON</t>
        </is>
      </c>
    </row>
    <row r="1736">
      <c r="A1736" s="1" t="n">
        <v>1734</v>
      </c>
      <c r="B1736">
        <f>HYPERLINK("https://eproc.rajasthan.gov.in/nicgep/app?component=%24DirectLink&amp;page=FrontEndViewTender&amp;service=direct&amp;session=T&amp;sp=SfI9zyRu6AdCSs%2Bphcx8HBg%3D%3D", "Construction and Repair of 2 Class room with Chat in Govt. Pre. School Dob GP Newaj")</f>
        <v/>
      </c>
      <c r="C1736" t="inlineStr">
        <is>
          <t>Panchayati Raj Department||Secretary and Commissioner||CEO-UDAIPUR||BDO-SALUMBAR</t>
        </is>
      </c>
      <c r="D1736" t="inlineStr">
        <is>
          <t>23-May-2025 06:00 PM</t>
        </is>
      </c>
      <c r="E1736" t="inlineStr">
        <is>
          <t>10,00,000</t>
        </is>
      </c>
      <c r="F1736" t="inlineStr">
        <is>
          <t>Construction and Repair of 2 Class room with Chat in Govt. Pre. School Dob GP Newaj</t>
        </is>
      </c>
      <c r="G1736" t="inlineStr">
        <is>
          <t>GP Newaj</t>
        </is>
      </c>
    </row>
    <row r="1737">
      <c r="A1737" s="1" t="n">
        <v>1735</v>
      </c>
      <c r="B1737">
        <f>HYPERLINK("https://eproc.rajasthan.gov.in/nicgep/app?component=%24DirectLink&amp;page=FrontEndViewTender&amp;service=direct&amp;session=T&amp;sp=SjmoUyIy0y0jiBwdm9QfymQ%3D%3D", "GP/NIVIDA/2025-26/08/NARHAR")</f>
        <v/>
      </c>
      <c r="C1737" t="inlineStr">
        <is>
          <t>Panchayati Raj Department||Secretary and Commissioner||CEO-JHUNJHUNU||BDO-KHETARI</t>
        </is>
      </c>
      <c r="D1737" t="inlineStr">
        <is>
          <t>26-May-2025 06:00 PM</t>
        </is>
      </c>
      <c r="E1737" t="inlineStr">
        <is>
          <t>90,00,000</t>
        </is>
      </c>
      <c r="F1737" t="inlineStr">
        <is>
          <t>MGNAREGA AND OTHER SCHEME MATERIAL SUPPLY FY 2025-26</t>
        </is>
      </c>
      <c r="G1737" t="inlineStr">
        <is>
          <t>NARHAR</t>
        </is>
      </c>
    </row>
    <row r="1738">
      <c r="A1738" s="1" t="n">
        <v>1736</v>
      </c>
      <c r="B1738">
        <f>HYPERLINK("https://eproc.rajasthan.gov.in/nicgep/app?component=%24DirectLink&amp;page=FrontEndViewTender&amp;service=direct&amp;session=T&amp;sp=SoJxlZOJ4PWN%2FcfKP1d36ug%3D%3D", "CONSTRUCTION OF BOUNDRYWALL AT KHEL MEDAN GSSS LETA GP LETA")</f>
        <v/>
      </c>
      <c r="C1738" t="inlineStr">
        <is>
          <t>Panchayati Raj Department||Secretary and Commissioner||CEO- JALORE||BDO- JALORE</t>
        </is>
      </c>
      <c r="D1738" t="inlineStr">
        <is>
          <t>23-May-2025 06:00 PM</t>
        </is>
      </c>
      <c r="E1738" t="inlineStr">
        <is>
          <t>5,00,000</t>
        </is>
      </c>
      <c r="F1738" t="inlineStr">
        <is>
          <t>CONSTRUCTION OF BOUNDRYWALL AT KHEL MEDAN GSSS LETA GP LETA</t>
        </is>
      </c>
      <c r="G1738" t="inlineStr">
        <is>
          <t>LETA</t>
        </is>
      </c>
    </row>
    <row r="1739">
      <c r="A1739" s="1" t="n">
        <v>1737</v>
      </c>
      <c r="B1739">
        <f>HYPERLINK("https://eproc.rajasthan.gov.in/nicgep/app?component=%24DirectLink&amp;page=FrontEndViewTender&amp;service=direct&amp;session=T&amp;sp=ShlN2opLweUJAiH%2B34oxmDg%3D%3D", "GP/NIVIDA/2025-26/34/BHUKANA")</f>
        <v/>
      </c>
      <c r="C1739" t="inlineStr">
        <is>
          <t>Panchayati Raj Department||Secretary and Commissioner||CEO-JHUNJHUNU||BDO-KHETARI</t>
        </is>
      </c>
      <c r="D1739" t="inlineStr">
        <is>
          <t>26-May-2025 06:00 PM</t>
        </is>
      </c>
      <c r="E1739" t="inlineStr">
        <is>
          <t>60,00,000</t>
        </is>
      </c>
      <c r="F1739" t="inlineStr">
        <is>
          <t>MGNAREGA AND OTHER SCHEME MATERIAL SUPPLY FY 2025-26</t>
        </is>
      </c>
      <c r="G1739" t="inlineStr">
        <is>
          <t>BHUKANA</t>
        </is>
      </c>
    </row>
    <row r="1740">
      <c r="A1740" s="1" t="n">
        <v>1738</v>
      </c>
      <c r="B1740">
        <f>HYPERLINK("https://eproc.rajasthan.gov.in/nicgep/app?component=%24DirectLink&amp;page=FrontEndViewTender&amp;service=direct&amp;session=T&amp;sp=SPXc0S%2BangTzY%2BRnCoYoJaA%3D%3D", "Construction of Boundry wall Govt. Pre. School Bijli me GP Damana")</f>
        <v/>
      </c>
      <c r="C1740" t="inlineStr">
        <is>
          <t>Panchayati Raj Department||Secretary and Commissioner||CEO-UDAIPUR||BDO-SALUMBAR</t>
        </is>
      </c>
      <c r="D1740" t="inlineStr">
        <is>
          <t>23-May-2025 06:00 PM</t>
        </is>
      </c>
      <c r="E1740" t="inlineStr">
        <is>
          <t>10,00,000</t>
        </is>
      </c>
      <c r="F1740" t="inlineStr">
        <is>
          <t>Construction of Boundry wall Govt. Pre. School Bijli me GP Damana</t>
        </is>
      </c>
      <c r="G1740" t="inlineStr">
        <is>
          <t>GP Damana</t>
        </is>
      </c>
    </row>
    <row r="1741">
      <c r="A1741" s="1" t="n">
        <v>1739</v>
      </c>
      <c r="B1741">
        <f>HYPERLINK("https://eproc.rajasthan.gov.in/nicgep/app?component=%24DirectLink&amp;page=FrontEndViewTender&amp;service=direct&amp;session=T&amp;sp=SNGgDwm%2BM7l3QkkK7FMIvOw%3D%3D", "GP/NIVIDA/2025-26/1/CHANANA")</f>
        <v/>
      </c>
      <c r="C1741" t="inlineStr">
        <is>
          <t>Panchayati Raj Department||Secretary and Commissioner||CEO-JHUNJHUNU||BDO-KHETARI</t>
        </is>
      </c>
      <c r="D1741" t="inlineStr">
        <is>
          <t>26-May-2025 06:00 PM</t>
        </is>
      </c>
      <c r="E1741" t="inlineStr">
        <is>
          <t>1,00,00,000</t>
        </is>
      </c>
      <c r="F1741" t="inlineStr">
        <is>
          <t>MGNAREGA AND OTHER SCHEME OF RD MATERIAL SUPPLY IN FY 2025-26</t>
        </is>
      </c>
      <c r="G1741" t="inlineStr">
        <is>
          <t>CHANANA</t>
        </is>
      </c>
    </row>
    <row r="1742">
      <c r="A1742" s="1" t="n">
        <v>1740</v>
      </c>
      <c r="B1742">
        <f>HYPERLINK("https://eproc.rajasthan.gov.in/nicgep/app?component=%24DirectLink&amp;page=FrontEndViewTender&amp;service=direct&amp;session=T&amp;sp=Sj8oAYZEfzv%2Fj92jIv4Mgrg%3D%3D", "GP/NIVIDA/2025-26/01/gidaniya")</f>
        <v/>
      </c>
      <c r="C1742" t="inlineStr">
        <is>
          <t>Panchayati Raj Department||Secretary and Commissioner||CEO-JHUNJHUNU||BDO-KHETARI</t>
        </is>
      </c>
      <c r="D1742" t="inlineStr">
        <is>
          <t>23-May-2025 06:00 PM</t>
        </is>
      </c>
      <c r="E1742" t="inlineStr">
        <is>
          <t>60,00,000</t>
        </is>
      </c>
      <c r="F1742" t="inlineStr">
        <is>
          <t>MGNAREGA AND OTHER SCHEME MATERIAL SUPPLYY FY 2025-26</t>
        </is>
      </c>
      <c r="G1742" t="inlineStr">
        <is>
          <t>GIDANIYA</t>
        </is>
      </c>
    </row>
    <row r="1743">
      <c r="A1743" s="1" t="n">
        <v>1741</v>
      </c>
      <c r="B1743">
        <f>HYPERLINK("https://eproc.rajasthan.gov.in/nicgep/app?component=%24DirectLink&amp;page=FrontEndViewTender&amp;service=direct&amp;session=T&amp;sp=SHOXc%2F5pSc9XoC4iHXMpFFA%3D%3D", "E TENDER SECURITY GURARD ALL GPS PS SAIPAU")</f>
        <v/>
      </c>
      <c r="C1743" t="inlineStr">
        <is>
          <t>Panchayati Raj Department||Secretary and Commissioner||CEO-DHOLPUR||BDO-SEPAU</t>
        </is>
      </c>
      <c r="D1743" t="inlineStr">
        <is>
          <t>26-May-2025 10:00 AM</t>
        </is>
      </c>
      <c r="E1743" t="inlineStr">
        <is>
          <t>40,00,000</t>
        </is>
      </c>
      <c r="F1743" t="inlineStr">
        <is>
          <t>E TENDER SECURITY GURARD ALL GPS PS SAIPAU</t>
        </is>
      </c>
      <c r="G1743" t="inlineStr">
        <is>
          <t>PANCHAYAT SAMITI SAIPAU</t>
        </is>
      </c>
    </row>
    <row r="1744">
      <c r="A1744" s="1" t="n">
        <v>1742</v>
      </c>
      <c r="B1744">
        <f>HYPERLINK("https://eproc.rajasthan.gov.in/nicgep/app?component=%24DirectLink&amp;page=FrontEndViewTender&amp;service=direct&amp;session=T&amp;sp=S7tT5mAEri9x%2BsZupJb9%2BoA%3D%3D", "MATERIAL SUPPLY IN GRAM PANCHAYAT BAINADA OF PANCHAYAT SAMITI BASSI")</f>
        <v/>
      </c>
      <c r="C1744" t="inlineStr">
        <is>
          <t>Panchayati Raj Department||Secretary and Commissioner||CEO- JAIPUR||BDO-BASSI</t>
        </is>
      </c>
      <c r="D1744" t="inlineStr">
        <is>
          <t>26-May-2025 02:00 PM</t>
        </is>
      </c>
      <c r="E1744" t="inlineStr">
        <is>
          <t>55,00,000</t>
        </is>
      </c>
      <c r="F1744" t="inlineStr">
        <is>
          <t>MATERIAL SUPPLY IN GRAM PANCHAYAT BAINADA OF PANCHAYAT SAMITI BASSI</t>
        </is>
      </c>
      <c r="G1744" t="inlineStr">
        <is>
          <t>PANCHAYAT SAMITI BASSI</t>
        </is>
      </c>
    </row>
    <row r="1745">
      <c r="A1745" s="1" t="n">
        <v>1743</v>
      </c>
      <c r="B1745">
        <f>HYPERLINK("https://eproc.rajasthan.gov.in/nicgep/app?component=%24DirectLink&amp;page=FrontEndViewTender&amp;service=direct&amp;session=T&amp;sp=SjdRPRUtPWgMA%2Bduvqmd5og%3D%3D", "CC Road with Naali nirman karya Bag singh ke ghar se krishnpal ke ghar tk village Guda kesar singh")</f>
        <v/>
      </c>
      <c r="C1745" t="inlineStr">
        <is>
          <t>Panchayati Raj Department||Secretary and Commissioner||CEO-PALI||BDO-RANISTATION</t>
        </is>
      </c>
      <c r="D1745" t="inlineStr">
        <is>
          <t>20-May-2025 06:00 PM</t>
        </is>
      </c>
      <c r="E1745" t="inlineStr">
        <is>
          <t>8,00,000</t>
        </is>
      </c>
      <c r="F1745" t="inlineStr">
        <is>
          <t>CC Road with Naali nirman karya Bag singh ke ghar se krishnpal ke ghar tk village Guda kesar singh GP Neepal</t>
        </is>
      </c>
      <c r="G1745" t="inlineStr">
        <is>
          <t>GRAM PANCHAYAT NEEPAL</t>
        </is>
      </c>
    </row>
    <row r="1746">
      <c r="A1746" s="1" t="n">
        <v>1744</v>
      </c>
      <c r="B1746">
        <f>HYPERLINK("https://eproc.rajasthan.gov.in/nicgep/app?component=%24DirectLink&amp;page=FrontEndViewTender&amp;service=direct&amp;session=T&amp;sp=Sa6X9JgB%2FnKp0XnB1Cdgi%2BQ%3D%3D", "Work including door-to-door residential and commercial garbage collection and separation road and drain cleaning and community sanitation premises cleaning in all villages of Gram Panchayat AUNDMEENA Panchayat Samiti Mahwa Dist. Dausa For FY 2025-26")</f>
        <v/>
      </c>
      <c r="C1746" t="inlineStr">
        <is>
          <t>Panchayati Raj Department||Secretary and Commissioner||CEO-DAUSA||BDO-MAHUVA</t>
        </is>
      </c>
      <c r="D1746" t="inlineStr">
        <is>
          <t>23-May-2025 05:00 PM</t>
        </is>
      </c>
      <c r="E1746" t="inlineStr">
        <is>
          <t>6,65,402</t>
        </is>
      </c>
      <c r="F1746" t="inlineStr">
        <is>
          <t>Work including door-to-door residential and commercial garbage collection and separation road and drain cleaning and community sanitation premises cleaning in all villages of Gram Panchayat AUNDMEENA Panchayat Samiti Mahwa Dist. Dausa For FY 2025-26</t>
        </is>
      </c>
      <c r="G1746" t="inlineStr">
        <is>
          <t>Gram Panchayat AUNDMEENA</t>
        </is>
      </c>
    </row>
    <row r="1747">
      <c r="A1747" s="1" t="n">
        <v>1745</v>
      </c>
      <c r="B1747">
        <f>HYPERLINK("https://eproc.rajasthan.gov.in/nicgep/app?component=%24DirectLink&amp;page=FrontEndViewTender&amp;service=direct&amp;session=T&amp;sp=SVSJ%2FLeLNqoYpuqub4Evlfw%3D%3D", "Construction of Boundry wall Govt. Pre. School Jogniya Mata Khardiya GP Khardiya")</f>
        <v/>
      </c>
      <c r="C1747" t="inlineStr">
        <is>
          <t>Panchayati Raj Department||Secretary and Commissioner||CEO-UDAIPUR||BDO-SALUMBAR</t>
        </is>
      </c>
      <c r="D1747" t="inlineStr">
        <is>
          <t>23-May-2025 06:00 PM</t>
        </is>
      </c>
      <c r="E1747" t="inlineStr">
        <is>
          <t>20,00,000</t>
        </is>
      </c>
      <c r="F1747" t="inlineStr">
        <is>
          <t>Construction of Boundry wall Govt. Pre. School Jogniya Mata Khardiya GP Khardiya</t>
        </is>
      </c>
      <c r="G1747" t="inlineStr">
        <is>
          <t>GP Khardiya</t>
        </is>
      </c>
    </row>
    <row r="1748">
      <c r="A1748" s="1" t="n">
        <v>1746</v>
      </c>
      <c r="B1748">
        <f>HYPERLINK("https://eproc.rajasthan.gov.in/nicgep/app?component=%24DirectLink&amp;page=FrontEndViewTender&amp;service=direct&amp;session=T&amp;sp=Su32%2FzFiTA80IMg22RfybYA%3D%3D", "Noore ki Motar se 6 SD School Tak 10 Murbba greval road nirman")</f>
        <v/>
      </c>
      <c r="C1748" t="inlineStr">
        <is>
          <t>Panchayati Raj Department||Secretary and Commissioner||CEO- GANGANAGAR||BDO-SURATGARH</t>
        </is>
      </c>
      <c r="D1748" t="inlineStr">
        <is>
          <t>23-May-2025 01:00 PM</t>
        </is>
      </c>
      <c r="E1748" t="inlineStr">
        <is>
          <t>13,00,000</t>
        </is>
      </c>
      <c r="F1748" t="inlineStr">
        <is>
          <t>Noore ki Motar se 6 SD School Tak 10 Murbba greval road nirman</t>
        </is>
      </c>
      <c r="G1748" t="inlineStr">
        <is>
          <t>Gram Panchyat Jankidaswala</t>
        </is>
      </c>
    </row>
    <row r="1749">
      <c r="A1749" s="1" t="n">
        <v>1747</v>
      </c>
      <c r="B1749">
        <f>HYPERLINK("https://eproc.rajasthan.gov.in/nicgep/app?component=%24DirectLink&amp;page=FrontEndViewTender&amp;service=direct&amp;session=T&amp;sp=Sw8AkJVqQZpsS1UrcwBHARw%3D%3D", "MATERIAL SUPPLY IN GRAM PANCHAYAT GHATA OF PANCHAYAT SAMITI BASSI")</f>
        <v/>
      </c>
      <c r="C1749" t="inlineStr">
        <is>
          <t>Panchayati Raj Department||Secretary and Commissioner||CEO- JAIPUR||BDO-BASSI</t>
        </is>
      </c>
      <c r="D1749" t="inlineStr">
        <is>
          <t>26-May-2025 02:00 PM</t>
        </is>
      </c>
      <c r="E1749" t="inlineStr">
        <is>
          <t>50,00,000</t>
        </is>
      </c>
      <c r="F1749" t="inlineStr">
        <is>
          <t>MATERIAL SUPPLY IN GRAM PANCHAYAT GHATA OF PANCHAYAT SAMITI BASSI</t>
        </is>
      </c>
      <c r="G1749" t="inlineStr">
        <is>
          <t>PANCHAYAT SAMITI BASSI</t>
        </is>
      </c>
    </row>
    <row r="1750">
      <c r="A1750" s="1" t="n">
        <v>1748</v>
      </c>
      <c r="B1750">
        <f>HYPERLINK("https://eproc.rajasthan.gov.in/nicgep/app?component=%24DirectLink&amp;page=FrontEndViewTender&amp;service=direct&amp;session=T&amp;sp=SetZ24A9G%2BcPsE%2FHvuU1AFw%3D%3D", "tubewell construction")</f>
        <v/>
      </c>
      <c r="C1750" t="inlineStr">
        <is>
          <t>Panchayati Raj Department||Secretary and Commissioner||CEO-BIKANER||BDO-SHRI DUNGARGARH</t>
        </is>
      </c>
      <c r="D1750" t="inlineStr">
        <is>
          <t>20-May-2025 06:00 PM</t>
        </is>
      </c>
      <c r="E1750" t="inlineStr">
        <is>
          <t>NA</t>
        </is>
      </c>
      <c r="F1750" t="inlineStr">
        <is>
          <t>tubewell construction and commissioning in gram panchayat seruna bhadu bass</t>
        </is>
      </c>
      <c r="G1750" t="inlineStr">
        <is>
          <t>seruna</t>
        </is>
      </c>
    </row>
    <row r="1751">
      <c r="A1751" s="1" t="n">
        <v>1749</v>
      </c>
      <c r="B1751">
        <f>HYPERLINK("https://eproc.rajasthan.gov.in/nicgep/app?component=%24DirectLink&amp;page=FrontEndViewTender&amp;service=direct&amp;session=T&amp;sp=SXJfBAuuPDBpO%2FzaLB%2BawiA%3D%3D", "CONSTRUCTION WORK OF TOILET ATGUPS SUJAN NADI GP LETA")</f>
        <v/>
      </c>
      <c r="C1751" t="inlineStr">
        <is>
          <t>Panchayati Raj Department||Secretary and Commissioner||CEO- JALORE||BDO- JALORE</t>
        </is>
      </c>
      <c r="D1751" t="inlineStr">
        <is>
          <t>23-May-2025 06:00 PM</t>
        </is>
      </c>
      <c r="E1751" t="inlineStr">
        <is>
          <t>2,00,000</t>
        </is>
      </c>
      <c r="F1751" t="inlineStr">
        <is>
          <t>CONSTRUCTION WORK OF TOILET ATGUPS SUJAN NADI GP LETA</t>
        </is>
      </c>
      <c r="G1751" t="inlineStr">
        <is>
          <t>LETA</t>
        </is>
      </c>
    </row>
    <row r="1752">
      <c r="A1752" s="1" t="n">
        <v>1750</v>
      </c>
      <c r="B1752">
        <f>HYPERLINK("https://eproc.rajasthan.gov.in/nicgep/app?component=%24DirectLink&amp;page=FrontEndViewTender&amp;service=direct&amp;session=T&amp;sp=SbNZVSgyZYsVz1dN71IYv7Q%3D%3D", "Construction of 2 Class Room in Govt. Pre. School Ubapan G P Jetawad PS Phalasiya")</f>
        <v/>
      </c>
      <c r="C1752" t="inlineStr">
        <is>
          <t>Panchayati Raj Department||Secretary and Commissioner||CEO-UDAIPUR||BDO-SALUMBAR</t>
        </is>
      </c>
      <c r="D1752" t="inlineStr">
        <is>
          <t>23-May-2025 06:00 PM</t>
        </is>
      </c>
      <c r="E1752" t="inlineStr">
        <is>
          <t>20,00,000</t>
        </is>
      </c>
      <c r="F1752" t="inlineStr">
        <is>
          <t>Construction of 2 Class Room in Govt. Pre. School Ubapan G P Jetawad PS Phalasiya</t>
        </is>
      </c>
      <c r="G1752" t="inlineStr">
        <is>
          <t>G P Jetawad</t>
        </is>
      </c>
    </row>
    <row r="1753">
      <c r="A1753" s="1" t="n">
        <v>1751</v>
      </c>
      <c r="B1753">
        <f>HYPERLINK("https://eproc.rajasthan.gov.in/nicgep/app?component=%24DirectLink&amp;page=FrontEndViewTender&amp;service=direct&amp;session=T&amp;sp=S1E%2B%2Bsh%2B3I2od69xFbjF%2F5w%3D%3D", "CC Road with Naali nirman karya chunnilal ke ghar se tulsaram meena ke ghar tk va school ki chakki ki aur nali nirman karya GP Neepal")</f>
        <v/>
      </c>
      <c r="C1753" t="inlineStr">
        <is>
          <t>Panchayati Raj Department||Secretary and Commissioner||CEO-PALI||BDO-RANISTATION</t>
        </is>
      </c>
      <c r="D1753" t="inlineStr">
        <is>
          <t>20-May-2025 06:00 PM</t>
        </is>
      </c>
      <c r="E1753" t="inlineStr">
        <is>
          <t>8,00,000</t>
        </is>
      </c>
      <c r="F1753" t="inlineStr">
        <is>
          <t>CC Road with Naali nirman karya chunnilal ke ghar se tulsaram meena ke ghar tk va school ki chakki ki aur nali nirman karya GP Neepal</t>
        </is>
      </c>
      <c r="G1753" t="inlineStr">
        <is>
          <t>GRAM PANCHAYAT NEEPAL</t>
        </is>
      </c>
    </row>
    <row r="1754">
      <c r="A1754" s="1" t="n">
        <v>1752</v>
      </c>
      <c r="B1754">
        <f>HYPERLINK("https://eproc.rajasthan.gov.in/nicgep/app?component=%24DirectLink&amp;page=FrontEndViewTender&amp;service=direct&amp;session=T&amp;sp=SQ5HKAXzjIRKIjk7exD70HA%3D%3D", "Material Supply Work in Mahatma Gandhi Nrega Yojana And Various Rural Devlopement Scheme in Gram Panchayat Hatundi Panchayat Samiti Ajmer Rural")</f>
        <v/>
      </c>
      <c r="C1754" t="inlineStr">
        <is>
          <t>Panchayati Raj Department||Secretary and Commissioner||CEO-AJMER||BDO-AJMER RURAL</t>
        </is>
      </c>
      <c r="D1754" t="inlineStr">
        <is>
          <t>21-May-2025 05:00 PM</t>
        </is>
      </c>
      <c r="E1754" t="inlineStr">
        <is>
          <t>50,00,000</t>
        </is>
      </c>
      <c r="F1754" t="inlineStr">
        <is>
          <t>Material Supply Work in Mahatma Gandhi Nrega Yojana And Various Rural Devlopement Scheme in Gram Panchayat Hatundi Panchayat Samiti Ajmer Rural</t>
        </is>
      </c>
      <c r="G1754" t="inlineStr">
        <is>
          <t>Gram Panchayat Hatundi</t>
        </is>
      </c>
    </row>
    <row r="1755">
      <c r="A1755" s="1" t="n">
        <v>1753</v>
      </c>
      <c r="B1755">
        <f>HYPERLINK("https://eproc.rajasthan.gov.in/nicgep/app?component=%24DirectLink&amp;page=FrontEndViewTender&amp;service=direct&amp;session=T&amp;sp=SLNH4dvIbCshg8A9ykj9LJA%3D%3D", "Material Supply Work in Mahatma Gandhi Nrega Yojana And Various Rural Devlopement Scheme in Gram Panchayat Sedariya Panchayat Samiti Ajmer Rural")</f>
        <v/>
      </c>
      <c r="C1755" t="inlineStr">
        <is>
          <t>Panchayati Raj Department||Secretary and Commissioner||CEO-AJMER||BDO-AJMER RURAL</t>
        </is>
      </c>
      <c r="D1755" t="inlineStr">
        <is>
          <t>21-May-2025 05:00 PM</t>
        </is>
      </c>
      <c r="E1755" t="inlineStr">
        <is>
          <t>50,00,000</t>
        </is>
      </c>
      <c r="F1755" t="inlineStr">
        <is>
          <t>Material Supply Work in Mahatma Gandhi Nrega Yojana And Various Rural Devlopement Scheme in Gram Panchayat Sedariya Panchayat Samiti Ajmer Rural</t>
        </is>
      </c>
      <c r="G1755" t="inlineStr">
        <is>
          <t>Gram Panchayat Sedariya</t>
        </is>
      </c>
    </row>
    <row r="1756">
      <c r="A1756" s="1" t="n">
        <v>1754</v>
      </c>
      <c r="B1756">
        <f>HYPERLINK("https://eproc.rajasthan.gov.in/nicgep/app?component=%24DirectLink&amp;page=FrontEndViewTender&amp;service=direct&amp;session=T&amp;sp=SsETamkJTIoVs%2F9RR8ATaMQ%3D%3D", "Material Supply Work in Mahatma Gandhi Nrega Yojana And Various Rural Devlopement Scheme in Gram Panchayat Makadwali Panchayat Samiti Ajmer Rural")</f>
        <v/>
      </c>
      <c r="C1756" t="inlineStr">
        <is>
          <t>Panchayati Raj Department||Secretary and Commissioner||CEO-AJMER||BDO-AJMER RURAL</t>
        </is>
      </c>
      <c r="D1756" t="inlineStr">
        <is>
          <t>21-May-2025 05:00 PM</t>
        </is>
      </c>
      <c r="E1756" t="inlineStr">
        <is>
          <t>50,00,000</t>
        </is>
      </c>
      <c r="F1756" t="inlineStr">
        <is>
          <t>Material Supply Work in Mahatma Gandhi Nrega Yojana And Various Rural Devlopement Scheme in Gram Panchayat Makadwali Panchayat Samiti Ajmer Rural</t>
        </is>
      </c>
      <c r="G1756" t="inlineStr">
        <is>
          <t>Gram Panchayat Makarwali</t>
        </is>
      </c>
    </row>
    <row r="1757">
      <c r="A1757" s="1" t="n">
        <v>1755</v>
      </c>
      <c r="B1757">
        <f>HYPERLINK("https://eproc.rajasthan.gov.in/nicgep/app?component=%24DirectLink&amp;page=FrontEndViewTender&amp;service=direct&amp;session=T&amp;sp=Sh0%2Fg8ndxod%2FJPkQVnHiMPw%3D%3D", "Work including door-to-door residential and commercial garbage collection and separation road and drain cleaning and community sanitation premises cleaning in all villages of Gram Panchayat SANTHA Panchayat Samiti Mahwa Dist. Dausa For FY 2025-26")</f>
        <v/>
      </c>
      <c r="C1757" t="inlineStr">
        <is>
          <t>Panchayati Raj Department||Secretary and Commissioner||CEO-DAUSA||BDO-MAHUVA</t>
        </is>
      </c>
      <c r="D1757" t="inlineStr">
        <is>
          <t>22-May-2025 05:00 PM</t>
        </is>
      </c>
      <c r="E1757" t="inlineStr">
        <is>
          <t>6,79,902</t>
        </is>
      </c>
      <c r="F1757" t="inlineStr">
        <is>
          <t>Work including door-to-door residential and commercial garbage collection and separation road and drain cleaning and community sanitation premises cleaning in all villages of Gram Panchayat SANTHA Panchayat Samiti Mahwa Dist. Dausa For FY 2025-26</t>
        </is>
      </c>
      <c r="G1757" t="inlineStr">
        <is>
          <t>Gram Panchayat SANTHA</t>
        </is>
      </c>
    </row>
    <row r="1758">
      <c r="A1758" s="1" t="n">
        <v>1756</v>
      </c>
      <c r="B1758">
        <f>HYPERLINK("https://eproc.rajasthan.gov.in/nicgep/app?component=%24DirectLink&amp;page=FrontEndViewTender&amp;service=direct&amp;session=T&amp;sp=SlNnjhXRCcrl4mqdrSLj8YQ%3D%3D", "WORK TENDER PS TIBBI ME HOLL NIRMAN")</f>
        <v/>
      </c>
      <c r="C1758" t="inlineStr">
        <is>
          <t>Panchayati Raj Department||Secretary and Commissioner||CEO- HANUMANGARH||BDO-TIBBI</t>
        </is>
      </c>
      <c r="D1758" t="inlineStr">
        <is>
          <t>29-May-2025 06:00 PM</t>
        </is>
      </c>
      <c r="E1758" t="inlineStr">
        <is>
          <t>10,00,000</t>
        </is>
      </c>
      <c r="F1758" t="inlineStr">
        <is>
          <t>WORK TENDER PS TIBBI ME HOLL NIRMAN</t>
        </is>
      </c>
      <c r="G1758" t="inlineStr">
        <is>
          <t>PANCHAYAT SAMITI TIBBI</t>
        </is>
      </c>
    </row>
    <row r="1759">
      <c r="A1759" s="1" t="n">
        <v>1757</v>
      </c>
      <c r="B1759">
        <f>HYPERLINK("https://eproc.rajasthan.gov.in/nicgep/app?component=%24DirectLink&amp;page=FrontEndViewTender&amp;service=direct&amp;session=T&amp;sp=SFjB5Nx%2BzQqOKjUYs914wsQ%3D%3D", "Gram Panchayat Santha Material Supply All Scheme Works FY 2025-26")</f>
        <v/>
      </c>
      <c r="C1759" t="inlineStr">
        <is>
          <t>Panchayati Raj Department||Secretary and Commissioner||CEO-DAUSA||BDO-MAHUVA</t>
        </is>
      </c>
      <c r="D1759" t="inlineStr">
        <is>
          <t>26-May-2025 05:00 PM</t>
        </is>
      </c>
      <c r="E1759" t="inlineStr">
        <is>
          <t>35,00,000</t>
        </is>
      </c>
      <c r="F1759" t="inlineStr">
        <is>
          <t>Rate contract For supply of Construcation Material and Providing Equipments for MGNREGA in Gram panchayat Santha Panchayat samiti Mahwa For FY 2025-26 UP to 31 March 2026 (ITEM WISE RATE AS PEAR ATTACHED G SCHEDULE</t>
        </is>
      </c>
      <c r="G1759" t="inlineStr">
        <is>
          <t>Gram panchayat Santha</t>
        </is>
      </c>
    </row>
    <row r="1760">
      <c r="A1760" s="1" t="n">
        <v>1758</v>
      </c>
      <c r="B1760">
        <f>HYPERLINK("https://eproc.rajasthan.gov.in/nicgep/app?component=%24DirectLink&amp;page=FrontEndViewTender&amp;service=direct&amp;session=T&amp;sp=S17S7GaLyduM4skreokIePw%3D%3D", "Gram Panchayat KARODI All village, Home to Home Garbage collection and segregation from(residential and commercial)areas, street and drain cleaning and community sanitation,premises cleaning work,GP KARODI PS SIKRAI")</f>
        <v/>
      </c>
      <c r="C1760" t="inlineStr">
        <is>
          <t>Panchayati Raj Department||Secretary and Commissioner||CEO-DAUSA||BDO-SIKARAI</t>
        </is>
      </c>
      <c r="D1760" t="inlineStr">
        <is>
          <t>24-May-2025 06:00 PM</t>
        </is>
      </c>
      <c r="E1760" t="inlineStr">
        <is>
          <t>9,35,651</t>
        </is>
      </c>
      <c r="F1760" t="inlineStr">
        <is>
          <t>Gram Panchayat KARODI All village, Home to Home Garbage collection and segregation from(residential and commercial)areas, street and drain cleaning and community sanitation,premises cleaning work,GP KARODI PS SIKRAI</t>
        </is>
      </c>
      <c r="G1760" t="inlineStr">
        <is>
          <t>Gram Panchayat KARODI All village, Home to Home Ga</t>
        </is>
      </c>
    </row>
    <row r="1761">
      <c r="A1761" s="1" t="n">
        <v>1759</v>
      </c>
      <c r="B1761">
        <f>HYPERLINK("https://eproc.rajasthan.gov.in/nicgep/app?component=%24DirectLink&amp;page=FrontEndViewTender&amp;service=direct&amp;session=T&amp;sp=ScS3BErFPHK1gM%2Fksra81aQ%3D%3D", "Work including garbage collection and separation from every house (Residential and Commercial), road and drain cleaning and community sanitation complex cleaning in all the villages of Gram Panchayat Hudera Aguna P S Ratangarh for 12 Month")</f>
        <v/>
      </c>
      <c r="C1761" t="inlineStr">
        <is>
          <t>Panchayati Raj Department||Secretary and Commissioner||CEO-CHURU||BDO-RATANGARH</t>
        </is>
      </c>
      <c r="D1761" t="inlineStr">
        <is>
          <t>23-May-2025 04:00 PM</t>
        </is>
      </c>
      <c r="E1761" t="inlineStr">
        <is>
          <t>6,95,000</t>
        </is>
      </c>
      <c r="F1761" t="inlineStr">
        <is>
          <t>Work including garbage collection and separation from every house (Residential and Commercial), road and drain cleaning and community sanitation complex cleaning in all the villages of Gram Panchayat Hudera Aguna P S Ratangarh for 12 Month</t>
        </is>
      </c>
      <c r="G1761" t="inlineStr">
        <is>
          <t>GP HUDERA AGUNA</t>
        </is>
      </c>
    </row>
    <row r="1762">
      <c r="A1762" s="1" t="n">
        <v>1760</v>
      </c>
      <c r="B1762">
        <f>HYPERLINK("https://eproc.rajasthan.gov.in/nicgep/app?component=%24DirectLink&amp;page=FrontEndViewTender&amp;service=direct&amp;session=T&amp;sp=SLZwMaa%2FVJQ9C0SijUgwW0g%3D%3D", "Work including garbage collection and separation from every house (Residential and Commercial), road and drain cleaning and community sanitation complex cleaning in all the villages of Gram Panchayat Pabusar P S Ratangarh for 12 Month")</f>
        <v/>
      </c>
      <c r="C1762" t="inlineStr">
        <is>
          <t>Panchayati Raj Department||Secretary and Commissioner||CEO-CHURU||BDO-RATANGARH</t>
        </is>
      </c>
      <c r="D1762" t="inlineStr">
        <is>
          <t>23-May-2025 04:00 PM</t>
        </is>
      </c>
      <c r="E1762" t="inlineStr">
        <is>
          <t>10,00,000</t>
        </is>
      </c>
      <c r="F1762" t="inlineStr">
        <is>
          <t>Work including garbage collection and separation from every house (Residential and Commercial), road and drain cleaning and community sanitation complex cleaning in all the villages of Gram Panchayat Pabusar P S Ratangarh for 12 Month</t>
        </is>
      </c>
      <c r="G1762" t="inlineStr">
        <is>
          <t>GP PABUSAR</t>
        </is>
      </c>
    </row>
    <row r="1763">
      <c r="A1763" s="1" t="n">
        <v>1761</v>
      </c>
      <c r="B1763">
        <f>HYPERLINK("https://eproc.rajasthan.gov.in/nicgep/app?component=%24DirectLink&amp;page=FrontEndViewTender&amp;service=direct&amp;session=T&amp;sp=SYuGkUrQWlIYY%2FuoKzLqP6A%3D%3D", "Work including garbage collection and separation from every house (Residential and Commercial), road and drain cleaning and community sanitation complex cleaning in all the villages of Gram Panchayat Simsiya Bidavtan P S Ratangarh for 12 Month")</f>
        <v/>
      </c>
      <c r="C1763" t="inlineStr">
        <is>
          <t>Panchayati Raj Department||Secretary and Commissioner||CEO-CHURU||BDO-RATANGARH</t>
        </is>
      </c>
      <c r="D1763" t="inlineStr">
        <is>
          <t>23-May-2025 04:00 PM</t>
        </is>
      </c>
      <c r="E1763" t="inlineStr">
        <is>
          <t>7,86,000</t>
        </is>
      </c>
      <c r="F1763" t="inlineStr">
        <is>
          <t>Work including garbage collection and separation from every house (Residential and Commercial), road and drain cleaning and community sanitation complex cleaning in all the villages of Gram Panchayat Simsiya Bidavtan P S Ratangarh for 12 Month</t>
        </is>
      </c>
      <c r="G1763" t="inlineStr">
        <is>
          <t>GP SIMSIA</t>
        </is>
      </c>
    </row>
    <row r="1764">
      <c r="A1764" s="1" t="n">
        <v>1762</v>
      </c>
      <c r="B1764">
        <f>HYPERLINK("https://eproc.rajasthan.gov.in/nicgep/app?component=%24DirectLink&amp;page=FrontEndViewTender&amp;service=direct&amp;session=T&amp;sp=S3aNqrWdK%2F5QuuDm44xnDFA%3D%3D", "Work including garbage collection and separation from every house (Residential and Commercial), road and drain cleaning and community sanitation complex cleaning in all the villages of Gram Panchayat Daudsar P S Ratangarh for 12 Month")</f>
        <v/>
      </c>
      <c r="C1764" t="inlineStr">
        <is>
          <t>Panchayati Raj Department||Secretary and Commissioner||CEO-CHURU||BDO-RATANGARH</t>
        </is>
      </c>
      <c r="D1764" t="inlineStr">
        <is>
          <t>23-May-2025 04:00 PM</t>
        </is>
      </c>
      <c r="E1764" t="inlineStr">
        <is>
          <t>14,42,000</t>
        </is>
      </c>
      <c r="F1764" t="inlineStr">
        <is>
          <t>Work including garbage collection and separation from every house (Residential and Commercial), road and drain cleaning and community sanitation complex cleaning in all the villages of Gram Panchayat Daudsar P S Ratangarh for 12 Month</t>
        </is>
      </c>
      <c r="G1764" t="inlineStr">
        <is>
          <t>GP DAUDSAR</t>
        </is>
      </c>
    </row>
    <row r="1765">
      <c r="A1765" s="1" t="n">
        <v>1763</v>
      </c>
      <c r="B1765">
        <f>HYPERLINK("https://eproc.rajasthan.gov.in/nicgep/app?component=%24DirectLink&amp;page=FrontEndViewTender&amp;service=direct&amp;session=T&amp;sp=SkoCoFvU1CbyZ9doKNG%2BD3Q%3D%3D", "Work including garbage collection and separation from every house (Residential and Commercial), road and drain cleaning and community sanitation complex cleaning in all the villages of Gram Panchayat Kusumdesar P S Ratangarh for 12 Month")</f>
        <v/>
      </c>
      <c r="C1765" t="inlineStr">
        <is>
          <t>Panchayati Raj Department||Secretary and Commissioner||CEO-CHURU||BDO-RATANGARH</t>
        </is>
      </c>
      <c r="D1765" t="inlineStr">
        <is>
          <t>23-May-2025 04:00 PM</t>
        </is>
      </c>
      <c r="E1765" t="inlineStr">
        <is>
          <t>6,38,000</t>
        </is>
      </c>
      <c r="F1765" t="inlineStr">
        <is>
          <t>Work including garbage collection and separation from every house (Residential and Commercial), road and drain cleaning and community sanitation complex cleaning in all the villages of Gram Panchayat Kusumdesar P S Ratangarh for 12 Month</t>
        </is>
      </c>
      <c r="G1765" t="inlineStr">
        <is>
          <t>GP KUSUMDESAR</t>
        </is>
      </c>
    </row>
    <row r="1766">
      <c r="A1766" s="1" t="n">
        <v>1764</v>
      </c>
      <c r="B1766">
        <f>HYPERLINK("https://eproc.rajasthan.gov.in/nicgep/app?component=%24DirectLink&amp;page=FrontEndViewTender&amp;service=direct&amp;session=T&amp;sp=STyL3e6tFRxVgV9HzQvS8Iw%3D%3D", "Work including garbage collection and separation from every house (Residential and Commercial), road and drain cleaning and community sanitation complex cleaning in all the villages of Gram Panchayat Gogasar P S Ratangarh For 10 Months")</f>
        <v/>
      </c>
      <c r="C1766" t="inlineStr">
        <is>
          <t>Panchayati Raj Department||Secretary and Commissioner||CEO-CHURU||BDO-RATANGARH</t>
        </is>
      </c>
      <c r="D1766" t="inlineStr">
        <is>
          <t>23-May-2025 04:00 PM</t>
        </is>
      </c>
      <c r="E1766" t="inlineStr">
        <is>
          <t>9,97,000</t>
        </is>
      </c>
      <c r="F1766" t="inlineStr">
        <is>
          <t>Work including garbage collection and separation from every house (Residential and Commercial), road and drain cleaning and community sanitation complex cleaning in all the villages of Gram Panchayat Gogasar P S Ratangarh For 10 Months</t>
        </is>
      </c>
      <c r="G1766" t="inlineStr">
        <is>
          <t>GP GOGASAR</t>
        </is>
      </c>
    </row>
    <row r="1767">
      <c r="A1767" s="1" t="n">
        <v>1765</v>
      </c>
      <c r="B1767">
        <f>HYPERLINK("https://eproc.rajasthan.gov.in/nicgep/app?component=%24DirectLink&amp;page=FrontEndViewTender&amp;service=direct&amp;session=T&amp;sp=Sd3X8s87FBJfmIVBFN%2BN8FQ%3D%3D", "Supply of Construction Materials and Service of Equipments (Financial Year 2025-26) for Gram Panchayat Sakrawas")</f>
        <v/>
      </c>
      <c r="C1767" t="inlineStr">
        <is>
          <t>Panchayati Raj Department||Secretary and Commissioner||CEO-RAJSAMAND||BDO-RAILMAGARA</t>
        </is>
      </c>
      <c r="D1767" t="inlineStr">
        <is>
          <t>26-May-2025 06:00 PM</t>
        </is>
      </c>
      <c r="E1767" t="inlineStr">
        <is>
          <t>50,00,000</t>
        </is>
      </c>
      <c r="F1767" t="inlineStr">
        <is>
          <t>Supply of Construction Materials and Service of Equipments (Financial Year 2025-26) for Gram Panchayat Sakrawas</t>
        </is>
      </c>
      <c r="G1767" t="inlineStr">
        <is>
          <t>GRAM PANCHAYAT SAKRAWAS</t>
        </is>
      </c>
    </row>
    <row r="1768">
      <c r="A1768" s="1" t="n">
        <v>1766</v>
      </c>
      <c r="B1768">
        <f>HYPERLINK("https://eproc.rajasthan.gov.in/nicgep/app?component=%24DirectLink&amp;page=FrontEndViewTender&amp;service=direct&amp;session=T&amp;sp=S%2BbIhSGjxHHzn5m%2FCGoxxmA%3D%3D", "SBM")</f>
        <v/>
      </c>
      <c r="C1768" t="inlineStr">
        <is>
          <t>Panchayati Raj Department||Secretary and Commissioner||CEO-AJMER||BDO-JAWAJA</t>
        </is>
      </c>
      <c r="D1768" t="inlineStr">
        <is>
          <t>28-May-2025 05:00 PM</t>
        </is>
      </c>
      <c r="E1768" t="inlineStr">
        <is>
          <t>9,45,612</t>
        </is>
      </c>
      <c r="F1768" t="inlineStr">
        <is>
          <t>SBM</t>
        </is>
      </c>
      <c r="G1768" t="inlineStr">
        <is>
          <t>GP</t>
        </is>
      </c>
    </row>
    <row r="1769">
      <c r="A1769" s="1" t="n">
        <v>1767</v>
      </c>
      <c r="B1769">
        <f>HYPERLINK("https://eproc.rajasthan.gov.in/nicgep/app?component=%24DirectLink&amp;page=FrontEndViewTender&amp;service=direct&amp;session=T&amp;sp=SQKMjiyulTFT30QRhXuuHnw%3D%3D", "SBM")</f>
        <v/>
      </c>
      <c r="C1769" t="inlineStr">
        <is>
          <t>Panchayati Raj Department||Secretary and Commissioner||CEO-AJMER||BDO-JAWAJA</t>
        </is>
      </c>
      <c r="D1769" t="inlineStr">
        <is>
          <t>28-May-2025 05:00 PM</t>
        </is>
      </c>
      <c r="E1769" t="inlineStr">
        <is>
          <t>9,85,346</t>
        </is>
      </c>
      <c r="F1769" t="inlineStr">
        <is>
          <t>SBM</t>
        </is>
      </c>
      <c r="G1769" t="inlineStr">
        <is>
          <t>GP</t>
        </is>
      </c>
    </row>
    <row r="1770">
      <c r="A1770" s="1" t="n">
        <v>1768</v>
      </c>
      <c r="B1770">
        <f>HYPERLINK("https://eproc.rajasthan.gov.in/nicgep/app?component=%24DirectLink&amp;page=FrontEndViewTender&amp;service=direct&amp;session=T&amp;sp=SuoEw%2BUn1Wo6h%2Bhh6logILw%3D%3D", "MATERIAL SUPPLY IN GRAM PANCHAYAT BANSKHO OF PANCHAYAT SAMITI BASSI")</f>
        <v/>
      </c>
      <c r="C1770" t="inlineStr">
        <is>
          <t>Panchayati Raj Department||Secretary and Commissioner||CEO- JAIPUR||BDO-BASSI</t>
        </is>
      </c>
      <c r="D1770" t="inlineStr">
        <is>
          <t>26-May-2025 02:00 PM</t>
        </is>
      </c>
      <c r="E1770" t="inlineStr">
        <is>
          <t>90,00,000</t>
        </is>
      </c>
      <c r="F1770" t="inlineStr">
        <is>
          <t>MATERIAL SUPPLY IN GRAM PANCHAYAT BANSKHO OF PANCHAYAT SAMITI BASSI</t>
        </is>
      </c>
      <c r="G1770" t="inlineStr">
        <is>
          <t>PANCHAYAT SAMITI BASSI</t>
        </is>
      </c>
    </row>
    <row r="1771">
      <c r="A1771" s="1" t="n">
        <v>1769</v>
      </c>
      <c r="B1771">
        <f>HYPERLINK("https://eproc.rajasthan.gov.in/nicgep/app?component=%24DirectLink&amp;page=FrontEndViewTender&amp;service=direct&amp;session=T&amp;sp=SYUJ8vdXQiRauktkOV3QoKg%3D%3D", "3 KSM Karnisar se 1 KSM ki or Greval sadak nirman")</f>
        <v/>
      </c>
      <c r="C1771" t="inlineStr">
        <is>
          <t>Panchayati Raj Department||Secretary and Commissioner||CEO- GANGANAGAR||BDO-SURATGARH</t>
        </is>
      </c>
      <c r="D1771" t="inlineStr">
        <is>
          <t>23-May-2025 01:00 PM</t>
        </is>
      </c>
      <c r="E1771" t="inlineStr">
        <is>
          <t>13,00,000</t>
        </is>
      </c>
      <c r="F1771" t="inlineStr">
        <is>
          <t>3 KSM Karnisar se 1 KSM ki or Greval sadak nirman</t>
        </is>
      </c>
      <c r="G1771" t="inlineStr">
        <is>
          <t>Gram Panchyat Jankidaswala</t>
        </is>
      </c>
    </row>
    <row r="1772">
      <c r="A1772" s="1" t="n">
        <v>1770</v>
      </c>
      <c r="B1772">
        <f>HYPERLINK("https://eproc.rajasthan.gov.in/nicgep/app?component=%24DirectLink&amp;page=FrontEndViewTender&amp;service=direct&amp;session=T&amp;sp=S5pbuvpAaws24NJyiXPLkFA%3D%3D", "SBM")</f>
        <v/>
      </c>
      <c r="C1772" t="inlineStr">
        <is>
          <t>Panchayati Raj Department||Secretary and Commissioner||CEO-AJMER||BDO-JAWAJA</t>
        </is>
      </c>
      <c r="D1772" t="inlineStr">
        <is>
          <t>28-May-2025 05:00 PM</t>
        </is>
      </c>
      <c r="E1772" t="inlineStr">
        <is>
          <t>9,12,380</t>
        </is>
      </c>
      <c r="F1772" t="inlineStr">
        <is>
          <t>SBM</t>
        </is>
      </c>
      <c r="G1772" t="inlineStr">
        <is>
          <t>GP</t>
        </is>
      </c>
    </row>
    <row r="1773">
      <c r="A1773" s="1" t="n">
        <v>1771</v>
      </c>
      <c r="B1773">
        <f>HYPERLINK("https://eproc.rajasthan.gov.in/nicgep/app?component=%24DirectLink&amp;page=FrontEndViewTender&amp;service=direct&amp;session=T&amp;sp=SMvpT8nfKKQxicr6HlE%2BVcA%3D%3D", "MATERIAL SUPPLY IN GRAM PANCHAYAT BOORTHAL OF PANCHAYAT SAMITI BASSI")</f>
        <v/>
      </c>
      <c r="C1773" t="inlineStr">
        <is>
          <t>Panchayati Raj Department||Secretary and Commissioner||CEO- JAIPUR||BDO-BASSI</t>
        </is>
      </c>
      <c r="D1773" t="inlineStr">
        <is>
          <t>26-May-2025 02:00 PM</t>
        </is>
      </c>
      <c r="E1773" t="inlineStr">
        <is>
          <t>70,00,000</t>
        </is>
      </c>
      <c r="F1773" t="inlineStr">
        <is>
          <t>MATERIAL SUPPLY IN GRAM PANCHAYAT BOORTHAL OF PANCHAYAT SAMITI BASSI</t>
        </is>
      </c>
      <c r="G1773" t="inlineStr">
        <is>
          <t>PANCHAYAT SAMITI BASSI</t>
        </is>
      </c>
    </row>
    <row r="1774">
      <c r="A1774" s="1" t="n">
        <v>1772</v>
      </c>
      <c r="B1774">
        <f>HYPERLINK("https://eproc.rajasthan.gov.in/nicgep/app?component=%24DirectLink&amp;page=FrontEndViewTender&amp;service=direct&amp;session=T&amp;sp=SeyBh1E3K18BR7UQevK0DmQ%3D%3D", "MATERIAL SUPPLY IN GRAM PANCHAYAT DOODHALI OF PANCHAYAT SAMITI BASSI")</f>
        <v/>
      </c>
      <c r="C1774" t="inlineStr">
        <is>
          <t>Panchayati Raj Department||Secretary and Commissioner||CEO- JAIPUR||BDO-BASSI</t>
        </is>
      </c>
      <c r="D1774" t="inlineStr">
        <is>
          <t>26-May-2025 02:00 PM</t>
        </is>
      </c>
      <c r="E1774" t="inlineStr">
        <is>
          <t>55,00,000</t>
        </is>
      </c>
      <c r="F1774" t="inlineStr">
        <is>
          <t>MATERIAL SUPPLY IN GRAM PANCHAYAT DOODHALI OF PANCHAYAT SAMITI BASSI</t>
        </is>
      </c>
      <c r="G1774" t="inlineStr">
        <is>
          <t>PANCHAYAT SAMITI BASSI</t>
        </is>
      </c>
    </row>
    <row r="1775">
      <c r="A1775" s="1" t="n">
        <v>1773</v>
      </c>
      <c r="B1775">
        <f>HYPERLINK("https://eproc.rajasthan.gov.in/nicgep/app?component=%24DirectLink&amp;page=FrontEndViewTender&amp;service=direct&amp;session=T&amp;sp=SI83Sg%2FFXgn3AeI8%2B7Ji%2FVw%3D%3D", "MATERIAL SUPPLY IN GRAM PANCHAYAT JHAR OF PANCHAYAT SAMITI BASSI")</f>
        <v/>
      </c>
      <c r="C1775" t="inlineStr">
        <is>
          <t>Panchayati Raj Department||Secretary and Commissioner||CEO- JAIPUR||BDO-BASSI</t>
        </is>
      </c>
      <c r="D1775" t="inlineStr">
        <is>
          <t>26-May-2025 02:00 PM</t>
        </is>
      </c>
      <c r="E1775" t="inlineStr">
        <is>
          <t>1,00,00,000</t>
        </is>
      </c>
      <c r="F1775" t="inlineStr">
        <is>
          <t>MATERIAL SUPPLY IN GRAM PANCHAYAT JHAR OF PANCHAYAT SAMITI BASSI</t>
        </is>
      </c>
      <c r="G1775" t="inlineStr">
        <is>
          <t>PANCHAYAT SAMITI BASSI</t>
        </is>
      </c>
    </row>
    <row r="1776">
      <c r="A1776" s="1" t="n">
        <v>1774</v>
      </c>
      <c r="B1776">
        <f>HYPERLINK("https://eproc.rajasthan.gov.in/nicgep/app?component=%24DirectLink&amp;page=FrontEndViewTender&amp;service=direct&amp;session=T&amp;sp=S8GyLnM190HyOnN5BBfnqkw%3D%3D", "MATERIAL SUPPLY IN GRAM PANCHAYAT HANSMAHAL OF PANCHAYAT SAMITI BASSI")</f>
        <v/>
      </c>
      <c r="C1776" t="inlineStr">
        <is>
          <t>Panchayati Raj Department||Secretary and Commissioner||CEO- JAIPUR||BDO-BASSI</t>
        </is>
      </c>
      <c r="D1776" t="inlineStr">
        <is>
          <t>26-May-2025 02:00 PM</t>
        </is>
      </c>
      <c r="E1776" t="inlineStr">
        <is>
          <t>50,00,000</t>
        </is>
      </c>
      <c r="F1776" t="inlineStr">
        <is>
          <t>MATERIAL SUPPLY IN GRAM PANCHAYAT HANSMAHAL OF PANCHAYAT SAMITI BASSI</t>
        </is>
      </c>
      <c r="G1776" t="inlineStr">
        <is>
          <t>PANCHAYAT SAMITI BASSI</t>
        </is>
      </c>
    </row>
    <row r="1777">
      <c r="A1777" s="1" t="n">
        <v>1775</v>
      </c>
      <c r="B1777">
        <f>HYPERLINK("https://eproc.rajasthan.gov.in/nicgep/app?component=%24DirectLink&amp;page=FrontEndViewTender&amp;service=direct&amp;session=T&amp;sp=SuifF9Gl%2F%2FvXSiq3gq2%2BOGw%3D%3D", "MATERIAL SUPPLY IN GRAM PANCHAYAT JATWARA OF PANCHAYAT SAMITI BASSI")</f>
        <v/>
      </c>
      <c r="C1777" t="inlineStr">
        <is>
          <t>Panchayati Raj Department||Secretary and Commissioner||CEO- JAIPUR||BDO-BASSI</t>
        </is>
      </c>
      <c r="D1777" t="inlineStr">
        <is>
          <t>26-May-2025 02:00 PM</t>
        </is>
      </c>
      <c r="E1777" t="inlineStr">
        <is>
          <t>70,00,000</t>
        </is>
      </c>
      <c r="F1777" t="inlineStr">
        <is>
          <t>MATERIAL SUPPLY IN GRAM PANCHAYAT JATWARA OF PANCHAYAT SAMITI BASSI</t>
        </is>
      </c>
      <c r="G1777" t="inlineStr">
        <is>
          <t>PANCHAYAT SAMITI BASSI</t>
        </is>
      </c>
    </row>
    <row r="1778">
      <c r="A1778" s="1" t="n">
        <v>1776</v>
      </c>
      <c r="B1778">
        <f>HYPERLINK("https://eproc.rajasthan.gov.in/nicgep/app?component=%24DirectLink&amp;page=FrontEndViewTender&amp;service=direct&amp;session=T&amp;sp=SvS2SVOpiWnpYg3r3VtUWgg%3D%3D", "MATERIAL SUPPLY IN GRAM PANCHAYAT JEETAWALA OF PANCHAYAT SAMITI BASSI")</f>
        <v/>
      </c>
      <c r="C1778" t="inlineStr">
        <is>
          <t>Panchayati Raj Department||Secretary and Commissioner||CEO- JAIPUR||BDO-BASSI</t>
        </is>
      </c>
      <c r="D1778" t="inlineStr">
        <is>
          <t>26-May-2025 02:00 PM</t>
        </is>
      </c>
      <c r="E1778" t="inlineStr">
        <is>
          <t>35,00,000</t>
        </is>
      </c>
      <c r="F1778" t="inlineStr">
        <is>
          <t>MATERIAL SUPPLY IN GRAM PANCHAYAT JEETAWALA OF PANCHAYAT SAMITI BASSI</t>
        </is>
      </c>
      <c r="G1778" t="inlineStr">
        <is>
          <t>PANCHAYAT SAMITI BASSI</t>
        </is>
      </c>
    </row>
    <row r="1779">
      <c r="A1779" s="1" t="n">
        <v>1777</v>
      </c>
      <c r="B1779">
        <f>HYPERLINK("https://eproc.rajasthan.gov.in/nicgep/app?component=%24DirectLink&amp;page=FrontEndViewTender&amp;service=direct&amp;session=T&amp;sp=SCUPyQo5Xp%2BGsp7xw51jhag%3D%3D", "MATERIAL SUPPLY IN GRAM PANCHAYAT KHORI OF PANCHAYAT SAMITI BASSI")</f>
        <v/>
      </c>
      <c r="C1779" t="inlineStr">
        <is>
          <t>Panchayati Raj Department||Secretary and Commissioner||CEO- JAIPUR||BDO-BASSI</t>
        </is>
      </c>
      <c r="D1779" t="inlineStr">
        <is>
          <t>26-May-2025 02:00 PM</t>
        </is>
      </c>
      <c r="E1779" t="inlineStr">
        <is>
          <t>1,10,00,000</t>
        </is>
      </c>
      <c r="F1779" t="inlineStr">
        <is>
          <t>MATERIAL SUPPLY IN GRAM PANCHAYAT KHORI OF PANCHAYAT SAMITI BASSI</t>
        </is>
      </c>
      <c r="G1779" t="inlineStr">
        <is>
          <t>PANCHAYAT SAMITI BASSI</t>
        </is>
      </c>
    </row>
    <row r="1780">
      <c r="A1780" s="1" t="n">
        <v>1778</v>
      </c>
      <c r="B1780">
        <f>HYPERLINK("https://eproc.rajasthan.gov.in/nicgep/app?component=%24DirectLink&amp;page=FrontEndViewTender&amp;service=direct&amp;session=T&amp;sp=SAzLBzXWNKDpKaHqxVizdhQ%3D%3D", "WORK TENDOR")</f>
        <v/>
      </c>
      <c r="C1780" t="inlineStr">
        <is>
          <t>Panchayati Raj Department||Secretary and Commissioner||CEO-BHARATPUR||BDO-KUMHER</t>
        </is>
      </c>
      <c r="D1780" t="inlineStr">
        <is>
          <t>20-May-2025 06:00 PM</t>
        </is>
      </c>
      <c r="E1780" t="inlineStr">
        <is>
          <t>5,00,000</t>
        </is>
      </c>
      <c r="F1780" t="inlineStr">
        <is>
          <t>WORK TENDOR</t>
        </is>
      </c>
      <c r="G1780" t="inlineStr">
        <is>
          <t>AT SITE</t>
        </is>
      </c>
    </row>
    <row r="1781">
      <c r="A1781" s="1" t="n">
        <v>1779</v>
      </c>
      <c r="B1781">
        <f>HYPERLINK("https://eproc.rajasthan.gov.in/nicgep/app?component=%24DirectLink&amp;page=FrontEndViewTender&amp;service=direct&amp;session=T&amp;sp=SseWc8%2FMExONmddnqDHAdDw%3D%3D", "Supply of Construction Materials and Service of Equipments (Financial Year 2025-26) for Gram Panchayat Dhaneriya Garh")</f>
        <v/>
      </c>
      <c r="C1781" t="inlineStr">
        <is>
          <t>Panchayati Raj Department||Secretary and Commissioner||CEO-RAJSAMAND||BDO-RAILMAGARA</t>
        </is>
      </c>
      <c r="D1781" t="inlineStr">
        <is>
          <t>24-May-2025 06:00 PM</t>
        </is>
      </c>
      <c r="E1781" t="inlineStr">
        <is>
          <t>50,00,000</t>
        </is>
      </c>
      <c r="F1781" t="inlineStr">
        <is>
          <t>Supply of Construction Materials and Service of Equipments (Financial Year 2025-26) for Gram Panchayat Dhaneriya Garh</t>
        </is>
      </c>
      <c r="G1781" t="inlineStr">
        <is>
          <t>GRAM PANCHAYAT DHANERIYA GARH</t>
        </is>
      </c>
    </row>
    <row r="1782">
      <c r="A1782" s="1" t="n">
        <v>1780</v>
      </c>
      <c r="B1782">
        <f>HYPERLINK("https://eproc.rajasthan.gov.in/nicgep/app?component=%24DirectLink&amp;page=FrontEndViewTender&amp;service=direct&amp;session=T&amp;sp=SoJa%2BDYHz1SlJ%2BtKlLyOAAA%3D%3D", "WORK TENDOR")</f>
        <v/>
      </c>
      <c r="C1782" t="inlineStr">
        <is>
          <t>Panchayati Raj Department||Secretary and Commissioner||CEO-BHARATPUR||BDO-KUMHER</t>
        </is>
      </c>
      <c r="D1782" t="inlineStr">
        <is>
          <t>20-May-2025 06:00 PM</t>
        </is>
      </c>
      <c r="E1782" t="inlineStr">
        <is>
          <t>6,00,000</t>
        </is>
      </c>
      <c r="F1782" t="inlineStr">
        <is>
          <t>WORK TENDOR</t>
        </is>
      </c>
      <c r="G1782" t="inlineStr">
        <is>
          <t>AT SITE</t>
        </is>
      </c>
    </row>
    <row r="1783">
      <c r="A1783" s="1" t="n">
        <v>1781</v>
      </c>
      <c r="B1783">
        <f>HYPERLINK("https://eproc.rajasthan.gov.in/nicgep/app?component=%24DirectLink&amp;page=FrontEndViewTender&amp;service=direct&amp;session=T&amp;sp=SiIb4D7DbOtr1cHfh%2BCAPfg%3D%3D", "SBM")</f>
        <v/>
      </c>
      <c r="C1783" t="inlineStr">
        <is>
          <t>Panchayati Raj Department||Secretary and Commissioner||CEO-AJMER||BDO-JAWAJA</t>
        </is>
      </c>
      <c r="D1783" t="inlineStr">
        <is>
          <t>28-May-2025 05:00 PM</t>
        </is>
      </c>
      <c r="E1783" t="inlineStr">
        <is>
          <t>7,25,567</t>
        </is>
      </c>
      <c r="F1783" t="inlineStr">
        <is>
          <t>SBM</t>
        </is>
      </c>
      <c r="G1783" t="inlineStr">
        <is>
          <t>GP</t>
        </is>
      </c>
    </row>
    <row r="1784">
      <c r="A1784" s="1" t="n">
        <v>1782</v>
      </c>
      <c r="B1784">
        <f>HYPERLINK("https://eproc.rajasthan.gov.in/nicgep/app?component=%24DirectLink&amp;page=FrontEndViewTender&amp;service=direct&amp;session=T&amp;sp=SZRmAw3Mjw5FiCMLrBXhlGg%3D%3D", "SBM")</f>
        <v/>
      </c>
      <c r="C1784" t="inlineStr">
        <is>
          <t>Panchayati Raj Department||Secretary and Commissioner||CEO-AJMER||BDO-JAWAJA</t>
        </is>
      </c>
      <c r="D1784" t="inlineStr">
        <is>
          <t>28-May-2025 05:00 PM</t>
        </is>
      </c>
      <c r="E1784" t="inlineStr">
        <is>
          <t>10,71,271</t>
        </is>
      </c>
      <c r="F1784" t="inlineStr">
        <is>
          <t>SBM</t>
        </is>
      </c>
      <c r="G1784" t="inlineStr">
        <is>
          <t>GP</t>
        </is>
      </c>
    </row>
    <row r="1785">
      <c r="A1785" s="1" t="n">
        <v>1783</v>
      </c>
      <c r="B1785">
        <f>HYPERLINK("https://eproc.rajasthan.gov.in/nicgep/app?component=%24DirectLink&amp;page=FrontEndViewTender&amp;service=direct&amp;session=T&amp;sp=Sf6yrE1%2B%2BOjBC%2B9ZjJ81cPw%3D%3D", "WORK TENDOR")</f>
        <v/>
      </c>
      <c r="C1785" t="inlineStr">
        <is>
          <t>Panchayati Raj Department||Secretary and Commissioner||CEO-BHARATPUR||BDO-KUMHER</t>
        </is>
      </c>
      <c r="D1785" t="inlineStr">
        <is>
          <t>20-May-2025 06:00 PM</t>
        </is>
      </c>
      <c r="E1785" t="inlineStr">
        <is>
          <t>5,00,000</t>
        </is>
      </c>
      <c r="F1785" t="inlineStr">
        <is>
          <t>WORK TENDOR</t>
        </is>
      </c>
      <c r="G1785" t="inlineStr">
        <is>
          <t>AT SITE</t>
        </is>
      </c>
    </row>
    <row r="1786">
      <c r="A1786" s="1" t="n">
        <v>1784</v>
      </c>
      <c r="B1786">
        <f>HYPERLINK("https://eproc.rajasthan.gov.in/nicgep/app?component=%24DirectLink&amp;page=FrontEndViewTender&amp;service=direct&amp;session=T&amp;sp=StPpYiXVxRPTAEzDiPyutVg%3D%3D", "MATERIAL SUPPLY IN GRAM PANCHAYAT MANDAWRA PS DHOD FOR MGNREGA AND OTHER SCHEME")</f>
        <v/>
      </c>
      <c r="C1786" t="inlineStr">
        <is>
          <t>Panchayati Raj Department||Secretary and Commissioner||CEO-SIKAR||BDO-DHOD</t>
        </is>
      </c>
      <c r="D1786" t="inlineStr">
        <is>
          <t>26-May-2025 06:00 PM</t>
        </is>
      </c>
      <c r="E1786" t="inlineStr">
        <is>
          <t>45,00,000</t>
        </is>
      </c>
      <c r="F1786" t="inlineStr">
        <is>
          <t>MATERIAL SUPPLY IN GRAM PANCHAYAT MANDAWRA PS DHOD FOR MGNREGA AND OTHER SCHEME</t>
        </is>
      </c>
      <c r="G1786" t="inlineStr">
        <is>
          <t>GRAM PANCHAYAT MANDAWRA</t>
        </is>
      </c>
    </row>
    <row r="1787">
      <c r="A1787" s="1" t="n">
        <v>1785</v>
      </c>
      <c r="B1787">
        <f>HYPERLINK("https://eproc.rajasthan.gov.in/nicgep/app?component=%24DirectLink&amp;page=FrontEndViewTender&amp;service=direct&amp;session=T&amp;sp=SlJZMzXryBdRBiytWXVXYZw%3D%3D", "Tender For SBM Sanitation Activity in GP Bhamatsar")</f>
        <v/>
      </c>
      <c r="C1787" t="inlineStr">
        <is>
          <t>Panchayati Raj Department||Secretary and Commissioner||CEO-BIKANER||BDO-PANCHU</t>
        </is>
      </c>
      <c r="D1787" t="inlineStr">
        <is>
          <t>20-May-2025 06:00 PM</t>
        </is>
      </c>
      <c r="E1787" t="inlineStr">
        <is>
          <t>4,79,000</t>
        </is>
      </c>
      <c r="F1787" t="inlineStr">
        <is>
          <t>Tender For SBM Sanitation Activity in GP Bhamatsar</t>
        </is>
      </c>
      <c r="G1787" t="inlineStr">
        <is>
          <t>GRAM PANCHAYAT BHAMATSAR</t>
        </is>
      </c>
    </row>
    <row r="1788">
      <c r="A1788" s="1" t="n">
        <v>1786</v>
      </c>
      <c r="B1788">
        <f>HYPERLINK("https://eproc.rajasthan.gov.in/nicgep/app?component=%24DirectLink&amp;page=FrontEndViewTender&amp;service=direct&amp;session=T&amp;sp=SvOouPwOguuqx1P8wltlsfQ%3D%3D", "WORK TENDOR")</f>
        <v/>
      </c>
      <c r="C1788" t="inlineStr">
        <is>
          <t>Panchayati Raj Department||Secretary and Commissioner||CEO-BHARATPUR||BDO-KUMHER</t>
        </is>
      </c>
      <c r="D1788" t="inlineStr">
        <is>
          <t>20-May-2025 06:00 PM</t>
        </is>
      </c>
      <c r="E1788" t="inlineStr">
        <is>
          <t>2,50,000</t>
        </is>
      </c>
      <c r="F1788" t="inlineStr">
        <is>
          <t>WORK TENDOR</t>
        </is>
      </c>
      <c r="G1788" t="inlineStr">
        <is>
          <t>AT SITE</t>
        </is>
      </c>
    </row>
    <row r="1789">
      <c r="A1789" s="1" t="n">
        <v>1787</v>
      </c>
      <c r="B1789">
        <f>HYPERLINK("https://eproc.rajasthan.gov.in/nicgep/app?component=%24DirectLink&amp;page=FrontEndViewTender&amp;service=direct&amp;session=T&amp;sp=SeLfVeumBpcyITKTfCCYJ2g%3D%3D", "WORK TENDOR")</f>
        <v/>
      </c>
      <c r="C1789" t="inlineStr">
        <is>
          <t>Panchayati Raj Department||Secretary and Commissioner||CEO-BHARATPUR||BDO-KUMHER</t>
        </is>
      </c>
      <c r="D1789" t="inlineStr">
        <is>
          <t>20-May-2025 06:00 PM</t>
        </is>
      </c>
      <c r="E1789" t="inlineStr">
        <is>
          <t>5,00,000</t>
        </is>
      </c>
      <c r="F1789" t="inlineStr">
        <is>
          <t>WORK TENDOR</t>
        </is>
      </c>
      <c r="G1789" t="inlineStr">
        <is>
          <t>AT SITE</t>
        </is>
      </c>
    </row>
    <row r="1790">
      <c r="A1790" s="1" t="n">
        <v>1788</v>
      </c>
      <c r="B1790">
        <f>HYPERLINK("https://eproc.rajasthan.gov.in/nicgep/app?component=%24DirectLink&amp;page=FrontEndViewTender&amp;service=direct&amp;session=T&amp;sp=SOJRRi8WQ1R9h4p0yg4dVAw%3D%3D", "WORK TENDOR")</f>
        <v/>
      </c>
      <c r="C1790" t="inlineStr">
        <is>
          <t>Panchayati Raj Department||Secretary and Commissioner||CEO-BHARATPUR||BDO-KUMHER</t>
        </is>
      </c>
      <c r="D1790" t="inlineStr">
        <is>
          <t>20-May-2025 06:00 PM</t>
        </is>
      </c>
      <c r="E1790" t="inlineStr">
        <is>
          <t>5,00,000</t>
        </is>
      </c>
      <c r="F1790" t="inlineStr">
        <is>
          <t>WORK TENDOR</t>
        </is>
      </c>
      <c r="G1790" t="inlineStr">
        <is>
          <t>AT SITE</t>
        </is>
      </c>
    </row>
    <row r="1791">
      <c r="A1791" s="1" t="n">
        <v>1789</v>
      </c>
      <c r="B1791">
        <f>HYPERLINK("https://eproc.rajasthan.gov.in/nicgep/app?component=%24DirectLink&amp;page=FrontEndViewTender&amp;service=direct&amp;session=T&amp;sp=Sh2zxbyZ9FpgwtxVNDiHNFw%3D%3D", "SBM")</f>
        <v/>
      </c>
      <c r="C1791" t="inlineStr">
        <is>
          <t>Panchayati Raj Department||Secretary and Commissioner||CEO-AJMER||BDO-JAWAJA</t>
        </is>
      </c>
      <c r="D1791" t="inlineStr">
        <is>
          <t>28-May-2025 05:00 PM</t>
        </is>
      </c>
      <c r="E1791" t="inlineStr">
        <is>
          <t>11,47,311</t>
        </is>
      </c>
      <c r="F1791" t="inlineStr">
        <is>
          <t>SBM</t>
        </is>
      </c>
      <c r="G1791" t="inlineStr">
        <is>
          <t>GP</t>
        </is>
      </c>
    </row>
    <row r="1792">
      <c r="A1792" s="1" t="n">
        <v>1790</v>
      </c>
      <c r="B1792">
        <f>HYPERLINK("https://eproc.rajasthan.gov.in/nicgep/app?component=%24DirectLink&amp;page=FrontEndViewTender&amp;service=direct&amp;session=T&amp;sp=S7Ze067lh%2FND%2F4J2Hv1RUVw%3D%3D", "Tender For SBM Sanitation Activity in GP Pithrasar")</f>
        <v/>
      </c>
      <c r="C1792" t="inlineStr">
        <is>
          <t>Panchayati Raj Department||Secretary and Commissioner||CEO-BIKANER||BDO-PANCHU</t>
        </is>
      </c>
      <c r="D1792" t="inlineStr">
        <is>
          <t>20-May-2025 06:00 PM</t>
        </is>
      </c>
      <c r="E1792" t="inlineStr">
        <is>
          <t>4,24,000</t>
        </is>
      </c>
      <c r="F1792" t="inlineStr">
        <is>
          <t>Tender For SBM Sanitation Activity in GP Pithrasar</t>
        </is>
      </c>
      <c r="G1792" t="inlineStr">
        <is>
          <t>GRAM PANCHAYAT PITHRASAR</t>
        </is>
      </c>
    </row>
    <row r="1793">
      <c r="A1793" s="1" t="n">
        <v>1791</v>
      </c>
      <c r="B1793">
        <f>HYPERLINK("https://eproc.rajasthan.gov.in/nicgep/app?component=%24DirectLink&amp;page=FrontEndViewTender&amp;service=direct&amp;session=T&amp;sp=SFcmg%2BcSBg%2B6aQg%2By5fHQqQ%3D%3D", "Work including Garbage collection and Separation from every house (Residential and Commercial), Road and Nali cleaning and community sanitation complex (CSC) cleaning in all the villages of Gram Panchayat BHERUPURA BARAD PS BUNDI")</f>
        <v/>
      </c>
      <c r="C1793" t="inlineStr">
        <is>
          <t>Panchayati Raj Department||Secretary and Commissioner||CEO-BUNDI||BDO-BUNDI</t>
        </is>
      </c>
      <c r="D1793" t="inlineStr">
        <is>
          <t>22-May-2025 06:00 PM</t>
        </is>
      </c>
      <c r="E1793" t="inlineStr">
        <is>
          <t>8,80,764</t>
        </is>
      </c>
      <c r="F1793" t="inlineStr">
        <is>
          <t>Work including Garbage collection and Separation from every house (Residential and Commercial), Road and Nali cleaning and community sanitation complex (CSC) cleaning in all the villages of Gram Panchayat BHERUPURA BARAD PS BUNDI</t>
        </is>
      </c>
      <c r="G1793" t="inlineStr">
        <is>
          <t>GRAM PANCHAYAT BHERUPURA BARAD</t>
        </is>
      </c>
    </row>
    <row r="1794">
      <c r="A1794" s="1" t="n">
        <v>1792</v>
      </c>
      <c r="B1794">
        <f>HYPERLINK("https://eproc.rajasthan.gov.in/nicgep/app?component=%24DirectLink&amp;page=FrontEndViewTender&amp;service=direct&amp;session=T&amp;sp=S4VL0kGRshkTX8gKUVGNWnw%3D%3D", "Work including Garbage collection and Separation from every house (Residential and Commercial), Road and Nali cleaning and community sanitation complex (CSC) cleaning in all the villages of Gram Panchayat BHERUPURA OJHA PS BUNDI")</f>
        <v/>
      </c>
      <c r="C1794" t="inlineStr">
        <is>
          <t>Panchayati Raj Department||Secretary and Commissioner||CEO-BUNDI||BDO-BUNDI</t>
        </is>
      </c>
      <c r="D1794" t="inlineStr">
        <is>
          <t>22-May-2025 06:00 PM</t>
        </is>
      </c>
      <c r="E1794" t="inlineStr">
        <is>
          <t>10,00,000</t>
        </is>
      </c>
      <c r="F1794" t="inlineStr">
        <is>
          <t>Work including Garbage collection and Separation from every house (Residential and Commercial), Road and Nali cleaning and community sanitation complex (CSC) cleaning in all the villages of Gram Panchayat BHERUPURA OJHA PS BUNDI</t>
        </is>
      </c>
      <c r="G1794" t="inlineStr">
        <is>
          <t>GRAM PANCHAYAT BHERUPURA OJHA</t>
        </is>
      </c>
    </row>
    <row r="1795">
      <c r="A1795" s="1" t="n">
        <v>1793</v>
      </c>
      <c r="B1795">
        <f>HYPERLINK("https://eproc.rajasthan.gov.in/nicgep/app?component=%24DirectLink&amp;page=FrontEndViewTender&amp;service=direct&amp;session=T&amp;sp=SWioGOnVqkxwNyFigQ1q0QA%3D%3D", "Work including Garbage collection and Separation from every house (Residential and Commercial), Road and Nali cleaning and community sanitation complex (CSC) cleaning in all the villages of Gram Panchayat DOLADA PS BUNDI")</f>
        <v/>
      </c>
      <c r="C1795" t="inlineStr">
        <is>
          <t>Panchayati Raj Department||Secretary and Commissioner||CEO-BUNDI||BDO-BUNDI</t>
        </is>
      </c>
      <c r="D1795" t="inlineStr">
        <is>
          <t>22-May-2025 06:00 PM</t>
        </is>
      </c>
      <c r="E1795" t="inlineStr">
        <is>
          <t>5,13,000</t>
        </is>
      </c>
      <c r="F1795" t="inlineStr">
        <is>
          <t>Work including Garbage collection and Separation from every house (Residential and Commercial), Road and Nali cleaning and community sanitation complex (CSC) cleaning in all the villages of Gram Panchayat DOLADA PS BUNDI</t>
        </is>
      </c>
      <c r="G1795" t="inlineStr">
        <is>
          <t>GRAM PANCHAYAT DOLADA</t>
        </is>
      </c>
    </row>
    <row r="1796">
      <c r="A1796" s="1" t="n">
        <v>1794</v>
      </c>
      <c r="B1796">
        <f>HYPERLINK("https://eproc.rajasthan.gov.in/nicgep/app?component=%24DirectLink&amp;page=FrontEndViewTender&amp;service=direct&amp;session=T&amp;sp=Sshe7Zf7T%2Fod7NYU1yPcshw%3D%3D", "Work including Garbage collection and Separation from every house (Residential and Commercial), Road and Nali cleaning and community sanitation complex (CSC) cleaning in all the villages of Gram Panchayat GADEGAAL PS BUNDI")</f>
        <v/>
      </c>
      <c r="C1796" t="inlineStr">
        <is>
          <t>Panchayati Raj Department||Secretary and Commissioner||CEO-BUNDI||BDO-BUNDI</t>
        </is>
      </c>
      <c r="D1796" t="inlineStr">
        <is>
          <t>22-May-2025 06:00 PM</t>
        </is>
      </c>
      <c r="E1796" t="inlineStr">
        <is>
          <t>9,98,083</t>
        </is>
      </c>
      <c r="F1796" t="inlineStr">
        <is>
          <t>Work including Garbage collection and Separation from every house (Residential and Commercial), Road and Nali cleaning and community sanitation complex (CSC) cleaning in all the villages of Gram Panchayat GADEGAAL PS BUNDI</t>
        </is>
      </c>
      <c r="G1796" t="inlineStr">
        <is>
          <t>GRAM PANCHAYAT GADEGAAL</t>
        </is>
      </c>
    </row>
    <row r="1797">
      <c r="A1797" s="1" t="n">
        <v>1795</v>
      </c>
      <c r="B1797">
        <f>HYPERLINK("https://eproc.rajasthan.gov.in/nicgep/app?component=%24DirectLink&amp;page=FrontEndViewTender&amp;service=direct&amp;session=T&amp;sp=S3a8%2BBS8XJkLZna3Yf6NZrg%3D%3D", "Work including Garbage collection and Separation from every house (Residential and Commercial), Road and Nali cleaning and community sanitation complex (CSC) cleaning in all the villages of Gram Panchayat GARDADA PS BUNDI")</f>
        <v/>
      </c>
      <c r="C1797" t="inlineStr">
        <is>
          <t>Panchayati Raj Department||Secretary and Commissioner||CEO-BUNDI||BDO-BUNDI</t>
        </is>
      </c>
      <c r="D1797" t="inlineStr">
        <is>
          <t>22-May-2025 06:00 PM</t>
        </is>
      </c>
      <c r="E1797" t="inlineStr">
        <is>
          <t>9,14,467</t>
        </is>
      </c>
      <c r="F1797" t="inlineStr">
        <is>
          <t>Work including Garbage collection and Separation from every house (Residential and Commercial), Road and Nali cleaning and community sanitation complex (CSC) cleaning in all the villages of Gram Panchayat GARDADA PS BUNDI</t>
        </is>
      </c>
      <c r="G1797" t="inlineStr">
        <is>
          <t>GRAM PANCHAYAT GARDADA</t>
        </is>
      </c>
    </row>
    <row r="1798">
      <c r="A1798" s="1" t="n">
        <v>1796</v>
      </c>
      <c r="B1798">
        <f>HYPERLINK("https://eproc.rajasthan.gov.in/nicgep/app?component=%24DirectLink&amp;page=FrontEndViewTender&amp;service=direct&amp;session=T&amp;sp=SHjgzputXHwdvbxFrDzSuyA%3D%3D", "Work including Garbage collection and Separation from every house (Residential and Commercial), Road and Nali cleaning and community sanitation complex (CSC) cleaning in all the villages of Gram Panchayat GUMANPURA PS BUNDI")</f>
        <v/>
      </c>
      <c r="C1798" t="inlineStr">
        <is>
          <t>Panchayati Raj Department||Secretary and Commissioner||CEO-BUNDI||BDO-BUNDI</t>
        </is>
      </c>
      <c r="D1798" t="inlineStr">
        <is>
          <t>22-May-2025 06:00 PM</t>
        </is>
      </c>
      <c r="E1798" t="inlineStr">
        <is>
          <t>9,44,193</t>
        </is>
      </c>
      <c r="F1798" t="inlineStr">
        <is>
          <t>Work including Garbage collection and Separation from every house (Residential and Commercial), Road and Nali cleaning and community sanitation complex (CSC) cleaning in all the villages of Gram Panchayat GUMANPURA PS BUNDI</t>
        </is>
      </c>
      <c r="G1798" t="inlineStr">
        <is>
          <t>GRAM PANCHAYAT GUMANPURA</t>
        </is>
      </c>
    </row>
    <row r="1799">
      <c r="A1799" s="1" t="n">
        <v>1797</v>
      </c>
      <c r="B1799">
        <f>HYPERLINK("https://eproc.rajasthan.gov.in/nicgep/app?component=%24DirectLink&amp;page=FrontEndViewTender&amp;service=direct&amp;session=T&amp;sp=Siv5nARLiZth7P0ns2EWJIQ%3D%3D", "Work including Garbage collection and Separation from every house (Residential and Commercial), Road and Nali cleaning and community sanitation complex (CSC) cleaning in all the villages of Gram Panchayat GUDDANATHAWATAN PS BUNDI")</f>
        <v/>
      </c>
      <c r="C1799" t="inlineStr">
        <is>
          <t>Panchayati Raj Department||Secretary and Commissioner||CEO-BUNDI||BDO-BUNDI</t>
        </is>
      </c>
      <c r="D1799" t="inlineStr">
        <is>
          <t>22-May-2025 06:00 PM</t>
        </is>
      </c>
      <c r="E1799" t="inlineStr">
        <is>
          <t>9,96,708</t>
        </is>
      </c>
      <c r="F1799" t="inlineStr">
        <is>
          <t>Work including Garbage collection and Separation from every house (Residential and Commercial), Road and Nali cleaning and community sanitation complex (CSC) cleaning in all the villages of Gram Panchayat GUDDANATHAWATAN PS BUNDI</t>
        </is>
      </c>
      <c r="G1799" t="inlineStr">
        <is>
          <t>GRAM PANCHAYAT GUDDANATHAWATAN</t>
        </is>
      </c>
    </row>
    <row r="1800">
      <c r="A1800" s="1" t="n">
        <v>1798</v>
      </c>
      <c r="B1800">
        <f>HYPERLINK("https://eproc.rajasthan.gov.in/nicgep/app?component=%24DirectLink&amp;page=FrontEndViewTender&amp;service=direct&amp;session=T&amp;sp=S3HHZ9Anyzz0hs6dt9DK4vg%3D%3D", "Work including Garbage collection and Separation from every house (Residential and Commercial), Road and Nali cleaning and community sanitation complex (CSC) cleaning in all the villages of Gram Panchayat HATTIPURA PS BUNDI")</f>
        <v/>
      </c>
      <c r="C1800" t="inlineStr">
        <is>
          <t>Panchayati Raj Department||Secretary and Commissioner||CEO-BUNDI||BDO-BUNDI</t>
        </is>
      </c>
      <c r="D1800" t="inlineStr">
        <is>
          <t>22-May-2025 06:00 PM</t>
        </is>
      </c>
      <c r="E1800" t="inlineStr">
        <is>
          <t>4,49,370</t>
        </is>
      </c>
      <c r="F1800" t="inlineStr">
        <is>
          <t>Work including Garbage collection and Separation from every house (Residential and Commercial), Road and Nali cleaning and community sanitation complex (CSC) cleaning in all the villages of Gram Panchayat HATTIPURA PS BUNDI</t>
        </is>
      </c>
      <c r="G1800" t="inlineStr">
        <is>
          <t>GRAM PANCHAYAT HATTIPURA</t>
        </is>
      </c>
    </row>
    <row r="1801">
      <c r="A1801" s="1" t="n">
        <v>1799</v>
      </c>
      <c r="B1801">
        <f>HYPERLINK("https://eproc.rajasthan.gov.in/nicgep/app?component=%24DirectLink&amp;page=FrontEndViewTender&amp;service=direct&amp;session=T&amp;sp=SaimFQb5ciuc1Bw%2BKAdX3XQ%3D%3D", "GRAM MEGHASAR ME PANCHAYAT BHAWAN KE PASS SANSKRATIK BHAWAN NIRMAN KARY")</f>
        <v/>
      </c>
      <c r="C1801" t="inlineStr">
        <is>
          <t>Panchayati Raj Department||Secretary and Commissioner||CEO-BIKANER||BDO-BIKANER</t>
        </is>
      </c>
      <c r="D1801" t="inlineStr">
        <is>
          <t>22-May-2025 12:00 PM</t>
        </is>
      </c>
      <c r="E1801" t="inlineStr">
        <is>
          <t>10,00,000</t>
        </is>
      </c>
      <c r="F1801" t="inlineStr">
        <is>
          <t>GRAM MEGHASAR ME PANCHAYAT BHAWAN KE PASS SANSKRATIK BHAWAN NIRMAN KARY</t>
        </is>
      </c>
      <c r="G1801" t="inlineStr">
        <is>
          <t>MEGHASAR</t>
        </is>
      </c>
    </row>
    <row r="1802">
      <c r="A1802" s="1" t="n">
        <v>1800</v>
      </c>
      <c r="B1802">
        <f>HYPERLINK("https://eproc.rajasthan.gov.in/nicgep/app?component=%24DirectLink&amp;page=FrontEndViewTender&amp;service=direct&amp;session=T&amp;sp=SDFIEm5NGJUFQZQL2DllE2g%3D%3D", "Work including Garbage collection and Separation from every house (Residential and Commercial), Road and Nali cleaning and community sanitation complex (CSC) cleaning in all the villages of Gram Panchayat JAVTIKALA PS BUNDI")</f>
        <v/>
      </c>
      <c r="C1802" t="inlineStr">
        <is>
          <t>Panchayati Raj Department||Secretary and Commissioner||CEO-BUNDI||BDO-BUNDI</t>
        </is>
      </c>
      <c r="D1802" t="inlineStr">
        <is>
          <t>22-May-2025 06:00 PM</t>
        </is>
      </c>
      <c r="E1802" t="inlineStr">
        <is>
          <t>9,99,301</t>
        </is>
      </c>
      <c r="F1802" t="inlineStr">
        <is>
          <t>Work including Garbage collection and Separation from every house (Residential and Commercial), Road and Nali cleaning and community sanitation complex (CSC) cleaning in all the villages of Gram Panchayat JAVTIKALA PS BUNDI</t>
        </is>
      </c>
      <c r="G1802" t="inlineStr">
        <is>
          <t>GRAM PANCHAYAT JAVTIKALA</t>
        </is>
      </c>
    </row>
    <row r="1803">
      <c r="A1803" s="1" t="n">
        <v>1801</v>
      </c>
      <c r="B1803">
        <f>HYPERLINK("https://eproc.rajasthan.gov.in/nicgep/app?component=%24DirectLink&amp;page=FrontEndViewTender&amp;service=direct&amp;session=T&amp;sp=SuU0q4jT71usqz6mQVqZ3yQ%3D%3D", "Work including Garbage collection and Separation from every house (Residential and Commercial), Road and Nali cleaning and community sanitation complex (CSC) cleaning in all the villages of Gram Panchayat ANTHADA PS BUNDI")</f>
        <v/>
      </c>
      <c r="C1803" t="inlineStr">
        <is>
          <t>Panchayati Raj Department||Secretary and Commissioner||CEO-BUNDI||BDO-BUNDI</t>
        </is>
      </c>
      <c r="D1803" t="inlineStr">
        <is>
          <t>22-May-2025 06:00 PM</t>
        </is>
      </c>
      <c r="E1803" t="inlineStr">
        <is>
          <t>9,99,905</t>
        </is>
      </c>
      <c r="F1803" t="inlineStr">
        <is>
          <t>Work including Garbage collection and Separation from every house (Residential and Commercial), Road and Nali cleaning and community sanitation complex (CSC) cleaning in all the villages of Gram Panchayat ANTHADA PS BUNDI</t>
        </is>
      </c>
      <c r="G1803" t="inlineStr">
        <is>
          <t>GRAM PANCHAYAT ANTHADA</t>
        </is>
      </c>
    </row>
    <row r="1804">
      <c r="A1804" s="1" t="n">
        <v>1802</v>
      </c>
      <c r="B1804">
        <f>HYPERLINK("https://eproc.rajasthan.gov.in/nicgep/app?component=%24DirectLink&amp;page=FrontEndViewTender&amp;service=direct&amp;session=T&amp;sp=S311kvVZwWGHpC%2BEu1n28sg%3D%3D", "RAJKIYA UCH MADHYAMIK VIDHALAY MEGHASAR ME CALLS 01 SE 08 TAK CHATRO KE LIYE 02 CLASS ROOM NIRMAN KARY MEGHASAR BIKANER")</f>
        <v/>
      </c>
      <c r="C1804" t="inlineStr">
        <is>
          <t>Panchayati Raj Department||Secretary and Commissioner||CEO-BIKANER||BDO-BIKANER</t>
        </is>
      </c>
      <c r="D1804" t="inlineStr">
        <is>
          <t>22-May-2025 12:00 PM</t>
        </is>
      </c>
      <c r="E1804" t="inlineStr">
        <is>
          <t>20,00,000</t>
        </is>
      </c>
      <c r="F1804" t="inlineStr">
        <is>
          <t>RAJKIYA UCH MADHYAMIK VIDHALAY MEGHASAR ME CALLS 01 SE 08 TAK CHATRO KE LIYE 02 CLASS ROOM NIRMAN KARY MEGHASAR BIKANER</t>
        </is>
      </c>
      <c r="G1804" t="inlineStr">
        <is>
          <t>MEGHASAR</t>
        </is>
      </c>
    </row>
    <row r="1805">
      <c r="A1805" s="1" t="n">
        <v>1803</v>
      </c>
      <c r="B1805">
        <f>HYPERLINK("https://eproc.rajasthan.gov.in/nicgep/app?component=%24DirectLink&amp;page=FrontEndViewTender&amp;service=direct&amp;session=T&amp;sp=SyOKDylatpDXmnqmFdO6w0w%3D%3D", "Work including Garbage collection and Separation from every house (Residential and Commercial), Road and Nali cleaning and community sanitation complex (CSC) cleaning in all the villages of Gram Panchayat KALPURIYA PS BUNDI")</f>
        <v/>
      </c>
      <c r="C1805" t="inlineStr">
        <is>
          <t>Panchayati Raj Department||Secretary and Commissioner||CEO-BUNDI||BDO-BUNDI</t>
        </is>
      </c>
      <c r="D1805" t="inlineStr">
        <is>
          <t>22-May-2025 06:00 PM</t>
        </is>
      </c>
      <c r="E1805" t="inlineStr">
        <is>
          <t>9,98,530</t>
        </is>
      </c>
      <c r="F1805" t="inlineStr">
        <is>
          <t>Work including Garbage collection and Separation from every house (Residential and Commercial), Road and Nali cleaning and community sanitation complex (CSC) cleaning in all the villages of Gram Panchayat KALPURIYA PS BUNDI</t>
        </is>
      </c>
      <c r="G1805" t="inlineStr">
        <is>
          <t>GRAM PANCHAYAT KALPURIYA</t>
        </is>
      </c>
    </row>
    <row r="1806">
      <c r="A1806" s="1" t="n">
        <v>1804</v>
      </c>
      <c r="B1806">
        <f>HYPERLINK("https://eproc.rajasthan.gov.in/nicgep/app?component=%24DirectLink&amp;page=FrontEndViewTender&amp;service=direct&amp;session=T&amp;sp=StTW%2F63%2F%2FWxdLR7Shcs4Qqw%3D%3D", "SARPANCH GRAM PANCHAYAT NANDARI")</f>
        <v/>
      </c>
      <c r="C1806" t="inlineStr">
        <is>
          <t>Panchayati Raj Department||Secretary and Commissioner||CEO-DAUSA||BDO-SIKARAI</t>
        </is>
      </c>
      <c r="D1806" t="inlineStr">
        <is>
          <t>24-May-2025 06:00 PM</t>
        </is>
      </c>
      <c r="E1806" t="inlineStr">
        <is>
          <t>9,99,938</t>
        </is>
      </c>
      <c r="F1806" t="inlineStr">
        <is>
          <t>SARPANCH GRAM PANCHAYAT NANDARI</t>
        </is>
      </c>
      <c r="G1806" t="inlineStr">
        <is>
          <t>SARPANCH GRAM PANCHAYAT NANDARI</t>
        </is>
      </c>
    </row>
    <row r="1807">
      <c r="A1807" s="1" t="n">
        <v>1805</v>
      </c>
      <c r="B1807">
        <f>HYPERLINK("https://eproc.rajasthan.gov.in/nicgep/app?component=%24DirectLink&amp;page=FrontEndViewTender&amp;service=direct&amp;session=T&amp;sp=SnXjKoliv27PAXeFGz2MIdg%3D%3D", "CC INTERLOKING ROAD NIRMAN KARYA MAIN ROAD FOOLCHAND KE MAKAN SE JOGIYO KI DHANI KI AUR 2 INTERLOKING ROAD NIRMAN KARYA MAIN ROAD SE JAYNARAYAN DHAMOLI KI AUR NANDARI")</f>
        <v/>
      </c>
      <c r="C1807" t="inlineStr">
        <is>
          <t>Panchayati Raj Department||Secretary and Commissioner||CEO-DAUSA||BDO-SIKARAI</t>
        </is>
      </c>
      <c r="D1807" t="inlineStr">
        <is>
          <t>24-May-2025 06:00 PM</t>
        </is>
      </c>
      <c r="E1807" t="inlineStr">
        <is>
          <t>14,99,958</t>
        </is>
      </c>
      <c r="F1807" t="inlineStr">
        <is>
          <t>CC INTERLOKING ROAD NIRMAN KARYA MAIN ROAD FOOLCHAND KE MAKAN SE JOGIYO KI DHANI KI AUR 2 INTERLOKING ROAD NIRMAN KARYA MAIN ROAD SE JAYNARAYAN DHAMOLI KI AUR NANDARI</t>
        </is>
      </c>
      <c r="G1807" t="inlineStr">
        <is>
          <t>CC INTERLOKING ROAD NIRMAN KARYA MAIN ROAD FOOLCHA</t>
        </is>
      </c>
    </row>
    <row r="1808">
      <c r="A1808" s="1" t="n">
        <v>1806</v>
      </c>
      <c r="B1808">
        <f>HYPERLINK("https://eproc.rajasthan.gov.in/nicgep/app?component=%24DirectLink&amp;page=FrontEndViewTender&amp;service=direct&amp;session=T&amp;sp=SU8T87qY7s1AQpc1timhv9Q%3D%3D", "Work including Garbage collection and Separation from every house (Residential and Commercial), Road and Nali cleaning and community sanitation complex (CSC) cleaning in all the villages of Gram Panchayat BAMBORI PS BUNDI")</f>
        <v/>
      </c>
      <c r="C1808" t="inlineStr">
        <is>
          <t>Panchayati Raj Department||Secretary and Commissioner||CEO-BUNDI||BDO-BUNDI</t>
        </is>
      </c>
      <c r="D1808" t="inlineStr">
        <is>
          <t>22-May-2025 06:00 PM</t>
        </is>
      </c>
      <c r="E1808" t="inlineStr">
        <is>
          <t>9,79,636</t>
        </is>
      </c>
      <c r="F1808" t="inlineStr">
        <is>
          <t>Work including Garbage collection and Separation from every house (Residential and Commercial), Road and Nali cleaning and community sanitation complex (CSC) cleaning in all the villages of Gram Panchayat BAMBORI PS BUNDI</t>
        </is>
      </c>
      <c r="G1808" t="inlineStr">
        <is>
          <t>GRAM PANCHAYAT BAMBORI</t>
        </is>
      </c>
    </row>
    <row r="1809">
      <c r="A1809" s="1" t="n">
        <v>1807</v>
      </c>
      <c r="B1809">
        <f>HYPERLINK("https://eproc.rajasthan.gov.in/nicgep/app?component=%24DirectLink&amp;page=FrontEndViewTender&amp;service=direct&amp;session=T&amp;sp=SCR1B%2B7rtwZUkczccpVq5AQ%3D%3D", "Gram Panchayat DENDABASEDI All village, Home to Home Garbage collection and segregation from(residential and commercial)areas, street and drain cleaning and community sanitation,premises cleaning work,GP DENDABASEDI PS SIKRAI")</f>
        <v/>
      </c>
      <c r="C1809" t="inlineStr">
        <is>
          <t>Panchayati Raj Department||Secretary and Commissioner||CEO-DAUSA||BDO-SIKARAI</t>
        </is>
      </c>
      <c r="D1809" t="inlineStr">
        <is>
          <t>24-May-2025 12:00 PM</t>
        </is>
      </c>
      <c r="E1809" t="inlineStr">
        <is>
          <t>6,61,503</t>
        </is>
      </c>
      <c r="F1809" t="inlineStr">
        <is>
          <t>Gram Panchayat DENDABASEDI All village, Home to Home Garbage collection and segregation from(residential and commercial)areas, street and drain cleaning and community sanitation,premises cleaning work,GP DENDABASEDI PS SIKRAI</t>
        </is>
      </c>
      <c r="G1809" t="inlineStr">
        <is>
          <t>Gram Panchayat DENDABASEDI All village, Home to Ho</t>
        </is>
      </c>
    </row>
    <row r="1810">
      <c r="A1810" s="1" t="n">
        <v>1808</v>
      </c>
      <c r="B1810">
        <f>HYPERLINK("https://eproc.rajasthan.gov.in/nicgep/app?component=%24DirectLink&amp;page=FrontEndViewTender&amp;service=direct&amp;session=T&amp;sp=SNs3x8lBVo7Ub7lqoTHp4og%3D%3D", "Work including Garbage collection and Separation from every house (Residential and Commercial), Road and Nali cleaning and community sanitation complex (CSC) cleaning in all the villages of Gram Panchayat DHANATRI PS BUNDI")</f>
        <v/>
      </c>
      <c r="C1810" t="inlineStr">
        <is>
          <t>Panchayati Raj Department||Secretary and Commissioner||CEO-BUNDI||BDO-BUNDI</t>
        </is>
      </c>
      <c r="D1810" t="inlineStr">
        <is>
          <t>22-May-2025 06:00 PM</t>
        </is>
      </c>
      <c r="E1810" t="inlineStr">
        <is>
          <t>8,69,051</t>
        </is>
      </c>
      <c r="F1810" t="inlineStr">
        <is>
          <t>Work including Garbage collection and Separation from every house (Residential and Commercial), Road and Nali cleaning and community sanitation complex (CSC) cleaning in all the villages of Gram Panchayat DHANATRI PS BUNDI</t>
        </is>
      </c>
      <c r="G1810" t="inlineStr">
        <is>
          <t>GRAM PANCHAYAT DHANATRI</t>
        </is>
      </c>
    </row>
    <row r="1811">
      <c r="A1811" s="1" t="n">
        <v>1809</v>
      </c>
      <c r="B1811">
        <f>HYPERLINK("https://eproc.rajasthan.gov.in/nicgep/app?component=%24DirectLink&amp;page=FrontEndViewTender&amp;service=direct&amp;session=T&amp;sp=SBWJX%2BGq%2BswMNZdRHq2uWsg%3D%3D", "Gram Panchayat GEEJGARH All village, Home to Home Garbage collection and segregation from(residential and commercial)areas, street and drain cleaning and community sanitation,premises cleaning work,GP GEEJGARH PS SIKRAI ZONE 1ST")</f>
        <v/>
      </c>
      <c r="C1811" t="inlineStr">
        <is>
          <t>Panchayati Raj Department||Secretary and Commissioner||CEO-DAUSA||BDO-SIKARAI</t>
        </is>
      </c>
      <c r="D1811" t="inlineStr">
        <is>
          <t>24-May-2025 12:00 PM</t>
        </is>
      </c>
      <c r="E1811" t="inlineStr">
        <is>
          <t>9,99,977</t>
        </is>
      </c>
      <c r="F1811" t="inlineStr">
        <is>
          <t>Gram Panchayat GEEJGARH All village, Home to Home Garbage collection and segregation from(residential and commercial)areas, street and drain cleaning and community sanitation,premises cleaning work,GP GEEJGARH PS SIKRAI ZONE 1ST</t>
        </is>
      </c>
      <c r="G1811" t="inlineStr">
        <is>
          <t>Gram Panchayat GEEJGARH All village, Home to Home</t>
        </is>
      </c>
    </row>
    <row r="1812">
      <c r="A1812" s="1" t="n">
        <v>1810</v>
      </c>
      <c r="B1812">
        <f>HYPERLINK("https://eproc.rajasthan.gov.in/nicgep/app?component=%24DirectLink&amp;page=FrontEndViewTender&amp;service=direct&amp;session=T&amp;sp=Sbd3onseRHFaasHQbkflPPg%3D%3D", "Work including Garbage collection and Separation from every house (Residential and Commercial), Road and Nali cleaning and community sanitation complex (CSC) cleaning in all the villages of Gram Panchayat LALPURA PS BUNDI")</f>
        <v/>
      </c>
      <c r="C1812" t="inlineStr">
        <is>
          <t>Panchayati Raj Department||Secretary and Commissioner||CEO-BUNDI||BDO-BUNDI</t>
        </is>
      </c>
      <c r="D1812" t="inlineStr">
        <is>
          <t>22-May-2025 06:00 PM</t>
        </is>
      </c>
      <c r="E1812" t="inlineStr">
        <is>
          <t>9,96,979</t>
        </is>
      </c>
      <c r="F1812" t="inlineStr">
        <is>
          <t>Work including Garbage collection and Separation from every house (Residential and Commercial), Road and Nali cleaning and community sanitation complex (CSC) cleaning in all the villages of Gram Panchayat LALPURA PS BUNDI</t>
        </is>
      </c>
      <c r="G1812" t="inlineStr">
        <is>
          <t>GRAM PANCHAYAT LALPURA</t>
        </is>
      </c>
    </row>
    <row r="1813">
      <c r="A1813" s="1" t="n">
        <v>1811</v>
      </c>
      <c r="B1813">
        <f>HYPERLINK("https://eproc.rajasthan.gov.in/nicgep/app?component=%24DirectLink&amp;page=FrontEndViewTender&amp;service=direct&amp;session=T&amp;sp=SGQ8WBOACU2wu5kInS8LOjg%3D%3D", "Work including Garbage collection and Separation from every house (Residential and Commercial), Road and Nali cleaning and community sanitation complex (CSC) cleaning in all the villages of Gram Panchayat KHATKAD PS BUNDI")</f>
        <v/>
      </c>
      <c r="C1813" t="inlineStr">
        <is>
          <t>Panchayati Raj Department||Secretary and Commissioner||CEO-BUNDI||BDO-BUNDI</t>
        </is>
      </c>
      <c r="D1813" t="inlineStr">
        <is>
          <t>22-May-2025 06:00 PM</t>
        </is>
      </c>
      <c r="E1813" t="inlineStr">
        <is>
          <t>10,00,000</t>
        </is>
      </c>
      <c r="F1813" t="inlineStr">
        <is>
          <t>Work including Garbage collection and Separation from every house (Residential and Commercial), Road and Nali cleaning and community sanitation complex (CSC) cleaning in all the villages of Gram Panchayat KHATKAD PS BUNDI</t>
        </is>
      </c>
      <c r="G1813" t="inlineStr">
        <is>
          <t>GRAM PANCHAYAT KHATKAD</t>
        </is>
      </c>
    </row>
    <row r="1814">
      <c r="A1814" s="1" t="n">
        <v>1812</v>
      </c>
      <c r="B1814">
        <f>HYPERLINK("https://eproc.rajasthan.gov.in/nicgep/app?component=%24DirectLink&amp;page=FrontEndViewTender&amp;service=direct&amp;session=T&amp;sp=SEw6npWjik%2Fv9rU0UnGKm4g%3D%3D", "GRAM PANVHAYAT KE SAMAST GAVO ME GHR GHR SE KACHRA SANGRHAN V PRATHAKRAN SADAK V NALI SAFAI V CSC SAFAI RASHMI")</f>
        <v/>
      </c>
      <c r="C1814" t="inlineStr">
        <is>
          <t>Panchayati Raj Department||Secretary and Commissioner||CEO-CHITTORGARH||BDO-RASHMI</t>
        </is>
      </c>
      <c r="D1814" t="inlineStr">
        <is>
          <t>22-May-2025 10:00 AM</t>
        </is>
      </c>
      <c r="E1814" t="inlineStr">
        <is>
          <t>9,23,899</t>
        </is>
      </c>
      <c r="F1814" t="inlineStr">
        <is>
          <t>GRAM PANVHAYAT KE SAMAST GAVO ME GHR GHR SE KACHRA SANGRHAN V PRATHAKRAN SADAK V NALI SAFAI V CSC SAFAI RASHMI</t>
        </is>
      </c>
      <c r="G1814" t="inlineStr">
        <is>
          <t>gram panchayat RASHMI</t>
        </is>
      </c>
    </row>
    <row r="1815">
      <c r="A1815" s="1" t="n">
        <v>1813</v>
      </c>
      <c r="B1815">
        <f>HYPERLINK("https://eproc.rajasthan.gov.in/nicgep/app?component=%24DirectLink&amp;page=FrontEndViewTender&amp;service=direct&amp;session=T&amp;sp=SSb7LDD56hYZpaT40utB2fw%3D%3D", "Gram Panchayat KALWAN All village, Home to Home Garbage collection and segregation from(residential and commercial)areas, street and drain cleaning and community sanitation,premises cleaning work,GP KALWAN PS SIKRAI")</f>
        <v/>
      </c>
      <c r="C1815" t="inlineStr">
        <is>
          <t>Panchayati Raj Department||Secretary and Commissioner||CEO-DAUSA||BDO-SIKARAI</t>
        </is>
      </c>
      <c r="D1815" t="inlineStr">
        <is>
          <t>24-May-2025 06:00 PM</t>
        </is>
      </c>
      <c r="E1815" t="inlineStr">
        <is>
          <t>7,29,524</t>
        </is>
      </c>
      <c r="F1815" t="inlineStr">
        <is>
          <t>Gram Panchayat KALWAN All village, Home to Home Garbage collection and segregation from(residential and commercial)areas, street and drain cleaning and community sanitation,premises cleaning work,GP KALWAN PS SIKRAI</t>
        </is>
      </c>
      <c r="G1815" t="inlineStr">
        <is>
          <t>Gram Panchayat KALWAN All village, Home to Home Ga</t>
        </is>
      </c>
    </row>
    <row r="1816">
      <c r="A1816" s="1" t="n">
        <v>1814</v>
      </c>
      <c r="B1816">
        <f>HYPERLINK("https://eproc.rajasthan.gov.in/nicgep/app?component=%24DirectLink&amp;page=FrontEndViewTender&amp;service=direct&amp;session=T&amp;sp=SBsNF83F8ETS6F5jMWOqdKQ%3D%3D", "Work including Garbage collection and Separation from every house (Residential and Commercial), Road and Nali cleaning and community sanitation complex (CSC) cleaning in all the villages of Gram Panchayat KHAYAVDA PS BUNDI")</f>
        <v/>
      </c>
      <c r="C1816" t="inlineStr">
        <is>
          <t>Panchayati Raj Department||Secretary and Commissioner||CEO-BUNDI||BDO-BUNDI</t>
        </is>
      </c>
      <c r="D1816" t="inlineStr">
        <is>
          <t>22-May-2025 06:00 PM</t>
        </is>
      </c>
      <c r="E1816" t="inlineStr">
        <is>
          <t>9,96,000</t>
        </is>
      </c>
      <c r="F1816" t="inlineStr">
        <is>
          <t>Work including Garbage collection and Separation from every house (Residential and Commercial), Road and Nali cleaning and community sanitation complex (CSC) cleaning in all the villages of Gram Panchayat KHAYAVDA PS BUNDI</t>
        </is>
      </c>
      <c r="G1816" t="inlineStr">
        <is>
          <t>GRAM PANCHAYAT KHAYAVDA</t>
        </is>
      </c>
    </row>
    <row r="1817">
      <c r="A1817" s="1" t="n">
        <v>1815</v>
      </c>
      <c r="B1817">
        <f>HYPERLINK("https://eproc.rajasthan.gov.in/nicgep/app?component=%24DirectLink&amp;page=FrontEndViewTender&amp;service=direct&amp;session=T&amp;sp=SraQ3NV%2Bi4xP%2BPZAaRiLYkA%3D%3D", "Work including Garbage collection and Separation from every house (Residential and Commercial), Road and Nali cleaning and community sanitation complex (CSC) cleaning in all the villages of Gram Panchayat LOICHA PS BUNDI")</f>
        <v/>
      </c>
      <c r="C1817" t="inlineStr">
        <is>
          <t>Panchayati Raj Department||Secretary and Commissioner||CEO-BUNDI||BDO-BUNDI</t>
        </is>
      </c>
      <c r="D1817" t="inlineStr">
        <is>
          <t>22-May-2025 06:00 PM</t>
        </is>
      </c>
      <c r="E1817" t="inlineStr">
        <is>
          <t>9,96,116</t>
        </is>
      </c>
      <c r="F1817" t="inlineStr">
        <is>
          <t>Work including Garbage collection and Separation from every house (Residential and Commercial), Road and Nali cleaning and community sanitation complex (CSC) cleaning in all the villages of Gram Panchayat LOICHA PS BUNDI</t>
        </is>
      </c>
      <c r="G1817" t="inlineStr">
        <is>
          <t>GRAM PANCHAYAT LOICHA</t>
        </is>
      </c>
    </row>
    <row r="1818">
      <c r="A1818" s="1" t="n">
        <v>1816</v>
      </c>
      <c r="B1818">
        <f>HYPERLINK("https://eproc.rajasthan.gov.in/nicgep/app?component=%24DirectLink&amp;page=FrontEndViewTender&amp;service=direct&amp;session=T&amp;sp=SFehMdQwCypyoNrGvCjzYqQ%3D%3D", "Gram Panchayat GEEJGARH All village, Home to Home Garbage collection and segregation from(residential and commercial)areas, street and drain cleaning and community sanitation,premises cleaning work,GP GEEJGARH PS SIKRAI ZONE 2ND")</f>
        <v/>
      </c>
      <c r="C1818" t="inlineStr">
        <is>
          <t>Panchayati Raj Department||Secretary and Commissioner||CEO-DAUSA||BDO-SIKARAI</t>
        </is>
      </c>
      <c r="D1818" t="inlineStr">
        <is>
          <t>24-May-2025 12:00 PM</t>
        </is>
      </c>
      <c r="E1818" t="inlineStr">
        <is>
          <t>9,99,955</t>
        </is>
      </c>
      <c r="F1818" t="inlineStr">
        <is>
          <t>Gram Panchayat GEEJGARH All village, Home to Home Garbage collection and segregation from(residential and commercial)areas, street and drain cleaning and community sanitation,premises cleaning work,GP GEEJGARH PS SIKRAI ZONE 2ND</t>
        </is>
      </c>
      <c r="G1818" t="inlineStr">
        <is>
          <t>Gram Panchayat GEEJGARH All village, Home to Home</t>
        </is>
      </c>
    </row>
    <row r="1819">
      <c r="A1819" s="1" t="n">
        <v>1817</v>
      </c>
      <c r="B1819">
        <f>HYPERLINK("https://eproc.rajasthan.gov.in/nicgep/app?component=%24DirectLink&amp;page=FrontEndViewTender&amp;service=direct&amp;session=T&amp;sp=SxrO8WB1qDZtijvmUybJsXg%3D%3D", "Work including Garbage collection and Separation from every house (Residential and Commercial), Road and Nali cleaning and community sanitation complex (CSC) cleaning in all the villages of Gram Panchayat NAYAGAOV PS BUNDI")</f>
        <v/>
      </c>
      <c r="C1819" t="inlineStr">
        <is>
          <t>Panchayati Raj Department||Secretary and Commissioner||CEO-BUNDI||BDO-BUNDI</t>
        </is>
      </c>
      <c r="D1819" t="inlineStr">
        <is>
          <t>22-May-2025 06:00 PM</t>
        </is>
      </c>
      <c r="E1819" t="inlineStr">
        <is>
          <t>9,96,422</t>
        </is>
      </c>
      <c r="F1819" t="inlineStr">
        <is>
          <t>Work including Garbage collection and Separation from every house (Residential and Commercial), Road and Nali cleaning and community sanitation complex (CSC) cleaning in all the villages of Gram Panchayat NAYAGAOV PS BUNDI</t>
        </is>
      </c>
      <c r="G1819" t="inlineStr">
        <is>
          <t>GRAM PANCHAYAT NAYAGAOV</t>
        </is>
      </c>
    </row>
    <row r="1820">
      <c r="A1820" s="1" t="n">
        <v>1818</v>
      </c>
      <c r="B1820">
        <f>HYPERLINK("https://eproc.rajasthan.gov.in/nicgep/app?component=%24DirectLink&amp;page=FrontEndViewTender&amp;service=direct&amp;session=T&amp;sp=SY4tfjrNqlcJ0hFczZgXeug%3D%3D", "Gram Panchayat PANCHOLI All village, Home to Home Garbage collection and segregation from(residential and commercial)areas, street and drain cleaning and community sanitation,premises cleaning work,GP PANCHOLI PS SIKRAI")</f>
        <v/>
      </c>
      <c r="C1820" t="inlineStr">
        <is>
          <t>Panchayati Raj Department||Secretary and Commissioner||CEO-DAUSA||BDO-SIKARAI</t>
        </is>
      </c>
      <c r="D1820" t="inlineStr">
        <is>
          <t>24-May-2025 12:00 PM</t>
        </is>
      </c>
      <c r="E1820" t="inlineStr">
        <is>
          <t>8,80,892</t>
        </is>
      </c>
      <c r="F1820" t="inlineStr">
        <is>
          <t>Gram Panchayat PANCHOLI All village, Home to Home Garbage collection and segregation from(residential and commercial)areas, street and drain cleaning and community sanitation,premises cleaning work,GP PANCHOLI PS SIKRAI</t>
        </is>
      </c>
      <c r="G1820" t="inlineStr">
        <is>
          <t>Gram Panchayat PANCHOLI All village, Home to Home</t>
        </is>
      </c>
    </row>
    <row r="1821">
      <c r="A1821" s="1" t="n">
        <v>1819</v>
      </c>
      <c r="B1821">
        <f>HYPERLINK("https://eproc.rajasthan.gov.in/nicgep/app?component=%24DirectLink&amp;page=FrontEndViewTender&amp;service=direct&amp;session=T&amp;sp=SbCLp47iZkUknQ10yCM01vQ%3D%3D", "Work including Garbage collection and Separation from every house (Residential and Commercial), Road and Nali cleaning and community sanitation complex (CSC) cleaning in all the villages of Gram Panchayat NAMANA PS BUNDI")</f>
        <v/>
      </c>
      <c r="C1821" t="inlineStr">
        <is>
          <t>Panchayati Raj Department||Secretary and Commissioner||CEO-BUNDI||BDO-BUNDI</t>
        </is>
      </c>
      <c r="D1821" t="inlineStr">
        <is>
          <t>22-May-2025 06:00 PM</t>
        </is>
      </c>
      <c r="E1821" t="inlineStr">
        <is>
          <t>9,99,505</t>
        </is>
      </c>
      <c r="F1821" t="inlineStr">
        <is>
          <t>Work including Garbage collection and Separation from every house (Residential and Commercial), Road and Nali cleaning and community sanitation complex (CSC) cleaning in all the villages of Gram Panchayat NAMANA PS BUNDI</t>
        </is>
      </c>
      <c r="G1821" t="inlineStr">
        <is>
          <t>GRAM PANCHAYAT NAMANA</t>
        </is>
      </c>
    </row>
    <row r="1822">
      <c r="A1822" s="1" t="n">
        <v>1820</v>
      </c>
      <c r="B1822">
        <f>HYPERLINK("https://eproc.rajasthan.gov.in/nicgep/app?component=%24DirectLink&amp;page=FrontEndViewTender&amp;service=direct&amp;session=T&amp;sp=S0EbNAhg3X2i0vpjpulPSvA%3D%3D", "Work including Garbage collection and Separation from every house (Residential and Commercial), Road and Nali cleaning and community sanitation complex (CSC) cleaning in all the villages of Gram Panchayat MATUNDA PS BUNDI")</f>
        <v/>
      </c>
      <c r="C1822" t="inlineStr">
        <is>
          <t>Panchayati Raj Department||Secretary and Commissioner||CEO-BUNDI||BDO-BUNDI</t>
        </is>
      </c>
      <c r="D1822" t="inlineStr">
        <is>
          <t>22-May-2025 06:00 PM</t>
        </is>
      </c>
      <c r="E1822" t="inlineStr">
        <is>
          <t>9,96,686</t>
        </is>
      </c>
      <c r="F1822" t="inlineStr">
        <is>
          <t>Work including Garbage collection and Separation from every house (Residential and Commercial), Road and Nali cleaning and community sanitation complex (CSC) cleaning in all the villages of Gram Panchayat MATUNDA PS BUNDI</t>
        </is>
      </c>
      <c r="G1822" t="inlineStr">
        <is>
          <t>GRAM PANCHAYAT MATUNDA</t>
        </is>
      </c>
    </row>
    <row r="1823">
      <c r="A1823" s="1" t="n">
        <v>1821</v>
      </c>
      <c r="B1823">
        <f>HYPERLINK("https://eproc.rajasthan.gov.in/nicgep/app?component=%24DirectLink&amp;page=FrontEndViewTender&amp;service=direct&amp;session=T&amp;sp=Sv9f8dASlZFJ3Xza0vyHyHQ%3D%3D", "Work including door to door residential and commercial kachra collection and separation road and drainage cleaning and community sanitation complex in all the village of Gram Panchayat area pacheeplya")</f>
        <v/>
      </c>
      <c r="C1823" t="inlineStr">
        <is>
          <t>Panchayati Raj Department||Secretary and Commissioner||CEO-S.MADHOPUR||BDO-SAWAIMADHOPUR</t>
        </is>
      </c>
      <c r="D1823" t="inlineStr">
        <is>
          <t>21-May-2025 06:00 PM</t>
        </is>
      </c>
      <c r="E1823" t="inlineStr">
        <is>
          <t>6,50,000</t>
        </is>
      </c>
      <c r="F1823" t="inlineStr">
        <is>
          <t>Work including door to door residential and commercial kachra collection and separation road and drainage cleaning and community sanitation complex in all the village of Gram Panchayat area pacheeplya</t>
        </is>
      </c>
      <c r="G1823" t="inlineStr">
        <is>
          <t>pacheeplya</t>
        </is>
      </c>
    </row>
    <row r="1824">
      <c r="A1824" s="1" t="n">
        <v>1822</v>
      </c>
      <c r="B1824">
        <f>HYPERLINK("https://eproc.rajasthan.gov.in/nicgep/app?component=%24DirectLink&amp;page=FrontEndViewTender&amp;service=direct&amp;session=T&amp;sp=S43nfXQsqEw%2FEcRqtvgsmlA%3D%3D", "Work including Garbage collection and Separation from every house (Residential and Commercial), Road and Nali cleaning and community sanitation complex (CSC) cleaning in all the villages of Gram Panchayat MANGAAL PS BUNDI")</f>
        <v/>
      </c>
      <c r="C1824" t="inlineStr">
        <is>
          <t>Panchayati Raj Department||Secretary and Commissioner||CEO-BUNDI||BDO-BUNDI</t>
        </is>
      </c>
      <c r="D1824" t="inlineStr">
        <is>
          <t>22-May-2025 06:00 PM</t>
        </is>
      </c>
      <c r="E1824" t="inlineStr">
        <is>
          <t>9,99,883</t>
        </is>
      </c>
      <c r="F1824" t="inlineStr">
        <is>
          <t>Work including Garbage collection and Separation from every house (Residential and Commercial), Road and Nali cleaning and community sanitation complex (CSC) cleaning in all the villages of Gram Panchayat MANGAAL PS BUNDI</t>
        </is>
      </c>
      <c r="G1824" t="inlineStr">
        <is>
          <t>GRAM PANCHAYAT MANGAAL</t>
        </is>
      </c>
    </row>
    <row r="1825">
      <c r="A1825" s="1" t="n">
        <v>1823</v>
      </c>
      <c r="B1825">
        <f>HYPERLINK("https://eproc.rajasthan.gov.in/nicgep/app?component=%24DirectLink&amp;page=FrontEndViewTender&amp;service=direct&amp;session=T&amp;sp=Sh7AW4aCQbwpaxOfYsaxiww%3D%3D", "Work including Garbage collection and Separation from every house (Residential and Commercial), Road and Nali cleaning and community sanitation complex (CSC) cleaning in all the villages of Gram Panchayat NEEM KA KHEDA PS BUNDI")</f>
        <v/>
      </c>
      <c r="C1825" t="inlineStr">
        <is>
          <t>Panchayati Raj Department||Secretary and Commissioner||CEO-BUNDI||BDO-BUNDI</t>
        </is>
      </c>
      <c r="D1825" t="inlineStr">
        <is>
          <t>22-May-2025 06:00 PM</t>
        </is>
      </c>
      <c r="E1825" t="inlineStr">
        <is>
          <t>9,99,434</t>
        </is>
      </c>
      <c r="F1825" t="inlineStr">
        <is>
          <t>Work including Garbage collection and Separation from every house (Residential and Commercial), Road and Nali cleaning and community sanitation complex (CSC) cleaning in all the villages of Gram Panchayat NEEM KA KHEDA PS BUNDI</t>
        </is>
      </c>
      <c r="G1825" t="inlineStr">
        <is>
          <t>GRAM PANCHAYAT NEEM KA KHEDA</t>
        </is>
      </c>
    </row>
    <row r="1826">
      <c r="A1826" s="1" t="n">
        <v>1824</v>
      </c>
      <c r="B1826">
        <f>HYPERLINK("https://eproc.rajasthan.gov.in/nicgep/app?component=%24DirectLink&amp;page=FrontEndViewTender&amp;service=direct&amp;session=T&amp;sp=SsCRbcgG0eX1LEPJwuxcbQA%3D%3D", "Work including Garbage collection and Separation from every house (Residential and Commercial), Road and Nali cleaning and community sanitation complex (CSC) cleaning in all the villages of Gram Panchayat RAITHAL PS BUNDI")</f>
        <v/>
      </c>
      <c r="C1826" t="inlineStr">
        <is>
          <t>Panchayati Raj Department||Secretary and Commissioner||CEO-BUNDI||BDO-BUNDI</t>
        </is>
      </c>
      <c r="D1826" t="inlineStr">
        <is>
          <t>22-May-2025 06:00 PM</t>
        </is>
      </c>
      <c r="E1826" t="inlineStr">
        <is>
          <t>9,90,000</t>
        </is>
      </c>
      <c r="F1826" t="inlineStr">
        <is>
          <t>Work including Garbage collection and Separation from every house (Residential and Commercial), Road and Nali cleaning and community sanitation complex (CSC) cleaning in all the villages of Gram Panchayat RAITHAL PS BUNDI</t>
        </is>
      </c>
      <c r="G1826" t="inlineStr">
        <is>
          <t>GRAM PANCHAYAT RAITHAL</t>
        </is>
      </c>
    </row>
    <row r="1827">
      <c r="A1827" s="1" t="n">
        <v>1825</v>
      </c>
      <c r="B1827">
        <f>HYPERLINK("https://eproc.rajasthan.gov.in/nicgep/app?component=%24DirectLink&amp;page=FrontEndViewTender&amp;service=direct&amp;session=T&amp;sp=S2HdXWx4Ea9dWQGpmqTBIEg%3D%3D", "Work including Garbage collection and Separation from every house (Residential and Commercial), Road and Nali cleaning and community sanitation complex (CSC) cleaning in all the villages of Gram Panchayat RAMGANJ PS BUNDI")</f>
        <v/>
      </c>
      <c r="C1827" t="inlineStr">
        <is>
          <t>Panchayati Raj Department||Secretary and Commissioner||CEO-BUNDI||BDO-BUNDI</t>
        </is>
      </c>
      <c r="D1827" t="inlineStr">
        <is>
          <t>22-May-2025 06:00 PM</t>
        </is>
      </c>
      <c r="E1827" t="inlineStr">
        <is>
          <t>7,45,000</t>
        </is>
      </c>
      <c r="F1827" t="inlineStr">
        <is>
          <t>Work including Garbage collection and Separation from every house (Residential and Commercial), Road and Nali cleaning and community sanitation complex (CSC) cleaning in all the villages of Gram Panchayat RAMGANJ PS BUNDI</t>
        </is>
      </c>
      <c r="G1827" t="inlineStr">
        <is>
          <t>GRAM PANCHAYAT RAMGANJ</t>
        </is>
      </c>
    </row>
    <row r="1828">
      <c r="A1828" s="1" t="n">
        <v>1826</v>
      </c>
      <c r="B1828">
        <f>HYPERLINK("https://eproc.rajasthan.gov.in/nicgep/app?component=%24DirectLink&amp;page=FrontEndViewTender&amp;service=direct&amp;session=T&amp;sp=SJ%2FuCijXevFG46%2Fz9BH%2B1XA%3D%3D", "Gram Panchayat PEEPALKI All village, Home to Home Garbage collection and segregation from(residential and commercial)areas, street and drain cleaning and community sanitation,premises cleaning work,GP PEEPALKI PS SIKRAI")</f>
        <v/>
      </c>
      <c r="C1828" t="inlineStr">
        <is>
          <t>Panchayati Raj Department||Secretary and Commissioner||CEO-DAUSA||BDO-SIKARAI</t>
        </is>
      </c>
      <c r="D1828" t="inlineStr">
        <is>
          <t>26-May-2025 05:00 PM</t>
        </is>
      </c>
      <c r="E1828" t="inlineStr">
        <is>
          <t>7,80,000</t>
        </is>
      </c>
      <c r="F1828" t="inlineStr">
        <is>
          <t>Gram Panchayat PEEPALKI All village, Home to Home Garbage collection and segregation from(residential and commercial)areas, street and drain cleaning and community sanitation,premises cleaning work,GP PEEPALKI PS SIKRAI</t>
        </is>
      </c>
      <c r="G1828" t="inlineStr">
        <is>
          <t>Gram Panchayat PEEPALKI All village, Home to Home</t>
        </is>
      </c>
    </row>
    <row r="1829">
      <c r="A1829" s="1" t="n">
        <v>1827</v>
      </c>
      <c r="B1829">
        <f>HYPERLINK("https://eproc.rajasthan.gov.in/nicgep/app?component=%24DirectLink&amp;page=FrontEndViewTender&amp;service=direct&amp;session=T&amp;sp=SgEOdlxQznLQ8NEiA09MT9A%3D%3D", "Work including Garbage collection and Separation from every house (Residential and Commercial), Road and Nali cleaning and community sanitation complex (CSC) cleaning in all the villages of Gram Panchayat RAMNAGAR PS BUNDI")</f>
        <v/>
      </c>
      <c r="C1829" t="inlineStr">
        <is>
          <t>Panchayati Raj Department||Secretary and Commissioner||CEO-BUNDI||BDO-BUNDI</t>
        </is>
      </c>
      <c r="D1829" t="inlineStr">
        <is>
          <t>22-May-2025 06:00 PM</t>
        </is>
      </c>
      <c r="E1829" t="inlineStr">
        <is>
          <t>9,99,360</t>
        </is>
      </c>
      <c r="F1829" t="inlineStr">
        <is>
          <t>Work including Garbage collection and Separation from every house (Residential and Commercial), Road and Nali cleaning and community sanitation complex (CSC) cleaning in all the villages of Gram Panchayat RAMNAGAR PS BUNDI</t>
        </is>
      </c>
      <c r="G1829" t="inlineStr">
        <is>
          <t>GRAM PANCHAYAT RAMNAGAR</t>
        </is>
      </c>
    </row>
    <row r="1830">
      <c r="A1830" s="1" t="n">
        <v>1828</v>
      </c>
      <c r="B1830">
        <f>HYPERLINK("https://eproc.rajasthan.gov.in/nicgep/app?component=%24DirectLink&amp;page=FrontEndViewTender&amp;service=direct&amp;session=T&amp;sp=SNgNcJbWtd3JOedsrb74QOQ%3D%3D", "Work including Garbage collection and Separation from every house (Residential and Commercial), Road and Nali cleaning and community sanitation complex (CSC) cleaning in all the villages of Gram Panchayat REHANA PS BUNDI")</f>
        <v/>
      </c>
      <c r="C1830" t="inlineStr">
        <is>
          <t>Panchayati Raj Department||Secretary and Commissioner||CEO-BUNDI||BDO-BUNDI</t>
        </is>
      </c>
      <c r="D1830" t="inlineStr">
        <is>
          <t>22-May-2025 06:00 PM</t>
        </is>
      </c>
      <c r="E1830" t="inlineStr">
        <is>
          <t>9,94,000</t>
        </is>
      </c>
      <c r="F1830" t="inlineStr">
        <is>
          <t>Work including Garbage collection and Separation from every house (Residential and Commercial), Road and Nali cleaning and community sanitation complex (CSC) cleaning in all the villages of Gram Panchayat REHANA PS BUNDI</t>
        </is>
      </c>
      <c r="G1830" t="inlineStr">
        <is>
          <t>GRAM PANCHAYAT REHANA</t>
        </is>
      </c>
    </row>
    <row r="1831">
      <c r="A1831" s="1" t="n">
        <v>1829</v>
      </c>
      <c r="B1831">
        <f>HYPERLINK("https://eproc.rajasthan.gov.in/nicgep/app?component=%24DirectLink&amp;page=FrontEndViewTender&amp;service=direct&amp;session=T&amp;sp=SiaBjQdVt7rpVObATO04t3w%3D%3D", "Work including Garbage collection and Separation from every house (Residential and Commercial), Road and Nali cleaning and community sanitation complex (CSC) cleaning in all the villages of Gram Panchayat SILOR PS BUNDI")</f>
        <v/>
      </c>
      <c r="C1831" t="inlineStr">
        <is>
          <t>Panchayati Raj Department||Secretary and Commissioner||CEO-BUNDI||BDO-BUNDI</t>
        </is>
      </c>
      <c r="D1831" t="inlineStr">
        <is>
          <t>22-May-2025 06:00 PM</t>
        </is>
      </c>
      <c r="E1831" t="inlineStr">
        <is>
          <t>10,00,000</t>
        </is>
      </c>
      <c r="F1831" t="inlineStr">
        <is>
          <t>Work including Garbage collection and Separation from every house (Residential and Commercial), Road and Nali cleaning and community sanitation complex (CSC) cleaning in all the villages of Gram Panchayat SILOR PS BUNDI</t>
        </is>
      </c>
      <c r="G1831" t="inlineStr">
        <is>
          <t>GRAM PANCHAYAT SILOR</t>
        </is>
      </c>
    </row>
    <row r="1832">
      <c r="A1832" s="1" t="n">
        <v>1830</v>
      </c>
      <c r="B1832">
        <f>HYPERLINK("https://eproc.rajasthan.gov.in/nicgep/app?component=%24DirectLink&amp;page=FrontEndViewTender&amp;service=direct&amp;session=T&amp;sp=S3ksS3rh7QMxRQx%2FPslDdpw%3D%3D", "Work including Garbage collection and Separation from every house (Residential and Commercial), Road and Nali cleaning and community sanitation complex (CSC) cleaning in all the villages of Gram Panchayat ULEDA PS BUNDI")</f>
        <v/>
      </c>
      <c r="C1832" t="inlineStr">
        <is>
          <t>Panchayati Raj Department||Secretary and Commissioner||CEO-BUNDI||BDO-BUNDI</t>
        </is>
      </c>
      <c r="D1832" t="inlineStr">
        <is>
          <t>22-May-2025 06:00 PM</t>
        </is>
      </c>
      <c r="E1832" t="inlineStr">
        <is>
          <t>9,89,621</t>
        </is>
      </c>
      <c r="F1832" t="inlineStr">
        <is>
          <t>Work including Garbage collection and Separation from every house (Residential and Commercial), Road and Nali cleaning and community sanitation complex (CSC) cleaning in all the villages of Gram Panchayat ULEDA PS BUNDI</t>
        </is>
      </c>
      <c r="G1832" t="inlineStr">
        <is>
          <t>GRAM PANCHAYAT ULEDA</t>
        </is>
      </c>
    </row>
    <row r="1833">
      <c r="A1833" s="1" t="n">
        <v>1831</v>
      </c>
      <c r="B1833">
        <f>HYPERLINK("https://eproc.rajasthan.gov.in/nicgep/app?component=%24DirectLink&amp;page=FrontEndViewTender&amp;service=direct&amp;session=T&amp;sp=SSoZYYTOy1hUqcVe74zbTng%3D%3D", "MGNREGA MATERIALS SUPPLY FY 2025-26 GP SATTASAR")</f>
        <v/>
      </c>
      <c r="C1833" t="inlineStr">
        <is>
          <t>Panchayati Raj Department||Secretary and Commissioner||CEO-BIKANER||BDO-POOGAL</t>
        </is>
      </c>
      <c r="D1833" t="inlineStr">
        <is>
          <t>27-May-2025 06:00 PM</t>
        </is>
      </c>
      <c r="E1833" t="inlineStr">
        <is>
          <t>90,00,000</t>
        </is>
      </c>
      <c r="F1833" t="inlineStr">
        <is>
          <t>MGNREGA AND ALL OTHER YOJANA CONSTRUCTION MATERIALS SUPPLY FY 2025-26 GRAM PANCHAYAT SATTASAR</t>
        </is>
      </c>
      <c r="G1833" t="inlineStr">
        <is>
          <t>GP SATTASAR</t>
        </is>
      </c>
    </row>
    <row r="1834">
      <c r="A1834" s="1" t="n">
        <v>1832</v>
      </c>
      <c r="B1834">
        <f>HYPERLINK("https://eproc.rajasthan.gov.in/nicgep/app?component=%24DirectLink&amp;page=FrontEndViewTender&amp;service=direct&amp;session=T&amp;sp=SE1Nh8KnUCIarxdRAt7t9XA%3D%3D", "MGNREGA MATERIALS SUPPLY FY 2025-26 GP KARNISAR BHATIYAN")</f>
        <v/>
      </c>
      <c r="C1834" t="inlineStr">
        <is>
          <t>Panchayati Raj Department||Secretary and Commissioner||CEO-BIKANER||BDO-POOGAL</t>
        </is>
      </c>
      <c r="D1834" t="inlineStr">
        <is>
          <t>27-May-2025 06:00 PM</t>
        </is>
      </c>
      <c r="E1834" t="inlineStr">
        <is>
          <t>90,00,000</t>
        </is>
      </c>
      <c r="F1834" t="inlineStr">
        <is>
          <t>MGNREGA AND ALL OTHER YOJANA CONSTRUCTION MATERIALS SUPPLY FY 2025-26 GRAM PANCHAYAT KARNISAR BHATIYAN</t>
        </is>
      </c>
      <c r="G1834" t="inlineStr">
        <is>
          <t>GP KARNISAR BHATIYAN</t>
        </is>
      </c>
    </row>
    <row r="1835">
      <c r="A1835" s="1" t="n">
        <v>1833</v>
      </c>
      <c r="B1835">
        <f>HYPERLINK("https://eproc.rajasthan.gov.in/nicgep/app?component=%24DirectLink&amp;page=FrontEndViewTender&amp;service=direct&amp;session=T&amp;sp=SGkUpE%2B2LAGl5iwa3DDUIYg%3D%3D", "MGNREGA MATERIALS SUPPLY FY 2025-26 GP SHIVNAGAR")</f>
        <v/>
      </c>
      <c r="C1835" t="inlineStr">
        <is>
          <t>Panchayati Raj Department||Secretary and Commissioner||CEO-BIKANER||BDO-POOGAL</t>
        </is>
      </c>
      <c r="D1835" t="inlineStr">
        <is>
          <t>28-May-2025 06:00 PM</t>
        </is>
      </c>
      <c r="E1835" t="inlineStr">
        <is>
          <t>90,00,000</t>
        </is>
      </c>
      <c r="F1835" t="inlineStr">
        <is>
          <t>MGNREGA AND ALL OTHER YOJANA CONSTRUCTION MATERIALS SUPPLY FY 2025-26 GRAM PANCHAYAT SHIVNAGAR</t>
        </is>
      </c>
      <c r="G1835" t="inlineStr">
        <is>
          <t>GP SHIVNAGAR</t>
        </is>
      </c>
    </row>
    <row r="1836">
      <c r="A1836" s="1" t="n">
        <v>1834</v>
      </c>
      <c r="B1836">
        <f>HYPERLINK("https://eproc.rajasthan.gov.in/nicgep/app?component=%24DirectLink&amp;page=FrontEndViewTender&amp;service=direct&amp;session=T&amp;sp=SBMapvY1eAmT9mF3osUfiHA%3D%3D", "Work including door-to-door residential and commercial garbage collection and separation road and drain cleaning and community sanitation premises cleaning in all villages of Gram Panchayat BADABUJURG Panchayat Samiti Mahwa Dist. Dausa For FY 2025-26")</f>
        <v/>
      </c>
      <c r="C1836" t="inlineStr">
        <is>
          <t>Panchayati Raj Department||Secretary and Commissioner||CEO-DAUSA||BDO-MAHUVA</t>
        </is>
      </c>
      <c r="D1836" t="inlineStr">
        <is>
          <t>22-May-2025 05:00 PM</t>
        </is>
      </c>
      <c r="E1836" t="inlineStr">
        <is>
          <t>5,73,747</t>
        </is>
      </c>
      <c r="F1836" t="inlineStr">
        <is>
          <t>Work including door-to-door residential and commercial garbage collection and separation road and drain cleaning and community sanitation premises cleaning in all villages of Gram Panchayat BADABUJURG Panchayat Samiti Mahwa Dist. Dausa For FY 2025-26</t>
        </is>
      </c>
      <c r="G1836" t="inlineStr">
        <is>
          <t>Gram Panchayat BADABUJURG</t>
        </is>
      </c>
    </row>
    <row r="1837">
      <c r="A1837" s="1" t="n">
        <v>1835</v>
      </c>
      <c r="B1837">
        <f>HYPERLINK("https://eproc.rajasthan.gov.in/nicgep/app?component=%24DirectLink&amp;page=FrontEndViewTender&amp;service=direct&amp;session=T&amp;sp=SJK5DrU%2FhNkF%2F8CbQKjO7iw%3D%3D", "SARPANCH GRAM PANCHAYAT DENDA BASEDI")</f>
        <v/>
      </c>
      <c r="C1837" t="inlineStr">
        <is>
          <t>Panchayati Raj Department||Secretary and Commissioner||CEO-DAUSA||BDO-SIKARAI</t>
        </is>
      </c>
      <c r="D1837" t="inlineStr">
        <is>
          <t>27-May-2025 06:00 PM</t>
        </is>
      </c>
      <c r="E1837" t="inlineStr">
        <is>
          <t>6,15,000</t>
        </is>
      </c>
      <c r="F1837" t="inlineStr">
        <is>
          <t>SARPANCH GRAM PANCHAYAT DENDA BASEDI</t>
        </is>
      </c>
      <c r="G1837" t="inlineStr">
        <is>
          <t>SARPANCH GRAM PANCHAYAT DENDA BASEDI</t>
        </is>
      </c>
    </row>
    <row r="1838">
      <c r="A1838" s="1" t="n">
        <v>1836</v>
      </c>
      <c r="B1838">
        <f>HYPERLINK("https://eproc.rajasthan.gov.in/nicgep/app?component=%24DirectLink&amp;page=FrontEndViewTender&amp;service=direct&amp;session=T&amp;sp=SiINDmCLkRRYYoC6%2Fw5JXXA%3D%3D", "Work including Garbage collection and Separation from every house (Residential and Commercial), Road and Nali cleaning and community sanitation complex (CSC) cleaning in all the villages of Gram Panchayat AJETA PS BUNDI")</f>
        <v/>
      </c>
      <c r="C1838" t="inlineStr">
        <is>
          <t>Panchayati Raj Department||Secretary and Commissioner||CEO-BUNDI||BDO-BUNDI</t>
        </is>
      </c>
      <c r="D1838" t="inlineStr">
        <is>
          <t>22-May-2025 06:00 PM</t>
        </is>
      </c>
      <c r="E1838" t="inlineStr">
        <is>
          <t>9,95,000</t>
        </is>
      </c>
      <c r="F1838" t="inlineStr">
        <is>
          <t>Work including Garbage collection and Separation from every house (Residential and Commercial), Road and Nali cleaning and community sanitation complex (CSC) cleaning in all the villages of Gram Panchayat AJETA PS BUNDI</t>
        </is>
      </c>
      <c r="G1838" t="inlineStr">
        <is>
          <t>GRAM PANCHAYAT AJETA</t>
        </is>
      </c>
    </row>
    <row r="1839">
      <c r="A1839" s="1" t="n">
        <v>1837</v>
      </c>
      <c r="B1839">
        <f>HYPERLINK("https://eproc.rajasthan.gov.in/nicgep/app?component=%24DirectLink&amp;page=FrontEndViewTender&amp;service=direct&amp;session=T&amp;sp=ShF7JwnV18Nzqk50HV8HRHQ%3D%3D", "MGNREGA MATERIALS SUPPLY FY 2025-26 GP MOTIGARH")</f>
        <v/>
      </c>
      <c r="C1839" t="inlineStr">
        <is>
          <t>Panchayati Raj Department||Secretary and Commissioner||CEO-BIKANER||BDO-POOGAL</t>
        </is>
      </c>
      <c r="D1839" t="inlineStr">
        <is>
          <t>27-May-2025 06:00 PM</t>
        </is>
      </c>
      <c r="E1839" t="inlineStr">
        <is>
          <t>90,00,000</t>
        </is>
      </c>
      <c r="F1839" t="inlineStr">
        <is>
          <t>MGNREGA AND ALL OTHER YOJANA CONSTRUCTION MATERIALS SUPPLY FY 2025-26 GRAM PANCHAYAT MOTIGARH</t>
        </is>
      </c>
      <c r="G1839" t="inlineStr">
        <is>
          <t>GP MOTIGARH</t>
        </is>
      </c>
    </row>
    <row r="1840">
      <c r="A1840" s="1" t="n">
        <v>1838</v>
      </c>
      <c r="B1840">
        <f>HYPERLINK("https://eproc.rajasthan.gov.in/nicgep/app?component=%24DirectLink&amp;page=FrontEndViewTender&amp;service=direct&amp;session=T&amp;sp=SlCSRu%2FIgm5cidSLSZbwN6A%3D%3D", "Work including Garbage collection and Separation from every house (Residential and Commercial), Road and Nali cleaning and community sanitation complex (CSC) cleaning in all the villages of Gram Panchayat AAMLI PS BUNDI")</f>
        <v/>
      </c>
      <c r="C1840" t="inlineStr">
        <is>
          <t>Panchayati Raj Department||Secretary and Commissioner||CEO-BUNDI||BDO-BUNDI</t>
        </is>
      </c>
      <c r="D1840" t="inlineStr">
        <is>
          <t>22-May-2025 06:00 PM</t>
        </is>
      </c>
      <c r="E1840" t="inlineStr">
        <is>
          <t>9,98,380</t>
        </is>
      </c>
      <c r="F1840" t="inlineStr">
        <is>
          <t>Work including Garbage collection and Separation from every house (Residential and Commercial), Road and Nali cleaning and community sanitation complex (CSC) cleaning in all the villages of Gram Panchayat AAMLI PS BUNDI</t>
        </is>
      </c>
      <c r="G1840" t="inlineStr">
        <is>
          <t>GRAM PANCHAYAT AAMLI</t>
        </is>
      </c>
    </row>
    <row r="1841">
      <c r="A1841" s="1" t="n">
        <v>1839</v>
      </c>
      <c r="B1841">
        <f>HYPERLINK("https://eproc.rajasthan.gov.in/nicgep/app?component=%24DirectLink&amp;page=FrontEndViewTender&amp;service=direct&amp;session=T&amp;sp=SlR9fxFF5x0iMjFQUCJjU7w%3D%3D", "Gram Panchayat NAHARKHORA All village, Home to Home Garbage collection and segregation from(residential and commercial)areas, street and drain cleaning and community sanitation,premises cleaning work,GP NAHARKHORA PS SIKRAI")</f>
        <v/>
      </c>
      <c r="C1841" t="inlineStr">
        <is>
          <t>Panchayati Raj Department||Secretary and Commissioner||CEO-DAUSA||BDO-SIKARAI</t>
        </is>
      </c>
      <c r="D1841" t="inlineStr">
        <is>
          <t>24-May-2025 06:00 PM</t>
        </is>
      </c>
      <c r="E1841" t="inlineStr">
        <is>
          <t>7,70,398</t>
        </is>
      </c>
      <c r="F1841" t="inlineStr">
        <is>
          <t>Gram Panchayat NAHARKHORA All village, Home to Home Garbage collection and segregation from(residential and commercial)areas, street and drain cleaning and community sanitation,premises cleaning work,GP NAHARKHORA PS SIKRAI</t>
        </is>
      </c>
      <c r="G1841" t="inlineStr">
        <is>
          <t>Gram Panchayat NAHARKHORA All village, Home to Hom</t>
        </is>
      </c>
    </row>
    <row r="1842">
      <c r="A1842" s="1" t="n">
        <v>1840</v>
      </c>
      <c r="B1842">
        <f>HYPERLINK("https://eproc.rajasthan.gov.in/nicgep/app?component=%24DirectLink&amp;page=FrontEndViewTender&amp;service=direct&amp;session=T&amp;sp=Sb0P22Ju91qu3NgInw26VUw%3D%3D", "Gram Panchayat KESRA Cleaning Works FY 2025-26")</f>
        <v/>
      </c>
      <c r="C1842" t="inlineStr">
        <is>
          <t>Panchayati Raj Department||Secretary and Commissioner||CEO-DAUSA||BDO-MAHUVA</t>
        </is>
      </c>
      <c r="D1842" t="inlineStr">
        <is>
          <t>23-May-2025 05:00 PM</t>
        </is>
      </c>
      <c r="E1842" t="inlineStr">
        <is>
          <t>4,33,899</t>
        </is>
      </c>
      <c r="F1842" t="inlineStr">
        <is>
          <t>Work including door-to-door residential and commercial garbage collection and separation road and drain cleaning and community sanitation premises cleaning in all villages of Gram Panchayat KESRA Panchayat Samiti Mandawar Dist. Dausa For FY 2025-26</t>
        </is>
      </c>
      <c r="G1842" t="inlineStr">
        <is>
          <t>Gram Panchayat KESRA</t>
        </is>
      </c>
    </row>
    <row r="1843">
      <c r="A1843" s="1" t="n">
        <v>1841</v>
      </c>
      <c r="B1843">
        <f>HYPERLINK("https://eproc.rajasthan.gov.in/nicgep/app?component=%24DirectLink&amp;page=FrontEndViewTender&amp;service=direct&amp;session=T&amp;sp=S4hAcfCzxArLGBl1SOmlOLw%3D%3D", "Gram Panchayat KESRA Material Supply All Scheme Works FY 2025-26")</f>
        <v/>
      </c>
      <c r="C1843" t="inlineStr">
        <is>
          <t>Panchayati Raj Department||Secretary and Commissioner||CEO-DAUSA||BDO-MAHUVA</t>
        </is>
      </c>
      <c r="D1843" t="inlineStr">
        <is>
          <t>28-May-2025 05:00 PM</t>
        </is>
      </c>
      <c r="E1843" t="inlineStr">
        <is>
          <t>35,00,000</t>
        </is>
      </c>
      <c r="F1843" t="inlineStr">
        <is>
          <t>Rate contract For supply of Construcation Material and Providing Equipments for MGNREGA in Gram panchayat KESRA Panchayat samiti Mandawar For FY 2025-26 UP to 31 March 2026 (ITEM WISE RATE AS PEAR ATTACHED G SCHEDULE</t>
        </is>
      </c>
      <c r="G1843" t="inlineStr">
        <is>
          <t>Gram panchayat KESRA</t>
        </is>
      </c>
    </row>
    <row r="1844">
      <c r="A1844" s="1" t="n">
        <v>1842</v>
      </c>
      <c r="B1844">
        <f>HYPERLINK("https://eproc.rajasthan.gov.in/nicgep/app?component=%24DirectLink&amp;page=FrontEndViewTender&amp;service=direct&amp;session=T&amp;sp=S%2BWThMV1hdRmzzsM2Og0vdQ%3D%3D", "MGNREGA MATERIALS SUPPLY FY 2025-26 GP RAJASAR BHATIYAN")</f>
        <v/>
      </c>
      <c r="C1844" t="inlineStr">
        <is>
          <t>Panchayati Raj Department||Secretary and Commissioner||CEO-BIKANER||BDO-POOGAL</t>
        </is>
      </c>
      <c r="D1844" t="inlineStr">
        <is>
          <t>28-May-2025 06:00 PM</t>
        </is>
      </c>
      <c r="E1844" t="inlineStr">
        <is>
          <t>90,00,000</t>
        </is>
      </c>
      <c r="F1844" t="inlineStr">
        <is>
          <t>MGNREGA AND ALL OTHER YOJANA CONSTRUCTION MATERIALS SUPPLY FY 2025-26 GRAM PANCHAYAT RAJASAR BHATIYAN</t>
        </is>
      </c>
      <c r="G1844" t="inlineStr">
        <is>
          <t>GP RAJASAR BHATIYAN</t>
        </is>
      </c>
    </row>
    <row r="1845">
      <c r="A1845" s="1" t="n">
        <v>1843</v>
      </c>
      <c r="B1845">
        <f>HYPERLINK("https://eproc.rajasthan.gov.in/nicgep/app?component=%24DirectLink&amp;page=FrontEndViewTender&amp;service=direct&amp;session=T&amp;sp=S7HA260QxsCTrt3rVFNYxDA%3D%3D", "SBM")</f>
        <v/>
      </c>
      <c r="C1845" t="inlineStr">
        <is>
          <t>Panchayati Raj Department||Secretary and Commissioner||CEO-AJMER||BDO-JAWAJA</t>
        </is>
      </c>
      <c r="D1845" t="inlineStr">
        <is>
          <t>28-May-2025 05:00 PM</t>
        </is>
      </c>
      <c r="E1845" t="inlineStr">
        <is>
          <t>9,23,106</t>
        </is>
      </c>
      <c r="F1845" t="inlineStr">
        <is>
          <t>SBM</t>
        </is>
      </c>
      <c r="G1845" t="inlineStr">
        <is>
          <t>GP</t>
        </is>
      </c>
    </row>
    <row r="1846">
      <c r="A1846" s="1" t="n">
        <v>1844</v>
      </c>
      <c r="B1846">
        <f>HYPERLINK("https://eproc.rajasthan.gov.in/nicgep/app?component=%24DirectLink&amp;page=FrontEndViewTender&amp;service=direct&amp;session=T&amp;sp=SK%2BnjneWStvTtg4gdf5Ijlg%3D%3D", "cleaning and sanitation work for gram panchayat dolli rajguru")</f>
        <v/>
      </c>
      <c r="C1846" t="inlineStr">
        <is>
          <t>Panchayati Raj Department||Secretary and Commissioner||CEO-BADMER||BDO-KALYANPUR</t>
        </is>
      </c>
      <c r="D1846" t="inlineStr">
        <is>
          <t>20-May-2025 05:00 PM</t>
        </is>
      </c>
      <c r="E1846" t="inlineStr">
        <is>
          <t>6,11,768</t>
        </is>
      </c>
      <c r="F1846" t="inlineStr">
        <is>
          <t>cleaning and sanitation work</t>
        </is>
      </c>
      <c r="G1846" t="inlineStr">
        <is>
          <t>gram panchayat dolli rajguru</t>
        </is>
      </c>
    </row>
    <row r="1847">
      <c r="A1847" s="1" t="n">
        <v>1845</v>
      </c>
      <c r="B1847">
        <f>HYPERLINK("https://eproc.rajasthan.gov.in/nicgep/app?component=%24DirectLink&amp;page=FrontEndViewTender&amp;service=direct&amp;session=T&amp;sp=SqkpwP5snke0%2FaVi9lBoOYg%3D%3D", "SBM")</f>
        <v/>
      </c>
      <c r="C1847" t="inlineStr">
        <is>
          <t>Panchayati Raj Department||Secretary and Commissioner||CEO-AJMER||BDO-JAWAJA</t>
        </is>
      </c>
      <c r="D1847" t="inlineStr">
        <is>
          <t>28-May-2025 05:00 PM</t>
        </is>
      </c>
      <c r="E1847" t="inlineStr">
        <is>
          <t>1,73,062</t>
        </is>
      </c>
      <c r="F1847" t="inlineStr">
        <is>
          <t>SBM</t>
        </is>
      </c>
      <c r="G1847" t="inlineStr">
        <is>
          <t>GP</t>
        </is>
      </c>
    </row>
    <row r="1848">
      <c r="A1848" s="1" t="n">
        <v>1846</v>
      </c>
      <c r="B1848">
        <f>HYPERLINK("https://eproc.rajasthan.gov.in/nicgep/app?component=%24DirectLink&amp;page=FrontEndViewTender&amp;service=direct&amp;session=T&amp;sp=SnJsZFNQHA0f6iWO5ZVCe0Q%3D%3D", "SBM")</f>
        <v/>
      </c>
      <c r="C1848" t="inlineStr">
        <is>
          <t>Panchayati Raj Department||Secretary and Commissioner||CEO-AJMER||BDO-JAWAJA</t>
        </is>
      </c>
      <c r="D1848" t="inlineStr">
        <is>
          <t>28-May-2025 05:00 PM</t>
        </is>
      </c>
      <c r="E1848" t="inlineStr">
        <is>
          <t>7,47,452</t>
        </is>
      </c>
      <c r="F1848" t="inlineStr">
        <is>
          <t>SBM</t>
        </is>
      </c>
      <c r="G1848" t="inlineStr">
        <is>
          <t>GP</t>
        </is>
      </c>
    </row>
    <row r="1849">
      <c r="A1849" s="1" t="n">
        <v>1847</v>
      </c>
      <c r="B1849">
        <f>HYPERLINK("https://eproc.rajasthan.gov.in/nicgep/app?component=%24DirectLink&amp;page=FrontEndViewTender&amp;service=direct&amp;session=T&amp;sp=SkUAzApn3FWjJuARvCr%2BnvA%3D%3D", "SBM")</f>
        <v/>
      </c>
      <c r="C1849" t="inlineStr">
        <is>
          <t>Panchayati Raj Department||Secretary and Commissioner||CEO-AJMER||BDO-JAWAJA</t>
        </is>
      </c>
      <c r="D1849" t="inlineStr">
        <is>
          <t>28-May-2025 05:00 PM</t>
        </is>
      </c>
      <c r="E1849" t="inlineStr">
        <is>
          <t>17,58,101</t>
        </is>
      </c>
      <c r="F1849" t="inlineStr">
        <is>
          <t>SBM</t>
        </is>
      </c>
      <c r="G1849" t="inlineStr">
        <is>
          <t>GP</t>
        </is>
      </c>
    </row>
    <row r="1850">
      <c r="A1850" s="1" t="n">
        <v>1848</v>
      </c>
      <c r="B1850">
        <f>HYPERLINK("https://eproc.rajasthan.gov.in/nicgep/app?component=%24DirectLink&amp;page=FrontEndViewTender&amp;service=direct&amp;session=T&amp;sp=SNM1x8kWsV31xrUVyGrQkrg%3D%3D", "CONSTRUCTION OF DEVLOPMENT WORK AT KHEL MEDAN GSSS LETA GP LETA")</f>
        <v/>
      </c>
      <c r="C1850" t="inlineStr">
        <is>
          <t>Panchayati Raj Department||Secretary and Commissioner||CEO- JALORE||BDO- JALORE</t>
        </is>
      </c>
      <c r="D1850" t="inlineStr">
        <is>
          <t>23-May-2025 06:00 PM</t>
        </is>
      </c>
      <c r="E1850" t="inlineStr">
        <is>
          <t>12,00,000</t>
        </is>
      </c>
      <c r="F1850" t="inlineStr">
        <is>
          <t>CONSTRUCTION OF DEVLOPMENT WORK AT KHEL MEDAN GSSS LETA GP LETA</t>
        </is>
      </c>
      <c r="G1850" t="inlineStr">
        <is>
          <t>LETA</t>
        </is>
      </c>
    </row>
    <row r="1851">
      <c r="A1851" s="1" t="n">
        <v>1849</v>
      </c>
      <c r="B1851">
        <f>HYPERLINK("https://eproc.rajasthan.gov.in/nicgep/app?component=%24DirectLink&amp;page=FrontEndViewTender&amp;service=direct&amp;session=T&amp;sp=SvhC77V6%2FgdaYuMW4Zz891Q%3D%3D", "SBM")</f>
        <v/>
      </c>
      <c r="C1851" t="inlineStr">
        <is>
          <t>Panchayati Raj Department||Secretary and Commissioner||CEO-AJMER||BDO-JAWAJA</t>
        </is>
      </c>
      <c r="D1851" t="inlineStr">
        <is>
          <t>28-May-2025 05:00 PM</t>
        </is>
      </c>
      <c r="E1851" t="inlineStr">
        <is>
          <t>10,16,086</t>
        </is>
      </c>
      <c r="F1851" t="inlineStr">
        <is>
          <t>SBM</t>
        </is>
      </c>
      <c r="G1851" t="inlineStr">
        <is>
          <t>GP</t>
        </is>
      </c>
    </row>
    <row r="1852">
      <c r="A1852" s="1" t="n">
        <v>1850</v>
      </c>
      <c r="B1852">
        <f>HYPERLINK("https://eproc.rajasthan.gov.in/nicgep/app?component=%24DirectLink&amp;page=FrontEndViewTender&amp;service=direct&amp;session=T&amp;sp=SZQVpaO8yn9MQOZ7ztqD4zg%3D%3D", "Tender For SBM Sanitation Activity in GP Rasisar Purohitan Bas")</f>
        <v/>
      </c>
      <c r="C1852" t="inlineStr">
        <is>
          <t>Panchayati Raj Department||Secretary and Commissioner||CEO-BIKANER||BDO-PANCHU</t>
        </is>
      </c>
      <c r="D1852" t="inlineStr">
        <is>
          <t>20-May-2025 06:00 PM</t>
        </is>
      </c>
      <c r="E1852" t="inlineStr">
        <is>
          <t>2,76,000</t>
        </is>
      </c>
      <c r="F1852" t="inlineStr">
        <is>
          <t>Tender For SBM Sanitation Activity in GP Rasisar Purohitan Bas</t>
        </is>
      </c>
      <c r="G1852" t="inlineStr">
        <is>
          <t>GRAM PANCHAYAT RASISAR PUROHITAN BAS</t>
        </is>
      </c>
    </row>
    <row r="1853">
      <c r="A1853" s="1" t="n">
        <v>1851</v>
      </c>
      <c r="B1853">
        <f>HYPERLINK("https://eproc.rajasthan.gov.in/nicgep/app?component=%24DirectLink&amp;page=FrontEndViewTender&amp;service=direct&amp;session=T&amp;sp=SqZ4DJtiAQ8smSusOG7rJvg%3D%3D", "Supply of Construction Materials and Service of Equipments (Financial Year 2025-26) for Gram Panchayat Gogathala")</f>
        <v/>
      </c>
      <c r="C1853" t="inlineStr">
        <is>
          <t>Panchayati Raj Department||Secretary and Commissioner||CEO-RAJSAMAND||BDO-RAILMAGARA</t>
        </is>
      </c>
      <c r="D1853" t="inlineStr">
        <is>
          <t>24-May-2025 06:00 PM</t>
        </is>
      </c>
      <c r="E1853" t="inlineStr">
        <is>
          <t>50,00,000</t>
        </is>
      </c>
      <c r="F1853" t="inlineStr">
        <is>
          <t>Supply of Construction Materials and Service of Equipments (Financial Year 2025-26) for Gram Panchayat Gogathala</t>
        </is>
      </c>
      <c r="G1853" t="inlineStr">
        <is>
          <t>GRAM PANCHAYAT GOGATHALA</t>
        </is>
      </c>
    </row>
    <row r="1854">
      <c r="A1854" s="1" t="n">
        <v>1852</v>
      </c>
      <c r="B1854">
        <f>HYPERLINK("https://eproc.rajasthan.gov.in/nicgep/app?component=%24DirectLink&amp;page=FrontEndViewTender&amp;service=direct&amp;session=T&amp;sp=SoKRQ2tcsWXZViqYOc5M16g%3D%3D", "Rate contract For Supply of Construction Material and Providing Equipments for MGNREGA and Rural Development and Panchayati Raj departments various schemes at Gram Panchayat Narayanpura Panchayat Samiti Bandikui Dist Dausa For FY 2025-26")</f>
        <v/>
      </c>
      <c r="C1854" t="inlineStr">
        <is>
          <t>Panchayati Raj Department||Secretary and Commissioner||CEO-DAUSA||BDO-BANDIKUI</t>
        </is>
      </c>
      <c r="D1854" t="inlineStr">
        <is>
          <t>24-May-2025 05:00 PM</t>
        </is>
      </c>
      <c r="E1854" t="inlineStr">
        <is>
          <t>50,00,000</t>
        </is>
      </c>
      <c r="F1854" t="inlineStr">
        <is>
          <t>Rate contract For Supply of Construction Material and Providing Equipments for MGNREGA and Rural Development and Panchayati Raj departments various schemes at Gram Panchayat Narayanpura Panchayat Samiti Bandikui Dist Dausa For FY 2025-26</t>
        </is>
      </c>
      <c r="G1854" t="inlineStr">
        <is>
          <t>GRAM PANCHYAT NARAYANPURA</t>
        </is>
      </c>
    </row>
    <row r="1855">
      <c r="A1855" s="1" t="n">
        <v>1853</v>
      </c>
      <c r="B1855">
        <f>HYPERLINK("https://eproc.rajasthan.gov.in/nicgep/app?component=%24DirectLink&amp;page=FrontEndViewTender&amp;service=direct&amp;session=T&amp;sp=SXM2XLreH2srYvKq7evxmgQ%3D%3D", "MATERIAL SUPPLY IN GRAM PANCHAYAT BADWA OF PANCHAYAT SAMITI BASSI")</f>
        <v/>
      </c>
      <c r="C1855" t="inlineStr">
        <is>
          <t>Panchayati Raj Department||Secretary and Commissioner||CEO- JAIPUR||BDO-BASSI</t>
        </is>
      </c>
      <c r="D1855" t="inlineStr">
        <is>
          <t>26-May-2025 02:00 PM</t>
        </is>
      </c>
      <c r="E1855" t="inlineStr">
        <is>
          <t>90,00,000</t>
        </is>
      </c>
      <c r="F1855" t="inlineStr">
        <is>
          <t>MATERIAL SUPPLY IN GRAM PANCHAYAT BADWA OF PANCHAYAT SAMITI BASSI</t>
        </is>
      </c>
      <c r="G1855" t="inlineStr">
        <is>
          <t>PANCHAYAT SAMITI BASSI</t>
        </is>
      </c>
    </row>
    <row r="1856">
      <c r="A1856" s="1" t="n">
        <v>1854</v>
      </c>
      <c r="B1856">
        <f>HYPERLINK("https://eproc.rajasthan.gov.in/nicgep/app?component=%24DirectLink&amp;page=FrontEndViewTender&amp;service=direct&amp;session=T&amp;sp=SeJLT8jKTmyT8O6JjaiAE2Q%3D%3D", "SBM")</f>
        <v/>
      </c>
      <c r="C1856" t="inlineStr">
        <is>
          <t>Panchayati Raj Department||Secretary and Commissioner||CEO-AJMER||BDO-JAWAJA</t>
        </is>
      </c>
      <c r="D1856" t="inlineStr">
        <is>
          <t>28-May-2025 05:00 PM</t>
        </is>
      </c>
      <c r="E1856" t="inlineStr">
        <is>
          <t>11,56,747</t>
        </is>
      </c>
      <c r="F1856" t="inlineStr">
        <is>
          <t>SBM</t>
        </is>
      </c>
      <c r="G1856" t="inlineStr">
        <is>
          <t>GP</t>
        </is>
      </c>
    </row>
    <row r="1857">
      <c r="A1857" s="1" t="n">
        <v>1855</v>
      </c>
      <c r="B1857">
        <f>HYPERLINK("https://eproc.rajasthan.gov.in/nicgep/app?component=%24DirectLink&amp;page=FrontEndViewTender&amp;service=direct&amp;session=T&amp;sp=SFP9JTXV0W7ugbX%2FGnLNAFg%3D%3D", "Rajkiy balika pathshala ki Aarkshit bhumi par footpath ev Open Gym nirman karya sardarpura khartha")</f>
        <v/>
      </c>
      <c r="C1857" t="inlineStr">
        <is>
          <t>Panchayati Raj Department||Secretary and Commissioner||CEO- GANGANAGAR||BDO-SURATGARH</t>
        </is>
      </c>
      <c r="D1857" t="inlineStr">
        <is>
          <t>23-May-2025 12:00 PM</t>
        </is>
      </c>
      <c r="E1857" t="inlineStr">
        <is>
          <t>10,00,000</t>
        </is>
      </c>
      <c r="F1857" t="inlineStr">
        <is>
          <t>Rajkiy balika pathshala ki Aarkshit bhumi par footpath ev Open Gym nirman karya sardarpura khartha</t>
        </is>
      </c>
      <c r="G1857" t="inlineStr">
        <is>
          <t>Gram panchayat Sardarpura khartha</t>
        </is>
      </c>
    </row>
    <row r="1858">
      <c r="A1858" s="1" t="n">
        <v>1856</v>
      </c>
      <c r="B1858">
        <f>HYPERLINK("https://eproc.rajasthan.gov.in/nicgep/app?component=%24DirectLink&amp;page=FrontEndViewTender&amp;service=direct&amp;session=T&amp;sp=SjW9lg%2BwHZJ1ZAdJ%2BYBHVUg%3D%3D", "MGNREGA MATERIALS SUPPLY FY 2024-25 GP KELAN")</f>
        <v/>
      </c>
      <c r="C1858" t="inlineStr">
        <is>
          <t>Panchayati Raj Department||Secretary and Commissioner||CEO-BIKANER||BDO-POOGAL</t>
        </is>
      </c>
      <c r="D1858" t="inlineStr">
        <is>
          <t>27-May-2025 06:00 PM</t>
        </is>
      </c>
      <c r="E1858" t="inlineStr">
        <is>
          <t>90,00,000</t>
        </is>
      </c>
      <c r="F1858" t="inlineStr">
        <is>
          <t>MGNREGA AND ALL OTHER YOJANA CONSTRUCTION MATERIALS SUPPLY GRAM PANCHAYAT KELAN</t>
        </is>
      </c>
      <c r="G1858" t="inlineStr">
        <is>
          <t>GP KELAN</t>
        </is>
      </c>
    </row>
    <row r="1859">
      <c r="A1859" s="1" t="n">
        <v>1857</v>
      </c>
      <c r="B1859">
        <f>HYPERLINK("https://eproc.rajasthan.gov.in/nicgep/app?component=%24DirectLink&amp;page=FrontEndViewTender&amp;service=direct&amp;session=T&amp;sp=SiAb0WRVnZte%2BptlKkOlm0A%3D%3D", "MGNREGA MATERIALS SUPPLY FY 2024-25 GP GANGAJALI")</f>
        <v/>
      </c>
      <c r="C1859" t="inlineStr">
        <is>
          <t>Panchayati Raj Department||Secretary and Commissioner||CEO-BIKANER||BDO-POOGAL</t>
        </is>
      </c>
      <c r="D1859" t="inlineStr">
        <is>
          <t>27-May-2025 06:00 PM</t>
        </is>
      </c>
      <c r="E1859" t="inlineStr">
        <is>
          <t>90,00,000</t>
        </is>
      </c>
      <c r="F1859" t="inlineStr">
        <is>
          <t>MGNREGA AND ALL OTHER YOJANA CONSTRUCTION MATERIALS SUPPLY GRAM PANCHAYAT GANGAJALI</t>
        </is>
      </c>
      <c r="G1859" t="inlineStr">
        <is>
          <t>GP GANGAJALI</t>
        </is>
      </c>
    </row>
    <row r="1860">
      <c r="A1860" s="1" t="n">
        <v>1858</v>
      </c>
      <c r="B1860">
        <f>HYPERLINK("https://eproc.rajasthan.gov.in/nicgep/app?component=%24DirectLink&amp;page=FrontEndViewTender&amp;service=direct&amp;session=T&amp;sp=SOiTA4ds%2FycPGK4%2FBAKFtpA%3D%3D", "SBM")</f>
        <v/>
      </c>
      <c r="C1860" t="inlineStr">
        <is>
          <t>Panchayati Raj Department||Secretary and Commissioner||CEO-AJMER||BDO-JAWAJA</t>
        </is>
      </c>
      <c r="D1860" t="inlineStr">
        <is>
          <t>28-May-2025 05:00 PM</t>
        </is>
      </c>
      <c r="E1860" t="inlineStr">
        <is>
          <t>10,61,125</t>
        </is>
      </c>
      <c r="F1860" t="inlineStr">
        <is>
          <t>SBM</t>
        </is>
      </c>
      <c r="G1860" t="inlineStr">
        <is>
          <t>GP</t>
        </is>
      </c>
    </row>
    <row r="1861">
      <c r="A1861" s="1" t="n">
        <v>1859</v>
      </c>
      <c r="B1861">
        <f>HYPERLINK("https://eproc.rajasthan.gov.in/nicgep/app?component=%24DirectLink&amp;page=FrontEndViewTender&amp;service=direct&amp;session=T&amp;sp=SW4LoW5%2BOefaJx46rZc9h%2Bg%3D%3D", "Tender For SBM Sanitation Activity in GP Deshalsar")</f>
        <v/>
      </c>
      <c r="C1861" t="inlineStr">
        <is>
          <t>Panchayati Raj Department||Secretary and Commissioner||CEO-BIKANER||BDO-PANCHU</t>
        </is>
      </c>
      <c r="D1861" t="inlineStr">
        <is>
          <t>20-May-2025 06:00 PM</t>
        </is>
      </c>
      <c r="E1861" t="inlineStr">
        <is>
          <t>4,99,000</t>
        </is>
      </c>
      <c r="F1861" t="inlineStr">
        <is>
          <t>Tender For SBM Sanitation Activity in GP Deshalsar</t>
        </is>
      </c>
      <c r="G1861" t="inlineStr">
        <is>
          <t>GRAM PANCHAYAT DESHALSAR</t>
        </is>
      </c>
    </row>
    <row r="1862">
      <c r="A1862" s="1" t="n">
        <v>1860</v>
      </c>
      <c r="B1862">
        <f>HYPERLINK("https://eproc.rajasthan.gov.in/nicgep/app?component=%24DirectLink&amp;page=FrontEndViewTender&amp;service=direct&amp;session=T&amp;sp=SKhZzehkgxSSLXGfmobRYQg%3D%3D", "WORK TENDOR")</f>
        <v/>
      </c>
      <c r="C1862" t="inlineStr">
        <is>
          <t>Panchayati Raj Department||Secretary and Commissioner||CEO-BHARATPUR||BDO-KUMHER</t>
        </is>
      </c>
      <c r="D1862" t="inlineStr">
        <is>
          <t>20-May-2025 06:00 PM</t>
        </is>
      </c>
      <c r="E1862" t="inlineStr">
        <is>
          <t>5,90,000</t>
        </is>
      </c>
      <c r="F1862" t="inlineStr">
        <is>
          <t>WORK TENDOR</t>
        </is>
      </c>
      <c r="G1862" t="inlineStr">
        <is>
          <t>AT SITE</t>
        </is>
      </c>
    </row>
    <row r="1863">
      <c r="A1863" s="1" t="n">
        <v>1861</v>
      </c>
      <c r="B1863">
        <f>HYPERLINK("https://eproc.rajasthan.gov.in/nicgep/app?component=%24DirectLink&amp;page=FrontEndViewTender&amp;service=direct&amp;session=T&amp;sp=S3CteRxAzQ6WTsExzeFNlAA%3D%3D", "CONSTRUCTION OF TIN SHED AND OTHER DEVLOPMENT WORK AT SHAMSHAN GHAT LETA GP LETA")</f>
        <v/>
      </c>
      <c r="C1863" t="inlineStr">
        <is>
          <t>Panchayati Raj Department||Secretary and Commissioner||CEO- JALORE||BDO- JALORE</t>
        </is>
      </c>
      <c r="D1863" t="inlineStr">
        <is>
          <t>23-May-2025 06:00 PM</t>
        </is>
      </c>
      <c r="E1863" t="inlineStr">
        <is>
          <t>10,00,000</t>
        </is>
      </c>
      <c r="F1863" t="inlineStr">
        <is>
          <t>CONSTRUCTION OF TIN SHED AND OTHER DEVLOPMENT WORK AT SHAMSHAN GHAT LETA GP LETA</t>
        </is>
      </c>
      <c r="G1863" t="inlineStr">
        <is>
          <t>LETA</t>
        </is>
      </c>
    </row>
    <row r="1864">
      <c r="A1864" s="1" t="n">
        <v>1862</v>
      </c>
      <c r="B1864">
        <f>HYPERLINK("https://eproc.rajasthan.gov.in/nicgep/app?component=%24DirectLink&amp;page=FrontEndViewTender&amp;service=direct&amp;session=T&amp;sp=S2mxUwzQ%2FhIPZBP%2B0NM6xfw%3D%3D", "MATERIAL SUPPLY IN GRAM PANCHAYAT PALTHANA PS DHOD FOR MGNREGA AND OTHER SCHEME")</f>
        <v/>
      </c>
      <c r="C1864" t="inlineStr">
        <is>
          <t>Panchayati Raj Department||Secretary and Commissioner||CEO-SIKAR||BDO-DHOD</t>
        </is>
      </c>
      <c r="D1864" t="inlineStr">
        <is>
          <t>26-May-2025 06:00 PM</t>
        </is>
      </c>
      <c r="E1864" t="inlineStr">
        <is>
          <t>45,00,000</t>
        </is>
      </c>
      <c r="F1864" t="inlineStr">
        <is>
          <t>MATERIAL SUPPLY IN GRAM PANCHAYAT PALTHANA PS DHOD FOR MGNREGA AND OTHER SCHEME</t>
        </is>
      </c>
      <c r="G1864" t="inlineStr">
        <is>
          <t>GRAM PANCHAYAT PALTHANA</t>
        </is>
      </c>
    </row>
    <row r="1865">
      <c r="A1865" s="1" t="n">
        <v>1863</v>
      </c>
      <c r="B1865">
        <f>HYPERLINK("https://eproc.rajasthan.gov.in/nicgep/app?component=%24DirectLink&amp;page=FrontEndViewTender&amp;service=direct&amp;session=T&amp;sp=SoNBGuQaGZYLMpBCUA93K%2Bw%3D%3D", "Tender For SBM Sanitation Activity in GP PARWA")</f>
        <v/>
      </c>
      <c r="C1865" t="inlineStr">
        <is>
          <t>Panchayati Raj Department||Secretary and Commissioner||CEO-BIKANER||BDO-PANCHU</t>
        </is>
      </c>
      <c r="D1865" t="inlineStr">
        <is>
          <t>20-May-2025 06:00 PM</t>
        </is>
      </c>
      <c r="E1865" t="inlineStr">
        <is>
          <t>4,10,000</t>
        </is>
      </c>
      <c r="F1865" t="inlineStr">
        <is>
          <t>Tender For SBM Sanitation Activity in GP PARWA</t>
        </is>
      </c>
      <c r="G1865" t="inlineStr">
        <is>
          <t>GRAM PANCHAYAT PARWA</t>
        </is>
      </c>
    </row>
    <row r="1866">
      <c r="A1866" s="1" t="n">
        <v>1864</v>
      </c>
      <c r="B1866">
        <f>HYPERLINK("https://eproc.rajasthan.gov.in/nicgep/app?component=%24DirectLink&amp;page=FrontEndViewTender&amp;service=direct&amp;session=T&amp;sp=SBTSyK3ytEyFmGIeW1c5JHw%3D%3D", "Gram panchayat sardarpura khartha me mainer se pathar no 187/6 tak grewal sadak may mainer puliya")</f>
        <v/>
      </c>
      <c r="C1866" t="inlineStr">
        <is>
          <t>Panchayati Raj Department||Secretary and Commissioner||CEO- GANGANAGAR||BDO-SURATGARH</t>
        </is>
      </c>
      <c r="D1866" t="inlineStr">
        <is>
          <t>23-May-2025 12:00 PM</t>
        </is>
      </c>
      <c r="E1866" t="inlineStr">
        <is>
          <t>10,99,000</t>
        </is>
      </c>
      <c r="F1866" t="inlineStr">
        <is>
          <t>Gram panchayat sardarpura khartha me mainer se pathar no 187/6 tak grewal sadak may mainer puliya</t>
        </is>
      </c>
      <c r="G1866" t="inlineStr">
        <is>
          <t>Gram Panchayat Sardarpura khartha</t>
        </is>
      </c>
    </row>
    <row r="1867">
      <c r="A1867" s="1" t="n">
        <v>1865</v>
      </c>
      <c r="B1867">
        <f>HYPERLINK("https://eproc.rajasthan.gov.in/nicgep/app?component=%24DirectLink&amp;page=FrontEndViewTender&amp;service=direct&amp;session=T&amp;sp=SH6xQM8X3bSZx3xC726Y9vQ%3D%3D", "Tender For SBM Sanitation Activity in GP Jaisinghdesar Magra")</f>
        <v/>
      </c>
      <c r="C1867" t="inlineStr">
        <is>
          <t>Panchayati Raj Department||Secretary and Commissioner||CEO-BIKANER||BDO-PANCHU</t>
        </is>
      </c>
      <c r="D1867" t="inlineStr">
        <is>
          <t>20-May-2025 06:00 PM</t>
        </is>
      </c>
      <c r="E1867" t="inlineStr">
        <is>
          <t>5,70,000</t>
        </is>
      </c>
      <c r="F1867" t="inlineStr">
        <is>
          <t>Tender For SBM Sanitation Activity in GP Jaisinghdesar Magra</t>
        </is>
      </c>
      <c r="G1867" t="inlineStr">
        <is>
          <t>GRAM PANCHAYAT JAISINGHDESAR MAGRA</t>
        </is>
      </c>
    </row>
    <row r="1868">
      <c r="A1868" s="1" t="n">
        <v>1866</v>
      </c>
      <c r="B1868">
        <f>HYPERLINK("https://eproc.rajasthan.gov.in/nicgep/app?component=%24DirectLink&amp;page=FrontEndViewTender&amp;service=direct&amp;session=T&amp;sp=S5NLItpY%2B3OImgeHTJBb%2FJA%3D%3D", "MGNREGA MATERIALS SUPPLY FY 2024-25 GP RAMDA")</f>
        <v/>
      </c>
      <c r="C1868" t="inlineStr">
        <is>
          <t>Panchayati Raj Department||Secretary and Commissioner||CEO-BIKANER||BDO-POOGAL</t>
        </is>
      </c>
      <c r="D1868" t="inlineStr">
        <is>
          <t>27-May-2025 06:00 PM</t>
        </is>
      </c>
      <c r="E1868" t="inlineStr">
        <is>
          <t>90,00,000</t>
        </is>
      </c>
      <c r="F1868" t="inlineStr">
        <is>
          <t>MGNREGA AND ALL OTHER YOJANA CONSTRUCTION MATERIALS SUPPLY GRAM PANCHAYAT RAMDA</t>
        </is>
      </c>
      <c r="G1868" t="inlineStr">
        <is>
          <t>GP RAMDA</t>
        </is>
      </c>
    </row>
    <row r="1869">
      <c r="A1869" s="1" t="n">
        <v>1867</v>
      </c>
      <c r="B1869">
        <f>HYPERLINK("https://eproc.rajasthan.gov.in/nicgep/app?component=%24DirectLink&amp;page=FrontEndViewTender&amp;service=direct&amp;session=T&amp;sp=SNmDm%2FT1sOr0v6KLEAHMKNQ%3D%3D", "cleaning and sanitation work gram panchayat gangawas")</f>
        <v/>
      </c>
      <c r="C1869" t="inlineStr">
        <is>
          <t>Panchayati Raj Department||Secretary and Commissioner||CEO-BADMER||BDO-KALYANPUR</t>
        </is>
      </c>
      <c r="D1869" t="inlineStr">
        <is>
          <t>20-May-2025 05:00 PM</t>
        </is>
      </c>
      <c r="E1869" t="inlineStr">
        <is>
          <t>5,66,560</t>
        </is>
      </c>
      <c r="F1869" t="inlineStr">
        <is>
          <t>cleaning and sanitation work</t>
        </is>
      </c>
      <c r="G1869" t="inlineStr">
        <is>
          <t>gp gangawas</t>
        </is>
      </c>
    </row>
    <row r="1870">
      <c r="A1870" s="1" t="n">
        <v>1868</v>
      </c>
      <c r="B1870">
        <f>HYPERLINK("https://eproc.rajasthan.gov.in/nicgep/app?component=%24DirectLink&amp;page=FrontEndViewTender&amp;service=direct&amp;session=T&amp;sp=SrXS%2FOtWdVeKYXrdAmSR2aw%3D%3D", "WORK TENDOR")</f>
        <v/>
      </c>
      <c r="C1870" t="inlineStr">
        <is>
          <t>Panchayati Raj Department||Secretary and Commissioner||CEO-BHARATPUR||BDO-KUMHER</t>
        </is>
      </c>
      <c r="D1870" t="inlineStr">
        <is>
          <t>20-May-2025 06:00 PM</t>
        </is>
      </c>
      <c r="E1870" t="inlineStr">
        <is>
          <t>5,90,000</t>
        </is>
      </c>
      <c r="F1870" t="inlineStr">
        <is>
          <t>WORK TENDOR</t>
        </is>
      </c>
      <c r="G1870" t="inlineStr">
        <is>
          <t>AT SITE</t>
        </is>
      </c>
    </row>
    <row r="1871">
      <c r="A1871" s="1" t="n">
        <v>1869</v>
      </c>
      <c r="B1871">
        <f>HYPERLINK("https://eproc.rajasthan.gov.in/nicgep/app?component=%24DirectLink&amp;page=FrontEndViewTender&amp;service=direct&amp;session=T&amp;sp=SSj4MqyLjE92xRSiZ6%2Bje6Q%3D%3D", "RAJKIYA UCCH PRATHAMIK SAHID RAMCHANDRA UTARI DHANI ME SINGLE PHASE TUBEWELL NIRMAN KARY THORASI AND PALTHANA GRAM SEVA SAHAKARI SAMITI LIMITED KE PASS SINGLE PHASE TUBEWELL NIRMAN KARY GRAM PANCHAYAT PALTHANA")</f>
        <v/>
      </c>
      <c r="C1871" t="inlineStr">
        <is>
          <t>Panchayati Raj Department||Secretary and Commissioner||CEO-SIKAR||BDO-DHOD</t>
        </is>
      </c>
      <c r="D1871" t="inlineStr">
        <is>
          <t>26-May-2025 05:00 PM</t>
        </is>
      </c>
      <c r="E1871" t="inlineStr">
        <is>
          <t>7,50,000</t>
        </is>
      </c>
      <c r="F1871" t="inlineStr">
        <is>
          <t>RAJKIYA UCCH PRATHAMIK SAHID RAMCHANDRA UTARI DHANI ME SINGLE PHASE TUBEWELL NIRMAN KARY THORASI AND PALTHANA GRAM SEVA SAHAKARI SAMITI LIMITED KE PASS SINGLE PHASE TUBEWELL NIRMAN KARY GRAM PANCHAYAT PALTHANA</t>
        </is>
      </c>
      <c r="G1871" t="inlineStr">
        <is>
          <t>GRAM PANCHAYAT PALTHANA</t>
        </is>
      </c>
    </row>
    <row r="1872">
      <c r="A1872" s="1" t="n">
        <v>1870</v>
      </c>
      <c r="B1872">
        <f>HYPERLINK("https://eproc.rajasthan.gov.in/nicgep/app?component=%24DirectLink&amp;page=FrontEndViewTender&amp;service=direct&amp;session=T&amp;sp=Smr%2Fx4B8PnCaDxAMV77y%2BdA%3D%3D", "cleaning and sanitation work GHAROI CHARNAN")</f>
        <v/>
      </c>
      <c r="C1872" t="inlineStr">
        <is>
          <t>Panchayati Raj Department||Secretary and Commissioner||CEO-BADMER||BDO-KALYANPUR</t>
        </is>
      </c>
      <c r="D1872" t="inlineStr">
        <is>
          <t>20-May-2025 05:00 PM</t>
        </is>
      </c>
      <c r="E1872" t="inlineStr">
        <is>
          <t>7,12,931</t>
        </is>
      </c>
      <c r="F1872" t="inlineStr">
        <is>
          <t>cleaning and sanitation work</t>
        </is>
      </c>
      <c r="G1872" t="inlineStr">
        <is>
          <t>GP GHAROI CHARNAN</t>
        </is>
      </c>
    </row>
    <row r="1873">
      <c r="A1873" s="1" t="n">
        <v>1871</v>
      </c>
      <c r="B1873">
        <f>HYPERLINK("https://eproc.rajasthan.gov.in/nicgep/app?component=%24DirectLink&amp;page=FrontEndViewTender&amp;service=direct&amp;session=T&amp;sp=SjeVQdGo6mO1S7UsXsVqACw%3D%3D", "Construction of Two Class Room in Govt. Sr. Pre. School Rai GP Chapa ki Naal Block Kotra under DMFT Fund")</f>
        <v/>
      </c>
      <c r="C1873" t="inlineStr">
        <is>
          <t>Panchayati Raj Department||Secretary and Commissioner||CEO-UDAIPUR||BDO-KHERWARA</t>
        </is>
      </c>
      <c r="D1873" t="inlineStr">
        <is>
          <t>19-May-2025 06:00 PM</t>
        </is>
      </c>
      <c r="E1873" t="inlineStr">
        <is>
          <t>18,53,000</t>
        </is>
      </c>
      <c r="F1873" t="inlineStr">
        <is>
          <t>Construction of Two Class Room in Govt. Sr. Pre. School Rai GP Chapa ki Naal Block Kotra under DMFT Fund</t>
        </is>
      </c>
      <c r="G1873" t="inlineStr">
        <is>
          <t>GP Chapa ki Naal Block Kotra</t>
        </is>
      </c>
    </row>
    <row r="1874">
      <c r="A1874" s="1" t="n">
        <v>1872</v>
      </c>
      <c r="B1874">
        <f>HYPERLINK("https://eproc.rajasthan.gov.in/nicgep/app?component=%24DirectLink&amp;page=FrontEndViewTender&amp;service=direct&amp;session=T&amp;sp=S7DgMAb8unfLjkzcDrjdQsA%3D%3D", "Tender For SBM Sanitation Activity in GP Rasisar Bara Bas")</f>
        <v/>
      </c>
      <c r="C1874" t="inlineStr">
        <is>
          <t>Panchayati Raj Department||Secretary and Commissioner||CEO-BIKANER||BDO-PANCHU</t>
        </is>
      </c>
      <c r="D1874" t="inlineStr">
        <is>
          <t>20-May-2025 06:00 PM</t>
        </is>
      </c>
      <c r="E1874" t="inlineStr">
        <is>
          <t>5,32,000</t>
        </is>
      </c>
      <c r="F1874" t="inlineStr">
        <is>
          <t>Tender For SBM Sanitation Activity in GP Rasisar Bara Bas</t>
        </is>
      </c>
      <c r="G1874" t="inlineStr">
        <is>
          <t>GRAM PANCHAYAT RASISAR BARA BAS</t>
        </is>
      </c>
    </row>
    <row r="1875">
      <c r="A1875" s="1" t="n">
        <v>1873</v>
      </c>
      <c r="B1875">
        <f>HYPERLINK("https://eproc.rajasthan.gov.in/nicgep/app?component=%24DirectLink&amp;page=FrontEndViewTender&amp;service=direct&amp;session=T&amp;sp=SbrrvPGgiPGhlPPLjpy87iw%3D%3D", "Construction of Two Class Room in Mahatma Ghandi Govt. School Gogrud GP Gogrud Block Kotra under DMFT Fund")</f>
        <v/>
      </c>
      <c r="C1875" t="inlineStr">
        <is>
          <t>Panchayati Raj Department||Secretary and Commissioner||CEO-UDAIPUR||BDO-KHERWARA</t>
        </is>
      </c>
      <c r="D1875" t="inlineStr">
        <is>
          <t>19-May-2025 06:00 PM</t>
        </is>
      </c>
      <c r="E1875" t="inlineStr">
        <is>
          <t>24,86,000</t>
        </is>
      </c>
      <c r="F1875" t="inlineStr">
        <is>
          <t>Construction of Two Class Room in Mahatma Ghandi Govt. School Gogrud GP Gogrud Block Kotra under DMFT Fund</t>
        </is>
      </c>
      <c r="G1875" t="inlineStr">
        <is>
          <t>GP Gogrud Block Kotra</t>
        </is>
      </c>
    </row>
    <row r="1876">
      <c r="A1876" s="1" t="n">
        <v>1874</v>
      </c>
      <c r="B1876">
        <f>HYPERLINK("https://eproc.rajasthan.gov.in/nicgep/app?component=%24DirectLink&amp;page=FrontEndViewTender&amp;service=direct&amp;session=T&amp;sp=SuGi5ZVQwznSR1g0r0XmCkA%3D%3D", "Construction of Two Class Room in Govt. Sr. Sec. School Peeplikheda and Govt. Sr. Sec. School Bhader GP Peeplikheda Block Kotra under DMFT Fund")</f>
        <v/>
      </c>
      <c r="C1876" t="inlineStr">
        <is>
          <t>Panchayati Raj Department||Secretary and Commissioner||CEO-UDAIPUR||BDO-KHERWARA</t>
        </is>
      </c>
      <c r="D1876" t="inlineStr">
        <is>
          <t>19-May-2025 06:00 PM</t>
        </is>
      </c>
      <c r="E1876" t="inlineStr">
        <is>
          <t>49,62,000</t>
        </is>
      </c>
      <c r="F1876" t="inlineStr">
        <is>
          <t>Construction of Two Class Room in Govt. Sr. Sec. School Peeplikheda and Govt. Sr. Sec. School Bhader GP Peeplikheda Block Kotra under DMFT Fund</t>
        </is>
      </c>
      <c r="G1876" t="inlineStr">
        <is>
          <t>GP Peeplikheda Block Kotra</t>
        </is>
      </c>
    </row>
    <row r="1877">
      <c r="A1877" s="1" t="n">
        <v>1875</v>
      </c>
      <c r="B1877">
        <f>HYPERLINK("https://eproc.rajasthan.gov.in/nicgep/app?component=%24DirectLink&amp;page=FrontEndViewTender&amp;service=direct&amp;session=T&amp;sp=SESGT3DxLXtnZuxorJ2uGZA%3D%3D", "MGNREGA MATERIALS SUPPLY FY 2024-25 GP PAHALWAN KA BERA")</f>
        <v/>
      </c>
      <c r="C1877" t="inlineStr">
        <is>
          <t>Panchayati Raj Department||Secretary and Commissioner||CEO-BIKANER||BDO-POOGAL</t>
        </is>
      </c>
      <c r="D1877" t="inlineStr">
        <is>
          <t>27-May-2025 06:00 PM</t>
        </is>
      </c>
      <c r="E1877" t="inlineStr">
        <is>
          <t>90,00,000</t>
        </is>
      </c>
      <c r="F1877" t="inlineStr">
        <is>
          <t>MGNREGA AND ALL OTHER YOJANA CONSTRUCTION MATERIALS SUPPLY GRAM PANCHAYAT PAHALWAN KA BERA</t>
        </is>
      </c>
      <c r="G1877" t="inlineStr">
        <is>
          <t>GP PAHALWAN KA BERA</t>
        </is>
      </c>
    </row>
    <row r="1878">
      <c r="A1878" s="1" t="n">
        <v>1876</v>
      </c>
      <c r="B1878">
        <f>HYPERLINK("https://eproc.rajasthan.gov.in/nicgep/app?component=%24DirectLink&amp;page=FrontEndViewTender&amp;service=direct&amp;session=T&amp;sp=SHQ1LxqoAiBYX6UUK3uFw3g%3D%3D", "Supply of Construction Material for GRAM PANCHAYAT Rishabhdev")</f>
        <v/>
      </c>
      <c r="C1878" t="inlineStr">
        <is>
          <t>Panchayati Raj Department||Secretary and Commissioner||CEO-UDAIPUR||BDO-RISHABHDEV</t>
        </is>
      </c>
      <c r="D1878" t="inlineStr">
        <is>
          <t>22-May-2025 12:00 PM</t>
        </is>
      </c>
      <c r="E1878" t="inlineStr">
        <is>
          <t>50,00,000</t>
        </is>
      </c>
      <c r="F1878" t="inlineStr">
        <is>
          <t>Supply of Construction Material for GRAM PANCHAYAT Rishabhdev</t>
        </is>
      </c>
      <c r="G1878" t="inlineStr">
        <is>
          <t>Gram Panchayat Rishabhdev</t>
        </is>
      </c>
    </row>
    <row r="1879">
      <c r="A1879" s="1" t="n">
        <v>1877</v>
      </c>
      <c r="B1879">
        <f>HYPERLINK("https://eproc.rajasthan.gov.in/nicgep/app?component=%24DirectLink&amp;page=FrontEndViewTender&amp;service=direct&amp;session=T&amp;sp=SKukpq3OmfJals%2FhU8ZaWnA%3D%3D", "Material Supply and Equipment Arrangement of Construction Work in Gram Panchayat Harnagar Under NREGA and Rural Development and Panchayati Raj Department Schemes for Year 2025-26")</f>
        <v/>
      </c>
      <c r="C1879" t="inlineStr">
        <is>
          <t>Panchayati Raj Department||Secretary and Commissioner||CEO-KARAULI||BDO-KARAULI</t>
        </is>
      </c>
      <c r="D1879" t="inlineStr">
        <is>
          <t>24-May-2025 06:00 PM</t>
        </is>
      </c>
      <c r="E1879" t="inlineStr">
        <is>
          <t>1,00,00,000</t>
        </is>
      </c>
      <c r="F1879" t="inlineStr">
        <is>
          <t>Material Supply and Equipment Arrangement of Construction Work in Gram Panchayat Harnagar Under NREGA and Rural Development and Panchayati Raj Department Schemes for Year 2025-26</t>
        </is>
      </c>
      <c r="G1879" t="inlineStr">
        <is>
          <t>HARNAGAR</t>
        </is>
      </c>
    </row>
    <row r="1880">
      <c r="A1880" s="1" t="n">
        <v>1878</v>
      </c>
      <c r="B1880">
        <f>HYPERLINK("https://eproc.rajasthan.gov.in/nicgep/app?component=%24DirectLink&amp;page=FrontEndViewTender&amp;service=direct&amp;session=T&amp;sp=S%2FsZDsOI%2FOaaxaS2bZdXFoA%3D%3D", "PIPE LINE WORK GRAM RUPA KA KHEDA GP BHINTA")</f>
        <v/>
      </c>
      <c r="C1880" t="inlineStr">
        <is>
          <t>Panchayati Raj Department||Secretary and Commissioner||CEO-BHILWARA||BDO-SAHADA</t>
        </is>
      </c>
      <c r="D1880" t="inlineStr">
        <is>
          <t>19-May-2025 05:00 PM</t>
        </is>
      </c>
      <c r="E1880" t="inlineStr">
        <is>
          <t>10,00,000</t>
        </is>
      </c>
      <c r="F1880" t="inlineStr">
        <is>
          <t>PIPE LINE WORK GRAM RUPA KA KHEDA GP BHINTA</t>
        </is>
      </c>
      <c r="G1880" t="inlineStr">
        <is>
          <t>BHINTA</t>
        </is>
      </c>
    </row>
    <row r="1881">
      <c r="A1881" s="1" t="n">
        <v>1879</v>
      </c>
      <c r="B1881">
        <f>HYPERLINK("https://eproc.rajasthan.gov.in/nicgep/app?component=%24DirectLink&amp;page=FrontEndViewTender&amp;service=direct&amp;session=T&amp;sp=SVUbKBYtyp7Sj97wgg7Bg5A%3D%3D", "MPLAD KUBDIYA CIVIL WORK")</f>
        <v/>
      </c>
      <c r="C1881" t="inlineStr">
        <is>
          <t>Panchayati Raj Department||Secretary and Commissioner||CEO-BADMER||BDO-GADRAROAD</t>
        </is>
      </c>
      <c r="D1881" t="inlineStr">
        <is>
          <t>21-May-2025 12:30 PM</t>
        </is>
      </c>
      <c r="E1881" t="inlineStr">
        <is>
          <t>NA</t>
        </is>
      </c>
      <c r="F1881" t="inlineStr">
        <is>
          <t>MPLAD WORK</t>
        </is>
      </c>
      <c r="G1881" t="inlineStr">
        <is>
          <t>KUBDIYA</t>
        </is>
      </c>
    </row>
    <row r="1882">
      <c r="A1882" s="1" t="n">
        <v>1880</v>
      </c>
      <c r="B1882">
        <f>HYPERLINK("https://eproc.rajasthan.gov.in/nicgep/app?component=%24DirectLink&amp;page=FrontEndViewTender&amp;service=direct&amp;session=T&amp;sp=SrmJ%2FzXfpiYUWoqLVas9jQw%3D%3D", "SUPPLY OF MATERIAL FOR CONSTRUCTION WORK IN GRAM PANCHYAT DELWARA")</f>
        <v/>
      </c>
      <c r="C1882" t="inlineStr">
        <is>
          <t>Panchayati Raj Department||Secretary and Commissioner||CEO-RAJSAMAND||BDO-DELWARA</t>
        </is>
      </c>
      <c r="D1882" t="inlineStr">
        <is>
          <t>22-May-2025 06:00 PM</t>
        </is>
      </c>
      <c r="E1882" t="inlineStr">
        <is>
          <t>80,00,000</t>
        </is>
      </c>
      <c r="F1882" t="inlineStr">
        <is>
          <t>SUPPLY OF MATERIAL FOR CONSTRUCTION WORK IN GRAM PANCHYAT DELWARA</t>
        </is>
      </c>
      <c r="G1882" t="inlineStr">
        <is>
          <t>Gram Panchayat Delwara</t>
        </is>
      </c>
    </row>
    <row r="1883">
      <c r="A1883" s="1" t="n">
        <v>1881</v>
      </c>
      <c r="B1883">
        <f>HYPERLINK("https://eproc.rajasthan.gov.in/nicgep/app?component=%24DirectLink&amp;page=FrontEndViewTender&amp;service=direct&amp;session=T&amp;sp=SLXKrTb9HO44nsJnaBIDbxw%3D%3D", "Rate Contract for Supply of Construction Material and equipment in Gram Panchayat PUJARI KA BAS FOR YEAR 2025-26")</f>
        <v/>
      </c>
      <c r="C1883" t="inlineStr">
        <is>
          <t>Panchayati Raj Department||Secretary and Commissioner||CEO-SIKAR||BDO-KHANDELA</t>
        </is>
      </c>
      <c r="D1883" t="inlineStr">
        <is>
          <t>22-May-2025 06:00 PM</t>
        </is>
      </c>
      <c r="E1883" t="inlineStr">
        <is>
          <t>50,00,000</t>
        </is>
      </c>
      <c r="F1883" t="inlineStr">
        <is>
          <t>Rate Contract for Supply of Construction Material and equipment in Gram Panchayat PUJARI KA BAS FOR YEAR 2025-26</t>
        </is>
      </c>
      <c r="G1883" t="inlineStr">
        <is>
          <t>GP PUJARI KA BAS</t>
        </is>
      </c>
    </row>
    <row r="1884">
      <c r="A1884" s="1" t="n">
        <v>1882</v>
      </c>
      <c r="B1884">
        <f>HYPERLINK("https://eproc.rajasthan.gov.in/nicgep/app?component=%24DirectLink&amp;page=FrontEndViewTender&amp;service=direct&amp;session=T&amp;sp=SfApNyRbNoIZREqldeZSJBQ%3D%3D", "CC sadak Block sadak nirman karay Aam Sadak se Sukh Ram ke ghar Ki aur Grwarsar")</f>
        <v/>
      </c>
      <c r="C1884" t="inlineStr">
        <is>
          <t>Panchayati Raj Department||Secretary and Commissioner||CEO-CHURU||BDO-BIDASAR</t>
        </is>
      </c>
      <c r="D1884" t="inlineStr">
        <is>
          <t>22-May-2025 01:00 PM</t>
        </is>
      </c>
      <c r="E1884" t="inlineStr">
        <is>
          <t>10,00,000</t>
        </is>
      </c>
      <c r="F1884" t="inlineStr">
        <is>
          <t>CC sadak Block sadak nirman karay Aam Sadak se Sukh Ram ke ghar Ki aur Grwarsar</t>
        </is>
      </c>
      <c r="G1884" t="inlineStr">
        <is>
          <t>Gram Panchyat Grwarsar</t>
        </is>
      </c>
    </row>
    <row r="1885">
      <c r="A1885" s="1" t="n">
        <v>1883</v>
      </c>
      <c r="B1885">
        <f>HYPERLINK("https://eproc.rajasthan.gov.in/nicgep/app?component=%24DirectLink&amp;page=FrontEndViewTender&amp;service=direct&amp;session=T&amp;sp=SfXh6PxcFS1q%2Bw29k1LhcwQ%3D%3D", "CC sadak Block nirman sadak nirman karay Hadmana Ram Ke Ghar se Shmshan Bhumi Ki aur Grwarsar")</f>
        <v/>
      </c>
      <c r="C1885" t="inlineStr">
        <is>
          <t>Panchayati Raj Department||Secretary and Commissioner||CEO-CHURU||BDO-BIDASAR</t>
        </is>
      </c>
      <c r="D1885" t="inlineStr">
        <is>
          <t>22-May-2025 01:00 PM</t>
        </is>
      </c>
      <c r="E1885" t="inlineStr">
        <is>
          <t>10,00,000</t>
        </is>
      </c>
      <c r="F1885" t="inlineStr">
        <is>
          <t>CC sadak Block nirman sadak nirman karay Hadmana Ram Ke Ghar se Shmshan Bhumi Ki aur Grwarsar</t>
        </is>
      </c>
      <c r="G1885" t="inlineStr">
        <is>
          <t>Gram Panchyat Grwarsar</t>
        </is>
      </c>
    </row>
    <row r="1886">
      <c r="A1886" s="1" t="n">
        <v>1884</v>
      </c>
      <c r="B1886">
        <f>HYPERLINK("https://eproc.rajasthan.gov.in/nicgep/app?component=%24DirectLink&amp;page=FrontEndViewTender&amp;service=direct&amp;session=T&amp;sp=SD%2B0gT2guSlvwwwj7SvUkNQ%3D%3D", "CC sadak Block sadak nirman karay Aam Sadak se Moti Ram ke ghar Ki aur Grwarsar")</f>
        <v/>
      </c>
      <c r="C1886" t="inlineStr">
        <is>
          <t>Panchayati Raj Department||Secretary and Commissioner||CEO-CHURU||BDO-BIDASAR</t>
        </is>
      </c>
      <c r="D1886" t="inlineStr">
        <is>
          <t>22-May-2025 01:00 PM</t>
        </is>
      </c>
      <c r="E1886" t="inlineStr">
        <is>
          <t>10,00,000</t>
        </is>
      </c>
      <c r="F1886" t="inlineStr">
        <is>
          <t>CC sadak Block sadak nirman karay Aam Sadak se Moti Ram ke ghar Ki aur Grwarsar</t>
        </is>
      </c>
      <c r="G1886" t="inlineStr">
        <is>
          <t>Gram Panchyat Grwarsar</t>
        </is>
      </c>
    </row>
    <row r="1887">
      <c r="A1887" s="1" t="n">
        <v>1885</v>
      </c>
      <c r="B1887">
        <f>HYPERLINK("https://eproc.rajasthan.gov.in/nicgep/app?component=%24DirectLink&amp;page=FrontEndViewTender&amp;service=direct&amp;session=T&amp;sp=SvfLR%2FrU249h2SLMeaiYE6g%3D%3D", "Supply of Construction Material with POI Driver in Scheme MNREGA, SFC , FFC and other scheme for Financial Year 2025-26 in Gram Panchyat Baman Badoda PS Gangapur city")</f>
        <v/>
      </c>
      <c r="C1887" t="inlineStr">
        <is>
          <t>Panchayati Raj Department||Secretary and Commissioner||CEO-S.MADHOPUR||BDO-GANGAPUR</t>
        </is>
      </c>
      <c r="D1887" t="inlineStr">
        <is>
          <t>19-May-2025 06:00 PM</t>
        </is>
      </c>
      <c r="E1887" t="inlineStr">
        <is>
          <t>40,00,000</t>
        </is>
      </c>
      <c r="F1887" t="inlineStr">
        <is>
          <t>Supply of Construction Material with POI Driver in Scheme MNREGA, SFC , FFC and other scheme for Financial Year 2025-26 in Gram Panchyat Baman Badoda PS Gangapur city</t>
        </is>
      </c>
      <c r="G1887" t="inlineStr">
        <is>
          <t>GRAM PANCHAYAT BAMAN BADODA</t>
        </is>
      </c>
    </row>
    <row r="1888">
      <c r="A1888" s="1" t="n">
        <v>1886</v>
      </c>
      <c r="B1888">
        <f>HYPERLINK("https://eproc.rajasthan.gov.in/nicgep/app?component=%24DirectLink&amp;page=FrontEndViewTender&amp;service=direct&amp;session=T&amp;sp=SC3YKXrgroidWQm5RnupMGg%3D%3D", "DHARMSHALA ME INTERLOCKING TILES NIRMAN KARYE GP KATHUWAS")</f>
        <v/>
      </c>
      <c r="C1888" t="inlineStr">
        <is>
          <t>Panchayati Raj Department||Secretary and Commissioner||CEO-ALWAR||BDO-NIMRANA</t>
        </is>
      </c>
      <c r="D1888" t="inlineStr">
        <is>
          <t>19-May-2025 06:00 PM</t>
        </is>
      </c>
      <c r="E1888" t="inlineStr">
        <is>
          <t>5,00,000</t>
        </is>
      </c>
      <c r="F1888" t="inlineStr">
        <is>
          <t>DHARMSHALA ME INTERLOCKING TILES NIRMAN KARYE GP KATHUWAS</t>
        </is>
      </c>
      <c r="G1888" t="inlineStr">
        <is>
          <t>KATHUWAS</t>
        </is>
      </c>
    </row>
    <row r="1889">
      <c r="A1889" s="1" t="n">
        <v>1887</v>
      </c>
      <c r="B1889">
        <f>HYPERLINK("https://eproc.rajasthan.gov.in/nicgep/app?component=%24DirectLink&amp;page=FrontEndViewTender&amp;service=direct&amp;session=T&amp;sp=SZzxCCkO4HLCA28sf7AxWBw%3D%3D", "GRAM PANCHAYAT LAKHUWALI MATERIAL TENDER")</f>
        <v/>
      </c>
      <c r="C1889" t="inlineStr">
        <is>
          <t>Panchayati Raj Department||Secretary and Commissioner||CEO- HANUMANGARH||BDO-HANUMANGARH</t>
        </is>
      </c>
      <c r="D1889" t="inlineStr">
        <is>
          <t>22-May-2025 06:00 PM</t>
        </is>
      </c>
      <c r="E1889" t="inlineStr">
        <is>
          <t>48,00,000</t>
        </is>
      </c>
      <c r="F1889" t="inlineStr">
        <is>
          <t>GRAM PANCHAYAT LAKHUWALI MATERIAL TENDER</t>
        </is>
      </c>
      <c r="G1889" t="inlineStr">
        <is>
          <t>GRAM PANCHAYAT LAKHUWALI</t>
        </is>
      </c>
    </row>
    <row r="1890">
      <c r="A1890" s="1" t="n">
        <v>1888</v>
      </c>
      <c r="B1890">
        <f>HYPERLINK("https://eproc.rajasthan.gov.in/nicgep/app?component=%24DirectLink&amp;page=FrontEndViewTender&amp;service=direct&amp;session=T&amp;sp=SB2IAXf%2F2KAwxaPYr%2BKYXWQ%3D%3D", "Cleaning and Sanitary Services in Gram Panchayat DHANI SANKHALA")</f>
        <v/>
      </c>
      <c r="C1890" t="inlineStr">
        <is>
          <t>Panchayati Raj Department||Secretary and Commissioner||CEO-BADMER||BDO-KALYANPUR</t>
        </is>
      </c>
      <c r="D1890" t="inlineStr">
        <is>
          <t>20-May-2025 05:00 PM</t>
        </is>
      </c>
      <c r="E1890" t="inlineStr">
        <is>
          <t>8,32,220</t>
        </is>
      </c>
      <c r="F1890" t="inlineStr">
        <is>
          <t>Cleaning and Sanitary Services in Gram Panchayat</t>
        </is>
      </c>
      <c r="G1890" t="inlineStr">
        <is>
          <t>G P DHANI SANKHALA</t>
        </is>
      </c>
    </row>
    <row r="1891">
      <c r="A1891" s="1" t="n">
        <v>1889</v>
      </c>
      <c r="B1891">
        <f>HYPERLINK("https://eproc.rajasthan.gov.in/nicgep/app?component=%24DirectLink&amp;page=FrontEndViewTender&amp;service=direct&amp;session=T&amp;sp=ShKxlk1cXoeXKELHfq9VOlA%3D%3D", "GRAM PANCHAYAT NAURANGDESAR MATERIAL TENDER")</f>
        <v/>
      </c>
      <c r="C1891" t="inlineStr">
        <is>
          <t>Panchayati Raj Department||Secretary and Commissioner||CEO- HANUMANGARH||BDO-HANUMANGARH</t>
        </is>
      </c>
      <c r="D1891" t="inlineStr">
        <is>
          <t>22-May-2025 06:00 PM</t>
        </is>
      </c>
      <c r="E1891" t="inlineStr">
        <is>
          <t>48,00,000</t>
        </is>
      </c>
      <c r="F1891" t="inlineStr">
        <is>
          <t>GRAM PANCHAYAT NAURANGDESAR MATERIAL TENDER</t>
        </is>
      </c>
      <c r="G1891" t="inlineStr">
        <is>
          <t>GRAM PANCHAYAT NAURANGDESAR</t>
        </is>
      </c>
    </row>
    <row r="1892">
      <c r="A1892" s="1" t="n">
        <v>1890</v>
      </c>
      <c r="B1892">
        <f>HYPERLINK("https://eproc.rajasthan.gov.in/nicgep/app?component=%24DirectLink&amp;page=FrontEndViewTender&amp;service=direct&amp;session=T&amp;sp=SLlMps2f3rk8kOFg48L4LFA%3D%3D", "GRAM PANCHAYAT Matoriawali dhani MATERIAL TENDER")</f>
        <v/>
      </c>
      <c r="C1892" t="inlineStr">
        <is>
          <t>Panchayati Raj Department||Secretary and Commissioner||CEO- HANUMANGARH||BDO-HANUMANGARH</t>
        </is>
      </c>
      <c r="D1892" t="inlineStr">
        <is>
          <t>22-May-2025 06:00 PM</t>
        </is>
      </c>
      <c r="E1892" t="inlineStr">
        <is>
          <t>48,00,000</t>
        </is>
      </c>
      <c r="F1892" t="inlineStr">
        <is>
          <t>GRAM PANCHAYAT Matoriawali dhani MATERIAL TENDER</t>
        </is>
      </c>
      <c r="G1892" t="inlineStr">
        <is>
          <t>GRAM PANCHAYAT Matoriawali dhani</t>
        </is>
      </c>
    </row>
    <row r="1893">
      <c r="A1893" s="1" t="n">
        <v>1891</v>
      </c>
      <c r="B1893">
        <f>HYPERLINK("https://eproc.rajasthan.gov.in/nicgep/app?component=%24DirectLink&amp;page=FrontEndViewTender&amp;service=direct&amp;session=T&amp;sp=SpJiE5VAPMTv%2Bb7y5Mfmfwg%3D%3D", "Supply Of Metrial And Other Equipments")</f>
        <v/>
      </c>
      <c r="C1893" t="inlineStr">
        <is>
          <t>Panchayati Raj Department||Secretary and Commissioner||CEO- JALORE||BDO- AAHORE</t>
        </is>
      </c>
      <c r="D1893" t="inlineStr">
        <is>
          <t>26-May-2025 09:00 AM</t>
        </is>
      </c>
      <c r="E1893" t="inlineStr">
        <is>
          <t>50,00,000</t>
        </is>
      </c>
      <c r="F1893" t="inlineStr">
        <is>
          <t>SUPPLY OF CONSTRUCTION MATERIAL AND PROVIDING EQUIPMENT FOR VARIOUS SCHEMES AT GRAM PANCHAYAT BHENSAWADA</t>
        </is>
      </c>
      <c r="G1893" t="inlineStr">
        <is>
          <t>GP BHENSAWADA</t>
        </is>
      </c>
    </row>
    <row r="1894">
      <c r="A1894" s="1" t="n">
        <v>1892</v>
      </c>
      <c r="B1894">
        <f>HYPERLINK("https://eproc.rajasthan.gov.in/nicgep/app?component=%24DirectLink&amp;page=FrontEndViewTender&amp;service=direct&amp;session=T&amp;sp=ST6IZw4d0983Y14tikRWaYg%3D%3D", "Construction of 2 Class Room in Govt. Sr. Sec. School Balathal Gram Panchayat Balathal PS Vallabhnagar")</f>
        <v/>
      </c>
      <c r="C1894" t="inlineStr">
        <is>
          <t>Panchayati Raj Department||Secretary and Commissioner||CEO-UDAIPUR||BDO-VALLABH NAGAR</t>
        </is>
      </c>
      <c r="D1894" t="inlineStr">
        <is>
          <t>24-May-2025 06:00 PM</t>
        </is>
      </c>
      <c r="E1894" t="inlineStr">
        <is>
          <t>20,00,000</t>
        </is>
      </c>
      <c r="F1894" t="inlineStr">
        <is>
          <t>Construction of 2 Class Room in Govt. Sr. Sec. School Balathal Gram Panchayat Balathal PS Vallabhnagar</t>
        </is>
      </c>
      <c r="G1894" t="inlineStr">
        <is>
          <t>Gram Panchayat Balathal</t>
        </is>
      </c>
    </row>
    <row r="1895">
      <c r="A1895" s="1" t="n">
        <v>1893</v>
      </c>
      <c r="B1895">
        <f>HYPERLINK("https://eproc.rajasthan.gov.in/nicgep/app?component=%24DirectLink&amp;page=FrontEndViewTender&amp;service=direct&amp;session=T&amp;sp=SNg4vwqlPV3kNT0Lk9%2Bx8KQ%3D%3D", "GRAM PANCHAYAT 1STB MATERIAL TENDER")</f>
        <v/>
      </c>
      <c r="C1895" t="inlineStr">
        <is>
          <t>Panchayati Raj Department||Secretary and Commissioner||CEO- HANUMANGARH||BDO-HANUMANGARH</t>
        </is>
      </c>
      <c r="D1895" t="inlineStr">
        <is>
          <t>22-May-2025 06:00 PM</t>
        </is>
      </c>
      <c r="E1895" t="inlineStr">
        <is>
          <t>48,00,000</t>
        </is>
      </c>
      <c r="F1895" t="inlineStr">
        <is>
          <t>GRAM PANCHAYAT 1STB MATERIAL TENDER</t>
        </is>
      </c>
      <c r="G1895" t="inlineStr">
        <is>
          <t>GRAM PANCHAYAT 1STB</t>
        </is>
      </c>
    </row>
    <row r="1896">
      <c r="A1896" s="1" t="n">
        <v>1894</v>
      </c>
      <c r="B1896">
        <f>HYPERLINK("https://eproc.rajasthan.gov.in/nicgep/app?component=%24DirectLink&amp;page=FrontEndViewTender&amp;service=direct&amp;session=T&amp;sp=SB23aBopBys7toIYe9kS7Cw%3D%3D", "Material Supply and Equipment Arrangement of Construction Work in Gram Panchayat Rajor Under NREGA and Rural Development and Panchayati Raj Department Schemes for Year 2025-26")</f>
        <v/>
      </c>
      <c r="C1896" t="inlineStr">
        <is>
          <t>Panchayati Raj Department||Secretary and Commissioner||CEO-KARAULI||BDO-KARAULI</t>
        </is>
      </c>
      <c r="D1896" t="inlineStr">
        <is>
          <t>22-May-2025 06:00 PM</t>
        </is>
      </c>
      <c r="E1896" t="inlineStr">
        <is>
          <t>1,00,00,000</t>
        </is>
      </c>
      <c r="F1896" t="inlineStr">
        <is>
          <t>Material Supply and Equipment Arrangement of Construction Work in Gram Panchayat Rajor Under NREGA and Rural Development and Panchayati Raj Department Schemes for Year 2025-26</t>
        </is>
      </c>
      <c r="G1896" t="inlineStr">
        <is>
          <t>RAJOR</t>
        </is>
      </c>
    </row>
    <row r="1897">
      <c r="A1897" s="1" t="n">
        <v>1895</v>
      </c>
      <c r="B1897">
        <f>HYPERLINK("https://eproc.rajasthan.gov.in/nicgep/app?component=%24DirectLink&amp;page=FrontEndViewTender&amp;service=direct&amp;session=T&amp;sp=Sk1wYNeMB7QgfGAv25vej6Q%3D%3D", "SURENDRA KI DUKAN SE DHARMSHALA KI OR SHIVIR LINE GRAM HUDIYA KHURD GP KATHUWAS")</f>
        <v/>
      </c>
      <c r="C1897" t="inlineStr">
        <is>
          <t>Panchayati Raj Department||Secretary and Commissioner||CEO-ALWAR||BDO-NIMRANA</t>
        </is>
      </c>
      <c r="D1897" t="inlineStr">
        <is>
          <t>19-May-2025 06:00 PM</t>
        </is>
      </c>
      <c r="E1897" t="inlineStr">
        <is>
          <t>10,00,000</t>
        </is>
      </c>
      <c r="F1897" t="inlineStr">
        <is>
          <t>SURENDRA KI DUKAN SE DHARMSHALA KI OR SHIVIR LINE GRAM HUDIYA KHURD GP KATHUWAS</t>
        </is>
      </c>
      <c r="G1897" t="inlineStr">
        <is>
          <t>KATHUWAS</t>
        </is>
      </c>
    </row>
    <row r="1898">
      <c r="A1898" s="1" t="n">
        <v>1896</v>
      </c>
      <c r="B1898">
        <f>HYPERLINK("https://eproc.rajasthan.gov.in/nicgep/app?component=%24DirectLink&amp;page=FrontEndViewTender&amp;service=direct&amp;session=T&amp;sp=S0immq0TVrPwL%2BAjWW16biQ%3D%3D", "Cleaning and Sanitary Services in Gram Panchayat DEORIYA")</f>
        <v/>
      </c>
      <c r="C1898" t="inlineStr">
        <is>
          <t>Panchayati Raj Department||Secretary and Commissioner||CEO-BADMER||BDO-KALYANPUR</t>
        </is>
      </c>
      <c r="D1898" t="inlineStr">
        <is>
          <t>20-May-2025 05:00 PM</t>
        </is>
      </c>
      <c r="E1898" t="inlineStr">
        <is>
          <t>5,37,381</t>
        </is>
      </c>
      <c r="F1898" t="inlineStr">
        <is>
          <t>Cleaning and Sanitary Services in Gram Panchayat</t>
        </is>
      </c>
      <c r="G1898" t="inlineStr">
        <is>
          <t>GRAM PAnchayat deoria</t>
        </is>
      </c>
    </row>
    <row r="1899">
      <c r="A1899" s="1" t="n">
        <v>1897</v>
      </c>
      <c r="B1899">
        <f>HYPERLINK("https://eproc.rajasthan.gov.in/nicgep/app?component=%24DirectLink&amp;page=FrontEndViewTender&amp;service=direct&amp;session=T&amp;sp=SDCof3NA4nlYTFqp7aPffmQ%3D%3D", "GRAM PANCHAYAT MAINAWALI MATERIAL TENDER")</f>
        <v/>
      </c>
      <c r="C1899" t="inlineStr">
        <is>
          <t>Panchayati Raj Department||Secretary and Commissioner||CEO- HANUMANGARH||BDO-HANUMANGARH</t>
        </is>
      </c>
      <c r="D1899" t="inlineStr">
        <is>
          <t>22-May-2025 06:00 PM</t>
        </is>
      </c>
      <c r="E1899" t="inlineStr">
        <is>
          <t>48,00,000</t>
        </is>
      </c>
      <c r="F1899" t="inlineStr">
        <is>
          <t>GRAM PANCHAYAT MAINAWALI MATERIAL TENDER</t>
        </is>
      </c>
      <c r="G1899" t="inlineStr">
        <is>
          <t>GRAM PANCHAYAT MAINAWALI</t>
        </is>
      </c>
    </row>
    <row r="1900">
      <c r="A1900" s="1" t="n">
        <v>1898</v>
      </c>
      <c r="B1900">
        <f>HYPERLINK("https://eproc.rajasthan.gov.in/nicgep/app?component=%24DirectLink&amp;page=FrontEndViewTender&amp;service=direct&amp;session=T&amp;sp=SnGKe8vEQLY3hHrg4UAjP8A%3D%3D", "GRAM PANCHAYAT BHOMPURA MATERIAL TENDER")</f>
        <v/>
      </c>
      <c r="C1900" t="inlineStr">
        <is>
          <t>Panchayati Raj Department||Secretary and Commissioner||CEO- HANUMANGARH||BDO-HANUMANGARH</t>
        </is>
      </c>
      <c r="D1900" t="inlineStr">
        <is>
          <t>22-May-2025 06:00 PM</t>
        </is>
      </c>
      <c r="E1900" t="inlineStr">
        <is>
          <t>48,00,000</t>
        </is>
      </c>
      <c r="F1900" t="inlineStr">
        <is>
          <t>GRAM PANCHAYAT BHOMPURA MATERIAL TENDER</t>
        </is>
      </c>
      <c r="G1900" t="inlineStr">
        <is>
          <t>GRAM PANCHAYAT BHOMPURA</t>
        </is>
      </c>
    </row>
    <row r="1901">
      <c r="A1901" s="1" t="n">
        <v>1899</v>
      </c>
      <c r="B1901">
        <f>HYPERLINK("https://eproc.rajasthan.gov.in/nicgep/app?component=%24DirectLink&amp;page=FrontEndViewTender&amp;service=direct&amp;session=T&amp;sp=SZ8n3LPJ9nEzmsPfZExRtzg%3D%3D", "Cleaning and Sanitary Services in Gram Panchayat DOLLI KALLA")</f>
        <v/>
      </c>
      <c r="C1901" t="inlineStr">
        <is>
          <t>Panchayati Raj Department||Secretary and Commissioner||CEO-BADMER||BDO-KALYANPUR</t>
        </is>
      </c>
      <c r="D1901" t="inlineStr">
        <is>
          <t>20-May-2025 05:00 PM</t>
        </is>
      </c>
      <c r="E1901" t="inlineStr">
        <is>
          <t>7,18,459</t>
        </is>
      </c>
      <c r="F1901" t="inlineStr">
        <is>
          <t>Cleaning and Sanitary Services in Gram Panchayat</t>
        </is>
      </c>
      <c r="G1901" t="inlineStr">
        <is>
          <t>GP DOLLI KALLA</t>
        </is>
      </c>
    </row>
    <row r="1902">
      <c r="A1902" s="1" t="n">
        <v>1900</v>
      </c>
      <c r="B1902">
        <f>HYPERLINK("https://eproc.rajasthan.gov.in/nicgep/app?component=%24DirectLink&amp;page=FrontEndViewTender&amp;service=direct&amp;session=T&amp;sp=SpT3YFXOd1T3VM5%2Be6NGOQw%3D%3D", "PIPLIYA BHEEL BASTI ME CHAR DIWARI V BHARAV KARY GRAM PANCHAYAT AATMA")</f>
        <v/>
      </c>
      <c r="C1902" t="inlineStr">
        <is>
          <t>Panchayati Raj Department||Secretary and Commissioner||CEO-RAJSAMAND||BDO-RAJSAMAND</t>
        </is>
      </c>
      <c r="D1902" t="inlineStr">
        <is>
          <t>19-May-2025 06:00 PM</t>
        </is>
      </c>
      <c r="E1902" t="inlineStr">
        <is>
          <t>10,00,000</t>
        </is>
      </c>
      <c r="F1902" t="inlineStr">
        <is>
          <t>PIPLIYA BHEEL BASTI ME CHAR DIWARI V BHARAV KARY GRAM PANCHAYAT AATMA</t>
        </is>
      </c>
      <c r="G1902" t="inlineStr">
        <is>
          <t>GRAM PANCHAYAT AATMA</t>
        </is>
      </c>
    </row>
    <row r="1903">
      <c r="A1903" s="1" t="n">
        <v>1901</v>
      </c>
      <c r="B1903">
        <f>HYPERLINK("https://eproc.rajasthan.gov.in/nicgep/app?component=%24DirectLink&amp;page=FrontEndViewTender&amp;service=direct&amp;session=T&amp;sp=SspztRsvSXPsYpuLn9qSrMw%3D%3D", "Garbage collection, separation, road and drain cleaning and community sanitation, campus cleaning work GP HAMIRPUR PS TODARAISINGH")</f>
        <v/>
      </c>
      <c r="C1903" t="inlineStr">
        <is>
          <t>Panchayati Raj Department||Secretary and Commissioner||CEO-TONK||BDO-TODARAISINGH</t>
        </is>
      </c>
      <c r="D1903" t="inlineStr">
        <is>
          <t>19-May-2025 06:00 PM</t>
        </is>
      </c>
      <c r="E1903" t="inlineStr">
        <is>
          <t>17,38,000</t>
        </is>
      </c>
      <c r="F1903" t="inlineStr">
        <is>
          <t>Garbage collection, separation, road and drain cleaning and community sanitation, campus cleaning work GP HAMIRPUR PS TODARAISINGH</t>
        </is>
      </c>
      <c r="G1903" t="inlineStr">
        <is>
          <t>GP HAMIRPUR</t>
        </is>
      </c>
    </row>
    <row r="1904">
      <c r="A1904" s="1" t="n">
        <v>1902</v>
      </c>
      <c r="B1904">
        <f>HYPERLINK("https://eproc.rajasthan.gov.in/nicgep/app?component=%24DirectLink&amp;page=FrontEndViewTender&amp;service=direct&amp;session=T&amp;sp=SUTCui6DOWx8Q7Ar2D3LQqQ%3D%3D", "GRAM PANCHAYAT PAWANA AHIR ME FY 2025-26 KE LIYE NAREGA YOJNA ME NIRMAN SAMGRI SUPPLY HETU RATE CONTRACT")</f>
        <v/>
      </c>
      <c r="C1904" t="inlineStr">
        <is>
          <t>Panchayati Raj Department||Secretary and Commissioner||CEO- JAIPUR||BDO-KOTPUTALI</t>
        </is>
      </c>
      <c r="D1904" t="inlineStr">
        <is>
          <t>23-May-2025 11:00 AM</t>
        </is>
      </c>
      <c r="E1904" t="inlineStr">
        <is>
          <t>30,00,000</t>
        </is>
      </c>
      <c r="F1904" t="inlineStr">
        <is>
          <t>GRAM PANCHAYAT PAWANA AHIR ME FY 2025-26 KE LIYE NAREGA YOJNA ME NIRMAN SAMGRI SUPPLY HETU RATE CONTRACT</t>
        </is>
      </c>
      <c r="G1904" t="inlineStr">
        <is>
          <t>PAWANA AHIR</t>
        </is>
      </c>
    </row>
    <row r="1905">
      <c r="A1905" s="1" t="n">
        <v>1903</v>
      </c>
      <c r="B1905">
        <f>HYPERLINK("https://eproc.rajasthan.gov.in/nicgep/app?component=%24DirectLink&amp;page=FrontEndViewTender&amp;service=direct&amp;session=T&amp;sp=S%2ByFR%2BeksuiorlwVdxAacXA%3D%3D", "gram panchayat ke samast kshetr me ghar ghar (residential and commercial) kachra sangrahan, parthkaran road and nali safai and samudayik sawchtha parisar ki safai and mart pashu nistaran shit kary gram panchyat MALIKPUR")</f>
        <v/>
      </c>
      <c r="C1905" t="inlineStr">
        <is>
          <t>Panchayati Raj Department||Secretary and Commissioner||CEO-TONK||BDO-MALPURA</t>
        </is>
      </c>
      <c r="D1905" t="inlineStr">
        <is>
          <t>22-May-2025 06:00 PM</t>
        </is>
      </c>
      <c r="E1905" t="inlineStr">
        <is>
          <t>16,93,000</t>
        </is>
      </c>
      <c r="F1905" t="inlineStr">
        <is>
          <t>gram panchayat ke samast kshetr me ghar ghar (residential and commercial) kachra sangrahan, parthkaran road and nali safai and samudayik sawchtha parisar ki safai and mart pashu nistaran shit kary gram panchayat</t>
        </is>
      </c>
      <c r="G1905" t="inlineStr">
        <is>
          <t>MALIKPUR</t>
        </is>
      </c>
    </row>
    <row r="1906">
      <c r="A1906" s="1" t="n">
        <v>1904</v>
      </c>
      <c r="B1906">
        <f>HYPERLINK("https://eproc.rajasthan.gov.in/nicgep/app?component=%24DirectLink&amp;page=FrontEndViewTender&amp;service=direct&amp;session=T&amp;sp=SQy4QpV1yMGRvoWCshJQmmA%3D%3D", "GRAM PANCHAYAT RAIKARANPURA ME FY 2025-26 KE LIYE NAREGA YOJNA ME NIRMAN SAMGRI SUPPLY HETU RATE CONTRACT")</f>
        <v/>
      </c>
      <c r="C1906" t="inlineStr">
        <is>
          <t>Panchayati Raj Department||Secretary and Commissioner||CEO- JAIPUR||BDO-KOTPUTALI</t>
        </is>
      </c>
      <c r="D1906" t="inlineStr">
        <is>
          <t>23-May-2025 11:00 AM</t>
        </is>
      </c>
      <c r="E1906" t="inlineStr">
        <is>
          <t>30,00,000</t>
        </is>
      </c>
      <c r="F1906" t="inlineStr">
        <is>
          <t>GRAM PANCHAYAT RAIKARANPURA ME FY 2025-26 KE LIYE NAREGA YOJNA ME NIRMAN SAMGRI SUPPLY HETU RATE CONTRACT</t>
        </is>
      </c>
      <c r="G1906" t="inlineStr">
        <is>
          <t>RAIKARANPURA</t>
        </is>
      </c>
    </row>
    <row r="1907">
      <c r="A1907" s="1" t="n">
        <v>1905</v>
      </c>
      <c r="B1907">
        <f>HYPERLINK("https://eproc.rajasthan.gov.in/nicgep/app?component=%24DirectLink&amp;page=FrontEndViewTender&amp;service=direct&amp;session=T&amp;sp=S9uJrsPPcMjb5rE8V5OBiOA%3D%3D", "Garbage collection, separation, road and drain cleaning and community sanitation, campus cleaning work GP LAMBAKALAN PS TODARAISINGH")</f>
        <v/>
      </c>
      <c r="C1907" t="inlineStr">
        <is>
          <t>Panchayati Raj Department||Secretary and Commissioner||CEO-TONK||BDO-TODARAISINGH</t>
        </is>
      </c>
      <c r="D1907" t="inlineStr">
        <is>
          <t>19-May-2025 06:00 PM</t>
        </is>
      </c>
      <c r="E1907" t="inlineStr">
        <is>
          <t>18,27,000</t>
        </is>
      </c>
      <c r="F1907" t="inlineStr">
        <is>
          <t>Garbage collection, separation, road and drain cleaning and community sanitation, campus cleaning work GP LAMBAKALAN PS TODARAISINGH</t>
        </is>
      </c>
      <c r="G1907" t="inlineStr">
        <is>
          <t>GP LAMBAKALAN</t>
        </is>
      </c>
    </row>
    <row r="1908">
      <c r="A1908" s="1" t="n">
        <v>1906</v>
      </c>
      <c r="B1908">
        <f>HYPERLINK("https://eproc.rajasthan.gov.in/nicgep/app?component=%24DirectLink&amp;page=FrontEndViewTender&amp;service=direct&amp;session=T&amp;sp=Slbq60vWPHmEgYGUUBcPKbw%3D%3D", "Garbage collection, separation, road and drain cleaning and community sanitation, campus cleaning work GP INDOKIYA PS TODARAISINGH")</f>
        <v/>
      </c>
      <c r="C1908" t="inlineStr">
        <is>
          <t>Panchayati Raj Department||Secretary and Commissioner||CEO-TONK||BDO-TODARAISINGH</t>
        </is>
      </c>
      <c r="D1908" t="inlineStr">
        <is>
          <t>19-May-2025 06:00 PM</t>
        </is>
      </c>
      <c r="E1908" t="inlineStr">
        <is>
          <t>14,03,000</t>
        </is>
      </c>
      <c r="F1908" t="inlineStr">
        <is>
          <t>Garbage collection, separation, road and drain cleaning and community sanitation, campus cleaning work GP INDOKIYA PS TODARAISINGH</t>
        </is>
      </c>
      <c r="G1908" t="inlineStr">
        <is>
          <t>GP INDOKIYA</t>
        </is>
      </c>
    </row>
    <row r="1909">
      <c r="A1909" s="1" t="n">
        <v>1907</v>
      </c>
      <c r="B1909">
        <f>HYPERLINK("https://eproc.rajasthan.gov.in/nicgep/app?component=%24DirectLink&amp;page=FrontEndViewTender&amp;service=direct&amp;session=T&amp;sp=SWXZWSSpFKrgF7oODMuUR7Q%3D%3D", "Garbage collection, separation, road and drain cleaning and community sanitation, campus cleaning work GP MANDOLAI PS TODARAISINGH")</f>
        <v/>
      </c>
      <c r="C1909" t="inlineStr">
        <is>
          <t>Panchayati Raj Department||Secretary and Commissioner||CEO-TONK||BDO-TODARAISINGH</t>
        </is>
      </c>
      <c r="D1909" t="inlineStr">
        <is>
          <t>19-May-2025 06:00 PM</t>
        </is>
      </c>
      <c r="E1909" t="inlineStr">
        <is>
          <t>11,32,000</t>
        </is>
      </c>
      <c r="F1909" t="inlineStr">
        <is>
          <t>Garbage collection, separation, road and drain cleaning and community sanitation, campus cleaning work GP MANDOLAI PS TODARAISINGH</t>
        </is>
      </c>
      <c r="G1909" t="inlineStr">
        <is>
          <t>GP MANDOLAI</t>
        </is>
      </c>
    </row>
    <row r="1910">
      <c r="A1910" s="1" t="n">
        <v>1908</v>
      </c>
      <c r="B1910">
        <f>HYPERLINK("https://eproc.rajasthan.gov.in/nicgep/app?component=%24DirectLink&amp;page=FrontEndViewTender&amp;service=direct&amp;session=T&amp;sp=S1iGM0Z1v1aCKtFGdkA2prw%3D%3D", "GRAM PANCHAYAT BAHLOLNAGAR MATERIAL TENDER")</f>
        <v/>
      </c>
      <c r="C1910" t="inlineStr">
        <is>
          <t>Panchayati Raj Department||Secretary and Commissioner||CEO- HANUMANGARH||BDO-HANUMANGARH</t>
        </is>
      </c>
      <c r="D1910" t="inlineStr">
        <is>
          <t>22-May-2025 06:00 PM</t>
        </is>
      </c>
      <c r="E1910" t="inlineStr">
        <is>
          <t>48,00,000</t>
        </is>
      </c>
      <c r="F1910" t="inlineStr">
        <is>
          <t>GRAM PANCHAYAT BAHLOLNAGAR MATERIAL TENDER</t>
        </is>
      </c>
      <c r="G1910" t="inlineStr">
        <is>
          <t>GRAM PANCHAYAT BAHLOLNAGAR</t>
        </is>
      </c>
    </row>
    <row r="1911">
      <c r="A1911" s="1" t="n">
        <v>1909</v>
      </c>
      <c r="B1911">
        <f>HYPERLINK("https://eproc.rajasthan.gov.in/nicgep/app?component=%24DirectLink&amp;page=FrontEndViewTender&amp;service=direct&amp;session=T&amp;sp=SaGDoGFuC2nXw8DdCRDy97Q%3D%3D", "Garbage collection, separation, road and drain cleaning and community sanitation, campus cleaning work GP BASSI PS TODARAISINGH")</f>
        <v/>
      </c>
      <c r="C1911" t="inlineStr">
        <is>
          <t>Panchayati Raj Department||Secretary and Commissioner||CEO-TONK||BDO-TODARAISINGH</t>
        </is>
      </c>
      <c r="D1911" t="inlineStr">
        <is>
          <t>19-May-2025 06:00 PM</t>
        </is>
      </c>
      <c r="E1911" t="inlineStr">
        <is>
          <t>9,11,000</t>
        </is>
      </c>
      <c r="F1911" t="inlineStr">
        <is>
          <t>Garbage collection, separation, road and drain cleaning and community sanitation, campus cleaning work GP BASSI PS TODARAISINGH</t>
        </is>
      </c>
      <c r="G1911" t="inlineStr">
        <is>
          <t>GP BASSI</t>
        </is>
      </c>
    </row>
    <row r="1912">
      <c r="A1912" s="1" t="n">
        <v>1910</v>
      </c>
      <c r="B1912">
        <f>HYPERLINK("https://eproc.rajasthan.gov.in/nicgep/app?component=%24DirectLink&amp;page=FrontEndViewTender&amp;service=direct&amp;session=T&amp;sp=SWu3qDyP3N5rgXAh9GfElIA%3D%3D", "gram panchayat ke samast kshetr me ghar ghar (residential and commercial) kachra sangrahan, parthkaran road and nali safai and samudayik sawchtha parisar ki safai and mart pashu nistaran shit kary gram panchyat kalmanda")</f>
        <v/>
      </c>
      <c r="C1912" t="inlineStr">
        <is>
          <t>Panchayati Raj Department||Secretary and Commissioner||CEO-TONK||BDO-MALPURA</t>
        </is>
      </c>
      <c r="D1912" t="inlineStr">
        <is>
          <t>22-May-2025 06:00 PM</t>
        </is>
      </c>
      <c r="E1912" t="inlineStr">
        <is>
          <t>22,89,000</t>
        </is>
      </c>
      <c r="F1912" t="inlineStr">
        <is>
          <t>gram panchayat ke samast kshetr me ghar ghar (residential and commercial) kachra sangrahan, parthkaran road and nali safai and samudayik sawchtha parisar ki safai and mart pashu nistaran shit kary gram panchayat</t>
        </is>
      </c>
      <c r="G1912" t="inlineStr">
        <is>
          <t>kalmanda</t>
        </is>
      </c>
    </row>
    <row r="1913">
      <c r="A1913" s="1" t="n">
        <v>1911</v>
      </c>
      <c r="B1913">
        <f>HYPERLINK("https://eproc.rajasthan.gov.in/nicgep/app?component=%24DirectLink&amp;page=FrontEndViewTender&amp;service=direct&amp;session=T&amp;sp=Shpl%2FcLbCZ%2FwJtVFp0q9DFQ%3D%3D", "GRAM PANCHAYAT SHUKALAWAS ME FY 2025-26 KE LIYE NAREGA YOJNA ME NIRMAN SAMGRI SUPPLY HETU RATE CONTRACT")</f>
        <v/>
      </c>
      <c r="C1913" t="inlineStr">
        <is>
          <t>Panchayati Raj Department||Secretary and Commissioner||CEO- JAIPUR||BDO-KOTPUTALI</t>
        </is>
      </c>
      <c r="D1913" t="inlineStr">
        <is>
          <t>23-May-2025 11:00 AM</t>
        </is>
      </c>
      <c r="E1913" t="inlineStr">
        <is>
          <t>30,00,000</t>
        </is>
      </c>
      <c r="F1913" t="inlineStr">
        <is>
          <t>GRAM PANCHAYAT SHUKALAWAS ME FY 2025-26 KE LIYE NAREGA YOJNA ME NIRMAN SAMGRI SUPPLY HETU RATE CONTRACT</t>
        </is>
      </c>
      <c r="G1913" t="inlineStr">
        <is>
          <t>SHUKALAWAS</t>
        </is>
      </c>
    </row>
    <row r="1914">
      <c r="A1914" s="1" t="n">
        <v>1912</v>
      </c>
      <c r="B1914">
        <f>HYPERLINK("https://eproc.rajasthan.gov.in/nicgep/app?component=%24DirectLink&amp;page=FrontEndViewTender&amp;service=direct&amp;session=T&amp;sp=SHrkPAFYnjXunUvgNRUq1bA%3D%3D", "gram panchayat ke samast kshetr me ghar ghar (residential and commercial) kachra sangrahan, parthkaran road and nali safai and samudayik sawchtha parisar ki safai and mart pashu nistaran shit kary gram panchyat RAJPURA")</f>
        <v/>
      </c>
      <c r="C1914" t="inlineStr">
        <is>
          <t>Panchayati Raj Department||Secretary and Commissioner||CEO-TONK||BDO-MALPURA</t>
        </is>
      </c>
      <c r="D1914" t="inlineStr">
        <is>
          <t>22-May-2025 06:00 PM</t>
        </is>
      </c>
      <c r="E1914" t="inlineStr">
        <is>
          <t>10,23,000</t>
        </is>
      </c>
      <c r="F1914" t="inlineStr">
        <is>
          <t>gram panchayat ke samast kshetr me ghar ghar (residential and commercial) kachra sangrahan, parthkaran road and nali safai and samudayik sawchtha parisar ki safai and mart pashu nistaran shit kary gram panchayat</t>
        </is>
      </c>
      <c r="G1914" t="inlineStr">
        <is>
          <t>RAJPURA</t>
        </is>
      </c>
    </row>
    <row r="1915">
      <c r="A1915" s="1" t="n">
        <v>1913</v>
      </c>
      <c r="B1915">
        <f>HYPERLINK("https://eproc.rajasthan.gov.in/nicgep/app?component=%24DirectLink&amp;page=FrontEndViewTender&amp;service=direct&amp;session=T&amp;sp=SqKla5DoCdcyTTtYUawQxAw%3D%3D", "gram panchayat ke samast kshetr me ghar ghar (residential and commercial) kachra sangrahan, parthkaran road and nali safai and samudayik sawchtha parisar ki safai and mart pashu nistaran shit kary gram panchyat morla")</f>
        <v/>
      </c>
      <c r="C1915" t="inlineStr">
        <is>
          <t>Panchayati Raj Department||Secretary and Commissioner||CEO-TONK||BDO-MALPURA</t>
        </is>
      </c>
      <c r="D1915" t="inlineStr">
        <is>
          <t>22-May-2025 06:00 PM</t>
        </is>
      </c>
      <c r="E1915" t="inlineStr">
        <is>
          <t>16,53,000</t>
        </is>
      </c>
      <c r="F1915" t="inlineStr">
        <is>
          <t>gram panchayat ke samast kshetr me ghar ghar (residential and commercial) kachra sangrahan, parthkaran road and nali safai and samudayik sawchtha parisar ki safai and mart pashu nistaran shit kary gram panchayat</t>
        </is>
      </c>
      <c r="G1915" t="inlineStr">
        <is>
          <t>morla</t>
        </is>
      </c>
    </row>
    <row r="1916">
      <c r="A1916" s="1" t="n">
        <v>1914</v>
      </c>
      <c r="B1916">
        <f>HYPERLINK("https://eproc.rajasthan.gov.in/nicgep/app?component=%24DirectLink&amp;page=FrontEndViewTender&amp;service=direct&amp;session=T&amp;sp=SfCjLA7GsoS390LEWEMHOFg%3D%3D", "Garbage collection, separation, road and drain cleaning and community sanitation, campus cleaning work GP MEHRU PS TODARAISINGH")</f>
        <v/>
      </c>
      <c r="C1916" t="inlineStr">
        <is>
          <t>Panchayati Raj Department||Secretary and Commissioner||CEO-TONK||BDO-TODARAISINGH</t>
        </is>
      </c>
      <c r="D1916" t="inlineStr">
        <is>
          <t>19-May-2025 06:00 PM</t>
        </is>
      </c>
      <c r="E1916" t="inlineStr">
        <is>
          <t>12,92,000</t>
        </is>
      </c>
      <c r="F1916" t="inlineStr">
        <is>
          <t>Garbage collection, separation, road and drain cleaning and community sanitation, campus cleaning work GP MEHRU PS TODARAISINGH</t>
        </is>
      </c>
      <c r="G1916" t="inlineStr">
        <is>
          <t>GP MEHRU</t>
        </is>
      </c>
    </row>
    <row r="1917">
      <c r="A1917" s="1" t="n">
        <v>1915</v>
      </c>
      <c r="B1917">
        <f>HYPERLINK("https://eproc.rajasthan.gov.in/nicgep/app?component=%24DirectLink&amp;page=FrontEndViewTender&amp;service=direct&amp;session=T&amp;sp=S%2FyxCvX72Jf5yRFxQFRZnvQ%3D%3D", "Garbage collection, separation, road and drain cleaning and community sanitation, campus cleaning work GP GOPALPURA PS TODARAISINGH")</f>
        <v/>
      </c>
      <c r="C1917" t="inlineStr">
        <is>
          <t>Panchayati Raj Department||Secretary and Commissioner||CEO-TONK||BDO-TODARAISINGH</t>
        </is>
      </c>
      <c r="D1917" t="inlineStr">
        <is>
          <t>19-May-2025 06:00 PM</t>
        </is>
      </c>
      <c r="E1917" t="inlineStr">
        <is>
          <t>12,22,000</t>
        </is>
      </c>
      <c r="F1917" t="inlineStr">
        <is>
          <t>Garbage collection, separation, road and drain cleaning and community sanitation, campus cleaning work GP GOPALPURA PS TODARAISINGH</t>
        </is>
      </c>
      <c r="G1917" t="inlineStr">
        <is>
          <t>GP GOPALPURA</t>
        </is>
      </c>
    </row>
    <row r="1918">
      <c r="A1918" s="1" t="n">
        <v>1916</v>
      </c>
      <c r="B1918">
        <f>HYPERLINK("https://eproc.rajasthan.gov.in/nicgep/app?component=%24DirectLink&amp;page=FrontEndViewTender&amp;service=direct&amp;session=T&amp;sp=S0qU4WJXk3fHwv61eFZTsWg%3D%3D", "gram panchayat ke samast kshetr me ghar ghar (residential and commercial) kachra sangrahan, parthkaran road and nali safai and samudayik sawchtha parisar ki safai and mart pashu nistaran shit kary gram panchyat PARLI")</f>
        <v/>
      </c>
      <c r="C1918" t="inlineStr">
        <is>
          <t>Panchayati Raj Department||Secretary and Commissioner||CEO-TONK||BDO-MALPURA</t>
        </is>
      </c>
      <c r="D1918" t="inlineStr">
        <is>
          <t>22-May-2025 06:00 PM</t>
        </is>
      </c>
      <c r="E1918" t="inlineStr">
        <is>
          <t>22,45,000</t>
        </is>
      </c>
      <c r="F1918" t="inlineStr">
        <is>
          <t>gram panchayat ke samast kshetr me ghar ghar (residential and commercial) kachra sangrahan, parthkaran road and nali safai and samudayik sawchtha parisar ki safai and mart pashu nistaran shit kary gram panchayat</t>
        </is>
      </c>
      <c r="G1918" t="inlineStr">
        <is>
          <t>PARLI</t>
        </is>
      </c>
    </row>
    <row r="1919">
      <c r="A1919" s="1" t="n">
        <v>1917</v>
      </c>
      <c r="B1919">
        <f>HYPERLINK("https://eproc.rajasthan.gov.in/nicgep/app?component=%24DirectLink&amp;page=FrontEndViewTender&amp;service=direct&amp;session=T&amp;sp=SoqF%2BWSitHGlVg296eYBSQQ%3D%3D", "Garbage collection, separation, road and drain cleaning and community sanitation, campus cleaning work GP GANETI PS TODARAISINGH")</f>
        <v/>
      </c>
      <c r="C1919" t="inlineStr">
        <is>
          <t>Panchayati Raj Department||Secretary and Commissioner||CEO-TONK||BDO-TODARAISINGH</t>
        </is>
      </c>
      <c r="D1919" t="inlineStr">
        <is>
          <t>19-May-2025 06:00 PM</t>
        </is>
      </c>
      <c r="E1919" t="inlineStr">
        <is>
          <t>16,15,000</t>
        </is>
      </c>
      <c r="F1919" t="inlineStr">
        <is>
          <t>Garbage collection, separation, road and drain cleaning and community sanitation, campus cleaning work GP GANETI PS TODARAISINGH</t>
        </is>
      </c>
      <c r="G1919" t="inlineStr">
        <is>
          <t>GP GANETI</t>
        </is>
      </c>
    </row>
    <row r="1920">
      <c r="A1920" s="1" t="n">
        <v>1918</v>
      </c>
      <c r="B1920">
        <f>HYPERLINK("https://eproc.rajasthan.gov.in/nicgep/app?component=%24DirectLink&amp;page=FrontEndViewTender&amp;service=direct&amp;session=T&amp;sp=SuE%2BrqRbeEIrML%2F16wWm0Dg%3D%3D", "Garbage collection, separation, road and drain cleaning and community sanitation, campus cleaning work GP BAWDI PS TODARAISINGH")</f>
        <v/>
      </c>
      <c r="C1920" t="inlineStr">
        <is>
          <t>Panchayati Raj Department||Secretary and Commissioner||CEO-TONK||BDO-TODARAISINGH</t>
        </is>
      </c>
      <c r="D1920" t="inlineStr">
        <is>
          <t>19-May-2025 06:00 PM</t>
        </is>
      </c>
      <c r="E1920" t="inlineStr">
        <is>
          <t>16,92,000</t>
        </is>
      </c>
      <c r="F1920" t="inlineStr">
        <is>
          <t>Garbage collection, separation, road and drain cleaning and community sanitation, campus cleaning work GP BAWDI PS TODARAISINGH</t>
        </is>
      </c>
      <c r="G1920" t="inlineStr">
        <is>
          <t>GP BAWDI</t>
        </is>
      </c>
    </row>
    <row r="1921">
      <c r="A1921" s="1" t="n">
        <v>1919</v>
      </c>
      <c r="B1921">
        <f>HYPERLINK("https://eproc.rajasthan.gov.in/nicgep/app?component=%24DirectLink&amp;page=FrontEndViewTender&amp;service=direct&amp;session=T&amp;sp=S%2FWbZPAzSy4CSW57r1sE7RQ%3D%3D", "Garbage collection, separation, road and drain cleaning and community sanitation, campus cleaning work GP BOTUNDA PS TODARAISINGH")</f>
        <v/>
      </c>
      <c r="C1921" t="inlineStr">
        <is>
          <t>Panchayati Raj Department||Secretary and Commissioner||CEO-TONK||BDO-TODARAISINGH</t>
        </is>
      </c>
      <c r="D1921" t="inlineStr">
        <is>
          <t>19-May-2025 06:00 PM</t>
        </is>
      </c>
      <c r="E1921" t="inlineStr">
        <is>
          <t>16,51,000</t>
        </is>
      </c>
      <c r="F1921" t="inlineStr">
        <is>
          <t>Garbage collection, separation, road and drain cleaning and community sanitation, campus cleaning work GP BOTUNDA PS TODARAISINGH</t>
        </is>
      </c>
      <c r="G1921" t="inlineStr">
        <is>
          <t>GP BOTUNDA</t>
        </is>
      </c>
    </row>
    <row r="1922">
      <c r="A1922" s="1" t="n">
        <v>1920</v>
      </c>
      <c r="B1922">
        <f>HYPERLINK("https://eproc.rajasthan.gov.in/nicgep/app?component=%24DirectLink&amp;page=FrontEndViewTender&amp;service=direct&amp;session=T&amp;sp=ShC9TbdV7DzO4msG75%2FkGZA%3D%3D", "gram panchayat ke samast kshetr me ghar ghar (residential and commercial) kachra sangrahan, parthkaran road and nali safai and samudayik sawchtha parisar ki safai and mart pashu nistaran shit kary gram panchyat DUNGRIKALA")</f>
        <v/>
      </c>
      <c r="C1922" t="inlineStr">
        <is>
          <t>Panchayati Raj Department||Secretary and Commissioner||CEO-TONK||BDO-MALPURA</t>
        </is>
      </c>
      <c r="D1922" t="inlineStr">
        <is>
          <t>22-May-2025 06:00 PM</t>
        </is>
      </c>
      <c r="E1922" t="inlineStr">
        <is>
          <t>21,39,000</t>
        </is>
      </c>
      <c r="F1922" t="inlineStr">
        <is>
          <t>gram panchayat ke samast kshetr me ghar ghar (residential and commercial) kachra sangrahan, parthkaran road and nali safai and samudayik sawchtha parisar ki safai and mart pashu nistaran shit kary gram panchayat</t>
        </is>
      </c>
      <c r="G1922" t="inlineStr">
        <is>
          <t>DUNGRIKALA</t>
        </is>
      </c>
    </row>
    <row r="1923">
      <c r="A1923" s="1" t="n">
        <v>1921</v>
      </c>
      <c r="B1923">
        <f>HYPERLINK("https://eproc.rajasthan.gov.in/nicgep/app?component=%24DirectLink&amp;page=FrontEndViewTender&amp;service=direct&amp;session=T&amp;sp=Sm2LZHczoOyRdnej2rgYR6Q%3D%3D", "Garbage collection, separation, road and drain cleaning and community sanitation, campus cleaning work GP KUHADABUJURG PS TODARAISINGH")</f>
        <v/>
      </c>
      <c r="C1923" t="inlineStr">
        <is>
          <t>Panchayati Raj Department||Secretary and Commissioner||CEO-TONK||BDO-TODARAISINGH</t>
        </is>
      </c>
      <c r="D1923" t="inlineStr">
        <is>
          <t>19-May-2025 06:00 PM</t>
        </is>
      </c>
      <c r="E1923" t="inlineStr">
        <is>
          <t>12,09,000</t>
        </is>
      </c>
      <c r="F1923" t="inlineStr">
        <is>
          <t>Garbage collection, separation, road and drain cleaning and community sanitation, campus cleaning work GP KUHADABUJURG PS TODARAISINGH</t>
        </is>
      </c>
      <c r="G1923" t="inlineStr">
        <is>
          <t>GP KUHADABUJURG</t>
        </is>
      </c>
    </row>
    <row r="1924">
      <c r="A1924" s="1" t="n">
        <v>1922</v>
      </c>
      <c r="B1924">
        <f>HYPERLINK("https://eproc.rajasthan.gov.in/nicgep/app?component=%24DirectLink&amp;page=FrontEndViewTender&amp;service=direct&amp;session=T&amp;sp=SacF2Rc2KdRZQ2UVR8SEHmw%3D%3D", "gram panchayat ke samast kshetr me ghar ghar (residential and commercial) kachra sangrahan, parthkaran road and nali safai and samudayik sawchtha parisar ki safai and mart pashu nistaran shit kary gram panchyat CHAINPURA")</f>
        <v/>
      </c>
      <c r="C1924" t="inlineStr">
        <is>
          <t>Panchayati Raj Department||Secretary and Commissioner||CEO-TONK||BDO-MALPURA</t>
        </is>
      </c>
      <c r="D1924" t="inlineStr">
        <is>
          <t>22-May-2025 06:00 PM</t>
        </is>
      </c>
      <c r="E1924" t="inlineStr">
        <is>
          <t>20,99,000</t>
        </is>
      </c>
      <c r="F1924" t="inlineStr">
        <is>
          <t>gram panchayat ke samast kshetr me ghar ghar (residential and commercial) kachra sangrahan, parthkaran road and nali safai and samudayik sawchtha parisar ki safai and mart pashu nistaran shit kary gram panchayat</t>
        </is>
      </c>
      <c r="G1924" t="inlineStr">
        <is>
          <t>CHAINPURA</t>
        </is>
      </c>
    </row>
    <row r="1925">
      <c r="A1925" s="1" t="n">
        <v>1923</v>
      </c>
      <c r="B1925">
        <f>HYPERLINK("https://eproc.rajasthan.gov.in/nicgep/app?component=%24DirectLink&amp;page=FrontEndViewTender&amp;service=direct&amp;session=T&amp;sp=SDUnOmp1pasz4sibLkb72PA%3D%3D", "Garbage collection, separation, road and drain cleaning and community sanitation, campus cleaning work GP CHANBASSURYA PS TODARAISINGH")</f>
        <v/>
      </c>
      <c r="C1925" t="inlineStr">
        <is>
          <t>Panchayati Raj Department||Secretary and Commissioner||CEO-TONK||BDO-TODARAISINGH</t>
        </is>
      </c>
      <c r="D1925" t="inlineStr">
        <is>
          <t>19-May-2025 06:00 PM</t>
        </is>
      </c>
      <c r="E1925" t="inlineStr">
        <is>
          <t>14,81,000</t>
        </is>
      </c>
      <c r="F1925" t="inlineStr">
        <is>
          <t>Garbage collection, separation, road and drain cleaning and community sanitation, campus cleaning work GP CHANBASSURYA PS TODARAISINGH</t>
        </is>
      </c>
      <c r="G1925" t="inlineStr">
        <is>
          <t>GP CHANBASSURYA</t>
        </is>
      </c>
    </row>
    <row r="1926">
      <c r="A1926" s="1" t="n">
        <v>1924</v>
      </c>
      <c r="B1926">
        <f>HYPERLINK("https://eproc.rajasthan.gov.in/nicgep/app?component=%24DirectLink&amp;page=FrontEndViewTender&amp;service=direct&amp;session=T&amp;sp=SJvs8yakMsI3atvfY%2Fkq2Gw%3D%3D", "GRAM PANCHAYAT KUJOTA ME FY 2025-26 KE LIYE NAREGA YOJNA ME NIRMAN SAMGRI SUPPLY HETU RATE CONTRACT")</f>
        <v/>
      </c>
      <c r="C1926" t="inlineStr">
        <is>
          <t>Panchayati Raj Department||Secretary and Commissioner||CEO- JAIPUR||BDO-KOTPUTALI</t>
        </is>
      </c>
      <c r="D1926" t="inlineStr">
        <is>
          <t>23-May-2025 11:00 AM</t>
        </is>
      </c>
      <c r="E1926" t="inlineStr">
        <is>
          <t>15,00,000</t>
        </is>
      </c>
      <c r="F1926" t="inlineStr">
        <is>
          <t>GRAM PANCHAYAT KUJOTA ME FY 2025-26 KE LIYE NAREGA YOJNA ME NIRMAN SAMGRI SUPPLY HETU RATE CONTRACT</t>
        </is>
      </c>
      <c r="G1926" t="inlineStr">
        <is>
          <t>KUJOTA</t>
        </is>
      </c>
    </row>
    <row r="1927">
      <c r="A1927" s="1" t="n">
        <v>1925</v>
      </c>
      <c r="B1927">
        <f>HYPERLINK("https://eproc.rajasthan.gov.in/nicgep/app?component=%24DirectLink&amp;page=FrontEndViewTender&amp;service=direct&amp;session=T&amp;sp=Sa0njnWnTPk9okYO7haejzA%3D%3D", "Garbage collection, separation, road and drain cleaning and community sanitation, campus cleaning work GP UNIYARAKHURD PS TODARAISINGH")</f>
        <v/>
      </c>
      <c r="C1927" t="inlineStr">
        <is>
          <t>Panchayati Raj Department||Secretary and Commissioner||CEO-TONK||BDO-TODARAISINGH</t>
        </is>
      </c>
      <c r="D1927" t="inlineStr">
        <is>
          <t>19-May-2025 06:00 PM</t>
        </is>
      </c>
      <c r="E1927" t="inlineStr">
        <is>
          <t>15,70,000</t>
        </is>
      </c>
      <c r="F1927" t="inlineStr">
        <is>
          <t>Garbage collection, separation, road and drain cleaning and community sanitation, campus cleaning work GP UNIYARAKHURD PS TODARAISINGH</t>
        </is>
      </c>
      <c r="G1927" t="inlineStr">
        <is>
          <t>GP UNIYARAKHURD</t>
        </is>
      </c>
    </row>
    <row r="1928">
      <c r="A1928" s="1" t="n">
        <v>1926</v>
      </c>
      <c r="B1928">
        <f>HYPERLINK("https://eproc.rajasthan.gov.in/nicgep/app?component=%24DirectLink&amp;page=FrontEndViewTender&amp;service=direct&amp;session=T&amp;sp=Sty75MCt%2BpQZt3PUEBcpVRQ%3D%3D", "Garbage collection, separation, road and drain cleaning and community sanitation, campus cleaning work GP DATTOB PS TODARAISINGH")</f>
        <v/>
      </c>
      <c r="C1928" t="inlineStr">
        <is>
          <t>Panchayati Raj Department||Secretary and Commissioner||CEO-TONK||BDO-TODARAISINGH</t>
        </is>
      </c>
      <c r="D1928" t="inlineStr">
        <is>
          <t>19-May-2025 06:00 PM</t>
        </is>
      </c>
      <c r="E1928" t="inlineStr">
        <is>
          <t>10,00,000</t>
        </is>
      </c>
      <c r="F1928" t="inlineStr">
        <is>
          <t>Garbage collection, separation, road and drain cleaning and community sanitation, campus cleaning work GP DATTOB PS TODARAISINGH</t>
        </is>
      </c>
      <c r="G1928" t="inlineStr">
        <is>
          <t>GP DATTOB</t>
        </is>
      </c>
    </row>
    <row r="1929">
      <c r="A1929" s="1" t="n">
        <v>1927</v>
      </c>
      <c r="B1929">
        <f>HYPERLINK("https://eproc.rajasthan.gov.in/nicgep/app?component=%24DirectLink&amp;page=FrontEndViewTender&amp;service=direct&amp;session=T&amp;sp=SYY7srxOy6boXJ1E9ogQjeA%3D%3D", "gram panchayat ke samast kshetr me ghar ghar (residential and commercial) kachra sangrahan, parthkaran road and nali safai and samudayik sawchtha parisar ki safai and mart pashu nistaran shit kary gram panchyat SINDHOLIYA")</f>
        <v/>
      </c>
      <c r="C1929" t="inlineStr">
        <is>
          <t>Panchayati Raj Department||Secretary and Commissioner||CEO-TONK||BDO-MALPURA</t>
        </is>
      </c>
      <c r="D1929" t="inlineStr">
        <is>
          <t>22-May-2025 06:00 PM</t>
        </is>
      </c>
      <c r="E1929" t="inlineStr">
        <is>
          <t>13,47,000</t>
        </is>
      </c>
      <c r="F1929" t="inlineStr">
        <is>
          <t>gram panchayat ke samast kshetr me ghar ghar (residential and commercial) kachra sangrahan, parthkaran road and nali safai and samudayik sawchtha parisar ki safai and mart pashu nistaran shit kary gram panchayat</t>
        </is>
      </c>
      <c r="G1929" t="inlineStr">
        <is>
          <t>SINDHOLIYA</t>
        </is>
      </c>
    </row>
    <row r="1930">
      <c r="A1930" s="1" t="n">
        <v>1928</v>
      </c>
      <c r="B1930">
        <f>HYPERLINK("https://eproc.rajasthan.gov.in/nicgep/app?component=%24DirectLink&amp;page=FrontEndViewTender&amp;service=direct&amp;session=T&amp;sp=SW2c1bKofYhO0tsuClBHfKA%3D%3D", "NIRMAN SAMGRI AAPURTI FY 2025-26 JINDOLI")</f>
        <v/>
      </c>
      <c r="C1930" t="inlineStr">
        <is>
          <t>Panchayati Raj Department||Secretary and Commissioner||CEO-ALWAR||BDO-MUNDAWAR</t>
        </is>
      </c>
      <c r="D1930" t="inlineStr">
        <is>
          <t>22-May-2025 06:00 PM</t>
        </is>
      </c>
      <c r="E1930" t="inlineStr">
        <is>
          <t>30,00,000</t>
        </is>
      </c>
      <c r="F1930" t="inlineStr">
        <is>
          <t>NIRMAN SAMGRI AAPURTI FY 2025-26 JINDOLI</t>
        </is>
      </c>
      <c r="G1930" t="inlineStr">
        <is>
          <t>MUNDAWAR</t>
        </is>
      </c>
    </row>
    <row r="1931">
      <c r="A1931" s="1" t="n">
        <v>1929</v>
      </c>
      <c r="B1931">
        <f>HYPERLINK("https://eproc.rajasthan.gov.in/nicgep/app?component=%24DirectLink&amp;page=FrontEndViewTender&amp;service=direct&amp;session=T&amp;sp=S0aF7DHb2pz94oWYUViN4lA%3D%3D", "gram panchayat ke samast kshetr me ghar ghar (residential and commercial) kachra sangrahan, parthkaran road and nali safai and samudayik sawchtha parisar ki safai and mart pashu nistaran shit kary gram panchyat NAGAR")</f>
        <v/>
      </c>
      <c r="C1931" t="inlineStr">
        <is>
          <t>Panchayati Raj Department||Secretary and Commissioner||CEO-TONK||BDO-MALPURA</t>
        </is>
      </c>
      <c r="D1931" t="inlineStr">
        <is>
          <t>22-May-2025 06:00 PM</t>
        </is>
      </c>
      <c r="E1931" t="inlineStr">
        <is>
          <t>24,72,064</t>
        </is>
      </c>
      <c r="F1931" t="inlineStr">
        <is>
          <t>gram panchayat ke samast kshetr me ghar ghar (residential and commercial) kachra sangrahan, parthkaran road and nali safai and samudayik sawchtha parisar ki safai and mart pashu nistaran shit kary gram panchayat</t>
        </is>
      </c>
      <c r="G1931" t="inlineStr">
        <is>
          <t>NAGAR</t>
        </is>
      </c>
    </row>
    <row r="1932">
      <c r="A1932" s="1" t="n">
        <v>1930</v>
      </c>
      <c r="B1932">
        <f>HYPERLINK("https://eproc.rajasthan.gov.in/nicgep/app?component=%24DirectLink&amp;page=FrontEndViewTender&amp;service=direct&amp;session=T&amp;sp=SCbpTJzxiD2wsGELvPBkeGw%3D%3D", "Garbage collection, separation, road and drain cleaning and community sanitation, campus cleaning work GP ALIYARI PS TODARAISINGH")</f>
        <v/>
      </c>
      <c r="C1932" t="inlineStr">
        <is>
          <t>Panchayati Raj Department||Secretary and Commissioner||CEO-TONK||BDO-TODARAISINGH</t>
        </is>
      </c>
      <c r="D1932" t="inlineStr">
        <is>
          <t>19-May-2025 06:00 PM</t>
        </is>
      </c>
      <c r="E1932" t="inlineStr">
        <is>
          <t>14,55,000</t>
        </is>
      </c>
      <c r="F1932" t="inlineStr">
        <is>
          <t>Garbage collection, separation, road and drain cleaning and community sanitation, campus cleaning work GP ALIYARI PS TODARAISINGH</t>
        </is>
      </c>
      <c r="G1932" t="inlineStr">
        <is>
          <t>GP ALIYARI</t>
        </is>
      </c>
    </row>
    <row r="1933">
      <c r="A1933" s="1" t="n">
        <v>1931</v>
      </c>
      <c r="B1933">
        <f>HYPERLINK("https://eproc.rajasthan.gov.in/nicgep/app?component=%24DirectLink&amp;page=FrontEndViewTender&amp;service=direct&amp;session=T&amp;sp=SACiBSTc8HR0QzqgYF4jw3A%3D%3D", "gram panchayat ke samast kshetr me ghar ghar (residential and commercial) kachra sangrahan, parthkaran road and nali safai and samudayik sawchtha parisar ki safai and mart pashu nistaran shit kary gram panchyat kacholiya")</f>
        <v/>
      </c>
      <c r="C1933" t="inlineStr">
        <is>
          <t>Panchayati Raj Department||Secretary and Commissioner||CEO-TONK||BDO-MALPURA</t>
        </is>
      </c>
      <c r="D1933" t="inlineStr">
        <is>
          <t>22-May-2025 06:00 PM</t>
        </is>
      </c>
      <c r="E1933" t="inlineStr">
        <is>
          <t>20,10,000</t>
        </is>
      </c>
      <c r="F1933" t="inlineStr">
        <is>
          <t>gram panchayat ke samast kshetr me ghar ghar (residential and commercial) kachra sangrahan, parthkaran road and nali safai and samudayik sawchtha parisar ki safai and mart pashu nistaran shit kary gram panchyat</t>
        </is>
      </c>
      <c r="G1933" t="inlineStr">
        <is>
          <t>kacholiya</t>
        </is>
      </c>
    </row>
    <row r="1934">
      <c r="A1934" s="1" t="n">
        <v>1932</v>
      </c>
      <c r="B1934">
        <f>HYPERLINK("https://eproc.rajasthan.gov.in/nicgep/app?component=%24DirectLink&amp;page=FrontEndViewTender&amp;service=direct&amp;session=T&amp;sp=S47wp%2BKpkPRwhe7qi3JT5HA%3D%3D", "gram panchayat ke samast kshetr me ghar ghar (residential and commercial) kachra sangrahan, parthkaran road and nali safai and samudayik sawchtha parisar ki safai and mart pashu nistaran shit kary gram panchyat INDOLI")</f>
        <v/>
      </c>
      <c r="C1934" t="inlineStr">
        <is>
          <t>Panchayati Raj Department||Secretary and Commissioner||CEO-TONK||BDO-MALPURA</t>
        </is>
      </c>
      <c r="D1934" t="inlineStr">
        <is>
          <t>22-May-2025 06:00 PM</t>
        </is>
      </c>
      <c r="E1934" t="inlineStr">
        <is>
          <t>23,26,000</t>
        </is>
      </c>
      <c r="F1934" t="inlineStr">
        <is>
          <t>gram panchayat ke samast kshetr me ghar ghar (residential and commercial) kachra sangrahan, parthkaran road and nali safai and samudayik sawchtha parisar ki safai and mart pashu nistaran shit kary gram panchayat</t>
        </is>
      </c>
      <c r="G1934" t="inlineStr">
        <is>
          <t>INDOLI</t>
        </is>
      </c>
    </row>
    <row r="1935">
      <c r="A1935" s="1" t="n">
        <v>1933</v>
      </c>
      <c r="B1935">
        <f>HYPERLINK("https://eproc.rajasthan.gov.in/nicgep/app?component=%24DirectLink&amp;page=FrontEndViewTender&amp;service=direct&amp;session=T&amp;sp=SHeHr%2FpkHqRob1VPkaxI0sg%3D%3D", "gram panchayat ke samast kshetr me ghar ghar (residential and commercial) kachra sangrahan, parthkaran road and nali safai and samudayik sawchtha parisar ki safai and mart pashu nistaran shit kary gram panchyat KIRAWAL")</f>
        <v/>
      </c>
      <c r="C1935" t="inlineStr">
        <is>
          <t>Panchayati Raj Department||Secretary and Commissioner||CEO-TONK||BDO-MALPURA</t>
        </is>
      </c>
      <c r="D1935" t="inlineStr">
        <is>
          <t>22-May-2025 06:00 PM</t>
        </is>
      </c>
      <c r="E1935" t="inlineStr">
        <is>
          <t>15,15,000</t>
        </is>
      </c>
      <c r="F1935" t="inlineStr">
        <is>
          <t>gram panchayat ke samast kshetr me ghar ghar (residential and commercial) kachra sangrahan, parthkaran road and nali safai and samudayik sawchtha parisar ki safai and mart pashu nistaran shit kary gram panchayat</t>
        </is>
      </c>
      <c r="G1935" t="inlineStr">
        <is>
          <t>KIRAWAL</t>
        </is>
      </c>
    </row>
    <row r="1936">
      <c r="A1936" s="1" t="n">
        <v>1934</v>
      </c>
      <c r="B1936">
        <f>HYPERLINK("https://eproc.rajasthan.gov.in/nicgep/app?component=%24DirectLink&amp;page=FrontEndViewTender&amp;service=direct&amp;session=T&amp;sp=S4a0KwltMO8LRA6IOkdRO%2Fg%3D%3D", "GP GOLARI MATERIAL SUPPLY UNDER PS SARMATHURA")</f>
        <v/>
      </c>
      <c r="C1936" t="inlineStr">
        <is>
          <t>Panchayati Raj Department||Secretary and Commissioner||CEO-DHOLPUR||BDO-SARMATHURA</t>
        </is>
      </c>
      <c r="D1936" t="inlineStr">
        <is>
          <t>22-May-2025 06:00 PM</t>
        </is>
      </c>
      <c r="E1936" t="inlineStr">
        <is>
          <t>50,00,000</t>
        </is>
      </c>
      <c r="F1936" t="inlineStr">
        <is>
          <t>GP GOLARI MATERIAL SUPPLY UNDER PS SARMATHURA</t>
        </is>
      </c>
      <c r="G1936" t="inlineStr">
        <is>
          <t>GP GOLARI</t>
        </is>
      </c>
    </row>
    <row r="1937">
      <c r="A1937" s="1" t="n">
        <v>1935</v>
      </c>
      <c r="B1937">
        <f>HYPERLINK("https://eproc.rajasthan.gov.in/nicgep/app?component=%24DirectLink&amp;page=FrontEndViewTender&amp;service=direct&amp;session=T&amp;sp=Sonj%2FPv8%2BNtl9sK4MY%2B0PZQ%3D%3D", "Cleaning and Sanitary Services in Gram Panchayat GP Khudala PS Payala Kala")</f>
        <v/>
      </c>
      <c r="C1937" t="inlineStr">
        <is>
          <t>Panchayati Raj Department||Secretary and Commissioner||CEO-BADMER</t>
        </is>
      </c>
      <c r="D1937" t="inlineStr">
        <is>
          <t>24-May-2025 05:00 PM</t>
        </is>
      </c>
      <c r="E1937" t="inlineStr">
        <is>
          <t>8,32,005</t>
        </is>
      </c>
      <c r="F1937" t="inlineStr">
        <is>
          <t>Cleaning and Sanitary Services in Gram Panchayat GP Khudala PS Payala Kala</t>
        </is>
      </c>
      <c r="G1937" t="inlineStr">
        <is>
          <t>GP Khudala</t>
        </is>
      </c>
    </row>
    <row r="1938">
      <c r="A1938" s="1" t="n">
        <v>1936</v>
      </c>
      <c r="B1938">
        <f>HYPERLINK("https://eproc.rajasthan.gov.in/nicgep/app?component=%24DirectLink&amp;page=FrontEndViewTender&amp;service=direct&amp;session=T&amp;sp=SNsH46SSvWAUHSO7LFkHyRQ%3D%3D", "Cleaning and Sanitary Services in Gram Panchayat GP Nai Undari PS Payala Kala")</f>
        <v/>
      </c>
      <c r="C1938" t="inlineStr">
        <is>
          <t>Panchayati Raj Department||Secretary and Commissioner||CEO-BADMER</t>
        </is>
      </c>
      <c r="D1938" t="inlineStr">
        <is>
          <t>24-May-2025 05:00 PM</t>
        </is>
      </c>
      <c r="E1938" t="inlineStr">
        <is>
          <t>5,90,570</t>
        </is>
      </c>
      <c r="F1938" t="inlineStr">
        <is>
          <t>Cleaning and Sanitary Services in Gram Panchayat GP Nai Undari PS Payala Kala</t>
        </is>
      </c>
      <c r="G1938" t="inlineStr">
        <is>
          <t>GP Nai Undari</t>
        </is>
      </c>
    </row>
    <row r="1939">
      <c r="A1939" s="1" t="n">
        <v>1937</v>
      </c>
      <c r="B1939">
        <f>HYPERLINK("https://eproc.rajasthan.gov.in/nicgep/app?component=%24DirectLink&amp;page=FrontEndViewTender&amp;service=direct&amp;session=T&amp;sp=SmPOXwVBzjzG95L8X%2BvZFwg%3D%3D", "Cleaning and Sanitary Services in Gram Panchayat GP Payala Kala PS Payala Kala")</f>
        <v/>
      </c>
      <c r="C1939" t="inlineStr">
        <is>
          <t>Panchayati Raj Department||Secretary and Commissioner||CEO-BADMER</t>
        </is>
      </c>
      <c r="D1939" t="inlineStr">
        <is>
          <t>24-May-2025 05:00 PM</t>
        </is>
      </c>
      <c r="E1939" t="inlineStr">
        <is>
          <t>18,67,133</t>
        </is>
      </c>
      <c r="F1939" t="inlineStr">
        <is>
          <t>Cleaning and Sanitary Services in Gram Panchayat GP Payala Kala PS Payala Kala</t>
        </is>
      </c>
      <c r="G1939" t="inlineStr">
        <is>
          <t>GP Payala Kala</t>
        </is>
      </c>
    </row>
    <row r="1940">
      <c r="A1940" s="1" t="n">
        <v>1938</v>
      </c>
      <c r="B1940">
        <f>HYPERLINK("https://eproc.rajasthan.gov.in/nicgep/app?component=%24DirectLink&amp;page=FrontEndViewTender&amp;service=direct&amp;session=T&amp;sp=S5NdMYl1vac6Ks9lE4ZKunQ%3D%3D", "NALA NIRMAN KARY SHIV MANDIR SE SCHOOL KI OR PATWARIKABAAS")</f>
        <v/>
      </c>
      <c r="C1940" t="inlineStr">
        <is>
          <t>Panchayati Raj Department||Secretary and Commissioner||CEO-SIKAR||BDO-SRI MADHOPUR</t>
        </is>
      </c>
      <c r="D1940" t="inlineStr">
        <is>
          <t>20-May-2025 11:00 AM</t>
        </is>
      </c>
      <c r="E1940" t="inlineStr">
        <is>
          <t>10,00,000</t>
        </is>
      </c>
      <c r="F1940" t="inlineStr">
        <is>
          <t>NALA NIRMAN KARY SHIV MANDIR SE SCHOOL KI OR PATWARIKABAAS</t>
        </is>
      </c>
      <c r="G1940" t="inlineStr">
        <is>
          <t>PATWARI KA BAAS</t>
        </is>
      </c>
    </row>
    <row r="1941">
      <c r="A1941" s="1" t="n">
        <v>1939</v>
      </c>
      <c r="B1941">
        <f>HYPERLINK("https://eproc.rajasthan.gov.in/nicgep/app?component=%24DirectLink&amp;page=FrontEndViewTender&amp;service=direct&amp;session=T&amp;sp=SDe3LKdSfukGi32K9SKr1cQ%3D%3D", "Cleaning and Sanitary Services in Gram Panchayat CHACHARLAI KALLA")</f>
        <v/>
      </c>
      <c r="C1941" t="inlineStr">
        <is>
          <t>Panchayati Raj Department||Secretary and Commissioner||CEO-BADMER||BDO-KALYANPUR</t>
        </is>
      </c>
      <c r="D1941" t="inlineStr">
        <is>
          <t>20-May-2025 05:00 PM</t>
        </is>
      </c>
      <c r="E1941" t="inlineStr">
        <is>
          <t>6,07,350</t>
        </is>
      </c>
      <c r="F1941" t="inlineStr">
        <is>
          <t>Cleaning and Sanitary Services</t>
        </is>
      </c>
      <c r="G1941" t="inlineStr">
        <is>
          <t>GRAM PANCHAYAT CHHACHHARLAI KALLA</t>
        </is>
      </c>
    </row>
    <row r="1942">
      <c r="A1942" s="1" t="n">
        <v>1940</v>
      </c>
      <c r="B1942">
        <f>HYPERLINK("https://eproc.rajasthan.gov.in/nicgep/app?component=%24DirectLink&amp;page=FrontEndViewTender&amp;service=direct&amp;session=T&amp;sp=SXwquLcCFbQLpmS5ElXSZbA%3D%3D", "Cleaning and Sanitary Services in Gram Panchayat GP Sara Jhund PS Payala Kala")</f>
        <v/>
      </c>
      <c r="C1942" t="inlineStr">
        <is>
          <t>Panchayati Raj Department||Secretary and Commissioner||CEO-BADMER</t>
        </is>
      </c>
      <c r="D1942" t="inlineStr">
        <is>
          <t>24-May-2025 05:00 PM</t>
        </is>
      </c>
      <c r="E1942" t="inlineStr">
        <is>
          <t>4,25,699</t>
        </is>
      </c>
      <c r="F1942" t="inlineStr">
        <is>
          <t>Cleaning and Sanitary Services in Gram Panchayat GP Sara Jhund PS Payala Kala</t>
        </is>
      </c>
      <c r="G1942" t="inlineStr">
        <is>
          <t>GP Sara Jhund</t>
        </is>
      </c>
    </row>
    <row r="1943">
      <c r="A1943" s="1" t="n">
        <v>1941</v>
      </c>
      <c r="B1943">
        <f>HYPERLINK("https://eproc.rajasthan.gov.in/nicgep/app?component=%24DirectLink&amp;page=FrontEndViewTender&amp;service=direct&amp;session=T&amp;sp=SoqbTd8mOXeBiTHvv%2FqJ%2B6g%3D%3D", "2025-26 me nirman samgri supply gp gaduwas")</f>
        <v/>
      </c>
      <c r="C1943" t="inlineStr">
        <is>
          <t>Panchayati Raj Department||Secretary and Commissioner||CEO-ALWAR||BDO-MUNDAWAR</t>
        </is>
      </c>
      <c r="D1943" t="inlineStr">
        <is>
          <t>22-May-2025 09:00 AM</t>
        </is>
      </c>
      <c r="E1943" t="inlineStr">
        <is>
          <t>NA</t>
        </is>
      </c>
      <c r="F1943" t="inlineStr">
        <is>
          <t>2025-26 me nirman samgri supply gp gaduwas</t>
        </is>
      </c>
      <c r="G1943" t="inlineStr">
        <is>
          <t>gp gaduwas</t>
        </is>
      </c>
    </row>
    <row r="1944">
      <c r="A1944" s="1" t="n">
        <v>1942</v>
      </c>
      <c r="B1944">
        <f>HYPERLINK("https://eproc.rajasthan.gov.in/nicgep/app?component=%24DirectLink&amp;page=FrontEndViewTender&amp;service=direct&amp;session=T&amp;sp=SqefcReSj1b2DtL6eFkZ%2FiA%3D%3D", "gram panchayat ke samast kshetr me ghar ghar (residential and commercial) kachra sangrahan, parthkaran road and nali safai and samudayik sawchtha parisar ki safai and mart pashu nistaran shit kary gram panchyat KURAD")</f>
        <v/>
      </c>
      <c r="C1944" t="inlineStr">
        <is>
          <t>Panchayati Raj Department||Secretary and Commissioner||CEO-TONK||BDO-MALPURA</t>
        </is>
      </c>
      <c r="D1944" t="inlineStr">
        <is>
          <t>22-May-2025 06:00 PM</t>
        </is>
      </c>
      <c r="E1944" t="inlineStr">
        <is>
          <t>18,65,000</t>
        </is>
      </c>
      <c r="F1944" t="inlineStr">
        <is>
          <t>gram panchayat ke samast kshetr me ghar ghar (residential and commercial) kachra sangrahan, parthkaran road and nali safai and samudayik sawchtha parisar ki safai and mart pashu nistaran shit kary gram panchayat</t>
        </is>
      </c>
      <c r="G1944" t="inlineStr">
        <is>
          <t>KURAD</t>
        </is>
      </c>
    </row>
    <row r="1945">
      <c r="A1945" s="1" t="n">
        <v>1943</v>
      </c>
      <c r="B1945">
        <f>HYPERLINK("https://eproc.rajasthan.gov.in/nicgep/app?component=%24DirectLink&amp;page=FrontEndViewTender&amp;service=direct&amp;session=T&amp;sp=S3D%2FDZJlcqpkllmJbEEZDtg%3D%3D", "gram panchayat ke samast kshetr me ghar ghar (residential and commercial) kachra sangrahan, parthkaran road and nali safai and samudayik sawchtha parisar ki safai and mart pashu nistaran shit kary gram panchyat ANTOLI")</f>
        <v/>
      </c>
      <c r="C1945" t="inlineStr">
        <is>
          <t>Panchayati Raj Department||Secretary and Commissioner||CEO-TONK||BDO-MALPURA</t>
        </is>
      </c>
      <c r="D1945" t="inlineStr">
        <is>
          <t>22-May-2025 06:00 PM</t>
        </is>
      </c>
      <c r="E1945" t="inlineStr">
        <is>
          <t>17,06,000</t>
        </is>
      </c>
      <c r="F1945" t="inlineStr">
        <is>
          <t>gram panchayat ke samast kshetr me ghar ghar (residential and commercial) kachra sangrahan, parthkaran road and nali safai and samudayik sawchtha parisar ki safai and mart pashu nistaran shit kary gram panchayat</t>
        </is>
      </c>
      <c r="G1945" t="inlineStr">
        <is>
          <t>ANTOLI</t>
        </is>
      </c>
    </row>
    <row r="1946">
      <c r="A1946" s="1" t="n">
        <v>1944</v>
      </c>
      <c r="B1946">
        <f>HYPERLINK("https://eproc.rajasthan.gov.in/nicgep/app?component=%24DirectLink&amp;page=FrontEndViewTender&amp;service=direct&amp;session=T&amp;sp=S2S1rg%2Fah82XeERYNq7lD%2FA%3D%3D", "NALA NIRMAN KARY HANUMAN JHOTHWAL KE MAKAN SE SHIV MANDIR TAK PATWARI KA BAAS")</f>
        <v/>
      </c>
      <c r="C1946" t="inlineStr">
        <is>
          <t>Panchayati Raj Department||Secretary and Commissioner||CEO-SIKAR||BDO-SRI MADHOPUR</t>
        </is>
      </c>
      <c r="D1946" t="inlineStr">
        <is>
          <t>20-May-2025 11:00 AM</t>
        </is>
      </c>
      <c r="E1946" t="inlineStr">
        <is>
          <t>10,00,000</t>
        </is>
      </c>
      <c r="F1946" t="inlineStr">
        <is>
          <t>NALA NIRMAN KARY HANUMAN JHOTHWAL KE MAKAN SE SHIV MANDIR TAK PATWARI KA BAAS</t>
        </is>
      </c>
      <c r="G1946" t="inlineStr">
        <is>
          <t>PATWARI KA BAAS</t>
        </is>
      </c>
    </row>
    <row r="1947">
      <c r="A1947" s="1" t="n">
        <v>1945</v>
      </c>
      <c r="B1947">
        <f>HYPERLINK("https://eproc.rajasthan.gov.in/nicgep/app?component=%24DirectLink&amp;page=FrontEndViewTender&amp;service=direct&amp;session=T&amp;sp=S8L165pwCuYSwdtKub6XeJw%3D%3D", "Cleaning and Sanitary Services in Gram Panchayat GP Talabaniyo Ki Dhani PS Payala Kala")</f>
        <v/>
      </c>
      <c r="C1947" t="inlineStr">
        <is>
          <t>Panchayati Raj Department||Secretary and Commissioner||CEO-BADMER</t>
        </is>
      </c>
      <c r="D1947" t="inlineStr">
        <is>
          <t>24-May-2025 05:00 PM</t>
        </is>
      </c>
      <c r="E1947" t="inlineStr">
        <is>
          <t>5,19,760</t>
        </is>
      </c>
      <c r="F1947" t="inlineStr">
        <is>
          <t>Cleaning and Sanitary Services in Gram Panchayat GP Talabaniyo Ki Dhani PS Payala Kala</t>
        </is>
      </c>
      <c r="G1947" t="inlineStr">
        <is>
          <t>GP Talabaniyo Ki Dhani</t>
        </is>
      </c>
    </row>
    <row r="1948">
      <c r="A1948" s="1" t="n">
        <v>1946</v>
      </c>
      <c r="B1948">
        <f>HYPERLINK("https://eproc.rajasthan.gov.in/nicgep/app?component=%24DirectLink&amp;page=FrontEndViewTender&amp;service=direct&amp;session=T&amp;sp=SYhxdYdFBasbeskrziEdU4g%3D%3D", "gram panchayat ke samast kshetr me ghar ghar (residential and commercial) kachra sangrahan, parthkaran road and nali safai and samudayik sawchtha parisar ki safai and mart pashu nistaran shit kary gram panchyat KANTOLI")</f>
        <v/>
      </c>
      <c r="C1948" t="inlineStr">
        <is>
          <t>Panchayati Raj Department||Secretary and Commissioner||CEO-TONK||BDO-MALPURA</t>
        </is>
      </c>
      <c r="D1948" t="inlineStr">
        <is>
          <t>22-May-2025 06:00 PM</t>
        </is>
      </c>
      <c r="E1948" t="inlineStr">
        <is>
          <t>18,06,000</t>
        </is>
      </c>
      <c r="F1948" t="inlineStr">
        <is>
          <t>gram panchayat ke samast kshetr me ghar ghar (residential and commercial) kachra sangrahan, parthkaran road and nali safai and samudayik sawchtha parisar ki safai and mart pashu nistaran shit kary gram panchayat</t>
        </is>
      </c>
      <c r="G1948" t="inlineStr">
        <is>
          <t>KANTOLI</t>
        </is>
      </c>
    </row>
    <row r="1949">
      <c r="A1949" s="1" t="n">
        <v>1947</v>
      </c>
      <c r="B1949">
        <f>HYPERLINK("https://eproc.rajasthan.gov.in/nicgep/app?component=%24DirectLink&amp;page=FrontEndViewTender&amp;service=direct&amp;session=T&amp;sp=SLGHDU419ZUASLHw5j%2B%2FbYA%3D%3D", "Cleaning and Sanitary Services in Gram Panchayat GP Sara Dhanji PS Payala Kala")</f>
        <v/>
      </c>
      <c r="C1949" t="inlineStr">
        <is>
          <t>Panchayati Raj Department||Secretary and Commissioner||CEO-BADMER</t>
        </is>
      </c>
      <c r="D1949" t="inlineStr">
        <is>
          <t>24-May-2025 05:00 PM</t>
        </is>
      </c>
      <c r="E1949" t="inlineStr">
        <is>
          <t>4,93,298</t>
        </is>
      </c>
      <c r="F1949" t="inlineStr">
        <is>
          <t>Cleaning and Sanitary Services in Gram Panchayat GP Sara Dhanji PS Payala Kala</t>
        </is>
      </c>
      <c r="G1949" t="inlineStr">
        <is>
          <t>GP Sara Dhanji</t>
        </is>
      </c>
    </row>
    <row r="1950">
      <c r="A1950" s="1" t="n">
        <v>1948</v>
      </c>
      <c r="B1950">
        <f>HYPERLINK("https://eproc.rajasthan.gov.in/nicgep/app?component=%24DirectLink&amp;page=FrontEndViewTender&amp;service=direct&amp;session=T&amp;sp=SpeU47V15q6G3exoBtc7RpQ%3D%3D", "Cleaning and Sanitary Services in Gram Panchayat BLAU JATI")</f>
        <v/>
      </c>
      <c r="C1950" t="inlineStr">
        <is>
          <t>Panchayati Raj Department||Secretary and Commissioner||CEO-BADMER||BDO-KALYANPUR</t>
        </is>
      </c>
      <c r="D1950" t="inlineStr">
        <is>
          <t>20-May-2025 05:00 PM</t>
        </is>
      </c>
      <c r="E1950" t="inlineStr">
        <is>
          <t>9,08,205</t>
        </is>
      </c>
      <c r="F1950" t="inlineStr">
        <is>
          <t>Cleaning and Sanitary Services</t>
        </is>
      </c>
      <c r="G1950" t="inlineStr">
        <is>
          <t>GRAM PANCHAYAT BALAU JATI</t>
        </is>
      </c>
    </row>
    <row r="1951">
      <c r="A1951" s="1" t="n">
        <v>1949</v>
      </c>
      <c r="B1951">
        <f>HYPERLINK("https://eproc.rajasthan.gov.in/nicgep/app?component=%24DirectLink&amp;page=FrontEndViewTender&amp;service=direct&amp;session=T&amp;sp=SYoumCxfjiIraIuoLc9EtYw%3D%3D", "Cleaning and Sanitary Services in Gram Panchayat GP Ramdevra PS Payala Kala")</f>
        <v/>
      </c>
      <c r="C1951" t="inlineStr">
        <is>
          <t>Panchayati Raj Department||Secretary and Commissioner||CEO-BADMER</t>
        </is>
      </c>
      <c r="D1951" t="inlineStr">
        <is>
          <t>24-May-2025 05:00 PM</t>
        </is>
      </c>
      <c r="E1951" t="inlineStr">
        <is>
          <t>4,77,919</t>
        </is>
      </c>
      <c r="F1951" t="inlineStr">
        <is>
          <t>Cleaning and Sanitary Services in Gram Panchayat GP Ramdevra PS Payala Kala</t>
        </is>
      </c>
      <c r="G1951" t="inlineStr">
        <is>
          <t>GP Ramdevra</t>
        </is>
      </c>
    </row>
    <row r="1952">
      <c r="A1952" s="1" t="n">
        <v>1950</v>
      </c>
      <c r="B1952">
        <f>HYPERLINK("https://eproc.rajasthan.gov.in/nicgep/app?component=%24DirectLink&amp;page=FrontEndViewTender&amp;service=direct&amp;session=T&amp;sp=S9XHtrxICuvOWsSo0i5qwNw%3D%3D", "2025-26 me samagri supply gp basani")</f>
        <v/>
      </c>
      <c r="C1952" t="inlineStr">
        <is>
          <t>Panchayati Raj Department||Secretary and Commissioner||CEO-ALWAR||BDO-MUNDAWAR</t>
        </is>
      </c>
      <c r="D1952" t="inlineStr">
        <is>
          <t>22-May-2025 06:00 PM</t>
        </is>
      </c>
      <c r="E1952" t="inlineStr">
        <is>
          <t>NA</t>
        </is>
      </c>
      <c r="F1952" t="inlineStr">
        <is>
          <t>2025-26 me samagri supply gp basani</t>
        </is>
      </c>
      <c r="G1952" t="inlineStr">
        <is>
          <t>gp basani</t>
        </is>
      </c>
    </row>
    <row r="1953">
      <c r="A1953" s="1" t="n">
        <v>1951</v>
      </c>
      <c r="B1953">
        <f>HYPERLINK("https://eproc.rajasthan.gov.in/nicgep/app?component=%24DirectLink&amp;page=FrontEndViewTender&amp;service=direct&amp;session=T&amp;sp=S3Ow0d06eaXiN%2F8hNdVgZoA%3D%3D", "2025-26 me nirman samgri supply gp rajwara")</f>
        <v/>
      </c>
      <c r="C1953" t="inlineStr">
        <is>
          <t>Panchayati Raj Department||Secretary and Commissioner||CEO-ALWAR||BDO-MUNDAWAR</t>
        </is>
      </c>
      <c r="D1953" t="inlineStr">
        <is>
          <t>22-May-2025 06:00 PM</t>
        </is>
      </c>
      <c r="E1953" t="inlineStr">
        <is>
          <t>NA</t>
        </is>
      </c>
      <c r="F1953" t="inlineStr">
        <is>
          <t>2025-26 me nirman samgri supply gp rajwara</t>
        </is>
      </c>
      <c r="G1953" t="inlineStr">
        <is>
          <t>gp rajwara</t>
        </is>
      </c>
    </row>
    <row r="1954">
      <c r="A1954" s="1" t="n">
        <v>1952</v>
      </c>
      <c r="B1954">
        <f>HYPERLINK("https://eproc.rajasthan.gov.in/nicgep/app?component=%24DirectLink&amp;page=FrontEndViewTender&amp;service=direct&amp;session=T&amp;sp=S1ZA0hf0RNN3yRW%2FVqEqOJA%3D%3D", "Cleaning and Sanitary Services in Gram Panchayat GP Payala Khurd PS Payala Kala")</f>
        <v/>
      </c>
      <c r="C1954" t="inlineStr">
        <is>
          <t>Panchayati Raj Department||Secretary and Commissioner||CEO-BADMER</t>
        </is>
      </c>
      <c r="D1954" t="inlineStr">
        <is>
          <t>24-May-2025 05:00 PM</t>
        </is>
      </c>
      <c r="E1954" t="inlineStr">
        <is>
          <t>4,60,521</t>
        </is>
      </c>
      <c r="F1954" t="inlineStr">
        <is>
          <t>Cleaning and Sanitary Services in Gram Panchayat GP Payala Khurd PS Payala Kala</t>
        </is>
      </c>
      <c r="G1954" t="inlineStr">
        <is>
          <t>GP Payala Khurd</t>
        </is>
      </c>
    </row>
    <row r="1955">
      <c r="A1955" s="1" t="n">
        <v>1953</v>
      </c>
      <c r="B1955">
        <f>HYPERLINK("https://eproc.rajasthan.gov.in/nicgep/app?component=%24DirectLink&amp;page=FrontEndViewTender&amp;service=direct&amp;session=T&amp;sp=Sb2VIZFC7HVx5MxXhTUzqWA%3D%3D", "gram panchayat ke samast kshetr me ghar ghar (residential and commercial) kachra sangrahan, parthkaran road and nali safai and samudayik sawchtha parisar ki safai and mart pashu nistaran shit kary gram panchyat TORDI")</f>
        <v/>
      </c>
      <c r="C1955" t="inlineStr">
        <is>
          <t>Panchayati Raj Department||Secretary and Commissioner||CEO-TONK||BDO-MALPURA</t>
        </is>
      </c>
      <c r="D1955" t="inlineStr">
        <is>
          <t>22-May-2025 06:00 PM</t>
        </is>
      </c>
      <c r="E1955" t="inlineStr">
        <is>
          <t>28,27,000</t>
        </is>
      </c>
      <c r="F1955" t="inlineStr">
        <is>
          <t>gram panchayat ke samast kshetr me ghar ghar (residential and commercial) kachra sangrahan, parthkaran road and nali safai and samudayik sawchtha parisar ki safai and mart pashu nistaran shit kary gram panchayat</t>
        </is>
      </c>
      <c r="G1955" t="inlineStr">
        <is>
          <t>TORDI</t>
        </is>
      </c>
    </row>
    <row r="1956">
      <c r="A1956" s="1" t="n">
        <v>1954</v>
      </c>
      <c r="B1956">
        <f>HYPERLINK("https://eproc.rajasthan.gov.in/nicgep/app?component=%24DirectLink&amp;page=FrontEndViewTender&amp;service=direct&amp;session=T&amp;sp=S0SHIUoPO7D6K84%2Bw%2FGDkBg%3D%3D", "material supply in gram panchayat suhari ps bhusawar")</f>
        <v/>
      </c>
      <c r="C1956" t="inlineStr">
        <is>
          <t>Panchayati Raj Department||Secretary and Commissioner||CEO-BHARATPUR||BDO-BHUSAWAR</t>
        </is>
      </c>
      <c r="D1956" t="inlineStr">
        <is>
          <t>28-May-2025 05:00 PM</t>
        </is>
      </c>
      <c r="E1956" t="inlineStr">
        <is>
          <t>40,00,000</t>
        </is>
      </c>
      <c r="F1956" t="inlineStr">
        <is>
          <t>material supply in gram panchayat suhari ps bhusawar</t>
        </is>
      </c>
      <c r="G1956" t="inlineStr">
        <is>
          <t>bhusawar</t>
        </is>
      </c>
    </row>
    <row r="1957">
      <c r="A1957" s="1" t="n">
        <v>1955</v>
      </c>
      <c r="B1957">
        <f>HYPERLINK("https://eproc.rajasthan.gov.in/nicgep/app?component=%24DirectLink&amp;page=FrontEndViewTender&amp;service=direct&amp;session=T&amp;sp=SpJFGXQOD0PZci8PQ1rH7ow%3D%3D", "Supply of Construction Material with POI Driver in Scheme MNREGA, SFC , FFC and other scheme for Financial Year 2025-26 in Gram Panchyat Vidarkhya PS Gangapur city")</f>
        <v/>
      </c>
      <c r="C1957" t="inlineStr">
        <is>
          <t>Panchayati Raj Department||Secretary and Commissioner||CEO-S.MADHOPUR||BDO-GANGAPUR</t>
        </is>
      </c>
      <c r="D1957" t="inlineStr">
        <is>
          <t>22-May-2025 06:00 PM</t>
        </is>
      </c>
      <c r="E1957" t="inlineStr">
        <is>
          <t>40,00,000</t>
        </is>
      </c>
      <c r="F1957" t="inlineStr">
        <is>
          <t>Supply of Construction Material with POI Driver in Scheme MNREGA, SFC , FFC and other scheme for Financial Year 2025-26 in Gram Panchyat Vidarkhya PS Gangapur city</t>
        </is>
      </c>
      <c r="G1957" t="inlineStr">
        <is>
          <t>GRAM PANCHAYAT VIDARKHYA</t>
        </is>
      </c>
    </row>
    <row r="1958">
      <c r="A1958" s="1" t="n">
        <v>1956</v>
      </c>
      <c r="B1958">
        <f>HYPERLINK("https://eproc.rajasthan.gov.in/nicgep/app?component=%24DirectLink&amp;page=FrontEndViewTender&amp;service=direct&amp;session=T&amp;sp=SCHjcA2yop4pzVcLwI%2BspLg%3D%3D", "Gram Panchayat Patan Me Mahatma Gandhi Nrega V Anya Yojnantargat Vikas Karyo ke Liye Nirman Samgri Apurti Ka Karya")</f>
        <v/>
      </c>
      <c r="C1958" t="inlineStr">
        <is>
          <t>Panchayati Raj Department||Secretary and Commissioner||CEO- JAIPUR||BDO-TUNGA</t>
        </is>
      </c>
      <c r="D1958" t="inlineStr">
        <is>
          <t>22-May-2025 06:00 PM</t>
        </is>
      </c>
      <c r="E1958" t="inlineStr">
        <is>
          <t>NA</t>
        </is>
      </c>
      <c r="F1958" t="inlineStr">
        <is>
          <t>Gram Panchayat Patan Me Mahatma Gandhi Nrega V Anya Yojnantargat Vikas Karyo ke Liye Nirman Samgri Apurti Ka Karya</t>
        </is>
      </c>
      <c r="G1958" t="inlineStr">
        <is>
          <t>PATAN</t>
        </is>
      </c>
    </row>
    <row r="1959">
      <c r="A1959" s="1" t="n">
        <v>1957</v>
      </c>
      <c r="B1959">
        <f>HYPERLINK("https://eproc.rajasthan.gov.in/nicgep/app?component=%24DirectLink&amp;page=FrontEndViewTender&amp;service=direct&amp;session=T&amp;sp=SELAm8OLX0Vg7p8mxctAZ6w%3D%3D", "Cleaning and Sanitary Services in Gram Panchayat GP Sara PS Payala Kala")</f>
        <v/>
      </c>
      <c r="C1959" t="inlineStr">
        <is>
          <t>Panchayati Raj Department||Secretary and Commissioner||CEO-BADMER</t>
        </is>
      </c>
      <c r="D1959" t="inlineStr">
        <is>
          <t>24-May-2025 05:00 PM</t>
        </is>
      </c>
      <c r="E1959" t="inlineStr">
        <is>
          <t>12,49,358</t>
        </is>
      </c>
      <c r="F1959" t="inlineStr">
        <is>
          <t>Cleaning and Sanitary Services in Gram Panchayat GP Sara PS Payala Kala</t>
        </is>
      </c>
      <c r="G1959" t="inlineStr">
        <is>
          <t>GP Sara</t>
        </is>
      </c>
    </row>
    <row r="1960">
      <c r="A1960" s="1" t="n">
        <v>1958</v>
      </c>
      <c r="B1960">
        <f>HYPERLINK("https://eproc.rajasthan.gov.in/nicgep/app?component=%24DirectLink&amp;page=FrontEndViewTender&amp;service=direct&amp;session=T&amp;sp=SXviTrQfZCw9ar944jxb58g%3D%3D", "gram panchayat ke samast kshetr me ghar ghar (residential and commercial) kachra sangrahan, parthkaran road and nali safai and samudayik sawchtha parisar ki safai and mart pashu nistaran shit kary gram panchyat SITARAMPURA")</f>
        <v/>
      </c>
      <c r="C1960" t="inlineStr">
        <is>
          <t>Panchayati Raj Department||Secretary and Commissioner||CEO-TONK||BDO-MALPURA</t>
        </is>
      </c>
      <c r="D1960" t="inlineStr">
        <is>
          <t>22-May-2025 06:00 PM</t>
        </is>
      </c>
      <c r="E1960" t="inlineStr">
        <is>
          <t>18,24,000</t>
        </is>
      </c>
      <c r="F1960" t="inlineStr">
        <is>
          <t>gram panchayat ke samast kshetr me ghar ghar (residential and commercial) kachra sangrahan, parthkaran road and nali safai and samudayik sawchtha parisar ki safai and mart pashu nistaran shit kary gram panchayat</t>
        </is>
      </c>
      <c r="G1960" t="inlineStr">
        <is>
          <t>SITARAMPURA</t>
        </is>
      </c>
    </row>
    <row r="1961">
      <c r="A1961" s="1" t="n">
        <v>1959</v>
      </c>
      <c r="B1961">
        <f>HYPERLINK("https://eproc.rajasthan.gov.in/nicgep/app?component=%24DirectLink&amp;page=FrontEndViewTender&amp;service=direct&amp;session=T&amp;sp=S3P2J6YJaf4k7d4Rhv4Ss6g%3D%3D", "Cleaning and Sanitary Services in Gram Panchayat GP Lunakala PS Payala Kala")</f>
        <v/>
      </c>
      <c r="C1961" t="inlineStr">
        <is>
          <t>Panchayati Raj Department||Secretary and Commissioner||CEO-BADMER</t>
        </is>
      </c>
      <c r="D1961" t="inlineStr">
        <is>
          <t>24-May-2025 05:00 PM</t>
        </is>
      </c>
      <c r="E1961" t="inlineStr">
        <is>
          <t>4,20,528</t>
        </is>
      </c>
      <c r="F1961" t="inlineStr">
        <is>
          <t>Cleaning and Sanitary Services in Gram Panchayat GP Lunakala PS Payala Kala</t>
        </is>
      </c>
      <c r="G1961" t="inlineStr">
        <is>
          <t>GP Lunakala</t>
        </is>
      </c>
    </row>
    <row r="1962">
      <c r="A1962" s="1" t="n">
        <v>1960</v>
      </c>
      <c r="B1962">
        <f>HYPERLINK("https://eproc.rajasthan.gov.in/nicgep/app?component=%24DirectLink&amp;page=FrontEndViewTender&amp;service=direct&amp;session=T&amp;sp=S4z%2Bz17QLfC1jDMGklViw4g%3D%3D", "gram panchayat ke samast kshetr me ghar ghar (residential and commercial) kachra sangrahan, parthkaran road and nali safai and samudayik sawchtha parisar ki safai and mart pashu nistaran shit kary gram panchyat TILANJU")</f>
        <v/>
      </c>
      <c r="C1962" t="inlineStr">
        <is>
          <t>Panchayati Raj Department||Secretary and Commissioner||CEO-TONK||BDO-MALPURA</t>
        </is>
      </c>
      <c r="D1962" t="inlineStr">
        <is>
          <t>22-May-2025 06:00 PM</t>
        </is>
      </c>
      <c r="E1962" t="inlineStr">
        <is>
          <t>19,25,000</t>
        </is>
      </c>
      <c r="F1962" t="inlineStr">
        <is>
          <t>gram panchayat ke samast kshetr me ghar ghar (residential and commercial) kachra sangrahan, parthkaran road and nali safai and samudayik sawchtha parisar ki safai and mart pashu nistaran shit kary gram panchayat</t>
        </is>
      </c>
      <c r="G1962" t="inlineStr">
        <is>
          <t>TILANJU</t>
        </is>
      </c>
    </row>
    <row r="1963">
      <c r="A1963" s="1" t="n">
        <v>1961</v>
      </c>
      <c r="B1963">
        <f>HYPERLINK("https://eproc.rajasthan.gov.in/nicgep/app?component=%24DirectLink&amp;page=FrontEndViewTender&amp;service=direct&amp;session=T&amp;sp=SxDD%2B69jRE36MN7HOiKOd3Q%3D%3D", "Work including Garbage collection and Separation from every house (Residential and Commercial), Road and Nali cleaning and community sanitation complex (CSC) cleaning in all the villages of Gram Panchayat DABETA PS HINDOLI")</f>
        <v/>
      </c>
      <c r="C1963" t="inlineStr">
        <is>
          <t>Panchayati Raj Department||Secretary and Commissioner||CEO-BUNDI||BDO-HINDOLI</t>
        </is>
      </c>
      <c r="D1963" t="inlineStr">
        <is>
          <t>22-May-2025 06:00 PM</t>
        </is>
      </c>
      <c r="E1963" t="inlineStr">
        <is>
          <t>9,82,000</t>
        </is>
      </c>
      <c r="F1963" t="inlineStr">
        <is>
          <t>Work including Garbage collection and Separation from every house (Residential and Commercial), Road and Nali cleaning and community sanitation complex (CSC) cleaning in all the villages of Gram Panchayat DABETA PS HINDOLI</t>
        </is>
      </c>
      <c r="G1963" t="inlineStr">
        <is>
          <t>GRAM PANCHAYAT DABETA</t>
        </is>
      </c>
    </row>
    <row r="1964">
      <c r="A1964" s="1" t="n">
        <v>1962</v>
      </c>
      <c r="B1964">
        <f>HYPERLINK("https://eproc.rajasthan.gov.in/nicgep/app?component=%24DirectLink&amp;page=FrontEndViewTender&amp;service=direct&amp;session=T&amp;sp=SOxA%2FhM5d8CfGtlmXaHAo9Q%3D%3D", "Cleaning and Sanitary Services in Gram Panchayat GP Nehro Ki Dhani PS Payala Kala")</f>
        <v/>
      </c>
      <c r="C1964" t="inlineStr">
        <is>
          <t>Panchayati Raj Department||Secretary and Commissioner||CEO-BADMER</t>
        </is>
      </c>
      <c r="D1964" t="inlineStr">
        <is>
          <t>24-May-2025 05:00 PM</t>
        </is>
      </c>
      <c r="E1964" t="inlineStr">
        <is>
          <t>4,88,796</t>
        </is>
      </c>
      <c r="F1964" t="inlineStr">
        <is>
          <t>Cleaning and Sanitary Services in Gram Panchayat GP Nehro Ki Dhani PS Payala Kala</t>
        </is>
      </c>
      <c r="G1964" t="inlineStr">
        <is>
          <t>GP Nehro Ki Dhani</t>
        </is>
      </c>
    </row>
    <row r="1965">
      <c r="A1965" s="1" t="n">
        <v>1963</v>
      </c>
      <c r="B1965">
        <f>HYPERLINK("https://eproc.rajasthan.gov.in/nicgep/app?component=%24DirectLink&amp;page=FrontEndViewTender&amp;service=direct&amp;session=T&amp;sp=Sgh%2Fu%2FMYKfna3h06fa69JHg%3D%3D", "Work including Garbage collection and Separation from every house (Residential and Commercial), Road and Nali cleaning and community sanitation complex (CSC) cleaning in all the villages of Gram Panchayat CHABADIYO KA NAYAGAOV PS HINDOLI")</f>
        <v/>
      </c>
      <c r="C1965" t="inlineStr">
        <is>
          <t>Panchayati Raj Department||Secretary and Commissioner||CEO-BUNDI||BDO-HINDOLI</t>
        </is>
      </c>
      <c r="D1965" t="inlineStr">
        <is>
          <t>22-May-2025 06:00 PM</t>
        </is>
      </c>
      <c r="E1965" t="inlineStr">
        <is>
          <t>14,98,000</t>
        </is>
      </c>
      <c r="F1965" t="inlineStr">
        <is>
          <t>Work including Garbage collection and Separation from every house (Residential and Commercial), Road and Nali cleaning and community sanitation complex (CSC) cleaning in all the villages of Gram Panchayat CHABADIYO KA NAYAGAOV PS HINDOLI</t>
        </is>
      </c>
      <c r="G1965" t="inlineStr">
        <is>
          <t>GRAM PANCHAYAT CHABADIYO KA NAYAGAOV</t>
        </is>
      </c>
    </row>
    <row r="1966">
      <c r="A1966" s="1" t="n">
        <v>1964</v>
      </c>
      <c r="B1966">
        <f>HYPERLINK("https://eproc.rajasthan.gov.in/nicgep/app?component=%24DirectLink&amp;page=FrontEndViewTender&amp;service=direct&amp;session=T&amp;sp=SGj8jL4m3ofe0LOSOPcvZVg%3D%3D", "Work including Garbage collection and Separation from every house (Residential and Commercial), Road and Nali cleaning and community sanitation complex (CSC) cleaning in all the villages of Gram Panchayat CHETA PS HINDOLI")</f>
        <v/>
      </c>
      <c r="C1966" t="inlineStr">
        <is>
          <t>Panchayati Raj Department||Secretary and Commissioner||CEO-BUNDI||BDO-HINDOLI</t>
        </is>
      </c>
      <c r="D1966" t="inlineStr">
        <is>
          <t>22-May-2025 06:00 PM</t>
        </is>
      </c>
      <c r="E1966" t="inlineStr">
        <is>
          <t>17,28,000</t>
        </is>
      </c>
      <c r="F1966" t="inlineStr">
        <is>
          <t>Work including Garbage collection and Separation from every house (Residential and Commercial), Road and Nali cleaning and community sanitation complex (CSC) cleaning in all the villages of Gram Panchayat CHETA PS HINDOLI</t>
        </is>
      </c>
      <c r="G1966" t="inlineStr">
        <is>
          <t>GRAM PANCHAYAT CHETA</t>
        </is>
      </c>
    </row>
    <row r="1967">
      <c r="A1967" s="1" t="n">
        <v>1965</v>
      </c>
      <c r="B1967">
        <f>HYPERLINK("https://eproc.rajasthan.gov.in/nicgep/app?component=%24DirectLink&amp;page=FrontEndViewTender&amp;service=direct&amp;session=T&amp;sp=SvO3IJJkYz4NiqNgRdxgZXw%3D%3D", "Gram Panchayat Sambhariya Me Mahatma Gandhi Nrega V Anya Yojnantargat Vikas Karyo ke Liye Nirman Samgri Apurti Ka Karya")</f>
        <v/>
      </c>
      <c r="C1967" t="inlineStr">
        <is>
          <t>Panchayati Raj Department||Secretary and Commissioner||CEO- JAIPUR||BDO-TUNGA</t>
        </is>
      </c>
      <c r="D1967" t="inlineStr">
        <is>
          <t>22-May-2025 06:00 PM</t>
        </is>
      </c>
      <c r="E1967" t="inlineStr">
        <is>
          <t>NA</t>
        </is>
      </c>
      <c r="F1967" t="inlineStr">
        <is>
          <t>Gram Panchayat Sambhariya Me Mahatma Gandhi Nrega V Anya Yojnantargat Vikas Karyo ke Liye Nirman Samgri Apurti Ka Karya</t>
        </is>
      </c>
      <c r="G1967" t="inlineStr">
        <is>
          <t>SABHARIYA</t>
        </is>
      </c>
    </row>
    <row r="1968">
      <c r="A1968" s="1" t="n">
        <v>1966</v>
      </c>
      <c r="B1968">
        <f>HYPERLINK("https://eproc.rajasthan.gov.in/nicgep/app?component=%24DirectLink&amp;page=FrontEndViewTender&amp;service=direct&amp;session=T&amp;sp=SFABAB83Uonzvepa4OfM%2BXw%3D%3D", "material supply in gram panchayat randhirgarh ps bhusawar")</f>
        <v/>
      </c>
      <c r="C1968" t="inlineStr">
        <is>
          <t>Panchayati Raj Department||Secretary and Commissioner||CEO-BHARATPUR||BDO-BHUSAWAR</t>
        </is>
      </c>
      <c r="D1968" t="inlineStr">
        <is>
          <t>28-May-2025 05:00 PM</t>
        </is>
      </c>
      <c r="E1968" t="inlineStr">
        <is>
          <t>40,00,000</t>
        </is>
      </c>
      <c r="F1968" t="inlineStr">
        <is>
          <t>material supply in gram panchayat randhirgarh ps bhusawar</t>
        </is>
      </c>
      <c r="G1968" t="inlineStr">
        <is>
          <t>bhusawar</t>
        </is>
      </c>
    </row>
    <row r="1969">
      <c r="A1969" s="1" t="n">
        <v>1967</v>
      </c>
      <c r="B1969">
        <f>HYPERLINK("https://eproc.rajasthan.gov.in/nicgep/app?component=%24DirectLink&amp;page=FrontEndViewTender&amp;service=direct&amp;session=T&amp;sp=SOrYy1uybx9O%2FNS8gWXdN2A%3D%3D", "Work including Garbage collection and Separation from every house (Residential and Commercial), Road and Nali cleaning and community sanitation complex (CSC) cleaning in all the villages of Gram Panchayat CHATARGANJ PS HINDOLI")</f>
        <v/>
      </c>
      <c r="C1969" t="inlineStr">
        <is>
          <t>Panchayati Raj Department||Secretary and Commissioner||CEO-BUNDI||BDO-HINDOLI</t>
        </is>
      </c>
      <c r="D1969" t="inlineStr">
        <is>
          <t>22-May-2025 06:00 PM</t>
        </is>
      </c>
      <c r="E1969" t="inlineStr">
        <is>
          <t>9,99,000</t>
        </is>
      </c>
      <c r="F1969" t="inlineStr">
        <is>
          <t>Work including Garbage collection and Separation from every house (Residential and Commercial), Road and Nali cleaning and community sanitation complex (CSC) cleaning in all the villages of Gram Panchayat CHATARGANJ PS HINDOLI</t>
        </is>
      </c>
      <c r="G1969" t="inlineStr">
        <is>
          <t>GRAM PANCHAYAT CHATARGANJ</t>
        </is>
      </c>
    </row>
    <row r="1970">
      <c r="A1970" s="1" t="n">
        <v>1968</v>
      </c>
      <c r="B1970">
        <f>HYPERLINK("https://eproc.rajasthan.gov.in/nicgep/app?component=%24DirectLink&amp;page=FrontEndViewTender&amp;service=direct&amp;session=T&amp;sp=S50%2FY2aDDt0Hw%2ByMtQ5PK9g%3D%3D", "Work including Garbage collection and Separation from every house (Residential and Commercial), Road and Nali cleaning and community sanitation complex (CSC) cleaning in all the villages of Gram Panchayat AAKODA PS HINDOLI")</f>
        <v/>
      </c>
      <c r="C1970" t="inlineStr">
        <is>
          <t>Panchayati Raj Department||Secretary and Commissioner||CEO-BUNDI||BDO-HINDOLI</t>
        </is>
      </c>
      <c r="D1970" t="inlineStr">
        <is>
          <t>22-May-2025 06:00 PM</t>
        </is>
      </c>
      <c r="E1970" t="inlineStr">
        <is>
          <t>9,59,000</t>
        </is>
      </c>
      <c r="F1970" t="inlineStr">
        <is>
          <t>Work including Garbage collection and Separation from every house (Residential and Commercial), Road and Nali cleaning and community sanitation complex (CSC) cleaning in all the villages of Gram Panchayat AAKODA PS HINDOLI</t>
        </is>
      </c>
      <c r="G1970" t="inlineStr">
        <is>
          <t>GRAM PANCHAYAT AAKODA</t>
        </is>
      </c>
    </row>
    <row r="1971">
      <c r="A1971" s="1" t="n">
        <v>1969</v>
      </c>
      <c r="B1971">
        <f>HYPERLINK("https://eproc.rajasthan.gov.in/nicgep/app?component=%24DirectLink&amp;page=FrontEndViewTender&amp;service=direct&amp;session=T&amp;sp=SpyK8pbjoIu3aeJLCkmF6pg%3D%3D", "Work including Garbage collection and Separation from every house (Residential and Commercial), Road and Nali cleaning and community sanitation complex (CSC) cleaning in all the villages of Gram Panchayat BHAWANIPURA PS HINDOLI")</f>
        <v/>
      </c>
      <c r="C1971" t="inlineStr">
        <is>
          <t>Panchayati Raj Department||Secretary and Commissioner||CEO-BUNDI||BDO-HINDOLI</t>
        </is>
      </c>
      <c r="D1971" t="inlineStr">
        <is>
          <t>22-May-2025 06:00 PM</t>
        </is>
      </c>
      <c r="E1971" t="inlineStr">
        <is>
          <t>9,99,000</t>
        </is>
      </c>
      <c r="F1971" t="inlineStr">
        <is>
          <t>Work including Garbage collection and Separation from every house (Residential and Commercial), Road and Nali cleaning and community sanitation complex (CSC) cleaning in all the villages of Gram Panchayat BHAWANIPURA PS HINDOLI</t>
        </is>
      </c>
      <c r="G1971" t="inlineStr">
        <is>
          <t>GRAM PANCHAYAT BHAWANIPURA</t>
        </is>
      </c>
    </row>
    <row r="1972">
      <c r="A1972" s="1" t="n">
        <v>1970</v>
      </c>
      <c r="B1972">
        <f>HYPERLINK("https://eproc.rajasthan.gov.in/nicgep/app?component=%24DirectLink&amp;page=FrontEndViewTender&amp;service=direct&amp;session=T&amp;sp=Sul8evH8GaCv9X%2FG4qQH6Vw%3D%3D", "NAREGA AND OTHER SCHEME METERIAL SUPPLY DOONGA KI NANGAL FY 2025-26")</f>
        <v/>
      </c>
      <c r="C1972" t="inlineStr">
        <is>
          <t>Panchayati Raj Department||Secretary and Commissioner||CEO-SIKAR||BDO-PATAN</t>
        </is>
      </c>
      <c r="D1972" t="inlineStr">
        <is>
          <t>22-May-2025 06:00 PM</t>
        </is>
      </c>
      <c r="E1972" t="inlineStr">
        <is>
          <t>30,00,000</t>
        </is>
      </c>
      <c r="F1972" t="inlineStr">
        <is>
          <t>NAREGA AND OTHER SCHEME METERIAL SUPPLY DOONGA KI NANGAL FY 2025-26</t>
        </is>
      </c>
      <c r="G1972" t="inlineStr">
        <is>
          <t>GP DOONGA KI NANGAL</t>
        </is>
      </c>
    </row>
    <row r="1973">
      <c r="A1973" s="1" t="n">
        <v>1971</v>
      </c>
      <c r="B1973">
        <f>HYPERLINK("https://eproc.rajasthan.gov.in/nicgep/app?component=%24DirectLink&amp;page=FrontEndViewTender&amp;service=direct&amp;session=T&amp;sp=S9jn%2Fz9URlJaSFSNjs3sxww%3D%3D", "NAREGA AND OTHER SCHEME METERIAL SUPPLY DHANDHELA FY 2025-26")</f>
        <v/>
      </c>
      <c r="C1973" t="inlineStr">
        <is>
          <t>Panchayati Raj Department||Secretary and Commissioner||CEO-SIKAR||BDO-PATAN</t>
        </is>
      </c>
      <c r="D1973" t="inlineStr">
        <is>
          <t>26-May-2025 06:00 PM</t>
        </is>
      </c>
      <c r="E1973" t="inlineStr">
        <is>
          <t>25,00,000</t>
        </is>
      </c>
      <c r="F1973" t="inlineStr">
        <is>
          <t>NAREGA AND OTHER SCHEME METERIAL SUPPLY DHANDHELA FY 2025-26</t>
        </is>
      </c>
      <c r="G1973" t="inlineStr">
        <is>
          <t>GP DHANDHELA</t>
        </is>
      </c>
    </row>
    <row r="1974">
      <c r="A1974" s="1" t="n">
        <v>1972</v>
      </c>
      <c r="B1974">
        <f>HYPERLINK("https://eproc.rajasthan.gov.in/nicgep/app?component=%24DirectLink&amp;page=FrontEndViewTender&amp;service=direct&amp;session=T&amp;sp=SwsSNR6VlsVZlSTEYmA2cHA%3D%3D", "Work including Garbage collection and Separation from every house (Residential and Commercial), Road and Nali cleaning and community sanitation complex (CSC) cleaning in all the villages of Gram Panchayat BADANAYAGAOV PS HINDOLI")</f>
        <v/>
      </c>
      <c r="C1974" t="inlineStr">
        <is>
          <t>Panchayati Raj Department||Secretary and Commissioner||CEO-BUNDI||BDO-HINDOLI</t>
        </is>
      </c>
      <c r="D1974" t="inlineStr">
        <is>
          <t>22-May-2025 06:00 PM</t>
        </is>
      </c>
      <c r="E1974" t="inlineStr">
        <is>
          <t>14,97,000</t>
        </is>
      </c>
      <c r="F1974" t="inlineStr">
        <is>
          <t>Work including Garbage collection and Separation from every house (Residential and Commercial), Road and Nali cleaning and community sanitation complex (CSC) cleaning in all the villages of Gram Panchayat BADANAYAGAOV PS HINDOLI</t>
        </is>
      </c>
      <c r="G1974" t="inlineStr">
        <is>
          <t>GRAM PANCHAYAT BADANAYAGAOV</t>
        </is>
      </c>
    </row>
    <row r="1975">
      <c r="A1975" s="1" t="n">
        <v>1973</v>
      </c>
      <c r="B1975">
        <f>HYPERLINK("https://eproc.rajasthan.gov.in/nicgep/app?component=%24DirectLink&amp;page=FrontEndViewTender&amp;service=direct&amp;session=T&amp;sp=SxohJdDMLRfwQccYm80lxUQ%3D%3D", "Work including Garbage collection and Separation from every house (Residential and Commercial), Road and Nali cleaning and community sanitation complex (CSC) cleaning in all the villages of Gram Panchayat BASHOLI PS HINDOLI")</f>
        <v/>
      </c>
      <c r="C1975" t="inlineStr">
        <is>
          <t>Panchayati Raj Department||Secretary and Commissioner||CEO-BUNDI||BDO-HINDOLI</t>
        </is>
      </c>
      <c r="D1975" t="inlineStr">
        <is>
          <t>22-May-2025 06:00 PM</t>
        </is>
      </c>
      <c r="E1975" t="inlineStr">
        <is>
          <t>9,99,000</t>
        </is>
      </c>
      <c r="F1975" t="inlineStr">
        <is>
          <t>Work including Garbage collection and Separation from every house (Residential and Commercial), Road and Nali cleaning and community sanitation complex (CSC) cleaning in all the villages of Gram Panchayat BASHOLI PS HINDOLI</t>
        </is>
      </c>
      <c r="G1975" t="inlineStr">
        <is>
          <t>GRAM PANCHAYAT BASHOLI</t>
        </is>
      </c>
    </row>
    <row r="1976">
      <c r="A1976" s="1" t="n">
        <v>1974</v>
      </c>
      <c r="B1976">
        <f>HYPERLINK("https://eproc.rajasthan.gov.in/nicgep/app?component=%24DirectLink&amp;page=FrontEndViewTender&amp;service=direct&amp;session=T&amp;sp=SK0zeslpnigw7P6DBEfN2Uw%3D%3D", "Work including Garbage collection and Separation from every house (Residential and Commercial), Road and Nali cleaning and community sanitation complex (CSC) cleaning in all the villages of Gram Panchayat BADODIYA PS HINDOLI")</f>
        <v/>
      </c>
      <c r="C1976" t="inlineStr">
        <is>
          <t>Panchayati Raj Department||Secretary and Commissioner||CEO-BUNDI||BDO-HINDOLI</t>
        </is>
      </c>
      <c r="D1976" t="inlineStr">
        <is>
          <t>22-May-2025 06:00 PM</t>
        </is>
      </c>
      <c r="E1976" t="inlineStr">
        <is>
          <t>18,55,000</t>
        </is>
      </c>
      <c r="F1976" t="inlineStr">
        <is>
          <t>Work including Garbage collection and Separation from every house (Residential and Commercial), Road and Nali cleaning and community sanitation complex (CSC) cleaning in all the villages of Gram Panchayat BADODIYA PS HINDOLI</t>
        </is>
      </c>
      <c r="G1976" t="inlineStr">
        <is>
          <t>GRAM PANCHAYAT BADODIYA</t>
        </is>
      </c>
    </row>
    <row r="1977">
      <c r="A1977" s="1" t="n">
        <v>1975</v>
      </c>
      <c r="B1977">
        <f>HYPERLINK("https://eproc.rajasthan.gov.in/nicgep/app?component=%24DirectLink&amp;page=FrontEndViewTender&amp;service=direct&amp;session=T&amp;sp=SM7eaa6pkSF2akA8OLsAu3A%3D%3D", "Work including Garbage collection and Separation from every house (Residential and Commercial), Road and Nali cleaning and community sanitation complex (CSC) cleaning in all the villages of Gram Panchayat DABHAIYO KA NAYAGAOV PS HINDOLI")</f>
        <v/>
      </c>
      <c r="C1977" t="inlineStr">
        <is>
          <t>Panchayati Raj Department||Secretary and Commissioner||CEO-BUNDI||BDO-HINDOLI</t>
        </is>
      </c>
      <c r="D1977" t="inlineStr">
        <is>
          <t>22-May-2025 06:00 PM</t>
        </is>
      </c>
      <c r="E1977" t="inlineStr">
        <is>
          <t>9,99,000</t>
        </is>
      </c>
      <c r="F1977" t="inlineStr">
        <is>
          <t>Work including Garbage collection and Separation from every house (Residential and Commercial), Road and Nali cleaning and community sanitation complex (CSC) cleaning in all the villages of Gram Panchayat DABHAIYO KA NAYAGAOV PS HINDOLI</t>
        </is>
      </c>
      <c r="G1977" t="inlineStr">
        <is>
          <t>GRAM PANCHAYAT DABHAIYO KA NAYAGAOV</t>
        </is>
      </c>
    </row>
    <row r="1978">
      <c r="A1978" s="1" t="n">
        <v>1976</v>
      </c>
      <c r="B1978">
        <f>HYPERLINK("https://eproc.rajasthan.gov.in/nicgep/app?component=%24DirectLink&amp;page=FrontEndViewTender&amp;service=direct&amp;session=T&amp;sp=SWdQ%2BGfaRc0P4%2FHdY%2Fv%2Fxrg%3D%3D", "Work including Garbage collection and Separation from every house (Residential and Commercial), Road and Nali cleaning and community sanitation complex (CSC) cleaning in all the villages of Gram Panchayat MENDI PS HINDOLI")</f>
        <v/>
      </c>
      <c r="C1978" t="inlineStr">
        <is>
          <t>Panchayati Raj Department||Secretary and Commissioner||CEO-BUNDI||BDO-HINDOLI</t>
        </is>
      </c>
      <c r="D1978" t="inlineStr">
        <is>
          <t>22-May-2025 06:00 PM</t>
        </is>
      </c>
      <c r="E1978" t="inlineStr">
        <is>
          <t>9,99,000</t>
        </is>
      </c>
      <c r="F1978" t="inlineStr">
        <is>
          <t>Work including Garbage collection and Separation from every house (Residential and Commercial), Road and Nali cleaning and community sanitation complex (CSC) cleaning in all the villages of Gram Panchayat MENDI PS HINDOLI</t>
        </is>
      </c>
      <c r="G1978" t="inlineStr">
        <is>
          <t>GRAM PANCHAYAT MENDI</t>
        </is>
      </c>
    </row>
    <row r="1979">
      <c r="A1979" s="1" t="n">
        <v>1977</v>
      </c>
      <c r="B1979">
        <f>HYPERLINK("https://eproc.rajasthan.gov.in/nicgep/app?component=%24DirectLink&amp;page=FrontEndViewTender&amp;service=direct&amp;session=T&amp;sp=SB1EBeFtd7HumLeywTssqjg%3D%3D", "Work including Garbage collection and Separation from every house (Residential and Commercial), Road and Nali cleaning and community sanitation complex (CSC) cleaning in all the villages of Gram Panchayat NEGAD PS HINDOLI")</f>
        <v/>
      </c>
      <c r="C1979" t="inlineStr">
        <is>
          <t>Panchayati Raj Department||Secretary and Commissioner||CEO-BUNDI||BDO-HINDOLI</t>
        </is>
      </c>
      <c r="D1979" t="inlineStr">
        <is>
          <t>22-May-2025 06:00 PM</t>
        </is>
      </c>
      <c r="E1979" t="inlineStr">
        <is>
          <t>14,95,000</t>
        </is>
      </c>
      <c r="F1979" t="inlineStr">
        <is>
          <t>Work including Garbage collection and Separation from every house (Residential and Commercial), Road and Nali cleaning and community sanitation complex (CSC) cleaning in all the villages of Gram Panchayat NEGAD PS HINDOLI</t>
        </is>
      </c>
      <c r="G1979" t="inlineStr">
        <is>
          <t>GRAM PANCHAYAT NEGAD</t>
        </is>
      </c>
    </row>
    <row r="1980">
      <c r="A1980" s="1" t="n">
        <v>1978</v>
      </c>
      <c r="B1980">
        <f>HYPERLINK("https://eproc.rajasthan.gov.in/nicgep/app?component=%24DirectLink&amp;page=FrontEndViewTender&amp;service=direct&amp;session=T&amp;sp=SR3a6BBDtd87bXvAHXHllDg%3D%3D", "Work including Garbage collection and Separation from every house (Residential and Commercial), Road and Nali cleaning and community sanitation complex (CSC) cleaning in all the villages of Gram Panchayat OVAN PS HINDOLI")</f>
        <v/>
      </c>
      <c r="C1980" t="inlineStr">
        <is>
          <t>Panchayati Raj Department||Secretary and Commissioner||CEO-BUNDI||BDO-HINDOLI</t>
        </is>
      </c>
      <c r="D1980" t="inlineStr">
        <is>
          <t>22-May-2025 06:00 PM</t>
        </is>
      </c>
      <c r="E1980" t="inlineStr">
        <is>
          <t>9,99,000</t>
        </is>
      </c>
      <c r="F1980" t="inlineStr">
        <is>
          <t>Work including Garbage collection and Separation from every house (Residential and Commercial), Road and Nali cleaning and community sanitation complex (CSC) cleaning in all the villages of Gram Panchayat OVAN PS HINDOLI</t>
        </is>
      </c>
      <c r="G1980" t="inlineStr">
        <is>
          <t>GRAM PANCHAYAT OVAN</t>
        </is>
      </c>
    </row>
    <row r="1981">
      <c r="A1981" s="1" t="n">
        <v>1979</v>
      </c>
      <c r="B1981">
        <f>HYPERLINK("https://eproc.rajasthan.gov.in/nicgep/app?component=%24DirectLink&amp;page=FrontEndViewTender&amp;service=direct&amp;session=T&amp;sp=SUqPGN3wOTPKfzF%2BMkGtlkg%3D%3D", "Work including Garbage collection and Separation from every house (Residential and Commercial), Road and Nali cleaning and community sanitation complex (CSC) cleaning in all the villages of Gram Panchayat PAGARA PS HINDOLI")</f>
        <v/>
      </c>
      <c r="C1981" t="inlineStr">
        <is>
          <t>Panchayati Raj Department||Secretary and Commissioner||CEO-BUNDI||BDO-HINDOLI</t>
        </is>
      </c>
      <c r="D1981" t="inlineStr">
        <is>
          <t>22-May-2025 06:00 PM</t>
        </is>
      </c>
      <c r="E1981" t="inlineStr">
        <is>
          <t>9,94,000</t>
        </is>
      </c>
      <c r="F1981" t="inlineStr">
        <is>
          <t>Work including Garbage collection and Separation from every house (Residential and Commercial), Road and Nali cleaning and community sanitation complex (CSC) cleaning in all the villages of Gram Panchayat PAGARA PS HINDOLI</t>
        </is>
      </c>
      <c r="G1981" t="inlineStr">
        <is>
          <t>GRAM PANCHAYAT PAGARA</t>
        </is>
      </c>
    </row>
    <row r="1982">
      <c r="A1982" s="1" t="n">
        <v>1980</v>
      </c>
      <c r="B1982">
        <f>HYPERLINK("https://eproc.rajasthan.gov.in/nicgep/app?component=%24DirectLink&amp;page=FrontEndViewTender&amp;service=direct&amp;session=T&amp;sp=SAqHZRqAT8W5qIANh1ViHEA%3D%3D", "Work including Garbage collection and Separation from every house (Residential and Commercial), Road and Nali cleaning and community sanitation complex (CSC) cleaning in all the villages of Gram Panchayat PETCH KI BAVDI PS HINDOLI")</f>
        <v/>
      </c>
      <c r="C1982" t="inlineStr">
        <is>
          <t>Panchayati Raj Department||Secretary and Commissioner||CEO-BUNDI||BDO-HINDOLI</t>
        </is>
      </c>
      <c r="D1982" t="inlineStr">
        <is>
          <t>22-May-2025 06:00 PM</t>
        </is>
      </c>
      <c r="E1982" t="inlineStr">
        <is>
          <t>19,98,000</t>
        </is>
      </c>
      <c r="F1982" t="inlineStr">
        <is>
          <t>Work including Garbage collection and Separation from every house (Residential and Commercial), Road and Nali cleaning and community sanitation complex (CSC) cleaning in all the villages of Gram Panchayat PETCH KI BAVDI PS HINDOLI</t>
        </is>
      </c>
      <c r="G1982" t="inlineStr">
        <is>
          <t>GRAM PANCHAYAT PETCH KI BAVDI</t>
        </is>
      </c>
    </row>
    <row r="1983">
      <c r="A1983" s="1" t="n">
        <v>1981</v>
      </c>
      <c r="B1983">
        <f>HYPERLINK("https://eproc.rajasthan.gov.in/nicgep/app?component=%24DirectLink&amp;page=FrontEndViewTender&amp;service=direct&amp;session=T&amp;sp=S2JyS1pjpr2T6BQJXd3vCuA%3D%3D", "Work including Garbage collection and Separation from every house (Residential and Commercial), Road and Nali cleaning and community sanitation complex (CSC) cleaning in all the villages of Gram Panchayat RAMCHANDARJI KA KHEDA PS HINDOLI")</f>
        <v/>
      </c>
      <c r="C1983" t="inlineStr">
        <is>
          <t>Panchayati Raj Department||Secretary and Commissioner||CEO-BUNDI||BDO-HINDOLI</t>
        </is>
      </c>
      <c r="D1983" t="inlineStr">
        <is>
          <t>22-May-2025 06:00 PM</t>
        </is>
      </c>
      <c r="E1983" t="inlineStr">
        <is>
          <t>9,98,000</t>
        </is>
      </c>
      <c r="F1983" t="inlineStr">
        <is>
          <t>Work including Garbage collection and Separation from every house (Residential and Commercial), Road and Nali cleaning and community sanitation complex (CSC) cleaning in all the villages of Gram Panchayat RAMCHANDARJI KA KHEDA PS HINDOLI</t>
        </is>
      </c>
      <c r="G1983" t="inlineStr">
        <is>
          <t>GRAM PANCHAYAT RAMCHANDARJI KA KHEDA</t>
        </is>
      </c>
    </row>
    <row r="1984">
      <c r="A1984" s="1" t="n">
        <v>1982</v>
      </c>
      <c r="B1984">
        <f>HYPERLINK("https://eproc.rajasthan.gov.in/nicgep/app?component=%24DirectLink&amp;page=FrontEndViewTender&amp;service=direct&amp;session=T&amp;sp=ScACB0cQL5kxNueE9DHqLyA%3D%3D", "Work including Garbage collection and Separation from every house (Residential and Commercial), Road and Nali cleaning and community sanitation complex (CSC) cleaning in all the villages of Gram Panchayat RANIPURA PS HINDOLI")</f>
        <v/>
      </c>
      <c r="C1984" t="inlineStr">
        <is>
          <t>Panchayati Raj Department||Secretary and Commissioner||CEO-BUNDI||BDO-HINDOLI</t>
        </is>
      </c>
      <c r="D1984" t="inlineStr">
        <is>
          <t>22-May-2025 06:00 PM</t>
        </is>
      </c>
      <c r="E1984" t="inlineStr">
        <is>
          <t>9,99,000</t>
        </is>
      </c>
      <c r="F1984" t="inlineStr">
        <is>
          <t>Work including Garbage collection and Separation from every house (Residential and Commercial), Road and Nali cleaning and community sanitation complex (CSC) cleaning in all the villages of Gram Panchayat RANIPURA PS HINDOLI</t>
        </is>
      </c>
      <c r="G1984" t="inlineStr">
        <is>
          <t>GRAM PANCHAYAT RANIPURA</t>
        </is>
      </c>
    </row>
    <row r="1985">
      <c r="A1985" s="1" t="n">
        <v>1983</v>
      </c>
      <c r="B1985">
        <f>HYPERLINK("https://eproc.rajasthan.gov.in/nicgep/app?component=%24DirectLink&amp;page=FrontEndViewTender&amp;service=direct&amp;session=T&amp;sp=SuxsiKnlmNhaNKvDcjBTV6Q%3D%3D", "Work including Garbage collection and Separation from every house (Residential and Commercial), Road and Nali cleaning and community sanitation complex (CSC) cleaning in all the villages of Gram Panchayat RONIJA PS HINDOLI")</f>
        <v/>
      </c>
      <c r="C1985" t="inlineStr">
        <is>
          <t>Panchayati Raj Department||Secretary and Commissioner||CEO-BUNDI||BDO-HINDOLI</t>
        </is>
      </c>
      <c r="D1985" t="inlineStr">
        <is>
          <t>22-May-2025 06:00 PM</t>
        </is>
      </c>
      <c r="E1985" t="inlineStr">
        <is>
          <t>9,99,000</t>
        </is>
      </c>
      <c r="F1985" t="inlineStr">
        <is>
          <t>Work including Garbage collection and Separation from every house (Residential and Commercial), Road and Nali cleaning and community sanitation complex (CSC) cleaning in all the villages of Gram Panchayat RONIJA PS HINDOLI</t>
        </is>
      </c>
      <c r="G1985" t="inlineStr">
        <is>
          <t>GRAM PANCHAYATRONIJA</t>
        </is>
      </c>
    </row>
    <row r="1986">
      <c r="A1986" s="1" t="n">
        <v>1984</v>
      </c>
      <c r="B1986">
        <f>HYPERLINK("https://eproc.rajasthan.gov.in/nicgep/app?component=%24DirectLink&amp;page=FrontEndViewTender&amp;service=direct&amp;session=T&amp;sp=SGeskgTuDQQIK1kYUCDmKeg%3D%3D", "Work including Garbage collection and Separation from every house (Residential and Commercial), Road and Nali cleaning and community sanitation complex (CSC) cleaning in all the villages of Gram Panchayat ROSHANDA PS HINDOLI")</f>
        <v/>
      </c>
      <c r="C1986" t="inlineStr">
        <is>
          <t>Panchayati Raj Department||Secretary and Commissioner||CEO-BUNDI||BDO-HINDOLI</t>
        </is>
      </c>
      <c r="D1986" t="inlineStr">
        <is>
          <t>22-May-2025 06:00 PM</t>
        </is>
      </c>
      <c r="E1986" t="inlineStr">
        <is>
          <t>14,97,000</t>
        </is>
      </c>
      <c r="F1986" t="inlineStr">
        <is>
          <t>Work including Garbage collection and Separation from every house (Residential and Commercial), Road and Nali cleaning and community sanitation complex (CSC) cleaning in all the villages of Gram Panchayat ROSHANDA PS HINDOLI</t>
        </is>
      </c>
      <c r="G1986" t="inlineStr">
        <is>
          <t>GRAM PANCHAYAT ROSHANDA</t>
        </is>
      </c>
    </row>
    <row r="1987">
      <c r="A1987" s="1" t="n">
        <v>1985</v>
      </c>
      <c r="B1987">
        <f>HYPERLINK("https://eproc.rajasthan.gov.in/nicgep/app?component=%24DirectLink&amp;page=FrontEndViewTender&amp;service=direct&amp;session=T&amp;sp=S25rQOhFVGie%2FThVbzQn85A%3D%3D", "Work including Garbage collection and Separation from every house (Residential and Commercial), Road and Nali cleaning and community sanitation complex (CSC) cleaning in all the villages of Gram Panchayat SAHASPURIYA PS HINDOLI")</f>
        <v/>
      </c>
      <c r="C1987" t="inlineStr">
        <is>
          <t>Panchayati Raj Department||Secretary and Commissioner||CEO-BUNDI||BDO-HINDOLI</t>
        </is>
      </c>
      <c r="D1987" t="inlineStr">
        <is>
          <t>22-May-2025 06:00 PM</t>
        </is>
      </c>
      <c r="E1987" t="inlineStr">
        <is>
          <t>9,99,000</t>
        </is>
      </c>
      <c r="F1987" t="inlineStr">
        <is>
          <t>Work including Garbage collection and Separation from every house (Residential and Commercial), Road and Nali cleaning and community sanitation complex (CSC) cleaning in all the villages of Gram Panchayat SAHASPURIYA PS HINDOLI</t>
        </is>
      </c>
      <c r="G1987" t="inlineStr">
        <is>
          <t>GRAM PANCHAYAT SAHASPURIYA</t>
        </is>
      </c>
    </row>
    <row r="1988">
      <c r="A1988" s="1" t="n">
        <v>1986</v>
      </c>
      <c r="B1988">
        <f>HYPERLINK("https://eproc.rajasthan.gov.in/nicgep/app?component=%24DirectLink&amp;page=FrontEndViewTender&amp;service=direct&amp;session=T&amp;sp=Sy2I%2BmGa2droG2GrO6mifrw%3D%3D", "Work including Garbage collection and Separation from every house (Residential and Commercial), Road and Nali cleaning and community sanitation complex (CSC) cleaning in all the villages of Gram Panchayat SAWATGARH PS HINDOLI")</f>
        <v/>
      </c>
      <c r="C1988" t="inlineStr">
        <is>
          <t>Panchayati Raj Department||Secretary and Commissioner||CEO-BUNDI||BDO-HINDOLI</t>
        </is>
      </c>
      <c r="D1988" t="inlineStr">
        <is>
          <t>22-May-2025 06:00 PM</t>
        </is>
      </c>
      <c r="E1988" t="inlineStr">
        <is>
          <t>9,99,000</t>
        </is>
      </c>
      <c r="F1988" t="inlineStr">
        <is>
          <t>Work including Garbage collection and Separation from every house (Residential and Commercial), Road and Nali cleaning and community sanitation complex (CSC) cleaning in all the villages of Gram Panchayat SAWATGARH PS HINDOLI</t>
        </is>
      </c>
      <c r="G1988" t="inlineStr">
        <is>
          <t>GRAM PANCHAYAT SAWATGARH</t>
        </is>
      </c>
    </row>
    <row r="1989">
      <c r="A1989" s="1" t="n">
        <v>1987</v>
      </c>
      <c r="B1989">
        <f>HYPERLINK("https://eproc.rajasthan.gov.in/nicgep/app?component=%24DirectLink&amp;page=FrontEndViewTender&amp;service=direct&amp;session=T&amp;sp=SD0vO83d9CAs5ia9do3W4MQ%3D%3D", "Work including Garbage collection and Separation from every house (Residential and Commercial), Road and Nali cleaning and community sanitation complex (CSC) cleaning in all the villages of Gram Panchayat SATHOOR PS HINDOLI")</f>
        <v/>
      </c>
      <c r="C1989" t="inlineStr">
        <is>
          <t>Panchayati Raj Department||Secretary and Commissioner||CEO-BUNDI||BDO-HINDOLI</t>
        </is>
      </c>
      <c r="D1989" t="inlineStr">
        <is>
          <t>22-May-2025 06:00 PM</t>
        </is>
      </c>
      <c r="E1989" t="inlineStr">
        <is>
          <t>17,91,999</t>
        </is>
      </c>
      <c r="F1989" t="inlineStr">
        <is>
          <t>Work including Garbage collection and Separation from every house (Residential and Commercial), Road and Nali cleaning and community sanitation complex (CSC) cleaning in all the villages of Gram Panchayat SATHOOR PS HINDOLI</t>
        </is>
      </c>
      <c r="G1989" t="inlineStr">
        <is>
          <t>GRAM PANCHAYAT SATHOOR</t>
        </is>
      </c>
    </row>
    <row r="1990">
      <c r="A1990" s="1" t="n">
        <v>1988</v>
      </c>
      <c r="B1990">
        <f>HYPERLINK("https://eproc.rajasthan.gov.in/nicgep/app?component=%24DirectLink&amp;page=FrontEndViewTender&amp;service=direct&amp;session=T&amp;sp=SlmVeGsYad%2BknJWSqUzCZXw%3D%3D", "Work including Garbage collection and Separation from every house (Residential and Commercial), Road and Nali cleaning and community sanitation complex (CSC) cleaning in all the villages of Gram Panchayat TALABGAOV PS HINDOLI")</f>
        <v/>
      </c>
      <c r="C1990" t="inlineStr">
        <is>
          <t>Panchayati Raj Department||Secretary and Commissioner||CEO-BUNDI||BDO-HINDOLI</t>
        </is>
      </c>
      <c r="D1990" t="inlineStr">
        <is>
          <t>22-May-2025 06:00 PM</t>
        </is>
      </c>
      <c r="E1990" t="inlineStr">
        <is>
          <t>14,96,998</t>
        </is>
      </c>
      <c r="F1990" t="inlineStr">
        <is>
          <t>Work including Garbage collection and Separation from every house (Residential and Commercial), Road and Nali cleaning and community sanitation complex (CSC) cleaning in all the villages of Gram Panchayat TALABGAOV PS HINDOLI</t>
        </is>
      </c>
      <c r="G1990" t="inlineStr">
        <is>
          <t>GRAM PANCHAYAT TALABGAOV</t>
        </is>
      </c>
    </row>
    <row r="1991">
      <c r="A1991" s="1" t="n">
        <v>1989</v>
      </c>
      <c r="B1991">
        <f>HYPERLINK("https://eproc.rajasthan.gov.in/nicgep/app?component=%24DirectLink&amp;page=FrontEndViewTender&amp;service=direct&amp;session=T&amp;sp=S3KdVmla%2FHJJCT54ju9FYEg%3D%3D", "Work including Garbage collection and Separation from every house (Residential and Commercial), Road and Nali cleaning and community sanitation complex (CSC) cleaning in all the villages of Gram Panchayat THANA PS HINDOLI")</f>
        <v/>
      </c>
      <c r="C1991" t="inlineStr">
        <is>
          <t>Panchayati Raj Department||Secretary and Commissioner||CEO-BUNDI||BDO-HINDOLI</t>
        </is>
      </c>
      <c r="D1991" t="inlineStr">
        <is>
          <t>22-May-2025 06:00 PM</t>
        </is>
      </c>
      <c r="E1991" t="inlineStr">
        <is>
          <t>14,97,000</t>
        </is>
      </c>
      <c r="F1991" t="inlineStr">
        <is>
          <t>Work including Garbage collection and Separation from every house (Residential and Commercial), Road and Nali cleaning and community sanitation complex (CSC) cleaning in all the villages of Gram Panchayat THANA PS HINDOLI</t>
        </is>
      </c>
      <c r="G1991" t="inlineStr">
        <is>
          <t>GRAM PANCHAYAT THANA</t>
        </is>
      </c>
    </row>
    <row r="1992">
      <c r="A1992" s="1" t="n">
        <v>1990</v>
      </c>
      <c r="B1992">
        <f>HYPERLINK("https://eproc.rajasthan.gov.in/nicgep/app?component=%24DirectLink&amp;page=FrontEndViewTender&amp;service=direct&amp;session=T&amp;sp=Sizf7uINVt4GxIEJUu%2Ba%2Fjg%3D%3D", "Work including Garbage collection and Separation from every house (Residential and Commercial), Road and Nali cleaning and community sanitation complex (CSC) cleaning in all the villages of Gram Panchayat THIKARDA PS HINDOLI")</f>
        <v/>
      </c>
      <c r="C1992" t="inlineStr">
        <is>
          <t>Panchayati Raj Department||Secretary and Commissioner||CEO-BUNDI||BDO-HINDOLI</t>
        </is>
      </c>
      <c r="D1992" t="inlineStr">
        <is>
          <t>22-May-2025 06:00 PM</t>
        </is>
      </c>
      <c r="E1992" t="inlineStr">
        <is>
          <t>17,01,000</t>
        </is>
      </c>
      <c r="F1992" t="inlineStr">
        <is>
          <t>Work including Garbage collection and Separation from every house (Residential and Commercial), Road and Nali cleaning and community sanitation complex (CSC) cleaning in all the villages of Gram Panchayat THIKARDA PS HINDOLI</t>
        </is>
      </c>
      <c r="G1992" t="inlineStr">
        <is>
          <t>GRAM PANCHAYAT THIKARDA</t>
        </is>
      </c>
    </row>
    <row r="1993">
      <c r="A1993" s="1" t="n">
        <v>1991</v>
      </c>
      <c r="B1993">
        <f>HYPERLINK("https://eproc.rajasthan.gov.in/nicgep/app?component=%24DirectLink&amp;page=FrontEndViewTender&amp;service=direct&amp;session=T&amp;sp=S4JxlbCcp8JFTtspiufhxkw%3D%3D", "Work including Garbage collection and Separation from every house (Residential and Commercial), Road and Nali cleaning and community sanitation complex (CSC) cleaning in all the villages of Gram Panchayat KHINIYA PS HINDOLI")</f>
        <v/>
      </c>
      <c r="C1993" t="inlineStr">
        <is>
          <t>Panchayati Raj Department||Secretary and Commissioner||CEO-BUNDI||BDO-HINDOLI</t>
        </is>
      </c>
      <c r="D1993" t="inlineStr">
        <is>
          <t>22-May-2025 06:00 PM</t>
        </is>
      </c>
      <c r="E1993" t="inlineStr">
        <is>
          <t>9,98,000</t>
        </is>
      </c>
      <c r="F1993" t="inlineStr">
        <is>
          <t>Work including Garbage collection and Separation from every house (Residential and Commercial), Road and Nali cleaning and community sanitation complex (CSC) cleaning in all the villages of Gram Panchayat KHINIYA PS HINDOLI</t>
        </is>
      </c>
      <c r="G1993" t="inlineStr">
        <is>
          <t>GRAM PANCHAYAT KHINIYA</t>
        </is>
      </c>
    </row>
    <row r="1994">
      <c r="A1994" s="1" t="n">
        <v>1992</v>
      </c>
      <c r="B1994">
        <f>HYPERLINK("https://eproc.rajasthan.gov.in/nicgep/app?component=%24DirectLink&amp;page=FrontEndViewTender&amp;service=direct&amp;session=T&amp;sp=SUjYKEjFfItqhg8u51wPJHQ%3D%3D", "Work including Garbage collection and Separation from every house (Residential and Commercial), Road and Nali cleaning and community sanitation complex (CSC) cleaning in all the villages of Gram Panchayat KACHOLA PS HINDOLI")</f>
        <v/>
      </c>
      <c r="C1994" t="inlineStr">
        <is>
          <t>Panchayati Raj Department||Secretary and Commissioner||CEO-BUNDI||BDO-HINDOLI</t>
        </is>
      </c>
      <c r="D1994" t="inlineStr">
        <is>
          <t>22-May-2025 06:00 PM</t>
        </is>
      </c>
      <c r="E1994" t="inlineStr">
        <is>
          <t>9,99,000</t>
        </is>
      </c>
      <c r="F1994" t="inlineStr">
        <is>
          <t>Work including Garbage collection and Separation from every house (Residential and Commercial), Road and Nali cleaning and community sanitation complex (CSC) cleaning in all the villages of Gram Panchayat KACHOLA PS HINDOLI</t>
        </is>
      </c>
      <c r="G1994" t="inlineStr">
        <is>
          <t>GRAM PANCHAYAT KACHOLA</t>
        </is>
      </c>
    </row>
    <row r="1995">
      <c r="A1995" s="1" t="n">
        <v>1993</v>
      </c>
      <c r="B1995">
        <f>HYPERLINK("https://eproc.rajasthan.gov.in/nicgep/app?component=%24DirectLink&amp;page=FrontEndViewTender&amp;service=direct&amp;session=T&amp;sp=ShGIwiHweMY2fVsEfCJUV1A%3D%3D", "Work including Garbage collection and Separation from every house (Residential and Commercial), Road and Nali cleaning and community sanitation complex (CSC) cleaning in all the villages of Gram Panchayat GUDDA GOKULPURA PS HINDOLI")</f>
        <v/>
      </c>
      <c r="C1995" t="inlineStr">
        <is>
          <t>Panchayati Raj Department||Secretary and Commissioner||CEO-BUNDI||BDO-HINDOLI</t>
        </is>
      </c>
      <c r="D1995" t="inlineStr">
        <is>
          <t>22-May-2025 06:00 PM</t>
        </is>
      </c>
      <c r="E1995" t="inlineStr">
        <is>
          <t>9,99,000</t>
        </is>
      </c>
      <c r="F1995" t="inlineStr">
        <is>
          <t>Work including Garbage collection and Separation from every house (Residential and Commercial), Road and Nali cleaning and community sanitation complex (CSC) cleaning in all the villages of Gram Panchayat GUDDA GOKULPURA PS HINDOLI</t>
        </is>
      </c>
      <c r="G1995" t="inlineStr">
        <is>
          <t>GRAM PANCHAYAT GUDDA GOKULPURA</t>
        </is>
      </c>
    </row>
    <row r="1996">
      <c r="A1996" s="1" t="n">
        <v>1994</v>
      </c>
      <c r="B1996">
        <f>HYPERLINK("https://eproc.rajasthan.gov.in/nicgep/app?component=%24DirectLink&amp;page=FrontEndViewTender&amp;service=direct&amp;session=T&amp;sp=SINUt31rJaJfVDDnwjv%2B19A%3D%3D", "Work including Garbage collection and Separation from every house (Residential and Commercial), Road and Nali cleaning and community sanitation complex (CSC) cleaning in all the villages of Gram Panchayat ALOD PS HINDOLI")</f>
        <v/>
      </c>
      <c r="C1996" t="inlineStr">
        <is>
          <t>Panchayati Raj Department||Secretary and Commissioner||CEO-BUNDI||BDO-HINDOLI</t>
        </is>
      </c>
      <c r="D1996" t="inlineStr">
        <is>
          <t>22-May-2025 06:00 PM</t>
        </is>
      </c>
      <c r="E1996" t="inlineStr">
        <is>
          <t>15,98,000</t>
        </is>
      </c>
      <c r="F1996" t="inlineStr">
        <is>
          <t>Work including Garbage collection and Separation from every house (Residential and Commercial), Road and Nali cleaning and community sanitation complex (CSC) cleaning in all the villages of Gram Panchayat ALOD PS HINDOLI</t>
        </is>
      </c>
      <c r="G1996" t="inlineStr">
        <is>
          <t>GRAM PANCHAYAT ALOD</t>
        </is>
      </c>
    </row>
    <row r="1997">
      <c r="A1997" s="1" t="n">
        <v>1995</v>
      </c>
      <c r="B1997">
        <f>HYPERLINK("https://eproc.rajasthan.gov.in/nicgep/app?component=%24DirectLink&amp;page=FrontEndViewTender&amp;service=direct&amp;session=T&amp;sp=Sduwqva912H7Mo%2FUa8jROOA%3D%3D", "GRAM PANCHAYAT KESMAST GAAWO ME GHAR-GHAR AAWASIYE OR VAYVASAYIK SE KACHRA SANGRAHAN AND PRATHAKKARAN OR SADAK OR NALI SAFAI AND SAMUDAYIK SWACHCHTA PARISAR KI SAFAI SAHIT WORK AKAWADKHURADA")</f>
        <v/>
      </c>
      <c r="C1997" t="inlineStr">
        <is>
          <t>Panchayati Raj Department||Secretary and Commissioner||CEO- JHALAWAR||BDO-KHANPUR</t>
        </is>
      </c>
      <c r="D1997" t="inlineStr">
        <is>
          <t>19-May-2025 05:00 PM</t>
        </is>
      </c>
      <c r="E1997" t="inlineStr">
        <is>
          <t>6,45,500</t>
        </is>
      </c>
      <c r="F1997" t="inlineStr">
        <is>
          <t>GRAM PANCHAYAT KESMAST GAAWO ME GHAR-GHAR AAWASIYE OR VAYVASAYIK SE KACHRA SANGRAHAN AND PRATHAKKARAN OR SADAK OR NALI SAFAI AND SAMUDAYIK SWACHCHTA PARISAR KI SAFAI SAHIT WORK AKAWADKHURADA</t>
        </is>
      </c>
      <c r="G1997" t="inlineStr">
        <is>
          <t>JHALAWAR</t>
        </is>
      </c>
    </row>
    <row r="1998">
      <c r="A1998" s="1" t="n">
        <v>1996</v>
      </c>
      <c r="B1998">
        <f>HYPERLINK("https://eproc.rajasthan.gov.in/nicgep/app?component=%24DirectLink&amp;page=FrontEndViewTender&amp;service=direct&amp;session=T&amp;sp=SNiYX6P3p%2F%2Br3mUy7zv%2FRXA%3D%3D", "Cleaning and Sanitary Services in Gram Panchayat GP Motisara PS Payala Kala")</f>
        <v/>
      </c>
      <c r="C1998" t="inlineStr">
        <is>
          <t>Panchayati Raj Department||Secretary and Commissioner||CEO-BADMER</t>
        </is>
      </c>
      <c r="D1998" t="inlineStr">
        <is>
          <t>24-May-2025 05:00 PM</t>
        </is>
      </c>
      <c r="E1998" t="inlineStr">
        <is>
          <t>5,89,088</t>
        </is>
      </c>
      <c r="F1998" t="inlineStr">
        <is>
          <t>Cleaning and Sanitary Services in Gram Panchayat GP Motisara PS Payala Kala</t>
        </is>
      </c>
      <c r="G1998" t="inlineStr">
        <is>
          <t>GP Motisara</t>
        </is>
      </c>
    </row>
    <row r="1999">
      <c r="A1999" s="1" t="n">
        <v>1997</v>
      </c>
      <c r="B1999">
        <f>HYPERLINK("https://eproc.rajasthan.gov.in/nicgep/app?component=%24DirectLink&amp;page=FrontEndViewTender&amp;service=direct&amp;session=T&amp;sp=S2g3i55wzaSaoO35m%2FhaP2g%3D%3D", "Work including Garbage collection and Separation from every house (Residential and Commercial), Road and Nali cleaning and community sanitation complex (CSC) cleaning in all the villages of Gram Panchayat BADGAOV PS HINDOLI")</f>
        <v/>
      </c>
      <c r="C1999" t="inlineStr">
        <is>
          <t>Panchayati Raj Department||Secretary and Commissioner||CEO-BUNDI||BDO-HINDOLI</t>
        </is>
      </c>
      <c r="D1999" t="inlineStr">
        <is>
          <t>22-May-2025 06:00 PM</t>
        </is>
      </c>
      <c r="E1999" t="inlineStr">
        <is>
          <t>14,59,000</t>
        </is>
      </c>
      <c r="F1999" t="inlineStr">
        <is>
          <t>Work including Garbage collection and Separation from every house (Residential and Commercial), Road and Nali cleaning and community sanitation complex (CSC) cleaning in all the villages of Gram Panchayat BADGAOV PS HINDOLI</t>
        </is>
      </c>
      <c r="G1999" t="inlineStr">
        <is>
          <t>GRAM PANCHAYAT BADGAOV</t>
        </is>
      </c>
    </row>
    <row r="2000">
      <c r="A2000" s="1" t="n">
        <v>1998</v>
      </c>
      <c r="B2000">
        <f>HYPERLINK("https://eproc.rajasthan.gov.in/nicgep/app?component=%24DirectLink&amp;page=FrontEndViewTender&amp;service=direct&amp;session=T&amp;sp=SN60Hp%2FfdKQG7AGEy49nOEA%3D%3D", "Work including Garbage collection and Separation from every house (Residential and Commercial), Road and Nali cleaning and community sanitation complex (CSC) cleaning in all the villages of Gram Panchayat GUDDABANDH PS HINDOLI")</f>
        <v/>
      </c>
      <c r="C2000" t="inlineStr">
        <is>
          <t>Panchayati Raj Department||Secretary and Commissioner||CEO-BUNDI||BDO-HINDOLI</t>
        </is>
      </c>
      <c r="D2000" t="inlineStr">
        <is>
          <t>22-May-2025 06:00 PM</t>
        </is>
      </c>
      <c r="E2000" t="inlineStr">
        <is>
          <t>11,43,000</t>
        </is>
      </c>
      <c r="F2000" t="inlineStr">
        <is>
          <t>Work including Garbage collection and Separation from every house (Residential and Commercial), Road and Nali cleaning and community sanitation complex (CSC) cleaning in all the villages of Gram Panchayat GUDDABANDH PS HINDOLI</t>
        </is>
      </c>
      <c r="G2000" t="inlineStr">
        <is>
          <t>GRAM PANCHAYAT GUDDABANDH</t>
        </is>
      </c>
    </row>
    <row r="2001">
      <c r="A2001" s="1" t="n">
        <v>1999</v>
      </c>
      <c r="B2001">
        <f>HYPERLINK("https://eproc.rajasthan.gov.in/nicgep/app?component=%24DirectLink&amp;page=FrontEndViewTender&amp;service=direct&amp;session=T&amp;sp=Scf5pHnHvKty1OIZNyCUN1Q%3D%3D", "Work including Garbage collection and Separation from every house (Residential and Commercial), Road and Nali cleaning and community sanitation complex (CSC) cleaning in all the villages of Gram Panchayat GOTHADA PS HINDOLI")</f>
        <v/>
      </c>
      <c r="C2001" t="inlineStr">
        <is>
          <t>Panchayati Raj Department||Secretary and Commissioner||CEO-BUNDI||BDO-HINDOLI</t>
        </is>
      </c>
      <c r="D2001" t="inlineStr">
        <is>
          <t>22-May-2025 06:00 PM</t>
        </is>
      </c>
      <c r="E2001" t="inlineStr">
        <is>
          <t>14,98,000</t>
        </is>
      </c>
      <c r="F2001" t="inlineStr">
        <is>
          <t>Work including Garbage collection and Separation from every house (Residential and Commercial), Road and Nali cleaning and community sanitation complex (CSC) cleaning in all the villages of Gram Panchayat GOTHADA PS HINDOLI</t>
        </is>
      </c>
      <c r="G2001" t="inlineStr">
        <is>
          <t>GRAM PANCHAYAT GOTHADA</t>
        </is>
      </c>
    </row>
    <row r="2002">
      <c r="A2002" s="1" t="n">
        <v>2000</v>
      </c>
      <c r="B2002">
        <f>HYPERLINK("https://eproc.rajasthan.gov.in/nicgep/app?component=%24DirectLink&amp;page=FrontEndViewTender&amp;service=direct&amp;session=T&amp;sp=SUc2lq8lxGg%2FJxNy6FrNT7A%3D%3D", "Work including Garbage collection and Separation from every house (Residential and Commercial), Road and Nali cleaning and community sanitation complex (CSC) cleaning in all the villages of Gram Panchayat ANANTGANJ PS HINDOLI")</f>
        <v/>
      </c>
      <c r="C2002" t="inlineStr">
        <is>
          <t>Panchayati Raj Department||Secretary and Commissioner||CEO-BUNDI||BDO-HINDOLI</t>
        </is>
      </c>
      <c r="D2002" t="inlineStr">
        <is>
          <t>22-May-2025 06:00 PM</t>
        </is>
      </c>
      <c r="E2002" t="inlineStr">
        <is>
          <t>9,98,000</t>
        </is>
      </c>
      <c r="F2002" t="inlineStr">
        <is>
          <t>Work including Garbage collection and Separation from every house (Residential and Commercial), Road and Nali cleaning and community sanitation complex (CSC) cleaning in all the villages of Gram Panchayat ANANTGANJ PS HINDOLI</t>
        </is>
      </c>
      <c r="G2002" t="inlineStr">
        <is>
          <t>GRAM PANCHAYAT ANANTGANJ</t>
        </is>
      </c>
    </row>
    <row r="2003">
      <c r="A2003" s="1" t="n">
        <v>2001</v>
      </c>
      <c r="B2003">
        <f>HYPERLINK("https://eproc.rajasthan.gov.in/nicgep/app?component=%24DirectLink&amp;page=FrontEndViewTender&amp;service=direct&amp;session=T&amp;sp=Sr3HP7JzEd7dsVzRd42JM1Q%3D%3D", "GRAM PANCHAYAT KESMAST GAAWO ME GHAR-GHAR AAWASIYE OR VAYVASAYIK SE KACHRA SANGRAHAN AND PRATHAKKARAN OR SADAK OR NALI SAFAI AND SAMUDAYIK SWACHCHTA PARISAR KI SAFAI SAHIT WORK BAREDA")</f>
        <v/>
      </c>
      <c r="C2003" t="inlineStr">
        <is>
          <t>Panchayati Raj Department||Secretary and Commissioner||CEO- JHALAWAR||BDO-KHANPUR</t>
        </is>
      </c>
      <c r="D2003" t="inlineStr">
        <is>
          <t>19-May-2025 05:00 PM</t>
        </is>
      </c>
      <c r="E2003" t="inlineStr">
        <is>
          <t>9,75,250</t>
        </is>
      </c>
      <c r="F2003" t="inlineStr">
        <is>
          <t>GRAM PANCHAYAT KESMAST GAAWO ME GHAR-GHAR AAWASIYE OR VAYVASAYIK SE KACHRA SANGRAHAN AND PRATHAKKARAN OR SADAK OR NALI SAFAI AND SAMUDAYIK SWACHCHTA PARISAR KI SAFAI SAHIT WORK BAREDA</t>
        </is>
      </c>
      <c r="G2003" t="inlineStr">
        <is>
          <t>JHALAWAR</t>
        </is>
      </c>
    </row>
    <row r="2004">
      <c r="A2004" s="1" t="n">
        <v>2002</v>
      </c>
      <c r="B2004">
        <f>HYPERLINK("https://eproc.rajasthan.gov.in/nicgep/app?component=%24DirectLink&amp;page=FrontEndViewTender&amp;service=direct&amp;session=T&amp;sp=SgJYzyaZlEdOalkplAonxLg%3D%3D", "GRAM PANCHAYAT KESMAST GAAWO ME GHAR-GHAR AAWASIYE OR VAYVASAYIK SE KACHRA SANGRAHAN AND PRATHAKKARAN OR SADAK OR NALI SAFAI AND SAMUDAYIK SWACHCHTA PARISAR KI SAFAI SAHIT WORK DHANODAKALAN")</f>
        <v/>
      </c>
      <c r="C2004" t="inlineStr">
        <is>
          <t>Panchayati Raj Department||Secretary and Commissioner||CEO- JHALAWAR||BDO-KHANPUR</t>
        </is>
      </c>
      <c r="D2004" t="inlineStr">
        <is>
          <t>19-May-2025 05:00 PM</t>
        </is>
      </c>
      <c r="E2004" t="inlineStr">
        <is>
          <t>14,10,700</t>
        </is>
      </c>
      <c r="F2004" t="inlineStr">
        <is>
          <t>GRAM PANCHAYAT KESMAST GAAWO ME GHAR-GHAR AAWASIYE OR VAYVASAYIK SE KACHRA SANGRAHAN AND PRATHAKKARAN OR SADAK OR NALI SAFAI AND SAMUDAYIK SWACHCHTA PARISAR KI SAFAI SAHIT WORK DHANODAKALAN</t>
        </is>
      </c>
      <c r="G2004" t="inlineStr">
        <is>
          <t>JHALAWAR</t>
        </is>
      </c>
    </row>
    <row r="2005">
      <c r="A2005" s="1" t="n">
        <v>2003</v>
      </c>
      <c r="B2005">
        <f>HYPERLINK("https://eproc.rajasthan.gov.in/nicgep/app?component=%24DirectLink&amp;page=FrontEndViewTender&amp;service=direct&amp;session=T&amp;sp=SBsUEQlXT3MpRuOz9bkPNzw%3D%3D", "GRAM PANCHAYAT KESMAST GAAWO ME GHAR-GHAR AAWASIYE OR VAYVASAYIK SE KACHRA SANGRAHAN AND PRATHAKKARAN OR SADAK OR NALI SAFAI AND SAMUDAYIK SWACHCHTA PARISAR KI SAFAI SAHIT WORK BESAR")</f>
        <v/>
      </c>
      <c r="C2005" t="inlineStr">
        <is>
          <t>Panchayati Raj Department||Secretary and Commissioner||CEO- JHALAWAR||BDO-KHANPUR</t>
        </is>
      </c>
      <c r="D2005" t="inlineStr">
        <is>
          <t>19-May-2025 05:00 PM</t>
        </is>
      </c>
      <c r="E2005" t="inlineStr">
        <is>
          <t>11,76,900</t>
        </is>
      </c>
      <c r="F2005" t="inlineStr">
        <is>
          <t>GRAM PANCHAYAT KESMAST GAAWO ME GHAR-GHAR AAWASIYE OR VAYVASAYIK SE KACHRA SANGRAHAN AND PRATHAKKARAN OR SADAK OR NALI SAFAI AND SAMUDAYIK SWACHCHTA PARISAR KI SAFAI SAHIT WORK BESAR</t>
        </is>
      </c>
      <c r="G2005" t="inlineStr">
        <is>
          <t>JHALAWAR</t>
        </is>
      </c>
    </row>
    <row r="2006">
      <c r="A2006" s="1" t="n">
        <v>2004</v>
      </c>
      <c r="B2006">
        <f>HYPERLINK("https://eproc.rajasthan.gov.in/nicgep/app?component=%24DirectLink&amp;page=FrontEndViewTender&amp;service=direct&amp;session=T&amp;sp=SitJyt%2BGuNQczWx%2FT%2Fzlvwg%3D%3D", "GRAM PANCHAYAT KESMAST GAAWO ME GHAR-GHAR AAWASIYE OR VAYVASAYIK SE KACHRA SANGRAHAN AND PRATHAKKARAN OR SADAK OR NALI SAFAI AND SAMUDAYIK SWACHCHTA PARISAR KI SAFAI SAHIT WORK KANVALDA")</f>
        <v/>
      </c>
      <c r="C2006" t="inlineStr">
        <is>
          <t>Panchayati Raj Department||Secretary and Commissioner||CEO- JHALAWAR||BDO-KHANPUR</t>
        </is>
      </c>
      <c r="D2006" t="inlineStr">
        <is>
          <t>19-May-2025 05:00 PM</t>
        </is>
      </c>
      <c r="E2006" t="inlineStr">
        <is>
          <t>13,33,600</t>
        </is>
      </c>
      <c r="F2006" t="inlineStr">
        <is>
          <t>GRAM PANCHAYAT KESMAST GAAWO ME GHAR-GHAR AAWASIYE OR VAYVASAYIK SE KACHRA SANGRAHAN AND PRATHAKKARAN OR SADAK OR NALI SAFAI AND SAMUDAYIK SWACHCHTA PARISAR KI SAFAI SAHIT WORK KANVALDA</t>
        </is>
      </c>
      <c r="G2006" t="inlineStr">
        <is>
          <t>JHALAWAR</t>
        </is>
      </c>
    </row>
    <row r="2007">
      <c r="A2007" s="1" t="n">
        <v>2005</v>
      </c>
      <c r="B2007">
        <f>HYPERLINK("https://eproc.rajasthan.gov.in/nicgep/app?component=%24DirectLink&amp;page=FrontEndViewTender&amp;service=direct&amp;session=T&amp;sp=SVQ%2F9ajd1Ro9u%2Bm%2BHHn92Ww%3D%3D", "Work including Garbage collection and Separation from every house (Residential and Commercial), Road and Nali cleaning and community sanitation complex (CSC) cleaning in all the villages of Gram Panchayat DHOVADA PS HINDOLI")</f>
        <v/>
      </c>
      <c r="C2007" t="inlineStr">
        <is>
          <t>Panchayati Raj Department||Secretary and Commissioner||CEO-BUNDI||BDO-HINDOLI</t>
        </is>
      </c>
      <c r="D2007" t="inlineStr">
        <is>
          <t>22-May-2025 06:00 PM</t>
        </is>
      </c>
      <c r="E2007" t="inlineStr">
        <is>
          <t>9,99,000</t>
        </is>
      </c>
      <c r="F2007" t="inlineStr">
        <is>
          <t>Work including Garbage collection and Separation from every house (Residential and Commercial), Road and Nali cleaning and community sanitation complex (CSC) cleaning in all the villages of Gram Panchayat DHOVADA PS HINDOLI</t>
        </is>
      </c>
      <c r="G2007" t="inlineStr">
        <is>
          <t>GRAM PANCHAYAT DHOVADA</t>
        </is>
      </c>
    </row>
    <row r="2008">
      <c r="A2008" s="1" t="n">
        <v>2006</v>
      </c>
      <c r="B2008">
        <f>HYPERLINK("https://eproc.rajasthan.gov.in/nicgep/app?component=%24DirectLink&amp;page=FrontEndViewTender&amp;service=direct&amp;session=T&amp;sp=SKqN51NBlwbQvMnEg%2BL8V9Q%3D%3D", "Work including Garbage collection and Separation from every house (Residential and Commercial), Road and Nali cleaning and community sanitation complex (CSC) cleaning in all the villages of Gram Panchayat KHERKHATA PS HINDOLI")</f>
        <v/>
      </c>
      <c r="C2008" t="inlineStr">
        <is>
          <t>Panchayati Raj Department||Secretary and Commissioner||CEO-BUNDI||BDO-HINDOLI</t>
        </is>
      </c>
      <c r="D2008" t="inlineStr">
        <is>
          <t>22-May-2025 06:00 PM</t>
        </is>
      </c>
      <c r="E2008" t="inlineStr">
        <is>
          <t>9,98,000</t>
        </is>
      </c>
      <c r="F2008" t="inlineStr">
        <is>
          <t>Work including Garbage collection and Separation from every house (Residential and Commercial), Road and Nali cleaning and community sanitation complex (CSC) cleaning in all the villages of Gram Panchayat KHERKHATA PS HINDOLI</t>
        </is>
      </c>
      <c r="G2008" t="inlineStr">
        <is>
          <t>GRAM PANCHAYAT KHERKHATA</t>
        </is>
      </c>
    </row>
    <row r="2009">
      <c r="A2009" s="1" t="n">
        <v>2007</v>
      </c>
      <c r="B2009">
        <f>HYPERLINK("https://eproc.rajasthan.gov.in/nicgep/app?component=%24DirectLink&amp;page=FrontEndViewTender&amp;service=direct&amp;session=T&amp;sp=SaoKgN8%2FJrHD16R9FXImDhg%3D%3D", "Work including Garbage collection and Separation from every house (Residential and Commercial), Road and Nali cleaning and community sanitation complex (CSC) cleaning in all the villages of Gram Panchayat MANGLIKALA PS HINDOLI")</f>
        <v/>
      </c>
      <c r="C2009" t="inlineStr">
        <is>
          <t>Panchayati Raj Department||Secretary and Commissioner||CEO-BUNDI||BDO-HINDOLI</t>
        </is>
      </c>
      <c r="D2009" t="inlineStr">
        <is>
          <t>22-May-2025 06:00 PM</t>
        </is>
      </c>
      <c r="E2009" t="inlineStr">
        <is>
          <t>12,71,000</t>
        </is>
      </c>
      <c r="F2009" t="inlineStr">
        <is>
          <t>Work including Garbage collection and Separation from every house (Residential and Commercial), Road and Nali cleaning and community sanitation complex (CSC) cleaning in all the villages of Gram Panchayat MANGLIKALA PS HINDOLI</t>
        </is>
      </c>
      <c r="G2009" t="inlineStr">
        <is>
          <t>GRAM PANCHAYAT MANGLIKALA</t>
        </is>
      </c>
    </row>
    <row r="2010">
      <c r="A2010" s="1" t="n">
        <v>2008</v>
      </c>
      <c r="B2010">
        <f>HYPERLINK("https://eproc.rajasthan.gov.in/nicgep/app?component=%24DirectLink&amp;page=FrontEndViewTender&amp;service=direct&amp;session=T&amp;sp=SWuYeKe5H4nGW%2FagXC8A2DA%3D%3D", "Work including Garbage collection and Separation from every house (Residential and Commercial), Road and Nali cleaning and community sanitation complex (CSC) cleaning in all the villages of Gram Panchayat DATUNDA PS HINDOLI")</f>
        <v/>
      </c>
      <c r="C2010" t="inlineStr">
        <is>
          <t>Panchayati Raj Department||Secretary and Commissioner||CEO-BUNDI||BDO-HINDOLI</t>
        </is>
      </c>
      <c r="D2010" t="inlineStr">
        <is>
          <t>22-May-2025 06:00 PM</t>
        </is>
      </c>
      <c r="E2010" t="inlineStr">
        <is>
          <t>14,90,000</t>
        </is>
      </c>
      <c r="F2010" t="inlineStr">
        <is>
          <t>Work including Garbage collection and Separation from every house (Residential and Commercial), Road and Nali cleaning and community sanitation complex (CSC) cleaning in all the villages of Gram Panchayat DATUNDA PS HINDOLI</t>
        </is>
      </c>
      <c r="G2010" t="inlineStr">
        <is>
          <t>GRAM PANCHAYAT DATUNDA</t>
        </is>
      </c>
    </row>
    <row r="2011">
      <c r="A2011" s="1" t="n">
        <v>2009</v>
      </c>
      <c r="B2011">
        <f>HYPERLINK("https://eproc.rajasthan.gov.in/nicgep/app?component=%24DirectLink&amp;page=FrontEndViewTender&amp;service=direct&amp;session=T&amp;sp=SzK3aimgfFJrQuA39x%2FScMg%3D%3D", "GRAM PANCHAYAT KESMAST GAAWO ME GHAR-GHAR AAWASIYE OR VAYVASAYIK SE KACHRA SANGRAHAN AND PRATHAKKARAN OR SADAK OR NALI SAFAI AND SAMUDAYIK SWACHCHTA PARISAR KI SAFAI SAHIT WORK GADARWADANURJI")</f>
        <v/>
      </c>
      <c r="C2011" t="inlineStr">
        <is>
          <t>Panchayati Raj Department||Secretary and Commissioner||CEO- JHALAWAR||BDO-KHANPUR</t>
        </is>
      </c>
      <c r="D2011" t="inlineStr">
        <is>
          <t>19-May-2025 05:00 PM</t>
        </is>
      </c>
      <c r="E2011" t="inlineStr">
        <is>
          <t>19,83,200</t>
        </is>
      </c>
      <c r="F2011" t="inlineStr">
        <is>
          <t>GRAM PANCHAYAT KESMAST GAAWO ME GHAR-GHAR AAWASIYE OR VAYVASAYIK SE KACHRA SANGRAHAN AND PRATHAKKARAN OR SADAK OR NALI SAFAI AND SAMUDAYIK SWACHCHTA PARISAR KI SAFAI SAHIT WORK GADARWADANURJI</t>
        </is>
      </c>
      <c r="G2011" t="inlineStr">
        <is>
          <t>JHALAWAR</t>
        </is>
      </c>
    </row>
    <row r="2012">
      <c r="A2012" s="1" t="n">
        <v>2010</v>
      </c>
      <c r="B2012">
        <f>HYPERLINK("https://eproc.rajasthan.gov.in/nicgep/app?component=%24DirectLink&amp;page=FrontEndViewTender&amp;service=direct&amp;session=T&amp;sp=SvB5fc%2BQZR8z7XEQFwpeIgA%3D%3D", "Work including Garbage collection and Separation from every house (Residential and Commercial), Road and Nali cleaning and community sanitation complex (CSC) cleaning in all the villages of Gram Panchayat DABLANA PS HINDOLI")</f>
        <v/>
      </c>
      <c r="C2012" t="inlineStr">
        <is>
          <t>Panchayati Raj Department||Secretary and Commissioner||CEO-BUNDI||BDO-HINDOLI</t>
        </is>
      </c>
      <c r="D2012" t="inlineStr">
        <is>
          <t>22-May-2025 06:00 PM</t>
        </is>
      </c>
      <c r="E2012" t="inlineStr">
        <is>
          <t>15,89,000</t>
        </is>
      </c>
      <c r="F2012" t="inlineStr">
        <is>
          <t>Work including Garbage collection and Separation from every house (Residential and Commercial), Road and Nali cleaning and community sanitation complex (CSC) cleaning in all the villages of Gram Panchayat DABLANA PS HINDOLI</t>
        </is>
      </c>
      <c r="G2012" t="inlineStr">
        <is>
          <t>GRAM PANCHAYAT DABALANA</t>
        </is>
      </c>
    </row>
    <row r="2013">
      <c r="A2013" s="1" t="n">
        <v>2011</v>
      </c>
      <c r="B2013">
        <f>HYPERLINK("https://eproc.rajasthan.gov.in/nicgep/app?component=%24DirectLink&amp;page=FrontEndViewTender&amp;service=direct&amp;session=T&amp;sp=SGkmK7YIbEGjDW5xaKbjWig%3D%3D", "Gram Panchayat Madhogarh Me Mahatma Gandhi Nrega V Anya Yojnantargat Vikas Karyo ke Liye Nirman Samgri Apurti Ka Karya")</f>
        <v/>
      </c>
      <c r="C2013" t="inlineStr">
        <is>
          <t>Panchayati Raj Department||Secretary and Commissioner||CEO- JAIPUR||BDO-TUNGA</t>
        </is>
      </c>
      <c r="D2013" t="inlineStr">
        <is>
          <t>22-May-2025 06:00 PM</t>
        </is>
      </c>
      <c r="E2013" t="inlineStr">
        <is>
          <t>NA</t>
        </is>
      </c>
      <c r="F2013" t="inlineStr">
        <is>
          <t>Gram Panchayat Madhogarh Me Mahatma Gandhi Nrega V Anya Yojnantargat Vikas Karyo ke Liye Nirman Samgri Apurti Ka Karya</t>
        </is>
      </c>
      <c r="G2013" t="inlineStr">
        <is>
          <t>madhogarh</t>
        </is>
      </c>
    </row>
    <row r="2014">
      <c r="A2014" s="1" t="n">
        <v>2012</v>
      </c>
      <c r="B2014">
        <f>HYPERLINK("https://eproc.rajasthan.gov.in/nicgep/app?component=%24DirectLink&amp;page=FrontEndViewTender&amp;service=direct&amp;session=T&amp;sp=SisdDqFVfPp1Kl0oHKTkUxg%3D%3D", "GRAM PANCHAYAT KESMAST GAAWO ME GHAR-GHAR AAWASIYE OR VAYVASAYIK SE KACHRA SANGRAHAN AND PRATHAKKARAN OR SADAK OR NALI SAFAI AND SAMUDAYIK SWACHCHTA PARISAR KI SAFAI SAHIT WORK MUNDLA")</f>
        <v/>
      </c>
      <c r="C2014" t="inlineStr">
        <is>
          <t>Panchayati Raj Department||Secretary and Commissioner||CEO- JHALAWAR||BDO-KHANPUR</t>
        </is>
      </c>
      <c r="D2014" t="inlineStr">
        <is>
          <t>19-May-2025 05:00 PM</t>
        </is>
      </c>
      <c r="E2014" t="inlineStr">
        <is>
          <t>19,75,500</t>
        </is>
      </c>
      <c r="F2014" t="inlineStr">
        <is>
          <t>GRAM PANCHAYAT KESMAST GAAWO ME GHAR-GHAR AAWASIYE OR VAYVASAYIK SE KACHRA SANGRAHAN AND PRATHAKKARAN OR SADAK OR NALI SAFAI AND SAMUDAYIK SWACHCHTA PARISAR KI SAFAI SAHIT WORK MUNDLA</t>
        </is>
      </c>
      <c r="G2014" t="inlineStr">
        <is>
          <t>JHALAWAR</t>
        </is>
      </c>
    </row>
    <row r="2015">
      <c r="A2015" s="1" t="n">
        <v>2013</v>
      </c>
      <c r="B2015">
        <f>HYPERLINK("https://eproc.rajasthan.gov.in/nicgep/app?component=%24DirectLink&amp;page=FrontEndViewTender&amp;service=direct&amp;session=T&amp;sp=S5Vaxh7oCvhGjU7S3CN6K%2Fg%3D%3D", "GRAM PANCHAYAT KESMAST GAAWO ME GHAR-GHAR AAWASIYE OR VAYVASAYIK SE KACHRA SANGRAHAN AND PRATHAKKARAN OR SADAK OR NALI SAFAI AND SAMUDAYIK SWACHCHTA PARISAR KI SAFAI SAHIT WORK GOLANA")</f>
        <v/>
      </c>
      <c r="C2015" t="inlineStr">
        <is>
          <t>Panchayati Raj Department||Secretary and Commissioner||CEO- JHALAWAR||BDO-KHANPUR</t>
        </is>
      </c>
      <c r="D2015" t="inlineStr">
        <is>
          <t>19-May-2025 05:00 PM</t>
        </is>
      </c>
      <c r="E2015" t="inlineStr">
        <is>
          <t>9,81,940</t>
        </is>
      </c>
      <c r="F2015" t="inlineStr">
        <is>
          <t>GRAM PANCHAYAT KESMAST GAAWO ME GHAR-GHAR AAWASIYE OR VAYVASAYIK SE KACHRA SANGRAHAN AND PRATHAKKARAN OR SADAK OR NALI SAFAI AND SAMUDAYIK SWACHCHTA PARISAR KI SAFAI SAHIT WORK GOLANA</t>
        </is>
      </c>
      <c r="G2015" t="inlineStr">
        <is>
          <t>JHALAWAR</t>
        </is>
      </c>
    </row>
    <row r="2016">
      <c r="A2016" s="1" t="n">
        <v>2014</v>
      </c>
      <c r="B2016">
        <f>HYPERLINK("https://eproc.rajasthan.gov.in/nicgep/app?component=%24DirectLink&amp;page=FrontEndViewTender&amp;service=direct&amp;session=T&amp;sp=SIy%2FxOF%2BdmaFMyzWK7YxPuA%3D%3D", "GRAM PANCHAYAT KESMAST GAAWO ME GHAR-GHAR AAWASIYE OR VAYVASAYIK SE KACHRA SANGRAHAN AND PRATHAKKARAN OR SADAK OR NALI SAFAI AND SAMUDAYIK SWACHCHTA PARISAR KI SAFAI SAHIT WORK AKODIYA")</f>
        <v/>
      </c>
      <c r="C2016" t="inlineStr">
        <is>
          <t>Panchayati Raj Department||Secretary and Commissioner||CEO- JHALAWAR||BDO-KHANPUR</t>
        </is>
      </c>
      <c r="D2016" t="inlineStr">
        <is>
          <t>19-May-2025 05:00 PM</t>
        </is>
      </c>
      <c r="E2016" t="inlineStr">
        <is>
          <t>11,96,000</t>
        </is>
      </c>
      <c r="F2016" t="inlineStr">
        <is>
          <t>GRAM PANCHAYAT KESMAST GAAWO ME GHAR-GHAR AAWASIYE OR VAYVASAYIK SE KACHRA SANGRAHAN AND PRATHAKKARAN OR SADAK OR NALI SAFAI AND SAMUDAYIK SWACHCHTA PARISAR KI SAFAI SAHIT WORK AKODIYA</t>
        </is>
      </c>
      <c r="G2016" t="inlineStr">
        <is>
          <t>JHALAWAR</t>
        </is>
      </c>
    </row>
    <row r="2017">
      <c r="A2017" s="1" t="n">
        <v>2015</v>
      </c>
      <c r="B2017">
        <f>HYPERLINK("https://eproc.rajasthan.gov.in/nicgep/app?component=%24DirectLink&amp;page=FrontEndViewTender&amp;service=direct&amp;session=T&amp;sp=SRnqkVvYS%2BQLqfX4Dh8rH%2Fw%3D%3D", "Work including Garbage collection and Separation from every house (Residential and Commercial), Road and Nali cleaning and community sanitation complex (CSC) cleaning in all the villages of Gram Panchayat UMAR PS HINDOLI")</f>
        <v/>
      </c>
      <c r="C2017" t="inlineStr">
        <is>
          <t>Panchayati Raj Department||Secretary and Commissioner||CEO-BUNDI||BDO-HINDOLI</t>
        </is>
      </c>
      <c r="D2017" t="inlineStr">
        <is>
          <t>22-May-2025 06:00 PM</t>
        </is>
      </c>
      <c r="E2017" t="inlineStr">
        <is>
          <t>15,19,999</t>
        </is>
      </c>
      <c r="F2017" t="inlineStr">
        <is>
          <t>Work including Garbage collection and Separation from every house (Residential and Commercial), Road and Nali cleaning and community sanitation complex (CSC) cleaning in all the villages of Gram Panchayat UMAR PS HINDOLI</t>
        </is>
      </c>
      <c r="G2017" t="inlineStr">
        <is>
          <t>GRAM PANCHAYAT UMAR</t>
        </is>
      </c>
    </row>
    <row r="2018">
      <c r="A2018" s="1" t="n">
        <v>2016</v>
      </c>
      <c r="B2018">
        <f>HYPERLINK("https://eproc.rajasthan.gov.in/nicgep/app?component=%24DirectLink&amp;page=FrontEndViewTender&amp;service=direct&amp;session=T&amp;sp=Smm4EFljjlWld%2FheDeuSxtg%3D%3D", "Work including Garbage collection and Separation from every house (Residential and Commercial), Road and Nali cleaning and community sanitation complex (CSC) cleaning in all the villages of Gram Panchayat TOKADA PS HINDOLI")</f>
        <v/>
      </c>
      <c r="C2018" t="inlineStr">
        <is>
          <t>Panchayati Raj Department||Secretary and Commissioner||CEO-BUNDI||BDO-HINDOLI</t>
        </is>
      </c>
      <c r="D2018" t="inlineStr">
        <is>
          <t>22-May-2025 06:00 PM</t>
        </is>
      </c>
      <c r="E2018" t="inlineStr">
        <is>
          <t>9,99,000</t>
        </is>
      </c>
      <c r="F2018" t="inlineStr">
        <is>
          <t>Work including Garbage collection and Separation from every house (Residential and Commercial), Road and Nali cleaning and community sanitation complex (CSC) cleaning in all the villages of Gram Panchayat TOKADA PS HINDOLI</t>
        </is>
      </c>
      <c r="G2018" t="inlineStr">
        <is>
          <t>GRAM PANCHAYAT TOKADA</t>
        </is>
      </c>
    </row>
    <row r="2019">
      <c r="A2019" s="1" t="n">
        <v>2017</v>
      </c>
      <c r="B2019">
        <f>HYPERLINK("https://eproc.rajasthan.gov.in/nicgep/app?component=%24DirectLink&amp;page=FrontEndViewTender&amp;service=direct&amp;session=T&amp;sp=SG5B8Ig3xCizCerqIcChiRQ%3D%3D", "Work including Garbage collection and Separation from every house (Residential and Commercial), Road and Nali cleaning and community sanitation complex (CSC) cleaning in all the villages of Gram Panchayat VIJAYGARH PS HINDOLI")</f>
        <v/>
      </c>
      <c r="C2019" t="inlineStr">
        <is>
          <t>Panchayati Raj Department||Secretary and Commissioner||CEO-BUNDI||BDO-HINDOLI</t>
        </is>
      </c>
      <c r="D2019" t="inlineStr">
        <is>
          <t>22-May-2025 06:00 PM</t>
        </is>
      </c>
      <c r="E2019" t="inlineStr">
        <is>
          <t>9,89,998</t>
        </is>
      </c>
      <c r="F2019" t="inlineStr">
        <is>
          <t>Work including Garbage collection and Separation from every house (Residential and Commercial), Road and Nali cleaning and community sanitation complex (CSC) cleaning in all the villages of Gram Panchayat VIJAYGARH PS HINDOLI</t>
        </is>
      </c>
      <c r="G2019" t="inlineStr">
        <is>
          <t>GRAM PANCHAYAT VIJAYGARH</t>
        </is>
      </c>
    </row>
    <row r="2020">
      <c r="A2020" s="1" t="n">
        <v>2018</v>
      </c>
      <c r="B2020">
        <f>HYPERLINK("https://eproc.rajasthan.gov.in/nicgep/app?component=%24DirectLink&amp;page=FrontEndViewTender&amp;service=direct&amp;session=T&amp;sp=Sx2bXObMKHOp8KP1Cw4aCKA%3D%3D", "Tubewell construction work with single phase solar in village Islampur Sankhla Basti")</f>
        <v/>
      </c>
      <c r="C2020" t="inlineStr">
        <is>
          <t>Panchayati Raj Department||Secretary and Commissioner||CEO-JHUNJHUNU||BDO-JHUNJHUNU</t>
        </is>
      </c>
      <c r="D2020" t="inlineStr">
        <is>
          <t>21-May-2025 11:00 AM</t>
        </is>
      </c>
      <c r="E2020" t="inlineStr">
        <is>
          <t>9,00,000</t>
        </is>
      </c>
      <c r="F2020" t="inlineStr">
        <is>
          <t>Tubewell construction work with single phase solar in village Islampur Sankhla Basti</t>
        </is>
      </c>
      <c r="G2020" t="inlineStr">
        <is>
          <t>GP ISLAMPUR</t>
        </is>
      </c>
    </row>
    <row r="2021">
      <c r="A2021" s="1" t="n">
        <v>2019</v>
      </c>
      <c r="B2021">
        <f>HYPERLINK("https://eproc.rajasthan.gov.in/nicgep/app?component=%24DirectLink&amp;page=FrontEndViewTender&amp;service=direct&amp;session=T&amp;sp=SoCfdCggI4zRt%2FUGhbM0KgQ%3D%3D", "Work of single phase electricity connection in tube well in Bugalio ki Dhani in village Ajadikhurd")</f>
        <v/>
      </c>
      <c r="C2021" t="inlineStr">
        <is>
          <t>Panchayati Raj Department||Secretary and Commissioner||CEO-JHUNJHUNU||BDO-JHUNJHUNU</t>
        </is>
      </c>
      <c r="D2021" t="inlineStr">
        <is>
          <t>21-May-2025 11:00 AM</t>
        </is>
      </c>
      <c r="E2021" t="inlineStr">
        <is>
          <t>7,00,000</t>
        </is>
      </c>
      <c r="F2021" t="inlineStr">
        <is>
          <t>Work of single phase electricity connection in tube well in Bugalio ki Dhani in village Ajadikhurd</t>
        </is>
      </c>
      <c r="G2021" t="inlineStr">
        <is>
          <t>GP KULOD KALAN VILLAGE AJARI KHURD</t>
        </is>
      </c>
    </row>
    <row r="2022">
      <c r="A2022" s="1" t="n">
        <v>2020</v>
      </c>
      <c r="B2022">
        <f>HYPERLINK("https://eproc.rajasthan.gov.in/nicgep/app?component=%24DirectLink&amp;page=FrontEndViewTender&amp;service=direct&amp;session=T&amp;sp=SlYHIulj6KYjaQFfQSRZoYQ%3D%3D", "Cleaning and Sanitary Services in Gram Panchayat ARBA DUDAWATA")</f>
        <v/>
      </c>
      <c r="C2022" t="inlineStr">
        <is>
          <t>Panchayati Raj Department||Secretary and Commissioner||CEO-BADMER||BDO-KALYANPUR</t>
        </is>
      </c>
      <c r="D2022" t="inlineStr">
        <is>
          <t>20-May-2025 05:00 PM</t>
        </is>
      </c>
      <c r="E2022" t="inlineStr">
        <is>
          <t>3,95,223</t>
        </is>
      </c>
      <c r="F2022" t="inlineStr">
        <is>
          <t>Cleaning and Sanitary Services</t>
        </is>
      </c>
      <c r="G2022" t="inlineStr">
        <is>
          <t>GRAM PANCHAYAT ARABA DUDAWATA</t>
        </is>
      </c>
    </row>
    <row r="2023">
      <c r="A2023" s="1" t="n">
        <v>2021</v>
      </c>
      <c r="B2023">
        <f>HYPERLINK("https://eproc.rajasthan.gov.in/nicgep/app?component=%24DirectLink&amp;page=FrontEndViewTender&amp;service=direct&amp;session=T&amp;sp=SRlygx7WKt0f83UmbiiQ8TA%3D%3D", "408/08.05.2025 arba chouhan")</f>
        <v/>
      </c>
      <c r="C2023" t="inlineStr">
        <is>
          <t>Panchayati Raj Department||Secretary and Commissioner||CEO-BADMER||BDO-KALYANPUR</t>
        </is>
      </c>
      <c r="D2023" t="inlineStr">
        <is>
          <t>20-May-2025 05:00 PM</t>
        </is>
      </c>
      <c r="E2023" t="inlineStr">
        <is>
          <t>4,29,396</t>
        </is>
      </c>
      <c r="F2023" t="inlineStr">
        <is>
          <t>sbm tender for araba chouhan</t>
        </is>
      </c>
      <c r="G2023" t="inlineStr">
        <is>
          <t>araba chouhan</t>
        </is>
      </c>
    </row>
    <row r="2024">
      <c r="A2024" s="1" t="n">
        <v>2022</v>
      </c>
      <c r="B2024">
        <f>HYPERLINK("https://eproc.rajasthan.gov.in/nicgep/app?component=%24DirectLink&amp;page=FrontEndViewTender&amp;service=direct&amp;session=T&amp;sp=S3ZHYTVTjK2Y8NtPotfenhA%3D%3D", "Construction of tube well at Dhaar Ki Dhani Mukti Dham in Islampur village")</f>
        <v/>
      </c>
      <c r="C2024" t="inlineStr">
        <is>
          <t>Panchayati Raj Department||Secretary and Commissioner||CEO-JHUNJHUNU||BDO-JHUNJHUNU</t>
        </is>
      </c>
      <c r="D2024" t="inlineStr">
        <is>
          <t>21-May-2025 11:00 AM</t>
        </is>
      </c>
      <c r="E2024" t="inlineStr">
        <is>
          <t>13,00,000</t>
        </is>
      </c>
      <c r="F2024" t="inlineStr">
        <is>
          <t>Construction of tube well at Dhaar Ki Dhani Mukti Dham in Islampur village</t>
        </is>
      </c>
      <c r="G2024" t="inlineStr">
        <is>
          <t>GP ISLAMPUR</t>
        </is>
      </c>
    </row>
    <row r="2025">
      <c r="A2025" s="1" t="n">
        <v>2023</v>
      </c>
      <c r="B2025">
        <f>HYPERLINK("https://eproc.rajasthan.gov.in/nicgep/app?component=%24DirectLink&amp;page=FrontEndViewTender&amp;service=direct&amp;session=T&amp;sp=Sa80XXPB3THDVTNhHt94HSQ%3D%3D", "material supply in gram panchayat pathena ps bhusawar")</f>
        <v/>
      </c>
      <c r="C2025" t="inlineStr">
        <is>
          <t>Panchayati Raj Department||Secretary and Commissioner||CEO-BHARATPUR||BDO-BHUSAWAR</t>
        </is>
      </c>
      <c r="D2025" t="inlineStr">
        <is>
          <t>28-May-2025 05:00 PM</t>
        </is>
      </c>
      <c r="E2025" t="inlineStr">
        <is>
          <t>40,00,000</t>
        </is>
      </c>
      <c r="F2025" t="inlineStr">
        <is>
          <t>material supply in gram panchayat pathena ps bhusawar</t>
        </is>
      </c>
      <c r="G2025" t="inlineStr">
        <is>
          <t>bhusawar</t>
        </is>
      </c>
    </row>
    <row r="2026">
      <c r="A2026" s="1" t="n">
        <v>2024</v>
      </c>
      <c r="B2026">
        <f>HYPERLINK("https://eproc.rajasthan.gov.in/nicgep/app?component=%24DirectLink&amp;page=FrontEndViewTender&amp;service=direct&amp;session=T&amp;sp=SwiSbX7%2F%2FiJ%2BgrlxOqf21GQ%3D%3D", "Tubewell construction work in Ashawali Dhani Ward No 5")</f>
        <v/>
      </c>
      <c r="C2026" t="inlineStr">
        <is>
          <t>Panchayati Raj Department||Secretary and Commissioner||CEO-JHUNJHUNU||BDO-JHUNJHUNU</t>
        </is>
      </c>
      <c r="D2026" t="inlineStr">
        <is>
          <t>21-May-2025 11:00 AM</t>
        </is>
      </c>
      <c r="E2026" t="inlineStr">
        <is>
          <t>7,00,000</t>
        </is>
      </c>
      <c r="F2026" t="inlineStr">
        <is>
          <t>Tubewell construction work in Ashawali Dhani Ward No 5</t>
        </is>
      </c>
      <c r="G2026" t="inlineStr">
        <is>
          <t>GP KASIMPURA</t>
        </is>
      </c>
    </row>
    <row r="2027">
      <c r="A2027" s="1" t="n">
        <v>2025</v>
      </c>
      <c r="B2027">
        <f>HYPERLINK("https://eproc.rajasthan.gov.in/nicgep/app?component=%24DirectLink&amp;page=FrontEndViewTender&amp;service=direct&amp;session=T&amp;sp=S4P9mht361ty9Q5DaLewsNg%3D%3D", "material supply in gram panchayat sendhli ps bhusawar")</f>
        <v/>
      </c>
      <c r="C2027" t="inlineStr">
        <is>
          <t>Panchayati Raj Department||Secretary and Commissioner||CEO-BHARATPUR||BDO-BHUSAWAR</t>
        </is>
      </c>
      <c r="D2027" t="inlineStr">
        <is>
          <t>28-May-2025 05:00 PM</t>
        </is>
      </c>
      <c r="E2027" t="inlineStr">
        <is>
          <t>40,00,000</t>
        </is>
      </c>
      <c r="F2027" t="inlineStr">
        <is>
          <t>material supply in gram panchayat sendhli ps bhusawar</t>
        </is>
      </c>
      <c r="G2027" t="inlineStr">
        <is>
          <t>bhusawar</t>
        </is>
      </c>
    </row>
    <row r="2028">
      <c r="A2028" s="1" t="n">
        <v>2026</v>
      </c>
      <c r="B2028">
        <f>HYPERLINK("https://eproc.rajasthan.gov.in/nicgep/app?component=%24DirectLink&amp;page=FrontEndViewTender&amp;service=direct&amp;session=T&amp;sp=SjH3UtE3roEZCWvxz%2BJFFKQ%3D%3D", "material supply in gram panchayat salempurkla ps bhusawar")</f>
        <v/>
      </c>
      <c r="C2028" t="inlineStr">
        <is>
          <t>Panchayati Raj Department||Secretary and Commissioner||CEO-BHARATPUR||BDO-BHUSAWAR</t>
        </is>
      </c>
      <c r="D2028" t="inlineStr">
        <is>
          <t>28-May-2025 05:00 PM</t>
        </is>
      </c>
      <c r="E2028" t="inlineStr">
        <is>
          <t>40,00,000</t>
        </is>
      </c>
      <c r="F2028" t="inlineStr">
        <is>
          <t>material supply in gram panchayat salempurkla ps bhusawar</t>
        </is>
      </c>
      <c r="G2028" t="inlineStr">
        <is>
          <t>bhusawar</t>
        </is>
      </c>
    </row>
    <row r="2029">
      <c r="A2029" s="1" t="n">
        <v>2027</v>
      </c>
      <c r="B2029">
        <f>HYPERLINK("https://eproc.rajasthan.gov.in/nicgep/app?component=%24DirectLink&amp;page=FrontEndViewTender&amp;service=direct&amp;session=T&amp;sp=SIsdBEgSfoTost%2BPHVFznAA%3D%3D", "Work of tube well and single phase electricity connection in village Kayasthapura")</f>
        <v/>
      </c>
      <c r="C2029" t="inlineStr">
        <is>
          <t>Panchayati Raj Department||Secretary and Commissioner||CEO-JHUNJHUNU||BDO-JHUNJHUNU</t>
        </is>
      </c>
      <c r="D2029" t="inlineStr">
        <is>
          <t>21-May-2025 11:00 AM</t>
        </is>
      </c>
      <c r="E2029" t="inlineStr">
        <is>
          <t>7,00,000</t>
        </is>
      </c>
      <c r="F2029" t="inlineStr">
        <is>
          <t>Work of tube well and single phase electricity connection in village Kayasthapura</t>
        </is>
      </c>
      <c r="G2029" t="inlineStr">
        <is>
          <t>GP KASIMPURA</t>
        </is>
      </c>
    </row>
    <row r="2030">
      <c r="A2030" s="1" t="n">
        <v>2028</v>
      </c>
      <c r="B2030">
        <f>HYPERLINK("https://eproc.rajasthan.gov.in/nicgep/app?component=%24DirectLink&amp;page=FrontEndViewTender&amp;service=direct&amp;session=T&amp;sp=SiNGI1An8pRLEaJc8u4S2og%3D%3D", "material supply in gram panchayat salempurkhurd ps bhusawar")</f>
        <v/>
      </c>
      <c r="C2030" t="inlineStr">
        <is>
          <t>Panchayati Raj Department||Secretary and Commissioner||CEO-BHARATPUR||BDO-BHUSAWAR</t>
        </is>
      </c>
      <c r="D2030" t="inlineStr">
        <is>
          <t>28-May-2025 05:00 PM</t>
        </is>
      </c>
      <c r="E2030" t="inlineStr">
        <is>
          <t>40,00,000</t>
        </is>
      </c>
      <c r="F2030" t="inlineStr">
        <is>
          <t>material supply in gram panchayat salempurkhurd ps bhusawar</t>
        </is>
      </c>
      <c r="G2030" t="inlineStr">
        <is>
          <t>bhusawar</t>
        </is>
      </c>
    </row>
    <row r="2031">
      <c r="A2031" s="1" t="n">
        <v>2029</v>
      </c>
      <c r="B2031">
        <f>HYPERLINK("https://eproc.rajasthan.gov.in/nicgep/app?component=%24DirectLink&amp;page=FrontEndViewTender&amp;service=direct&amp;session=T&amp;sp=S7kLik21BYZ3xk2h2dhOR5Q%3D%3D", "laverasbm25")</f>
        <v/>
      </c>
      <c r="C2031" t="inlineStr">
        <is>
          <t>Panchayati Raj Department||Secretary and Commissioner||CEO-AJMER||BDO-SRI NAGAR</t>
        </is>
      </c>
      <c r="D2031" t="inlineStr">
        <is>
          <t>22-May-2025 12:00 PM</t>
        </is>
      </c>
      <c r="E2031" t="inlineStr">
        <is>
          <t>7,60,777</t>
        </is>
      </c>
      <c r="F2031" t="inlineStr">
        <is>
          <t>sbm work in gp lavera</t>
        </is>
      </c>
      <c r="G2031" t="inlineStr">
        <is>
          <t>GP LAVERA</t>
        </is>
      </c>
    </row>
    <row r="2032">
      <c r="A2032" s="1" t="n">
        <v>2030</v>
      </c>
      <c r="B2032">
        <f>HYPERLINK("https://eproc.rajasthan.gov.in/nicgep/app?component=%24DirectLink&amp;page=FrontEndViewTender&amp;service=direct&amp;session=T&amp;sp=SEsKjMErESIPqNv7fZDVr5w%3D%3D", "Work of tubewell and single phase electricity connection in village Indali Thakro ki Dhani")</f>
        <v/>
      </c>
      <c r="C2032" t="inlineStr">
        <is>
          <t>Panchayati Raj Department||Secretary and Commissioner||CEO-JHUNJHUNU||BDO-JHUNJHUNU</t>
        </is>
      </c>
      <c r="D2032" t="inlineStr">
        <is>
          <t>21-May-2025 11:00 AM</t>
        </is>
      </c>
      <c r="E2032" t="inlineStr">
        <is>
          <t>7,00,000</t>
        </is>
      </c>
      <c r="F2032" t="inlineStr">
        <is>
          <t>Work of tubewell and single phase electricity connection in village Indali Thakro ki Dhani</t>
        </is>
      </c>
      <c r="G2032" t="inlineStr">
        <is>
          <t>GP INDALI</t>
        </is>
      </c>
    </row>
    <row r="2033">
      <c r="A2033" s="1" t="n">
        <v>2031</v>
      </c>
      <c r="B2033">
        <f>HYPERLINK("https://eproc.rajasthan.gov.in/nicgep/app?component=%24DirectLink&amp;page=FrontEndViewTender&amp;service=direct&amp;session=T&amp;sp=Sz0yUo3J8zpEQ0UG2VglqKQ%3D%3D", "Rajkiya Madhyamik Vidyalaya Royada me 02 kamare nirman karya")</f>
        <v/>
      </c>
      <c r="C2033" t="inlineStr">
        <is>
          <t>Panchayati Raj Department||Secretary and Commissioner||CEO-UDAIPUR||BDO-SAYRA</t>
        </is>
      </c>
      <c r="D2033" t="inlineStr">
        <is>
          <t>20-May-2025 06:00 PM</t>
        </is>
      </c>
      <c r="E2033" t="inlineStr">
        <is>
          <t>24,00,000</t>
        </is>
      </c>
      <c r="F2033" t="inlineStr">
        <is>
          <t>Rajkiya Madhyamik Vidyalaya Royada me 02 kamare nirman karya Gram Panchayat Royada</t>
        </is>
      </c>
      <c r="G2033" t="inlineStr">
        <is>
          <t>Royada</t>
        </is>
      </c>
    </row>
    <row r="2034">
      <c r="A2034" s="1" t="n">
        <v>2032</v>
      </c>
      <c r="B2034">
        <f>HYPERLINK("https://eproc.rajasthan.gov.in/nicgep/app?component=%24DirectLink&amp;page=FrontEndViewTender&amp;service=direct&amp;session=T&amp;sp=SFmLiPRwC2O25nFIybKj%2Fgw%3D%3D", "Work/Dadunda/Nala/NIT/04/09")</f>
        <v/>
      </c>
      <c r="C2034" t="inlineStr">
        <is>
          <t>Panchayati Raj Department||Secretary and Commissioner||CEO-SIKAR||BDO-FETHEPUR</t>
        </is>
      </c>
      <c r="D2034" t="inlineStr">
        <is>
          <t>20-May-2025 11:00 AM</t>
        </is>
      </c>
      <c r="E2034" t="inlineStr">
        <is>
          <t>6,00,000</t>
        </is>
      </c>
      <c r="F2034" t="inlineStr">
        <is>
          <t>Work/Dadunda/Nala/NIT/04/09</t>
        </is>
      </c>
      <c r="G2034" t="inlineStr">
        <is>
          <t>GP Dadunda PS FTR</t>
        </is>
      </c>
    </row>
    <row r="2035">
      <c r="A2035" s="1" t="n">
        <v>2033</v>
      </c>
      <c r="B2035">
        <f>HYPERLINK("https://eproc.rajasthan.gov.in/nicgep/app?component=%24DirectLink&amp;page=FrontEndViewTender&amp;service=direct&amp;session=T&amp;sp=SxHb0hKar64aAQpCKIbmJBg%3D%3D", "Work/Dadunda/Ranjeet/NIT/03/08")</f>
        <v/>
      </c>
      <c r="C2035" t="inlineStr">
        <is>
          <t>Panchayati Raj Department||Secretary and Commissioner||CEO-SIKAR||BDO-FETHEPUR</t>
        </is>
      </c>
      <c r="D2035" t="inlineStr">
        <is>
          <t>20-May-2025 11:00 AM</t>
        </is>
      </c>
      <c r="E2035" t="inlineStr">
        <is>
          <t>7,00,000</t>
        </is>
      </c>
      <c r="F2035" t="inlineStr">
        <is>
          <t>Work/Dadunda/Ranjeet/NIT/03/08</t>
        </is>
      </c>
      <c r="G2035" t="inlineStr">
        <is>
          <t>GP Dadunda PS FTR</t>
        </is>
      </c>
    </row>
    <row r="2036">
      <c r="A2036" s="1" t="n">
        <v>2034</v>
      </c>
      <c r="B2036">
        <f>HYPERLINK("https://eproc.rajasthan.gov.in/nicgep/app?component=%24DirectLink&amp;page=FrontEndViewTender&amp;service=direct&amp;session=T&amp;sp=S683iwiGE8W6Akg85h7VSMg%3D%3D", "Work/Dadunda/Jagmal/NIT/2/07")</f>
        <v/>
      </c>
      <c r="C2036" t="inlineStr">
        <is>
          <t>Panchayati Raj Department||Secretary and Commissioner||CEO-SIKAR||BDO-FETHEPUR</t>
        </is>
      </c>
      <c r="D2036" t="inlineStr">
        <is>
          <t>20-May-2025 11:00 AM</t>
        </is>
      </c>
      <c r="E2036" t="inlineStr">
        <is>
          <t>10,00,000</t>
        </is>
      </c>
      <c r="F2036" t="inlineStr">
        <is>
          <t>Work/Dadunda/Jagmal/NIT/2/07</t>
        </is>
      </c>
      <c r="G2036" t="inlineStr">
        <is>
          <t>GP Dadunda PS FTR</t>
        </is>
      </c>
    </row>
    <row r="2037">
      <c r="A2037" s="1" t="n">
        <v>2035</v>
      </c>
      <c r="B2037">
        <f>HYPERLINK("https://eproc.rajasthan.gov.in/nicgep/app?component=%24DirectLink&amp;page=FrontEndViewTender&amp;service=direct&amp;session=T&amp;sp=S1azkeX1SWtdlVRTwGhcfag%3D%3D", "material supply in gram panchayat nithar ps bhusawar")</f>
        <v/>
      </c>
      <c r="C2037" t="inlineStr">
        <is>
          <t>Panchayati Raj Department||Secretary and Commissioner||CEO-BHARATPUR||BDO-BHUSAWAR</t>
        </is>
      </c>
      <c r="D2037" t="inlineStr">
        <is>
          <t>28-May-2025 05:00 PM</t>
        </is>
      </c>
      <c r="E2037" t="inlineStr">
        <is>
          <t>40,00,000</t>
        </is>
      </c>
      <c r="F2037" t="inlineStr">
        <is>
          <t>material supply in gram panchayat nithar ps bhusawar</t>
        </is>
      </c>
      <c r="G2037" t="inlineStr">
        <is>
          <t>bhusawar</t>
        </is>
      </c>
    </row>
    <row r="2038">
      <c r="A2038" s="1" t="n">
        <v>2036</v>
      </c>
      <c r="B2038">
        <f>HYPERLINK("https://eproc.rajasthan.gov.in/nicgep/app?component=%24DirectLink&amp;page=FrontEndViewTender&amp;service=direct&amp;session=T&amp;sp=SLywjYUX0Be0MQpkcftL4Og%3D%3D", "Cleaning and Sanitary Services in Gram Panchayat GP ED Sindhari PS Payala Kala")</f>
        <v/>
      </c>
      <c r="C2038" t="inlineStr">
        <is>
          <t>Panchayati Raj Department||Secretary and Commissioner||CEO-BADMER</t>
        </is>
      </c>
      <c r="D2038" t="inlineStr">
        <is>
          <t>24-May-2025 05:00 PM</t>
        </is>
      </c>
      <c r="E2038" t="inlineStr">
        <is>
          <t>7,39,417</t>
        </is>
      </c>
      <c r="F2038" t="inlineStr">
        <is>
          <t>Cleaning and Sanitary Services in Gram Panchayat GP ED Sindhari PS Payala Kala</t>
        </is>
      </c>
      <c r="G2038" t="inlineStr">
        <is>
          <t>GP ED Sindhari</t>
        </is>
      </c>
    </row>
    <row r="2039">
      <c r="A2039" s="1" t="n">
        <v>2037</v>
      </c>
      <c r="B2039">
        <f>HYPERLINK("https://eproc.rajasthan.gov.in/nicgep/app?component=%24DirectLink&amp;page=FrontEndViewTender&amp;service=direct&amp;session=T&amp;sp=SLHZ%2FCgvBU%2BwTPTBUqKB%2BNA%3D%3D", "Rate Contract for Construction Material and Equipments for MGNREGS works for the Year 2025-26 panchayat samiti DUG District Jhalawar At Gram Panchayats LUHARIYA")</f>
        <v/>
      </c>
      <c r="C2039" t="inlineStr">
        <is>
          <t>Panchayati Raj Department||Secretary and Commissioner||CEO- JHALAWAR||BDO-DUG</t>
        </is>
      </c>
      <c r="D2039" t="inlineStr">
        <is>
          <t>22-May-2025 06:00 PM</t>
        </is>
      </c>
      <c r="E2039" t="inlineStr">
        <is>
          <t>50,00,000</t>
        </is>
      </c>
      <c r="F2039" t="inlineStr">
        <is>
          <t>Rate Contract for Construction Material and Equipments for MGNREGS works for the Year 2025-26 panchayat samiti DUG District Jhalawar At Gram Panchayats LUHARIYA</t>
        </is>
      </c>
      <c r="G2039" t="inlineStr">
        <is>
          <t>JHALAWAR</t>
        </is>
      </c>
    </row>
    <row r="2040">
      <c r="A2040" s="1" t="n">
        <v>2038</v>
      </c>
      <c r="B2040">
        <f>HYPERLINK("https://eproc.rajasthan.gov.in/nicgep/app?component=%24DirectLink&amp;page=FrontEndViewTender&amp;service=direct&amp;session=T&amp;sp=SpilAAC7yh2SQXvMAh33s7A%3D%3D", "Gram Panchayat Chhatra me Niyamit Saf Safai avam Swachhta Karye Gram Panchayat Chandrana")</f>
        <v/>
      </c>
      <c r="C2040" t="inlineStr">
        <is>
          <t>Panchayati Raj Department||Secretary and Commissioner||CEO-DAUSA||BDO-DAUSA</t>
        </is>
      </c>
      <c r="D2040" t="inlineStr">
        <is>
          <t>22-May-2025 02:00 PM</t>
        </is>
      </c>
      <c r="E2040" t="inlineStr">
        <is>
          <t>6,00,000</t>
        </is>
      </c>
      <c r="F2040" t="inlineStr">
        <is>
          <t>Gram Panchayat Chhatra me Niyamit Saf Safai avam Swachhta Karye Gram Panchayat Chandrana</t>
        </is>
      </c>
      <c r="G2040" t="inlineStr">
        <is>
          <t>Chandrana</t>
        </is>
      </c>
    </row>
    <row r="2041">
      <c r="A2041" s="1" t="n">
        <v>2039</v>
      </c>
      <c r="B2041">
        <f>HYPERLINK("https://eproc.rajasthan.gov.in/nicgep/app?component=%24DirectLink&amp;page=FrontEndViewTender&amp;service=direct&amp;session=T&amp;sp=SVToq5y%2BspBfFQZpblr79kQ%3D%3D", "Boundry wall nirman karya Rajkiya Uchch Madhyamik Vidyalaya Samal")</f>
        <v/>
      </c>
      <c r="C2041" t="inlineStr">
        <is>
          <t>Panchayati Raj Department||Secretary and Commissioner||CEO-UDAIPUR||BDO-SAYRA</t>
        </is>
      </c>
      <c r="D2041" t="inlineStr">
        <is>
          <t>20-May-2025 06:00 PM</t>
        </is>
      </c>
      <c r="E2041" t="inlineStr">
        <is>
          <t>10,00,000</t>
        </is>
      </c>
      <c r="F2041" t="inlineStr">
        <is>
          <t>Boundry wall nirman karya Rajkiya Uchch Madhyamik Vidyalaya Samal, Gram Panchayat Samal</t>
        </is>
      </c>
      <c r="G2041" t="inlineStr">
        <is>
          <t>Samal</t>
        </is>
      </c>
    </row>
    <row r="2042">
      <c r="A2042" s="1" t="n">
        <v>2040</v>
      </c>
      <c r="B2042">
        <f>HYPERLINK("https://eproc.rajasthan.gov.in/nicgep/app?component=%24DirectLink&amp;page=FrontEndViewTender&amp;service=direct&amp;session=T&amp;sp=SbBST%2FHlmPVmxtcAl8KJWUw%3D%3D", "Rate Contract for Construction Material and Equipments for MGNREGS works for the Year 2025-26 panchayat samiti DUG District Jhalawar At Gram Panchayats HARNAVDA")</f>
        <v/>
      </c>
      <c r="C2042" t="inlineStr">
        <is>
          <t>Panchayati Raj Department||Secretary and Commissioner||CEO- JHALAWAR||BDO-DUG</t>
        </is>
      </c>
      <c r="D2042" t="inlineStr">
        <is>
          <t>22-May-2025 06:00 PM</t>
        </is>
      </c>
      <c r="E2042" t="inlineStr">
        <is>
          <t>1,00,00,000</t>
        </is>
      </c>
      <c r="F2042" t="inlineStr">
        <is>
          <t>Rate Contract for Construction Material and Equipments for MGNREGS works for the Year 2025-26 panchayat samiti DUG District Jhalawar At Gram Panchayats HARNAVDA</t>
        </is>
      </c>
      <c r="G2042" t="inlineStr">
        <is>
          <t>JHALAWAR</t>
        </is>
      </c>
    </row>
    <row r="2043">
      <c r="A2043" s="1" t="n">
        <v>2041</v>
      </c>
      <c r="B2043">
        <f>HYPERLINK("https://eproc.rajasthan.gov.in/nicgep/app?component=%24DirectLink&amp;page=FrontEndViewTender&amp;service=direct&amp;session=T&amp;sp=SIiC4x15oQsXWe81nm2eQcA%3D%3D", "Rate contract For Supply of Construction Material and Providing Equipments for NREGA, RD and PR Schemes at Gram Panchayat Bane Ka Barkheda Panchayat Samiti DAUSA Dist Dausa For FY 2025-26 up to 31 March 2026")</f>
        <v/>
      </c>
      <c r="C2043" t="inlineStr">
        <is>
          <t>Panchayati Raj Department||Secretary and Commissioner||CEO-DAUSA||BDO-DAUSA</t>
        </is>
      </c>
      <c r="D2043" t="inlineStr">
        <is>
          <t>22-May-2025 09:30 AM</t>
        </is>
      </c>
      <c r="E2043" t="inlineStr">
        <is>
          <t>50,00,000</t>
        </is>
      </c>
      <c r="F2043" t="inlineStr">
        <is>
          <t>Rate contract For Supply of Construction Material and Providing Equipments for NREGA, RD and PR Schemes at Gram Panchayat Bane Ka Barkheda Panchayat Samiti DAUSA Dist Dausa For FY 2025-26 up to 31 March 2026</t>
        </is>
      </c>
      <c r="G2043" t="inlineStr">
        <is>
          <t>Bane Ka Barkheda</t>
        </is>
      </c>
    </row>
    <row r="2044">
      <c r="A2044" s="1" t="n">
        <v>2042</v>
      </c>
      <c r="B2044">
        <f>HYPERLINK("https://eproc.rajasthan.gov.in/nicgep/app?component=%24DirectLink&amp;page=FrontEndViewTender&amp;service=direct&amp;session=T&amp;sp=SCvKGtPJ8Jscr%2BR6JVeo2%2FA%3D%3D", "Rate Contract for Construction Material and Equipments for MGNREGS works for the Year 2025-26 panchayat samiti DUG District Jhalawar At Gram Panchayats SUNARI")</f>
        <v/>
      </c>
      <c r="C2044" t="inlineStr">
        <is>
          <t>Panchayati Raj Department||Secretary and Commissioner||CEO- JHALAWAR||BDO-DUG</t>
        </is>
      </c>
      <c r="D2044" t="inlineStr">
        <is>
          <t>22-May-2025 06:00 PM</t>
        </is>
      </c>
      <c r="E2044" t="inlineStr">
        <is>
          <t>50,00,000</t>
        </is>
      </c>
      <c r="F2044" t="inlineStr">
        <is>
          <t>Rate Contract for Construction Material and Equipments for MGNREGS works for the Year 2025-26 panchayat samiti DUG District Jhalawar At Gram Panchayats SUNARI</t>
        </is>
      </c>
      <c r="G2044" t="inlineStr">
        <is>
          <t>JHALAWAR</t>
        </is>
      </c>
    </row>
    <row r="2045">
      <c r="A2045" s="1" t="n">
        <v>2043</v>
      </c>
      <c r="B2045">
        <f>HYPERLINK("https://eproc.rajasthan.gov.in/nicgep/app?component=%24DirectLink&amp;page=FrontEndViewTender&amp;service=direct&amp;session=T&amp;sp=S43c0o6B4GL27QQ0D37vI%2FQ%3D%3D", "material supply in gram panchayat newada ps bhusawar")</f>
        <v/>
      </c>
      <c r="C2045" t="inlineStr">
        <is>
          <t>Panchayati Raj Department||Secretary and Commissioner||CEO-BHARATPUR||BDO-BHUSAWAR</t>
        </is>
      </c>
      <c r="D2045" t="inlineStr">
        <is>
          <t>28-May-2025 05:00 PM</t>
        </is>
      </c>
      <c r="E2045" t="inlineStr">
        <is>
          <t>40,00,000</t>
        </is>
      </c>
      <c r="F2045" t="inlineStr">
        <is>
          <t>material supply in gram panchayat newada ps bhusawar</t>
        </is>
      </c>
      <c r="G2045" t="inlineStr">
        <is>
          <t>bhusawar</t>
        </is>
      </c>
    </row>
    <row r="2046">
      <c r="A2046" s="1" t="n">
        <v>2044</v>
      </c>
      <c r="B2046">
        <f>HYPERLINK("https://eproc.rajasthan.gov.in/nicgep/app?component=%24DirectLink&amp;page=FrontEndViewTender&amp;service=direct&amp;session=T&amp;sp=SAVkwPHGNWvtC0FHQ%2FmpBww%3D%3D", "Rate contract For Supply of Construction Material and Providing Equipments for NREGA, RD and PR Schemes at Gram Panchayat Kalipahadi Panchayat Samiti DAUSA Dist Dausa For FY 2025-26 up to 31 March 2026")</f>
        <v/>
      </c>
      <c r="C2046" t="inlineStr">
        <is>
          <t>Panchayati Raj Department||Secretary and Commissioner||CEO-DAUSA||BDO-DAUSA</t>
        </is>
      </c>
      <c r="D2046" t="inlineStr">
        <is>
          <t>22-May-2025 09:30 AM</t>
        </is>
      </c>
      <c r="E2046" t="inlineStr">
        <is>
          <t>40,00,000</t>
        </is>
      </c>
      <c r="F2046" t="inlineStr">
        <is>
          <t>Rate contract For Supply of Construction Material and Providing Equipments for NREGA, RD and PR Schemes at Gram Panchayat Kalipahadi Panchayat Samiti DAUSA Dist Dausa For FY 2025-26 up to 31 March 2026</t>
        </is>
      </c>
      <c r="G2046" t="inlineStr">
        <is>
          <t>Kalipahadi</t>
        </is>
      </c>
    </row>
    <row r="2047">
      <c r="A2047" s="1" t="n">
        <v>2045</v>
      </c>
      <c r="B2047">
        <f>HYPERLINK("https://eproc.rajasthan.gov.in/nicgep/app?component=%24DirectLink&amp;page=FrontEndViewTender&amp;service=direct&amp;session=T&amp;sp=SmWVCR1iXzCXgi1oBGle6Kw%3D%3D", "Cleaning and Sanitary Services in Gram Panchayat GP Koshloo PS Payala Kala")</f>
        <v/>
      </c>
      <c r="C2047" t="inlineStr">
        <is>
          <t>Panchayati Raj Department||Secretary and Commissioner||CEO-BADMER</t>
        </is>
      </c>
      <c r="D2047" t="inlineStr">
        <is>
          <t>24-May-2025 05:00 PM</t>
        </is>
      </c>
      <c r="E2047" t="inlineStr">
        <is>
          <t>8,32,735</t>
        </is>
      </c>
      <c r="F2047" t="inlineStr">
        <is>
          <t>Cleaning and Sanitary Services in Gram Panchayat GP Koshloo PS Payala Kala</t>
        </is>
      </c>
      <c r="G2047" t="inlineStr">
        <is>
          <t>GP Koshloo</t>
        </is>
      </c>
    </row>
    <row r="2048">
      <c r="A2048" s="1" t="n">
        <v>2046</v>
      </c>
      <c r="B2048">
        <f>HYPERLINK("https://eproc.rajasthan.gov.in/nicgep/app?component=%24DirectLink&amp;page=FrontEndViewTender&amp;service=direct&amp;session=T&amp;sp=SNijG%2FbUx5diZm9slg7%2BZOQ%3D%3D", "Cleaning and Sanitary Services in Gram Panchayat GP Kago Ki Dhani PS Payala Kala")</f>
        <v/>
      </c>
      <c r="C2048" t="inlineStr">
        <is>
          <t>Panchayati Raj Department||Secretary and Commissioner||CEO-BADMER</t>
        </is>
      </c>
      <c r="D2048" t="inlineStr">
        <is>
          <t>24-May-2025 05:00 PM</t>
        </is>
      </c>
      <c r="E2048" t="inlineStr">
        <is>
          <t>5,68,731</t>
        </is>
      </c>
      <c r="F2048" t="inlineStr">
        <is>
          <t>Cleaning and Sanitary Services in Gram Panchayat GP Kago Ki Dhani PS Payala Kala</t>
        </is>
      </c>
      <c r="G2048" t="inlineStr">
        <is>
          <t>GP Kago Ki Dhani</t>
        </is>
      </c>
    </row>
    <row r="2049">
      <c r="A2049" s="1" t="n">
        <v>2047</v>
      </c>
      <c r="B2049">
        <f>HYPERLINK("https://eproc.rajasthan.gov.in/nicgep/app?component=%24DirectLink&amp;page=FrontEndViewTender&amp;service=direct&amp;session=T&amp;sp=Siw6nIJRubhsJosU4M491Bw%3D%3D", "Rajkiya Uchch Madhyamik Vidyalaya Jhalo Ka Kalwana me 02 kamare nirman karya")</f>
        <v/>
      </c>
      <c r="C2049" t="inlineStr">
        <is>
          <t>Panchayati Raj Department||Secretary and Commissioner||CEO-UDAIPUR||BDO-SAYRA</t>
        </is>
      </c>
      <c r="D2049" t="inlineStr">
        <is>
          <t>20-May-2025 06:00 PM</t>
        </is>
      </c>
      <c r="E2049" t="inlineStr">
        <is>
          <t>24,00,000</t>
        </is>
      </c>
      <c r="F2049" t="inlineStr">
        <is>
          <t>Rajkiya Uchch Madhyamik Vidyalaya Jhalo Ka Kalwana me 02 kamare nirman karya Gram Panchayat Jhalo Ka Kalwana</t>
        </is>
      </c>
      <c r="G2049" t="inlineStr">
        <is>
          <t>Jhalo Ka Kalwana</t>
        </is>
      </c>
    </row>
    <row r="2050">
      <c r="A2050" s="1" t="n">
        <v>2048</v>
      </c>
      <c r="B2050">
        <f>HYPERLINK("https://eproc.rajasthan.gov.in/nicgep/app?component=%24DirectLink&amp;page=FrontEndViewTender&amp;service=direct&amp;session=T&amp;sp=Sh71GWT5j0cR1lLNi5clZFA%3D%3D", "Cleaning and Sanitary Services in Gram Panchayat GP Kadanadi PS Payala Kala")</f>
        <v/>
      </c>
      <c r="C2050" t="inlineStr">
        <is>
          <t>Panchayati Raj Department||Secretary and Commissioner||CEO-BADMER</t>
        </is>
      </c>
      <c r="D2050" t="inlineStr">
        <is>
          <t>24-May-2025 05:00 PM</t>
        </is>
      </c>
      <c r="E2050" t="inlineStr">
        <is>
          <t>8,32,626</t>
        </is>
      </c>
      <c r="F2050" t="inlineStr">
        <is>
          <t>Cleaning and Sanitary Services in Gram Panchayat GP Kadanadi PS Payala Kala</t>
        </is>
      </c>
      <c r="G2050" t="inlineStr">
        <is>
          <t>GP Kadanadi</t>
        </is>
      </c>
    </row>
    <row r="2051">
      <c r="A2051" s="1" t="n">
        <v>2049</v>
      </c>
      <c r="B2051">
        <f>HYPERLINK("https://eproc.rajasthan.gov.in/nicgep/app?component=%24DirectLink&amp;page=FrontEndViewTender&amp;service=direct&amp;session=T&amp;sp=Sil%2FOXCCayNBTxzpw6eo8bg%3D%3D", "Rajkiya Uchch Madhyamik Vidyalaya Nandeshma me 02 kamare nirman karya")</f>
        <v/>
      </c>
      <c r="C2051" t="inlineStr">
        <is>
          <t>Panchayati Raj Department||Secretary and Commissioner||CEO-UDAIPUR||BDO-SAYRA</t>
        </is>
      </c>
      <c r="D2051" t="inlineStr">
        <is>
          <t>19-May-2025 06:00 PM</t>
        </is>
      </c>
      <c r="E2051" t="inlineStr">
        <is>
          <t>24,00,000</t>
        </is>
      </c>
      <c r="F2051" t="inlineStr">
        <is>
          <t>Rajkiya Uchch Madhyamik Vidyalaya Nandeshma me 02 kamare nirman karya Gram Panchayat Nandeshma</t>
        </is>
      </c>
      <c r="G2051" t="inlineStr">
        <is>
          <t>Nandeshma</t>
        </is>
      </c>
    </row>
    <row r="2052">
      <c r="A2052" s="1" t="n">
        <v>2050</v>
      </c>
      <c r="B2052">
        <f>HYPERLINK("https://eproc.rajasthan.gov.in/nicgep/app?component=%24DirectLink&amp;page=FrontEndViewTender&amp;service=direct&amp;session=T&amp;sp=SVCjoVOW8QfZXX7yDOiENAQ%3D%3D", "Cleaning and Sanitary Services in Gram Panchayat GP Lolawa PS Payala Kala")</f>
        <v/>
      </c>
      <c r="C2052" t="inlineStr">
        <is>
          <t>Panchayati Raj Department||Secretary and Commissioner||CEO-BADMER</t>
        </is>
      </c>
      <c r="D2052" t="inlineStr">
        <is>
          <t>24-May-2025 05:00 PM</t>
        </is>
      </c>
      <c r="E2052" t="inlineStr">
        <is>
          <t>8,32,760</t>
        </is>
      </c>
      <c r="F2052" t="inlineStr">
        <is>
          <t>Cleaning and Sanitary Services in Gram Panchayat GP Lolawa PS Payala Kala</t>
        </is>
      </c>
      <c r="G2052" t="inlineStr">
        <is>
          <t>GP Lolawa</t>
        </is>
      </c>
    </row>
    <row r="2053">
      <c r="A2053" s="1" t="n">
        <v>2051</v>
      </c>
      <c r="B2053">
        <f>HYPERLINK("https://eproc.rajasthan.gov.in/nicgep/app?component=%24DirectLink&amp;page=FrontEndViewTender&amp;service=direct&amp;session=T&amp;sp=S8wuA3GC9GKumlQ%2BDDaqH0w%3D%3D", "Cleaning and Sanitary Services in Gram Panchayat GP ED Manji PS Payala Kala")</f>
        <v/>
      </c>
      <c r="C2053" t="inlineStr">
        <is>
          <t>Panchayati Raj Department||Secretary and Commissioner||CEO-BADMER</t>
        </is>
      </c>
      <c r="D2053" t="inlineStr">
        <is>
          <t>24-May-2025 05:00 PM</t>
        </is>
      </c>
      <c r="E2053" t="inlineStr">
        <is>
          <t>4,08,922</t>
        </is>
      </c>
      <c r="F2053" t="inlineStr">
        <is>
          <t>Cleaning and Sanitary Services in Gram Panchayat GP ED Manji PS Payala Kala</t>
        </is>
      </c>
      <c r="G2053" t="inlineStr">
        <is>
          <t>GP ED Manji</t>
        </is>
      </c>
    </row>
    <row r="2054">
      <c r="A2054" s="1" t="n">
        <v>2052</v>
      </c>
      <c r="B2054">
        <f>HYPERLINK("https://eproc.rajasthan.gov.in/nicgep/app?component=%24DirectLink&amp;page=FrontEndViewTender&amp;service=direct&amp;session=T&amp;sp=SpneDj9IAwoIwTWNl%2B4GG%2BA%3D%3D", "Rajkiya Uchch Madhyamik Vidyalaya Chitrawas me 02 kamare nirman karya")</f>
        <v/>
      </c>
      <c r="C2054" t="inlineStr">
        <is>
          <t>Panchayati Raj Department||Secretary and Commissioner||CEO-UDAIPUR||BDO-SAYRA</t>
        </is>
      </c>
      <c r="D2054" t="inlineStr">
        <is>
          <t>19-May-2025 06:00 PM</t>
        </is>
      </c>
      <c r="E2054" t="inlineStr">
        <is>
          <t>24,00,000</t>
        </is>
      </c>
      <c r="F2054" t="inlineStr">
        <is>
          <t>Rajkiya Uchch Madhyamik Vidyalaya Chitrawas me 02 kamare nirman karya Gram Panchayat Chitrawas</t>
        </is>
      </c>
      <c r="G2054" t="inlineStr">
        <is>
          <t>Chitrawas</t>
        </is>
      </c>
    </row>
    <row r="2055">
      <c r="A2055" s="1" t="n">
        <v>2053</v>
      </c>
      <c r="B2055">
        <f>HYPERLINK("https://eproc.rajasthan.gov.in/nicgep/app?component=%24DirectLink&amp;page=FrontEndViewTender&amp;service=direct&amp;session=T&amp;sp=SoAfA9fZwlA%2BYZ8x3%2Bdh2vw%3D%3D", "SBM E-Tender GP Gothiyana")</f>
        <v/>
      </c>
      <c r="C2055" t="inlineStr">
        <is>
          <t>Panchayati Raj Department||Secretary and Commissioner||CEO-AJMER||BDO-ARAI</t>
        </is>
      </c>
      <c r="D2055" t="inlineStr">
        <is>
          <t>22-May-2025 06:00 PM</t>
        </is>
      </c>
      <c r="E2055" t="inlineStr">
        <is>
          <t>13,07,880</t>
        </is>
      </c>
      <c r="F2055" t="inlineStr">
        <is>
          <t>GP Gothiyana SBM Tender 2025-26</t>
        </is>
      </c>
      <c r="G2055" t="inlineStr">
        <is>
          <t>GP Gothiyana</t>
        </is>
      </c>
    </row>
    <row r="2056">
      <c r="A2056" s="1" t="n">
        <v>2054</v>
      </c>
      <c r="B2056">
        <f>HYPERLINK("https://eproc.rajasthan.gov.in/nicgep/app?component=%24DirectLink&amp;page=FrontEndViewTender&amp;service=direct&amp;session=T&amp;sp=SKewFVWd%2BU2j1CWA9plGJuw%3D%3D", "GP Mandawariya /SBM/2025-26/01")</f>
        <v/>
      </c>
      <c r="C2056" t="inlineStr">
        <is>
          <t>Panchayati Raj Department||Secretary and Commissioner||CEO-AJMER||BDO-ARAI</t>
        </is>
      </c>
      <c r="D2056" t="inlineStr">
        <is>
          <t>22-May-2025 06:00 PM</t>
        </is>
      </c>
      <c r="E2056" t="inlineStr">
        <is>
          <t>13,77,322</t>
        </is>
      </c>
      <c r="F2056" t="inlineStr">
        <is>
          <t>GP Mandawariya SBM Tender 2025-26</t>
        </is>
      </c>
      <c r="G2056" t="inlineStr">
        <is>
          <t>GP Mandawariya</t>
        </is>
      </c>
    </row>
    <row r="2057">
      <c r="A2057" s="1" t="n">
        <v>2055</v>
      </c>
      <c r="B2057">
        <f>HYPERLINK("https://eproc.rajasthan.gov.in/nicgep/app?component=%24DirectLink&amp;page=FrontEndViewTender&amp;service=direct&amp;session=T&amp;sp=SrlEuPimGzrMKAPnyBVYr3A%3D%3D", "Material Tender For Year 2025-26 In G P SADRI")</f>
        <v/>
      </c>
      <c r="C2057" t="inlineStr">
        <is>
          <t>Panchayati Raj Department||Secretary and Commissioner||CEO-RAJSAMAND||BDO-RAILMAGARA</t>
        </is>
      </c>
      <c r="D2057" t="inlineStr">
        <is>
          <t>19-May-2025 06:00 PM</t>
        </is>
      </c>
      <c r="E2057" t="inlineStr">
        <is>
          <t>50,00,000</t>
        </is>
      </c>
      <c r="F2057" t="inlineStr">
        <is>
          <t>Material Tender For Year 2025-26 In G P SADRI</t>
        </is>
      </c>
      <c r="G2057" t="inlineStr">
        <is>
          <t>G P SADRI</t>
        </is>
      </c>
    </row>
    <row r="2058">
      <c r="A2058" s="1" t="n">
        <v>2056</v>
      </c>
      <c r="B2058">
        <f>HYPERLINK("https://eproc.rajasthan.gov.in/nicgep/app?component=%24DirectLink&amp;page=FrontEndViewTender&amp;service=direct&amp;session=T&amp;sp=SWTLguU1aYx0cdxZBzoJOhA%3D%3D", "MGNREGA MATERIALS SUPPLY FY 2025-26 GP DELITALAI")</f>
        <v/>
      </c>
      <c r="C2058" t="inlineStr">
        <is>
          <t>Panchayati Raj Department||Secretary and Commissioner||CEO-BIKANER||BDO-POOGAL</t>
        </is>
      </c>
      <c r="D2058" t="inlineStr">
        <is>
          <t>27-May-2025 06:00 PM</t>
        </is>
      </c>
      <c r="E2058" t="inlineStr">
        <is>
          <t>90,00,000</t>
        </is>
      </c>
      <c r="F2058" t="inlineStr">
        <is>
          <t>MGNREGA AND ALL OTHER YOJANA CONSTRUCTION MATERIALS SUPPLY GRAM PANCHAYAT DELITALAI</t>
        </is>
      </c>
      <c r="G2058" t="inlineStr">
        <is>
          <t>GP DELITALAI</t>
        </is>
      </c>
    </row>
    <row r="2059">
      <c r="A2059" s="1" t="n">
        <v>2057</v>
      </c>
      <c r="B2059">
        <f>HYPERLINK("https://eproc.rajasthan.gov.in/nicgep/app?component=%24DirectLink&amp;page=FrontEndViewTender&amp;service=direct&amp;session=T&amp;sp=S5uRr96N6TCA3cZfJifAE9Q%3D%3D", "MGNREGA MATERIALS SUPPLY FY 2024-25 GP 2 ADM")</f>
        <v/>
      </c>
      <c r="C2059" t="inlineStr">
        <is>
          <t>Panchayati Raj Department||Secretary and Commissioner||CEO-BIKANER||BDO-POOGAL</t>
        </is>
      </c>
      <c r="D2059" t="inlineStr">
        <is>
          <t>27-May-2025 06:00 PM</t>
        </is>
      </c>
      <c r="E2059" t="inlineStr">
        <is>
          <t>90,00,000</t>
        </is>
      </c>
      <c r="F2059" t="inlineStr">
        <is>
          <t>MGNREGA AND ALL OTHER YOJANA CONSTRUCTION MATERIALS SUPPLY GRAM PANCHAYAT 2 ADM</t>
        </is>
      </c>
      <c r="G2059" t="inlineStr">
        <is>
          <t>GP 2 ADM</t>
        </is>
      </c>
    </row>
    <row r="2060">
      <c r="A2060" s="1" t="n">
        <v>2058</v>
      </c>
      <c r="B2060">
        <f>HYPERLINK("https://eproc.rajasthan.gov.in/nicgep/app?component=%24DirectLink&amp;page=FrontEndViewTender&amp;service=direct&amp;session=T&amp;sp=SNsKMdijQnxpwK4G4%2FOCkMg%3D%3D", "MGNREGA MATERIALS SUPPLY FY 2025-26 GP THARUSAR")</f>
        <v/>
      </c>
      <c r="C2060" t="inlineStr">
        <is>
          <t>Panchayati Raj Department||Secretary and Commissioner||CEO-BIKANER||BDO-POOGAL</t>
        </is>
      </c>
      <c r="D2060" t="inlineStr">
        <is>
          <t>27-May-2025 06:00 PM</t>
        </is>
      </c>
      <c r="E2060" t="inlineStr">
        <is>
          <t>90,00,000</t>
        </is>
      </c>
      <c r="F2060" t="inlineStr">
        <is>
          <t>MGNREGA AND ALL OTHER YOJANA CONSTRUCTION MATERIALS SUPPLY GRAM PANCHAYAT THARUSAR</t>
        </is>
      </c>
      <c r="G2060" t="inlineStr">
        <is>
          <t>GP THARUSAR</t>
        </is>
      </c>
    </row>
    <row r="2061">
      <c r="A2061" s="1" t="n">
        <v>2059</v>
      </c>
      <c r="B2061">
        <f>HYPERLINK("https://eproc.rajasthan.gov.in/nicgep/app?component=%24DirectLink&amp;page=FrontEndViewTender&amp;service=direct&amp;session=T&amp;sp=S6Dvh2QP1u9x2ReeM1zBuLw%3D%3D", "Rate Contract for Construction Material and Equipments for MGNREGS works for the Year 2025-26 panchayat samiti DUG District Jhalawar At Gram Panchayats ROJHANA")</f>
        <v/>
      </c>
      <c r="C2061" t="inlineStr">
        <is>
          <t>Panchayati Raj Department||Secretary and Commissioner||CEO- JHALAWAR||BDO-DUG</t>
        </is>
      </c>
      <c r="D2061" t="inlineStr">
        <is>
          <t>22-May-2025 06:00 PM</t>
        </is>
      </c>
      <c r="E2061" t="inlineStr">
        <is>
          <t>50,00,000</t>
        </is>
      </c>
      <c r="F2061" t="inlineStr">
        <is>
          <t>Rate Contract for Construction Material and Equipments for MGNREGS works for the Year 2025-26 panchayat samiti DUG District Jhalawar At Gram Panchayats ROJHANA</t>
        </is>
      </c>
      <c r="G2061" t="inlineStr">
        <is>
          <t>JHALAWAR</t>
        </is>
      </c>
    </row>
    <row r="2062">
      <c r="A2062" s="1" t="n">
        <v>2060</v>
      </c>
      <c r="B2062">
        <f>HYPERLINK("https://eproc.rajasthan.gov.in/nicgep/app?component=%24DirectLink&amp;page=FrontEndViewTender&amp;service=direct&amp;session=T&amp;sp=SplvRIY2%2BFIrKWDTAh8yuSA%3D%3D", "Cc Prikasht Interloking Kharnjha May Nali Nirman Kariye Shivshanker Suman Ke Makan Se Rambabu Suman Ki Or Gram Bamoriklan")</f>
        <v/>
      </c>
      <c r="C2062" t="inlineStr">
        <is>
          <t>Panchayati Raj Department||Secretary and Commissioner||CEO-BARAN||BDO-MANGROL</t>
        </is>
      </c>
      <c r="D2062" t="inlineStr">
        <is>
          <t>19-May-2025 06:00 PM</t>
        </is>
      </c>
      <c r="E2062" t="inlineStr">
        <is>
          <t>8,67,000</t>
        </is>
      </c>
      <c r="F2062" t="inlineStr">
        <is>
          <t>Cc Prikasht Interloking Kharnjha May Nali Nirman Kariye Shivshanker Suman Ke Makan Se Rambabu Suman Ki Or Gram Bamoriklan</t>
        </is>
      </c>
      <c r="G2062" t="inlineStr">
        <is>
          <t>BAMORIKLAN</t>
        </is>
      </c>
    </row>
    <row r="2063">
      <c r="A2063" s="1" t="n">
        <v>2061</v>
      </c>
      <c r="B2063">
        <f>HYPERLINK("https://eproc.rajasthan.gov.in/nicgep/app?component=%24DirectLink&amp;page=FrontEndViewTender&amp;service=direct&amp;session=T&amp;sp=SnWPhhvhyjR4SlgQG%2FqDz4A%3D%3D", "GRAM PANCHAYAT KHADAB ME FY 2025-26 KE LIYE NAREGA YOJNA ME NIRMAN SAMGRI SUPPLY HETU RATE CONTRACT")</f>
        <v/>
      </c>
      <c r="C2063" t="inlineStr">
        <is>
          <t>Panchayati Raj Department||Secretary and Commissioner||CEO- JAIPUR||BDO-KOTPUTALI</t>
        </is>
      </c>
      <c r="D2063" t="inlineStr">
        <is>
          <t>23-May-2025 11:00 AM</t>
        </is>
      </c>
      <c r="E2063" t="inlineStr">
        <is>
          <t>30,00,000</t>
        </is>
      </c>
      <c r="F2063" t="inlineStr">
        <is>
          <t>GRAM PANCHAYAT KHADAB ME FY 2025-26 KE LIYE NAREGA YOJNA ME NIRMAN SAMGRI SUPPLY HETU RATE CONTRACT</t>
        </is>
      </c>
      <c r="G2063" t="inlineStr">
        <is>
          <t>KHADAB</t>
        </is>
      </c>
    </row>
    <row r="2064">
      <c r="A2064" s="1" t="n">
        <v>2062</v>
      </c>
      <c r="B2064">
        <f>HYPERLINK("https://eproc.rajasthan.gov.in/nicgep/app?component=%24DirectLink&amp;page=FrontEndViewTender&amp;service=direct&amp;session=T&amp;sp=SGTbPdktutK0ksl1lOJ1V1Q%3D%3D", "GP HIRNODA (YEAR 2025-26) RATE CONTRACT / MGNREGA CONSTRUCTION AND BUILING MATERIAL AND EQUIPMENT SUPPLY IN GRAM PANCHAYAT IN NREGA AND VARIOUS SCHEMES OF DEPARTMENT (SEE ATTACHED TENDER DOCS AND SHEDULE RATES)")</f>
        <v/>
      </c>
      <c r="C2064" t="inlineStr">
        <is>
          <t>Panchayati Raj Department||Secretary and Commissioner||CEO- JAIPUR||BDO-SAMBHAR</t>
        </is>
      </c>
      <c r="D2064" t="inlineStr">
        <is>
          <t>23-May-2025 10:00 AM</t>
        </is>
      </c>
      <c r="E2064" t="inlineStr">
        <is>
          <t>50,00,000</t>
        </is>
      </c>
      <c r="F2064" t="inlineStr">
        <is>
          <t>GP HIRNODA (YEAR 2025-26) RATE CONTRACT / MGNREGA CONSTRUCTION AND BUILING MATERIAL AND EQUIPMENT SUPPLY IN GRAM PANCHAYAT IN NREGA AND VARIOUS SCHEMES OF DEPARTMENT (SEE ATTACHED TENDER DOCS AND SHEDULE RATES)</t>
        </is>
      </c>
      <c r="G2064" t="inlineStr">
        <is>
          <t>GP HIRNODA</t>
        </is>
      </c>
    </row>
    <row r="2065">
      <c r="A2065" s="1" t="n">
        <v>2063</v>
      </c>
      <c r="B2065">
        <f>HYPERLINK("https://eproc.rajasthan.gov.in/nicgep/app?component=%24DirectLink&amp;page=FrontEndViewTender&amp;service=direct&amp;session=T&amp;sp=SEU5m8BcIokxDk5fLY%2FeR8Q%3D%3D", "Gram Panchayat Chhatra me Niyamit Saf Safai avam Swachhta Karye Gram Panchayat Kundal")</f>
        <v/>
      </c>
      <c r="C2065" t="inlineStr">
        <is>
          <t>Panchayati Raj Department||Secretary and Commissioner||CEO-DAUSA||BDO-LALSOT</t>
        </is>
      </c>
      <c r="D2065" t="inlineStr">
        <is>
          <t>22-May-2025 02:00 PM</t>
        </is>
      </c>
      <c r="E2065" t="inlineStr">
        <is>
          <t>7,00,000</t>
        </is>
      </c>
      <c r="F2065" t="inlineStr">
        <is>
          <t>Gram Panchayat Chhatra me Niyamit Saf Safai avam Swachhta Karye Gram Panchayat Kundal</t>
        </is>
      </c>
      <c r="G2065" t="inlineStr">
        <is>
          <t>Kundal</t>
        </is>
      </c>
    </row>
    <row r="2066">
      <c r="A2066" s="1" t="n">
        <v>2064</v>
      </c>
      <c r="B2066">
        <f>HYPERLINK("https://eproc.rajasthan.gov.in/nicgep/app?component=%24DirectLink&amp;page=FrontEndViewTender&amp;service=direct&amp;session=T&amp;sp=SZx6geQSQnurft%2FZ%2BFHbMDw%3D%3D", "RATE CONTRACT FOR SUPPLY OF CONSTRUCTION MATERIAL AND PROVIDING EQUIPMENTS FOR MGNAREGA AND RURAL DEVELOPMENT AND PANCHAYATI RAJ DEPARTMENT VARIOUS SCHEME AT GRAM PANCHAYAT NIZAMPURA PANCHAYAT SAMITI RAMAGRH PACHWARA DIST DAUSA FOR F.Y 2025-2026 (BSR")</f>
        <v/>
      </c>
      <c r="C2066" t="inlineStr">
        <is>
          <t>Panchayati Raj Department||Secretary and Commissioner||CEO-DAUSA||BDO-RAMGARH PACHWARA</t>
        </is>
      </c>
      <c r="D2066" t="inlineStr">
        <is>
          <t>23-May-2025 06:00 PM</t>
        </is>
      </c>
      <c r="E2066" t="inlineStr">
        <is>
          <t>60,00,000</t>
        </is>
      </c>
      <c r="F2066" t="inlineStr">
        <is>
          <t>RATE CONTRACT FOR SUPPLY OF CONSTRUCTION MATERIAL AND PROVIDING EQUIPMENTS FOR MGNAREGA AND RURAL DEVELOPMENT AND PANCHAYATI RAJ DEPARTMENT VARIOUS SCHEME AT GRAM PANCHAYAT NIZAMPURA PANCHAYAT SAMITI RAMAGRH PACHWARA DIST DAUSA FOR F.Y 2025-2026 (BSR</t>
        </is>
      </c>
      <c r="G2066" t="inlineStr">
        <is>
          <t>gram panchayat nizampura</t>
        </is>
      </c>
    </row>
    <row r="2067">
      <c r="A2067" s="1" t="n">
        <v>2065</v>
      </c>
      <c r="B2067">
        <f>HYPERLINK("https://eproc.rajasthan.gov.in/nicgep/app?component=%24DirectLink&amp;page=FrontEndViewTender&amp;service=direct&amp;session=T&amp;sp=S%2FLm87cOiNpeeujkkwkkWjw%3D%3D", "RATE CONTRACT FOR SUPPLY OF CONSTRUCTION MATERIAL AND PROVIDING EQUIPMENTS FOR MGNAREGA AND RURAL DEVELOPMENT AND PANCHAYATI RAJ DEPARTMENT VARIOUS SCHEME AT GRAM PANCHAYAT DOB PANCHAYAT SAMITI RAMAGRH PACHWARA DIST DAUSA FOR F.Y 2025-2026 (BSR")</f>
        <v/>
      </c>
      <c r="C2067" t="inlineStr">
        <is>
          <t>Panchayati Raj Department||Secretary and Commissioner||CEO-DAUSA||BDO-RAMGARH PACHWARA</t>
        </is>
      </c>
      <c r="D2067" t="inlineStr">
        <is>
          <t>23-May-2025 06:00 PM</t>
        </is>
      </c>
      <c r="E2067" t="inlineStr">
        <is>
          <t>60,00,000</t>
        </is>
      </c>
      <c r="F2067" t="inlineStr">
        <is>
          <t>RATE CONTRACT FOR SUPPLY OF CONSTRUCTION MATERIAL AND PROVIDING EQUIPMENTS FOR MGNAREGA AND RURAL DEVELOPMENT AND PANCHAYATI RAJ DEPARTMENT VARIOUS SCHEME AT GRAM PANCHAYAT DOB PANCHAYAT SAMITI RAMAGRH PACHWARA DIST DAUSA FOR F.Y 2025-2026 (BSR</t>
        </is>
      </c>
      <c r="G2067" t="inlineStr">
        <is>
          <t>GRAM PANCHAYAT DOB</t>
        </is>
      </c>
    </row>
    <row r="2068">
      <c r="A2068" s="1" t="n">
        <v>2066</v>
      </c>
      <c r="B2068">
        <f>HYPERLINK("https://eproc.rajasthan.gov.in/nicgep/app?component=%24DirectLink&amp;page=FrontEndViewTender&amp;service=direct&amp;session=T&amp;sp=SCySGowiBLsiabuNZwo7h%2BQ%3D%3D", "For completion of incomplete boundary wall of Bidrakha crematorium of Bidrakha village panchayat")</f>
        <v/>
      </c>
      <c r="C2068" t="inlineStr">
        <is>
          <t>Panchayati Raj Department||Secretary and Commissioner||CEO-DAUSA||BDO-RAMGARH PACHWARA</t>
        </is>
      </c>
      <c r="D2068" t="inlineStr">
        <is>
          <t>22-May-2025 06:00 PM</t>
        </is>
      </c>
      <c r="E2068" t="inlineStr">
        <is>
          <t>5,00,000</t>
        </is>
      </c>
      <c r="F2068" t="inlineStr">
        <is>
          <t>For completion of incomplete boundary wall of Bidrakha crematorium of Bidrakha village panchayat</t>
        </is>
      </c>
      <c r="G2068" t="inlineStr">
        <is>
          <t>GRAM PANCHAYAT BIDRAKHA</t>
        </is>
      </c>
    </row>
    <row r="2069">
      <c r="A2069" s="1" t="n">
        <v>2067</v>
      </c>
      <c r="B2069">
        <f>HYPERLINK("https://eproc.rajasthan.gov.in/nicgep/app?component=%24DirectLink&amp;page=FrontEndViewTender&amp;service=direct&amp;session=T&amp;sp=SqHON8lO%2B9SZNC4kQBYucTw%3D%3D", "GRAM PANCHAYAT JAISINGPURA ME FY 2025-26 KE LIYE NAREGA YOJNA ME NIRMAN SAMGRI SUPPLY HETU RATE CONTRACT")</f>
        <v/>
      </c>
      <c r="C2069" t="inlineStr">
        <is>
          <t>Panchayati Raj Department||Secretary and Commissioner||CEO- JAIPUR||BDO-KOTPUTALI</t>
        </is>
      </c>
      <c r="D2069" t="inlineStr">
        <is>
          <t>23-May-2025 11:00 AM</t>
        </is>
      </c>
      <c r="E2069" t="inlineStr">
        <is>
          <t>30,00,000</t>
        </is>
      </c>
      <c r="F2069" t="inlineStr">
        <is>
          <t>GRAM PANCHAYAT JAISINGPURA ME FY 2025-26 KE LIYE NAREGA YOJNA ME NIRMAN SAMGRI SUPPLY HETU RATE CONTRACT</t>
        </is>
      </c>
      <c r="G2069" t="inlineStr">
        <is>
          <t>JAISINGHPURA</t>
        </is>
      </c>
    </row>
    <row r="2070">
      <c r="A2070" s="1" t="n">
        <v>2068</v>
      </c>
      <c r="B2070">
        <f>HYPERLINK("https://eproc.rajasthan.gov.in/nicgep/app?component=%24DirectLink&amp;page=FrontEndViewTender&amp;service=direct&amp;session=T&amp;sp=SIZA8yIvk5%2BbcJU7T6xyS%2Fw%3D%3D", "GRAM PANCHAYAT KALYANPURA KALAN ME FY 2025-26 KE LIYE NAREGA YOJNA ME NIRMAN SAMGRI SUPPLY HETU RATE CONTRACT")</f>
        <v/>
      </c>
      <c r="C2070" t="inlineStr">
        <is>
          <t>Panchayati Raj Department||Secretary and Commissioner||CEO- JAIPUR||BDO-KOTPUTALI</t>
        </is>
      </c>
      <c r="D2070" t="inlineStr">
        <is>
          <t>23-May-2025 11:00 AM</t>
        </is>
      </c>
      <c r="E2070" t="inlineStr">
        <is>
          <t>30,00,000</t>
        </is>
      </c>
      <c r="F2070" t="inlineStr">
        <is>
          <t>GRAM PANCHAYAT KALYANPURA KALAN ME FY 2025-26 KE LIYE NAREGA YOJNA ME NIRMAN SAMGRI SUPPLY HETU RATE CONTRACT</t>
        </is>
      </c>
      <c r="G2070" t="inlineStr">
        <is>
          <t>KALYANPURA KALAN</t>
        </is>
      </c>
    </row>
    <row r="2071">
      <c r="A2071" s="1" t="n">
        <v>2069</v>
      </c>
      <c r="B2071">
        <f>HYPERLINK("https://eproc.rajasthan.gov.in/nicgep/app?component=%24DirectLink&amp;page=FrontEndViewTender&amp;service=direct&amp;session=T&amp;sp=S7JT5WCMBzBRSKdI1ewOLTQ%3D%3D", "Panchayat Samiti Ramgarh Pachwara for construction of boundary wall and tin shed of Kanwarpura crematorium of village panchayat Bidrakha")</f>
        <v/>
      </c>
      <c r="C2071" t="inlineStr">
        <is>
          <t>Panchayati Raj Department||Secretary and Commissioner||CEO-DAUSA||BDO-RAMGARH PACHWARA</t>
        </is>
      </c>
      <c r="D2071" t="inlineStr">
        <is>
          <t>22-May-2025 06:00 PM</t>
        </is>
      </c>
      <c r="E2071" t="inlineStr">
        <is>
          <t>10,00,000</t>
        </is>
      </c>
      <c r="F2071" t="inlineStr">
        <is>
          <t>Panchayat Samiti Ramgarh Pachwara for construction of boundary wall and tin shed of Kanwarpura crematorium of village panchayat Bidrakha</t>
        </is>
      </c>
      <c r="G2071" t="inlineStr">
        <is>
          <t>GRAM PANCHAYAT BIRAKHA</t>
        </is>
      </c>
    </row>
    <row r="2072">
      <c r="A2072" s="1" t="n">
        <v>2070</v>
      </c>
      <c r="B2072">
        <f>HYPERLINK("https://eproc.rajasthan.gov.in/nicgep/app?component=%24DirectLink&amp;page=FrontEndViewTender&amp;service=direct&amp;session=T&amp;sp=S8JLO9%2BdFjQ1nfNZJaVGg9Q%3D%3D", "GRAM PANCHAYAT DEVTA ME FY 2025-26 KE LIYE NAREGA YOJNA ME NIRMAN SAMGRI SUPPLY HETU RATE CONTRACT")</f>
        <v/>
      </c>
      <c r="C2072" t="inlineStr">
        <is>
          <t>Panchayati Raj Department||Secretary and Commissioner||CEO- JAIPUR||BDO-KOTPUTALI</t>
        </is>
      </c>
      <c r="D2072" t="inlineStr">
        <is>
          <t>23-May-2025 11:00 AM</t>
        </is>
      </c>
      <c r="E2072" t="inlineStr">
        <is>
          <t>30,00,000</t>
        </is>
      </c>
      <c r="F2072" t="inlineStr">
        <is>
          <t>GRAM PANCHAYAT DEVTA ME FY 2025-26 KE LIYE NAREGA YOJNA ME NIRMAN SAMGRI SUPPLY HETU RATE CONTRACT</t>
        </is>
      </c>
      <c r="G2072" t="inlineStr">
        <is>
          <t>DEVTA</t>
        </is>
      </c>
    </row>
    <row r="2073">
      <c r="A2073" s="1" t="n">
        <v>2071</v>
      </c>
      <c r="B2073">
        <f>HYPERLINK("https://eproc.rajasthan.gov.in/nicgep/app?component=%24DirectLink&amp;page=FrontEndViewTender&amp;service=direct&amp;session=T&amp;sp=SJkPLUwTjgVMIaM9oygAihQ%3D%3D", "MATERIAL SUPPLY WORK FOR GRAM PANCHAYAT MANCHA")</f>
        <v/>
      </c>
      <c r="C2073" t="inlineStr">
        <is>
          <t>Panchayati Raj Department||Secretary and Commissioner||CEO-ALWAR||BDO-KISHANGARHWAS</t>
        </is>
      </c>
      <c r="D2073" t="inlineStr">
        <is>
          <t>20-May-2025 04:00 PM</t>
        </is>
      </c>
      <c r="E2073" t="inlineStr">
        <is>
          <t>40,00,000</t>
        </is>
      </c>
      <c r="F2073" t="inlineStr">
        <is>
          <t>MATERIAL SUPPLY WORK FOR GRAM PANCHAYAT MANCHA</t>
        </is>
      </c>
      <c r="G2073" t="inlineStr">
        <is>
          <t>GRAM PANCHAYAT MANCHA</t>
        </is>
      </c>
    </row>
    <row r="2074">
      <c r="A2074" s="1" t="n">
        <v>2072</v>
      </c>
      <c r="B2074">
        <f>HYPERLINK("https://eproc.rajasthan.gov.in/nicgep/app?component=%24DirectLink&amp;page=FrontEndViewTender&amp;service=direct&amp;session=T&amp;sp=SrrLlSd%2Fh26N7knfkjJrZlA%3D%3D", "GRAM PANCHAYAT CHURI ME FY 2025-26 KE LIYE NAREGA YOJNA ME NIRMAN SAMGRI SUPPLY HETU RATE CONTRACT")</f>
        <v/>
      </c>
      <c r="C2074" t="inlineStr">
        <is>
          <t>Panchayati Raj Department||Secretary and Commissioner||CEO- JAIPUR||BDO-KOTPUTALI</t>
        </is>
      </c>
      <c r="D2074" t="inlineStr">
        <is>
          <t>23-May-2025 11:00 AM</t>
        </is>
      </c>
      <c r="E2074" t="inlineStr">
        <is>
          <t>30,00,000</t>
        </is>
      </c>
      <c r="F2074" t="inlineStr">
        <is>
          <t>GRAM PANCHAYAT CHURI ME FY 2025-26 KE LIYE NAREGA YOJNA ME NIRMAN SAMGRI SUPPLY HETU RATE CONTRACT</t>
        </is>
      </c>
      <c r="G2074" t="inlineStr">
        <is>
          <t>CHURI</t>
        </is>
      </c>
    </row>
    <row r="2075">
      <c r="A2075" s="1" t="n">
        <v>2073</v>
      </c>
      <c r="B2075">
        <f>HYPERLINK("https://eproc.rajasthan.gov.in/nicgep/app?component=%24DirectLink&amp;page=FrontEndViewTender&amp;service=direct&amp;session=T&amp;sp=Sh4PEB7K2fRqa0%2Fk9W6GMTw%3D%3D", "GRAM PANCHAYAT CHIMANPURA ME FY 2025-26 KE LIYE NAREGA YOJNA ME NIRMAN SAMGRI SUPPLY HETU RATE CONTRACT")</f>
        <v/>
      </c>
      <c r="C2075" t="inlineStr">
        <is>
          <t>Panchayati Raj Department||Secretary and Commissioner||CEO- JAIPUR||BDO-KOTPUTALI</t>
        </is>
      </c>
      <c r="D2075" t="inlineStr">
        <is>
          <t>23-May-2025 11:00 AM</t>
        </is>
      </c>
      <c r="E2075" t="inlineStr">
        <is>
          <t>30,00,000</t>
        </is>
      </c>
      <c r="F2075" t="inlineStr">
        <is>
          <t>GRAM PANCHAYAT CHIMANPURA ME FY 2025-26 KE LIYE NAREGA YOJNA ME NIRMAN SAMGRI SUPPLY HETU RATE CONTRACT</t>
        </is>
      </c>
      <c r="G2075" t="inlineStr">
        <is>
          <t>CHIMANPURA</t>
        </is>
      </c>
    </row>
    <row r="2076">
      <c r="A2076" s="1" t="n">
        <v>2074</v>
      </c>
      <c r="B2076">
        <f>HYPERLINK("https://eproc.rajasthan.gov.in/nicgep/app?component=%24DirectLink&amp;page=FrontEndViewTender&amp;service=direct&amp;session=T&amp;sp=SjfL8LEfsk%2FH6Aq4tUarzig%3D%3D", "GRAM PANCHAYAT BASAI ME FY 2025-26 KE LIYE NAREGA YOJNA ME NIRMAN SAMGRI SUPPLY HETU RATE CONTRACT")</f>
        <v/>
      </c>
      <c r="C2076" t="inlineStr">
        <is>
          <t>Panchayati Raj Department||Secretary and Commissioner||CEO- JAIPUR||BDO-KOTPUTALI</t>
        </is>
      </c>
      <c r="D2076" t="inlineStr">
        <is>
          <t>23-May-2025 11:00 AM</t>
        </is>
      </c>
      <c r="E2076" t="inlineStr">
        <is>
          <t>30,00,000</t>
        </is>
      </c>
      <c r="F2076" t="inlineStr">
        <is>
          <t>GRAM PANCHAYAT BASAI ME FY 2025-26 KE LIYE NAREGA YOJNA ME NIRMAN SAMGRI SUPPLY HETU RATE CONTRACT</t>
        </is>
      </c>
      <c r="G2076" t="inlineStr">
        <is>
          <t>BASAI</t>
        </is>
      </c>
    </row>
    <row r="2077">
      <c r="A2077" s="1" t="n">
        <v>2075</v>
      </c>
      <c r="B2077">
        <f>HYPERLINK("https://eproc.rajasthan.gov.in/nicgep/app?component=%24DirectLink&amp;page=FrontEndViewTender&amp;service=direct&amp;session=T&amp;sp=SxLSUgJPgoqxrgSVydGgNoA%3D%3D", "MATERIAL SUPPLY IN GRAM PANCHAYAT JERTHI PS DHOD FOR MGNREGA AND OTHER SCHEME")</f>
        <v/>
      </c>
      <c r="C2077" t="inlineStr">
        <is>
          <t>Panchayati Raj Department||Secretary and Commissioner||CEO-SIKAR||BDO-DHOD</t>
        </is>
      </c>
      <c r="D2077" t="inlineStr">
        <is>
          <t>26-May-2025 06:00 PM</t>
        </is>
      </c>
      <c r="E2077" t="inlineStr">
        <is>
          <t>45,00,000</t>
        </is>
      </c>
      <c r="F2077" t="inlineStr">
        <is>
          <t>MATERIAL SUPPLY IN GRAM PANCHAYAT JERTHI PS DHOD FOR MGNREGA AND OTHER SCHEME</t>
        </is>
      </c>
      <c r="G2077" t="inlineStr">
        <is>
          <t>GRAM PANCHAYAT JERTHI</t>
        </is>
      </c>
    </row>
    <row r="2078">
      <c r="A2078" s="1" t="n">
        <v>2076</v>
      </c>
      <c r="B2078">
        <f>HYPERLINK("https://eproc.rajasthan.gov.in/nicgep/app?component=%24DirectLink&amp;page=FrontEndViewTender&amp;service=direct&amp;session=T&amp;sp=S1%2FWDVHwi%2Fcq4erVjcbjxcQ%3D%3D", "Supply of Various Construction Materials and Equipment Service Gram Panchayat Baroo P.S. Rashmi")</f>
        <v/>
      </c>
      <c r="C2078" t="inlineStr">
        <is>
          <t>Panchayati Raj Department||Secretary and Commissioner||CEO-CHITTORGARH||BDO-RASHMI</t>
        </is>
      </c>
      <c r="D2078" t="inlineStr">
        <is>
          <t>23-May-2025 10:00 AM</t>
        </is>
      </c>
      <c r="E2078" t="inlineStr">
        <is>
          <t>45,30,000</t>
        </is>
      </c>
      <c r="F2078" t="inlineStr">
        <is>
          <t>Supply of Various Construction Materials and Equipment Service Gram Panchayat Baroo P.S. Rashmi</t>
        </is>
      </c>
      <c r="G2078" t="inlineStr">
        <is>
          <t>gram panchayat Baroo</t>
        </is>
      </c>
    </row>
    <row r="2079">
      <c r="A2079" s="1" t="n">
        <v>2077</v>
      </c>
      <c r="B2079">
        <f>HYPERLINK("https://eproc.rajasthan.gov.in/nicgep/app?component=%24DirectLink&amp;page=FrontEndViewTender&amp;service=direct&amp;session=T&amp;sp=SW5RhQYLB116N9SO0cfcG2A%3D%3D", "Supply of Various Construction Materials and Equipment Service Gram Panchayat PAVLI P.S. Rashmi")</f>
        <v/>
      </c>
      <c r="C2079" t="inlineStr">
        <is>
          <t>Panchayati Raj Department||Secretary and Commissioner||CEO-CHITTORGARH||BDO-RASHMI</t>
        </is>
      </c>
      <c r="D2079" t="inlineStr">
        <is>
          <t>23-May-2025 10:00 AM</t>
        </is>
      </c>
      <c r="E2079" t="inlineStr">
        <is>
          <t>45,30,000</t>
        </is>
      </c>
      <c r="F2079" t="inlineStr">
        <is>
          <t>Supply of Various Construction Materials and Equipment Service Gram Panchayat PAVLI P.S. Rashmi</t>
        </is>
      </c>
      <c r="G2079" t="inlineStr">
        <is>
          <t>gram panchayat PAVLI</t>
        </is>
      </c>
    </row>
    <row r="2080">
      <c r="A2080" s="1" t="n">
        <v>2078</v>
      </c>
      <c r="B2080">
        <f>HYPERLINK("https://eproc.rajasthan.gov.in/nicgep/app?component=%24DirectLink&amp;page=FrontEndViewTender&amp;service=direct&amp;session=T&amp;sp=SN6O1pwkKFtd2SwdgA9G%2B0w%3D%3D", "material supply in gp sinhasan")</f>
        <v/>
      </c>
      <c r="C2080" t="inlineStr">
        <is>
          <t>Panchayati Raj Department||Secretary and Commissioner||CEO-SIKAR||BDO-PIPARALI</t>
        </is>
      </c>
      <c r="D2080" t="inlineStr">
        <is>
          <t>22-May-2025 06:00 PM</t>
        </is>
      </c>
      <c r="E2080" t="inlineStr">
        <is>
          <t>40,00,000</t>
        </is>
      </c>
      <c r="F2080" t="inlineStr">
        <is>
          <t>material supply in gp sinhasan and villages in year 2025-26</t>
        </is>
      </c>
      <c r="G2080" t="inlineStr">
        <is>
          <t>gp singhasan</t>
        </is>
      </c>
    </row>
    <row r="2081">
      <c r="A2081" s="1" t="n">
        <v>2079</v>
      </c>
      <c r="B2081">
        <f>HYPERLINK("https://eproc.rajasthan.gov.in/nicgep/app?component=%24DirectLink&amp;page=FrontEndViewTender&amp;service=direct&amp;session=T&amp;sp=SLlfl6hLj6LJu4zlPlgmP2g%3D%3D", "material supply in gp raghunathgharh")</f>
        <v/>
      </c>
      <c r="C2081" t="inlineStr">
        <is>
          <t>Panchayati Raj Department||Secretary and Commissioner||CEO-SIKAR||BDO-PIPARALI</t>
        </is>
      </c>
      <c r="D2081" t="inlineStr">
        <is>
          <t>22-May-2025 06:00 PM</t>
        </is>
      </c>
      <c r="E2081" t="inlineStr">
        <is>
          <t>40,00,000</t>
        </is>
      </c>
      <c r="F2081" t="inlineStr">
        <is>
          <t>material supply in gp raghunathgharh and villages in year 2025-26</t>
        </is>
      </c>
      <c r="G2081" t="inlineStr">
        <is>
          <t>gp raghunathgharh</t>
        </is>
      </c>
    </row>
    <row r="2082">
      <c r="A2082" s="1" t="n">
        <v>2080</v>
      </c>
      <c r="B2082">
        <f>HYPERLINK("https://eproc.rajasthan.gov.in/nicgep/app?component=%24DirectLink&amp;page=FrontEndViewTender&amp;service=direct&amp;session=T&amp;sp=Sc8zhUQEb5gfw2op58Xsldg%3D%3D", "MATERIAL SUPPLY WORK FOR GRAM PANCHAYAT CHAMRODA")</f>
        <v/>
      </c>
      <c r="C2082" t="inlineStr">
        <is>
          <t>Panchayati Raj Department||Secretary and Commissioner||CEO-ALWAR||BDO-KISHANGARHWAS</t>
        </is>
      </c>
      <c r="D2082" t="inlineStr">
        <is>
          <t>20-May-2025 04:00 PM</t>
        </is>
      </c>
      <c r="E2082" t="inlineStr">
        <is>
          <t>40,00,000</t>
        </is>
      </c>
      <c r="F2082" t="inlineStr">
        <is>
          <t>MATERIAL SUPPLY WORK FOR GRAM PANCHAYAT CHAMRODA</t>
        </is>
      </c>
      <c r="G2082" t="inlineStr">
        <is>
          <t>GRAM PANCHAYAT CHAMRODA</t>
        </is>
      </c>
    </row>
    <row r="2083">
      <c r="A2083" s="1" t="n">
        <v>2081</v>
      </c>
      <c r="B2083">
        <f>HYPERLINK("https://eproc.rajasthan.gov.in/nicgep/app?component=%24DirectLink&amp;page=FrontEndViewTender&amp;service=direct&amp;session=T&amp;sp=SGhZjmkYQtecv9DkZjuxvxg%3D%3D", "MATERIAL SUPPLY WORK FOR GRAM PANCHAYAT KHANPURMEWAN")</f>
        <v/>
      </c>
      <c r="C2083" t="inlineStr">
        <is>
          <t>Panchayati Raj Department||Secretary and Commissioner||CEO-ALWAR||BDO-KISHANGARHWAS</t>
        </is>
      </c>
      <c r="D2083" t="inlineStr">
        <is>
          <t>20-May-2025 04:00 PM</t>
        </is>
      </c>
      <c r="E2083" t="inlineStr">
        <is>
          <t>40,00,000</t>
        </is>
      </c>
      <c r="F2083" t="inlineStr">
        <is>
          <t>MATERIAL SUPPLY WORK FOR GRAM PANCHAYAT KHANPURMEWAN</t>
        </is>
      </c>
      <c r="G2083" t="inlineStr">
        <is>
          <t>GRAM PANCHAYAT KHANPURMEWAN</t>
        </is>
      </c>
    </row>
    <row r="2084">
      <c r="A2084" s="1" t="n">
        <v>2082</v>
      </c>
      <c r="B2084">
        <f>HYPERLINK("https://eproc.rajasthan.gov.in/nicgep/app?component=%24DirectLink&amp;page=FrontEndViewTender&amp;service=direct&amp;session=T&amp;sp=SIGSxOzYxr3J%2FCW318Bap%2Bw%3D%3D", "MATERIAL SUPPLY IN GRAM PANCHAYAT KASLI PS DHOD FOR MGNREGA AND OTHER SCHEME")</f>
        <v/>
      </c>
      <c r="C2084" t="inlineStr">
        <is>
          <t>Panchayati Raj Department||Secretary and Commissioner||CEO-SIKAR||BDO-DHOD</t>
        </is>
      </c>
      <c r="D2084" t="inlineStr">
        <is>
          <t>26-May-2025 06:00 PM</t>
        </is>
      </c>
      <c r="E2084" t="inlineStr">
        <is>
          <t>45,00,000</t>
        </is>
      </c>
      <c r="F2084" t="inlineStr">
        <is>
          <t>MATERIAL SUPPLY IN GRAM PANCHAYAT KASLI PS DHOD FOR MGNREGA AND OTHER SCHEME</t>
        </is>
      </c>
      <c r="G2084" t="inlineStr">
        <is>
          <t>GRAM PANCHAYAT KASLI</t>
        </is>
      </c>
    </row>
    <row r="2085">
      <c r="A2085" s="1" t="n">
        <v>2083</v>
      </c>
      <c r="B2085">
        <f>HYPERLINK("https://eproc.rajasthan.gov.in/nicgep/app?component=%24DirectLink&amp;page=FrontEndViewTender&amp;service=direct&amp;session=T&amp;sp=S0Fi0RsSSa2%2BcV2alyrfAjw%3D%3D", "MGNREGA MATERIALS SUPPLY FY 2025-26 GP AADURI")</f>
        <v/>
      </c>
      <c r="C2085" t="inlineStr">
        <is>
          <t>Panchayati Raj Department||Secretary and Commissioner||CEO-BIKANER||BDO-POOGAL</t>
        </is>
      </c>
      <c r="D2085" t="inlineStr">
        <is>
          <t>26-May-2025 06:00 PM</t>
        </is>
      </c>
      <c r="E2085" t="inlineStr">
        <is>
          <t>90,00,000</t>
        </is>
      </c>
      <c r="F2085" t="inlineStr">
        <is>
          <t>MGNREGA AND ALL OTHER YOJANA CONSTRUCTION MATERIALS SUPPLY GRAM PANCHAYAT AADURI</t>
        </is>
      </c>
      <c r="G2085" t="inlineStr">
        <is>
          <t>GP AADURI</t>
        </is>
      </c>
    </row>
    <row r="2086">
      <c r="A2086" s="1" t="n">
        <v>2084</v>
      </c>
      <c r="B2086">
        <f>HYPERLINK("https://eproc.rajasthan.gov.in/nicgep/app?component=%24DirectLink&amp;page=FrontEndViewTender&amp;service=direct&amp;session=T&amp;sp=SCHokP7I%2FeA8V5zJpXDntEA%3D%3D", "MGNREGA MATERIALS SUPPLY FY 2025-26 GP KANKRALA")</f>
        <v/>
      </c>
      <c r="C2086" t="inlineStr">
        <is>
          <t>Panchayati Raj Department||Secretary and Commissioner||CEO-BIKANER||BDO-POOGAL</t>
        </is>
      </c>
      <c r="D2086" t="inlineStr">
        <is>
          <t>26-May-2025 06:00 PM</t>
        </is>
      </c>
      <c r="E2086" t="inlineStr">
        <is>
          <t>90,00,000</t>
        </is>
      </c>
      <c r="F2086" t="inlineStr">
        <is>
          <t>MGNREGA AND ALL OTHER YOJANA CONSTRUCTION MATERIALS SUPPLY GRAM PANCHAYAT KANKRALA</t>
        </is>
      </c>
      <c r="G2086" t="inlineStr">
        <is>
          <t>GP KANKRALA</t>
        </is>
      </c>
    </row>
    <row r="2087">
      <c r="A2087" s="1" t="n">
        <v>2085</v>
      </c>
      <c r="B2087">
        <f>HYPERLINK("https://eproc.rajasthan.gov.in/nicgep/app?component=%24DirectLink&amp;page=FrontEndViewTender&amp;service=direct&amp;session=T&amp;sp=SU%2FulToPwRHM%2FLuWpTjeN7A%3D%3D", "Rate Contract for BSR 2025-26 FOR MATERIAL AND EQUIPMENT SUPPLY FOR GRAM PANCHAYAT DHAISAR")</f>
        <v/>
      </c>
      <c r="C2087" t="inlineStr">
        <is>
          <t>Panchayati Raj Department||Secretary and Commissioner||CEO- JAISALMER||BDO-JAISALMER</t>
        </is>
      </c>
      <c r="D2087" t="inlineStr">
        <is>
          <t>22-May-2025 06:00 PM</t>
        </is>
      </c>
      <c r="E2087" t="inlineStr">
        <is>
          <t>NA</t>
        </is>
      </c>
      <c r="F2087" t="inlineStr">
        <is>
          <t>Rate Contract for BSR 2025-26 FOR MATERIAL AND EQUIPMENT SUPPLY FOR GRAM PANCHAYAT DHAISAR</t>
        </is>
      </c>
      <c r="G2087" t="inlineStr">
        <is>
          <t>GRAM PANCHAYAT DHAISAR</t>
        </is>
      </c>
    </row>
    <row r="2088">
      <c r="A2088" s="1" t="n">
        <v>2086</v>
      </c>
      <c r="B2088">
        <f>HYPERLINK("https://eproc.rajasthan.gov.in/nicgep/app?component=%24DirectLink&amp;page=FrontEndViewTender&amp;service=direct&amp;session=T&amp;sp=S3hPDHSA5ECQfcHWJ9fvJbg%3D%3D", "ZILA NAYAYALYA PARISAR KOTPUTLI ME ADHIVAKTAO KE BAITHNE KI LIYE ADVOCATE COMPLAX ME TIN SHED V INTERLOCKING TILES LAGANE AUR ANYA AVASHYAK SUVIDHAO KA KARYA")</f>
        <v/>
      </c>
      <c r="C2088" t="inlineStr">
        <is>
          <t>Panchayati Raj Department||Secretary and Commissioner||CEO- JAIPUR||BDO-KOTPUTALI</t>
        </is>
      </c>
      <c r="D2088" t="inlineStr">
        <is>
          <t>21-May-2025 06:00 PM</t>
        </is>
      </c>
      <c r="E2088" t="inlineStr">
        <is>
          <t>32,13,867</t>
        </is>
      </c>
      <c r="F2088" t="inlineStr">
        <is>
          <t>ZILA NAYAYALYA PARISAR KOTPUTLI ME ADHIVAKTAO KE BAITHNE KI LIYE ADVOCATE COMPLAX ME TIN SHED V INTERLOCKING TILES LAGANE AUR ANYA AVASHYAK SUVIDHAO KA KARYA</t>
        </is>
      </c>
      <c r="G2088" t="inlineStr">
        <is>
          <t>KOTPUTLI</t>
        </is>
      </c>
    </row>
    <row r="2089">
      <c r="A2089" s="1" t="n">
        <v>2087</v>
      </c>
      <c r="B2089">
        <f>HYPERLINK("https://eproc.rajasthan.gov.in/nicgep/app?component=%24DirectLink&amp;page=FrontEndViewTender&amp;service=direct&amp;session=T&amp;sp=S0OoiHjbdmFbym3SWBtLDPw%3D%3D", "DATARAM MUNIM KE MAKAN SE LAMTA PAHADI KI AUR CC SADAK NIRMAN KARYA GRAM KHADAB")</f>
        <v/>
      </c>
      <c r="C2089" t="inlineStr">
        <is>
          <t>Panchayati Raj Department||Secretary and Commissioner||CEO- JAIPUR||BDO-KOTPUTALI</t>
        </is>
      </c>
      <c r="D2089" t="inlineStr">
        <is>
          <t>21-May-2025 06:00 PM</t>
        </is>
      </c>
      <c r="E2089" t="inlineStr">
        <is>
          <t>7,99,928</t>
        </is>
      </c>
      <c r="F2089" t="inlineStr">
        <is>
          <t>DATARAM MUNIM KE MAKAN SE LAMTA PAHADI KI AUR CC SADAK NIRMAN KARYA GRAM KHADAB</t>
        </is>
      </c>
      <c r="G2089" t="inlineStr">
        <is>
          <t>KHADAB</t>
        </is>
      </c>
    </row>
    <row r="2090">
      <c r="A2090" s="1" t="n">
        <v>2088</v>
      </c>
      <c r="B2090">
        <f>HYPERLINK("https://eproc.rajasthan.gov.in/nicgep/app?component=%24DirectLink&amp;page=FrontEndViewTender&amp;service=direct&amp;session=T&amp;sp=SlsTEbBdbZXc5hVmN1rDI3w%3D%3D", "SBM")</f>
        <v/>
      </c>
      <c r="C2090" t="inlineStr">
        <is>
          <t>Panchayati Raj Department||Secretary and Commissioner||CEO-AJMER||BDO-JAWAJA</t>
        </is>
      </c>
      <c r="D2090" t="inlineStr">
        <is>
          <t>28-May-2025 05:00 PM</t>
        </is>
      </c>
      <c r="E2090" t="inlineStr">
        <is>
          <t>4,97,218</t>
        </is>
      </c>
      <c r="F2090" t="inlineStr">
        <is>
          <t>SBM</t>
        </is>
      </c>
      <c r="G2090" t="inlineStr">
        <is>
          <t>GP</t>
        </is>
      </c>
    </row>
    <row r="2091">
      <c r="A2091" s="1" t="n">
        <v>2089</v>
      </c>
      <c r="B2091">
        <f>HYPERLINK("https://eproc.rajasthan.gov.in/nicgep/app?component=%24DirectLink&amp;page=FrontEndViewTender&amp;service=direct&amp;session=T&amp;sp=Ss5s9XWblVXB%2Fz4wyGoV7uA%3D%3D", "SAAF SAFAI KARY IN G.P. GARU")</f>
        <v/>
      </c>
      <c r="C2091" t="inlineStr">
        <is>
          <t>Panchayati Raj Department||Secretary and Commissioner||CEO-ALWAR||BDO-KATHUMBAR</t>
        </is>
      </c>
      <c r="D2091" t="inlineStr">
        <is>
          <t>19-May-2025 06:00 PM</t>
        </is>
      </c>
      <c r="E2091" t="inlineStr">
        <is>
          <t>10,00,000</t>
        </is>
      </c>
      <c r="F2091" t="inlineStr">
        <is>
          <t>SAAF SAFAI KARY IN G.P. GARU</t>
        </is>
      </c>
      <c r="G2091" t="inlineStr">
        <is>
          <t>GARU</t>
        </is>
      </c>
    </row>
    <row r="2092">
      <c r="A2092" s="1" t="n">
        <v>2090</v>
      </c>
      <c r="B2092">
        <f>HYPERLINK("https://eproc.rajasthan.gov.in/nicgep/app?component=%24DirectLink&amp;page=FrontEndViewTender&amp;service=direct&amp;session=T&amp;sp=SrnJjjWer25tcWjldDe9IEQ%3D%3D", "SUPPLY OF CONSTRUCTION MATERIAL AND PROVIDING EQUIPMENT IN GRAM PANCHAYAT KHERWA OF PANCHAYAT SAMITI PALI, DIST.- PALI")</f>
        <v/>
      </c>
      <c r="C2092" t="inlineStr">
        <is>
          <t>Panchayati Raj Department||Secretary and Commissioner||CEO-PALI||BDO-PALI</t>
        </is>
      </c>
      <c r="D2092" t="inlineStr">
        <is>
          <t>22-May-2025 05:00 PM</t>
        </is>
      </c>
      <c r="E2092" t="inlineStr">
        <is>
          <t>45,00,000</t>
        </is>
      </c>
      <c r="F2092" t="inlineStr">
        <is>
          <t>SUPPLY OF CONSTRUCTION MATERIAL AND PROVIDING EQUIPMENT IN GRAM PANCHAYAT KHERWA OF PANCHAYAT SAMITI PALI, DIST.- PALI</t>
        </is>
      </c>
      <c r="G2092" t="inlineStr">
        <is>
          <t>Gram Panchayat Kherwa</t>
        </is>
      </c>
    </row>
    <row r="2093">
      <c r="A2093" s="1" t="n">
        <v>2091</v>
      </c>
      <c r="B2093">
        <f>HYPERLINK("https://eproc.rajasthan.gov.in/nicgep/app?component=%24DirectLink&amp;page=FrontEndViewTender&amp;service=direct&amp;session=T&amp;sp=StoHAy%2FOt0rmBFO1e6LOj6w%3D%3D", "MGNREGA MATERIALS SUPPLY FY 2025-26 GP POOGAL")</f>
        <v/>
      </c>
      <c r="C2093" t="inlineStr">
        <is>
          <t>Panchayati Raj Department||Secretary and Commissioner||CEO-BIKANER||BDO-POOGAL</t>
        </is>
      </c>
      <c r="D2093" t="inlineStr">
        <is>
          <t>26-May-2025 06:00 PM</t>
        </is>
      </c>
      <c r="E2093" t="inlineStr">
        <is>
          <t>90,00,000</t>
        </is>
      </c>
      <c r="F2093" t="inlineStr">
        <is>
          <t>MGNREGA AND ALL OTHER YOJANA CONSTRUCTION MATERIALS SUPPLY GRAM PANCHAYAT POOGAL</t>
        </is>
      </c>
      <c r="G2093" t="inlineStr">
        <is>
          <t>GP Poogal</t>
        </is>
      </c>
    </row>
    <row r="2094">
      <c r="A2094" s="1" t="n">
        <v>2092</v>
      </c>
      <c r="B2094">
        <f>HYPERLINK("https://eproc.rajasthan.gov.in/nicgep/app?component=%24DirectLink&amp;page=FrontEndViewTender&amp;service=direct&amp;session=T&amp;sp=SNm0xlqLGiHb8d1FVCzgZxQ%3D%3D", "MGNREGA MATERIALS SUPPLY FY 2025-26 GP HANUMANNAGAR")</f>
        <v/>
      </c>
      <c r="C2094" t="inlineStr">
        <is>
          <t>Panchayati Raj Department||Secretary and Commissioner||CEO-BIKANER||BDO-POOGAL</t>
        </is>
      </c>
      <c r="D2094" t="inlineStr">
        <is>
          <t>26-May-2025 06:00 PM</t>
        </is>
      </c>
      <c r="E2094" t="inlineStr">
        <is>
          <t>90,00,000</t>
        </is>
      </c>
      <c r="F2094" t="inlineStr">
        <is>
          <t>MGNREGA AND ALL OTHER YOJANA CONSTRUCTION MATERIALS SUPPLY GRAM PANCHAYAT HANUMANNAGAR</t>
        </is>
      </c>
      <c r="G2094" t="inlineStr">
        <is>
          <t>GP HANUMANNAGAR</t>
        </is>
      </c>
    </row>
    <row r="2095">
      <c r="A2095" s="1" t="n">
        <v>2093</v>
      </c>
      <c r="B2095">
        <f>HYPERLINK("https://eproc.rajasthan.gov.in/nicgep/app?component=%24DirectLink&amp;page=FrontEndViewTender&amp;service=direct&amp;session=T&amp;sp=SzZGPylwyFhAf5VzrlwFPcw%3D%3D", "MGNREGA MATERIALS SUPPLY FY 2025-26 GP DANDI")</f>
        <v/>
      </c>
      <c r="C2095" t="inlineStr">
        <is>
          <t>Panchayati Raj Department||Secretary and Commissioner||CEO-BIKANER||BDO-POOGAL</t>
        </is>
      </c>
      <c r="D2095" t="inlineStr">
        <is>
          <t>26-May-2025 06:00 PM</t>
        </is>
      </c>
      <c r="E2095" t="inlineStr">
        <is>
          <t>90,00,000</t>
        </is>
      </c>
      <c r="F2095" t="inlineStr">
        <is>
          <t>MGNREGA AND ALL OTHER YOJANA CONSTRUCTION MATERIALS SUPPLY GRAM PANCHAYAT DANDI</t>
        </is>
      </c>
      <c r="G2095" t="inlineStr">
        <is>
          <t>GP DANDI</t>
        </is>
      </c>
    </row>
    <row r="2096">
      <c r="A2096" s="1" t="n">
        <v>2094</v>
      </c>
      <c r="B2096">
        <f>HYPERLINK("https://eproc.rajasthan.gov.in/nicgep/app?component=%24DirectLink&amp;page=FrontEndViewTender&amp;service=direct&amp;session=T&amp;sp=SGJtJG4K6k3lHNn4udO5Rew%3D%3D", "Garbage collection, separation, road and drain cleaning and community sanitation, campus cleaning work GP Saidariyakhurd")</f>
        <v/>
      </c>
      <c r="C2096" t="inlineStr">
        <is>
          <t>Panchayati Raj Department||Secretary and Commissioner||CEO-TONK||BDO-NIVAI</t>
        </is>
      </c>
      <c r="D2096" t="inlineStr">
        <is>
          <t>19-May-2025 06:00 PM</t>
        </is>
      </c>
      <c r="E2096" t="inlineStr">
        <is>
          <t>14,99,000</t>
        </is>
      </c>
      <c r="F2096" t="inlineStr">
        <is>
          <t>Garbage collection, separation, road and drain cleaning and community sanitation, campus cleaning work GP Saidariyakhurd</t>
        </is>
      </c>
      <c r="G2096" t="inlineStr">
        <is>
          <t>GP SAIDARIYAKHURD</t>
        </is>
      </c>
    </row>
    <row r="2097">
      <c r="A2097" s="1" t="n">
        <v>2095</v>
      </c>
      <c r="B2097">
        <f>HYPERLINK("https://eproc.rajasthan.gov.in/nicgep/app?component=%24DirectLink&amp;page=FrontEndViewTender&amp;service=direct&amp;session=T&amp;sp=S2K9FO3wjakQ83qiFr1a1Rw%3D%3D", "Construction of Two Class Room in Govt. S.S. School Dang GP Dang Block Kotra under DMFT Fund")</f>
        <v/>
      </c>
      <c r="C2097" t="inlineStr">
        <is>
          <t>Panchayati Raj Department||Secretary and Commissioner||CEO-UDAIPUR||BDO-KHERWARA</t>
        </is>
      </c>
      <c r="D2097" t="inlineStr">
        <is>
          <t>19-May-2025 06:00 PM</t>
        </is>
      </c>
      <c r="E2097" t="inlineStr">
        <is>
          <t>24,81,000</t>
        </is>
      </c>
      <c r="F2097" t="inlineStr">
        <is>
          <t>Construction of Two Class Room in Govt. S.S. School Dang GP Dang Block Kotra under DMFT Fund</t>
        </is>
      </c>
      <c r="G2097" t="inlineStr">
        <is>
          <t>GP Dang Block Kotra</t>
        </is>
      </c>
    </row>
    <row r="2098">
      <c r="A2098" s="1" t="n">
        <v>2096</v>
      </c>
      <c r="B2098">
        <f>HYPERLINK("https://eproc.rajasthan.gov.in/nicgep/app?component=%24DirectLink&amp;page=FrontEndViewTender&amp;service=direct&amp;session=T&amp;sp=SRzTTKykst6KokA5CkCd%2BKQ%3D%3D", "Construction of Two Class Room in Govt. S.S. School Bhutwad GP Bhutwad Block Kotra under DMFT Fund")</f>
        <v/>
      </c>
      <c r="C2098" t="inlineStr">
        <is>
          <t>Panchayati Raj Department||Secretary and Commissioner||CEO-UDAIPUR||BDO-KHERWARA</t>
        </is>
      </c>
      <c r="D2098" t="inlineStr">
        <is>
          <t>19-May-2025 06:00 PM</t>
        </is>
      </c>
      <c r="E2098" t="inlineStr">
        <is>
          <t>24,81,000</t>
        </is>
      </c>
      <c r="F2098" t="inlineStr">
        <is>
          <t>Construction of Two Class Room in Govt. S.S. School Bhutwad GP Bhutwad Block Kotra under DMFT Fund</t>
        </is>
      </c>
      <c r="G2098" t="inlineStr">
        <is>
          <t>GP Bhutwad</t>
        </is>
      </c>
    </row>
    <row r="2099">
      <c r="A2099" s="1" t="n">
        <v>2097</v>
      </c>
      <c r="B2099">
        <f>HYPERLINK("https://eproc.rajasthan.gov.in/nicgep/app?component=%24DirectLink&amp;page=FrontEndViewTender&amp;service=direct&amp;session=T&amp;sp=SVLWqIqbDQSNAaJbxetfDzg%3D%3D", "Rate contract For Supply of Construction Material and Providing Equipments for MGNREGA and Rural Development and Panchayati Raj departments various schemes at Gram Panchayat KOLWAPanchayat Samiti Bandikui Dist Dausa For FY 2025-26")</f>
        <v/>
      </c>
      <c r="C2099" t="inlineStr">
        <is>
          <t>Panchayati Raj Department||Secretary and Commissioner||CEO-DAUSA||BDO-BANDIKUI</t>
        </is>
      </c>
      <c r="D2099" t="inlineStr">
        <is>
          <t>22-May-2025 05:00 PM</t>
        </is>
      </c>
      <c r="E2099" t="inlineStr">
        <is>
          <t>50,00,000</t>
        </is>
      </c>
      <c r="F2099" t="inlineStr">
        <is>
          <t>Rate contract For Supply of Construction Material and Providing Equipments for MGNREGA and Rural Development and Panchayati Raj departments various schemes at Gram Panchayat KOLWAPanchayat Samiti Bandikui Dist Dausa For FY 2025-26</t>
        </is>
      </c>
      <c r="G2099" t="inlineStr">
        <is>
          <t>GRAM PANCHYAT KOLWA</t>
        </is>
      </c>
    </row>
    <row r="2100">
      <c r="A2100" s="1" t="n">
        <v>2098</v>
      </c>
      <c r="B2100">
        <f>HYPERLINK("https://eproc.rajasthan.gov.in/nicgep/app?component=%24DirectLink&amp;page=FrontEndViewTender&amp;service=direct&amp;session=T&amp;sp=SZW8mhZs7NclwfoexzAn7yQ%3D%3D", "Rate Contract for Construction Material and Equipments for MGNREGS works for the Year 2025-26 panchayat samiti DUG District Jhalawar At Gram Panchayats RAVANGURADI")</f>
        <v/>
      </c>
      <c r="C2100" t="inlineStr">
        <is>
          <t>Panchayati Raj Department||Secretary and Commissioner||CEO- JHALAWAR||BDO-DUG</t>
        </is>
      </c>
      <c r="D2100" t="inlineStr">
        <is>
          <t>22-May-2025 06:00 PM</t>
        </is>
      </c>
      <c r="E2100" t="inlineStr">
        <is>
          <t>1,00,00,000</t>
        </is>
      </c>
      <c r="F2100" t="inlineStr">
        <is>
          <t>Rate Contract for Construction Material and Equipments for MGNREGS works for the Year 2025-26 panchayat samiti DUG District Jhalawar At Gram Panchayats RAVANGURADI</t>
        </is>
      </c>
      <c r="G2100" t="inlineStr">
        <is>
          <t>JHALAWAR</t>
        </is>
      </c>
    </row>
    <row r="2101">
      <c r="A2101" s="1" t="n">
        <v>2099</v>
      </c>
      <c r="B2101">
        <f>HYPERLINK("https://eproc.rajasthan.gov.in/nicgep/app?component=%24DirectLink&amp;page=FrontEndViewTender&amp;service=direct&amp;session=T&amp;sp=S1lFa90hB9WToUbv%2FoQFQWA%3D%3D", "Rate Contract for Construction Material and Equipments for MGNREGS works for the Year 2025-26 panchayat samiti DUG District Jhalawar At Gram Panchayats RAMPURA")</f>
        <v/>
      </c>
      <c r="C2101" t="inlineStr">
        <is>
          <t>Panchayati Raj Department||Secretary and Commissioner||CEO- JHALAWAR||BDO-DUG</t>
        </is>
      </c>
      <c r="D2101" t="inlineStr">
        <is>
          <t>22-May-2025 06:00 PM</t>
        </is>
      </c>
      <c r="E2101" t="inlineStr">
        <is>
          <t>50,00,000</t>
        </is>
      </c>
      <c r="F2101" t="inlineStr">
        <is>
          <t>Rate Contract for Construction Material and Equipments for MGNREGS works for the Year 2025-26 panchayat samiti DUG District Jhalawar At Gram Panchayats RAMPURA</t>
        </is>
      </c>
      <c r="G2101" t="inlineStr">
        <is>
          <t>JHALAWAR</t>
        </is>
      </c>
    </row>
    <row r="2102">
      <c r="A2102" s="1" t="n">
        <v>2100</v>
      </c>
      <c r="B2102">
        <f>HYPERLINK("https://eproc.rajasthan.gov.in/nicgep/app?component=%24DirectLink&amp;page=FrontEndViewTender&amp;service=direct&amp;session=T&amp;sp=S9z9T5gYPrN3i0hyAp6nzSw%3D%3D", "Rate Contract for Construction Material and Equipments for MGNREGS works for the Year 2025-26 panchayat samiti DUG District Jhalawar At Gram Panchayats DHATURIYA")</f>
        <v/>
      </c>
      <c r="C2102" t="inlineStr">
        <is>
          <t>Panchayati Raj Department||Secretary and Commissioner||CEO- JHALAWAR||BDO-DUG</t>
        </is>
      </c>
      <c r="D2102" t="inlineStr">
        <is>
          <t>22-May-2025 06:00 PM</t>
        </is>
      </c>
      <c r="E2102" t="inlineStr">
        <is>
          <t>50,00,000</t>
        </is>
      </c>
      <c r="F2102" t="inlineStr">
        <is>
          <t>Rate Contract for Construction Material and Equipments for MGNREGS works for the Year 2025-26 panchayat samiti DUG District Jhalawar At Gram Panchayats DHATURIYA</t>
        </is>
      </c>
      <c r="G2102" t="inlineStr">
        <is>
          <t>JHALAWAR</t>
        </is>
      </c>
    </row>
    <row r="2103">
      <c r="A2103" s="1" t="n">
        <v>2101</v>
      </c>
      <c r="B2103">
        <f>HYPERLINK("https://eproc.rajasthan.gov.in/nicgep/app?component=%24DirectLink&amp;page=FrontEndViewTender&amp;service=direct&amp;session=T&amp;sp=S3FiFnz1GMqjJYCQGx9GEvg%3D%3D", "Rate Contract for Construction Material and Equipments for MGNREGS works for the Year 2025-26 panchayat samiti DUG District Jhalawar At Gram Panchayats PIPLIYAKHURAD")</f>
        <v/>
      </c>
      <c r="C2103" t="inlineStr">
        <is>
          <t>Panchayati Raj Department||Secretary and Commissioner||CEO- JHALAWAR||BDO-DUG</t>
        </is>
      </c>
      <c r="D2103" t="inlineStr">
        <is>
          <t>22-May-2025 06:00 PM</t>
        </is>
      </c>
      <c r="E2103" t="inlineStr">
        <is>
          <t>50,00,000</t>
        </is>
      </c>
      <c r="F2103" t="inlineStr">
        <is>
          <t>Rate Contract for Construction Material and Equipments for MGNREGS works for the Year 2025-26 panchayat samiti DUG District Jhalawar At Gram Panchayats PIPLIYAKHURAD</t>
        </is>
      </c>
      <c r="G2103" t="inlineStr">
        <is>
          <t>JHALAWAR</t>
        </is>
      </c>
    </row>
    <row r="2104">
      <c r="A2104" s="1" t="n">
        <v>2102</v>
      </c>
      <c r="B2104">
        <f>HYPERLINK("https://eproc.rajasthan.gov.in/nicgep/app?component=%24DirectLink&amp;page=FrontEndViewTender&amp;service=direct&amp;session=T&amp;sp=Sq%2BdDIdAg7j0I99oa%2F9wWgg%3D%3D", "Rate Contract for Construction Material and Equipments for MGNREGS works for the Year 2025-26 panchayat samiti DUG District Jhalawar At Gram Panchayats DEVGARH")</f>
        <v/>
      </c>
      <c r="C2104" t="inlineStr">
        <is>
          <t>Panchayati Raj Department||Secretary and Commissioner||CEO- JHALAWAR||BDO-DUG</t>
        </is>
      </c>
      <c r="D2104" t="inlineStr">
        <is>
          <t>22-May-2025 06:00 PM</t>
        </is>
      </c>
      <c r="E2104" t="inlineStr">
        <is>
          <t>50,00,000</t>
        </is>
      </c>
      <c r="F2104" t="inlineStr">
        <is>
          <t>Rate Contract for Construction Material and Equipments for MGNREGS works for the Year 2025-26 panchayat samiti DUG District Jhalawar At Gram Panchayats DEVGARH</t>
        </is>
      </c>
      <c r="G2104" t="inlineStr">
        <is>
          <t>JHALAWAR</t>
        </is>
      </c>
    </row>
    <row r="2105">
      <c r="A2105" s="1" t="n">
        <v>2103</v>
      </c>
      <c r="B2105">
        <f>HYPERLINK("https://eproc.rajasthan.gov.in/nicgep/app?component=%24DirectLink&amp;page=FrontEndViewTender&amp;service=direct&amp;session=T&amp;sp=Sn6hYze%2F3Fw9ml58VbOu8Bw%3D%3D", "Rate Contract for Construction Material and Equipments for MGNREGS works for the Year 2025-26 panchayat samiti DUG District Jhalawar At Gram Panchayats MANDIRPUR")</f>
        <v/>
      </c>
      <c r="C2105" t="inlineStr">
        <is>
          <t>Panchayati Raj Department||Secretary and Commissioner||CEO- JHALAWAR||BDO-DUG</t>
        </is>
      </c>
      <c r="D2105" t="inlineStr">
        <is>
          <t>22-May-2025 06:00 PM</t>
        </is>
      </c>
      <c r="E2105" t="inlineStr">
        <is>
          <t>1,00,00,000</t>
        </is>
      </c>
      <c r="F2105" t="inlineStr">
        <is>
          <t>Rate Contract for Construction Material and Equipments for MGNREGS works for the Year 2025-26 panchayat samiti DUG District Jhalawar At Gram Panchayats MANDIRPUR</t>
        </is>
      </c>
      <c r="G2105" t="inlineStr">
        <is>
          <t>JHALAWAR</t>
        </is>
      </c>
    </row>
    <row r="2106">
      <c r="A2106" s="1" t="n">
        <v>2104</v>
      </c>
      <c r="B2106">
        <f>HYPERLINK("https://eproc.rajasthan.gov.in/nicgep/app?component=%24DirectLink&amp;page=FrontEndViewTender&amp;service=direct&amp;session=T&amp;sp=STbiQmlFo2q2yCPSlKgLRnw%3D%3D", "Rate Contract for Construction Material and Equipments for MGNREGS works for the Year 2025-26 panchayat samiti DUG District Jhalawar At Gram Panchayats TALAWLI")</f>
        <v/>
      </c>
      <c r="C2106" t="inlineStr">
        <is>
          <t>Panchayati Raj Department||Secretary and Commissioner||CEO- JHALAWAR||BDO-DUG</t>
        </is>
      </c>
      <c r="D2106" t="inlineStr">
        <is>
          <t>22-May-2025 06:00 PM</t>
        </is>
      </c>
      <c r="E2106" t="inlineStr">
        <is>
          <t>1,00,00,000</t>
        </is>
      </c>
      <c r="F2106" t="inlineStr">
        <is>
          <t>Rate Contract for Construction Material and Equipments for MGNREGS works for the Year 2025-26 panchayat samiti DUG District Jhalawar At Gram Panchayats TALAWLI</t>
        </is>
      </c>
      <c r="G2106" t="inlineStr">
        <is>
          <t>JHALAWAR</t>
        </is>
      </c>
    </row>
    <row r="2107">
      <c r="A2107" s="1" t="n">
        <v>2105</v>
      </c>
      <c r="B2107">
        <f>HYPERLINK("https://eproc.rajasthan.gov.in/nicgep/app?component=%24DirectLink&amp;page=FrontEndViewTender&amp;service=direct&amp;session=T&amp;sp=S%2F1p9Uj%2BYOFr3ZlrXqIPnqg%3D%3D", "Rate Contract for Construction Material and Equipments for MGNREGS works for the Year 2025-26 panchayat samiti DUG District Jhalawar At Gram Panchayats DUDHALIYA")</f>
        <v/>
      </c>
      <c r="C2107" t="inlineStr">
        <is>
          <t>Panchayati Raj Department||Secretary and Commissioner||CEO- JHALAWAR||BDO-DUG</t>
        </is>
      </c>
      <c r="D2107" t="inlineStr">
        <is>
          <t>22-May-2025 06:00 PM</t>
        </is>
      </c>
      <c r="E2107" t="inlineStr">
        <is>
          <t>1,00,00,000</t>
        </is>
      </c>
      <c r="F2107" t="inlineStr">
        <is>
          <t>Rate Contract for Construction Material and Equipments for MGNREGS works for the Year 2025-26 panchayat samiti DUG District Jhalawar At Gram Panchayats DUDHALIYA</t>
        </is>
      </c>
      <c r="G2107" t="inlineStr">
        <is>
          <t>JHALAWAR</t>
        </is>
      </c>
    </row>
    <row r="2108">
      <c r="A2108" s="1" t="n">
        <v>2106</v>
      </c>
      <c r="B2108">
        <f>HYPERLINK("https://eproc.rajasthan.gov.in/nicgep/app?component=%24DirectLink&amp;page=FrontEndViewTender&amp;service=direct&amp;session=T&amp;sp=Svgx8JfYI1YhRWW4leNUHWg%3D%3D", "Door-to-door waste collection and segregation, road and drain cleaning and cleaning of community premises in all villages of Gram Panchayat Mangalwad")</f>
        <v/>
      </c>
      <c r="C2108" t="inlineStr">
        <is>
          <t>Panchayati Raj Department||Secretary and Commissioner||CEO-CHITTORGARH||BDO-DUNGALA</t>
        </is>
      </c>
      <c r="D2108" t="inlineStr">
        <is>
          <t>29-May-2025 05:00 PM</t>
        </is>
      </c>
      <c r="E2108" t="inlineStr">
        <is>
          <t>10,18,838</t>
        </is>
      </c>
      <c r="F2108" t="inlineStr">
        <is>
          <t>Door-to-door waste collection and segregation, road and drain cleaning and cleaning of community premises in all villages of Gram Panchayat Mangalwad</t>
        </is>
      </c>
      <c r="G2108" t="inlineStr">
        <is>
          <t>Dungla</t>
        </is>
      </c>
    </row>
    <row r="2109">
      <c r="A2109" s="1" t="n">
        <v>2107</v>
      </c>
      <c r="B2109">
        <f>HYPERLINK("https://eproc.rajasthan.gov.in/nicgep/app?component=%24DirectLink&amp;page=FrontEndViewTender&amp;service=direct&amp;session=T&amp;sp=S0Mp4Sc0tTJNrul6gjmLfOw%3D%3D", "Rate Contract for Construction Material and Equipments for MGNREGS works for the Year 2025-26 panchayat samiti DUG District Jhalawar At Gram Panchayats DOBDA")</f>
        <v/>
      </c>
      <c r="C2109" t="inlineStr">
        <is>
          <t>Panchayati Raj Department||Secretary and Commissioner||CEO- JHALAWAR||BDO-DUG</t>
        </is>
      </c>
      <c r="D2109" t="inlineStr">
        <is>
          <t>22-May-2025 06:00 PM</t>
        </is>
      </c>
      <c r="E2109" t="inlineStr">
        <is>
          <t>1,00,00,000</t>
        </is>
      </c>
      <c r="F2109" t="inlineStr">
        <is>
          <t>Rate Contract for Construction Material and Equipments for MGNREGS works for the Year 2025-26 panchayat samiti DUG District Jhalawar At Gram Panchayats DOBDA</t>
        </is>
      </c>
      <c r="G2109" t="inlineStr">
        <is>
          <t>JHALAWAR</t>
        </is>
      </c>
    </row>
    <row r="2110">
      <c r="A2110" s="1" t="n">
        <v>2108</v>
      </c>
      <c r="B2110">
        <f>HYPERLINK("https://eproc.rajasthan.gov.in/nicgep/app?component=%24DirectLink&amp;page=FrontEndViewTender&amp;service=direct&amp;session=T&amp;sp=SOVAg6Frldz%2FzdtY8iQ1%2B7A%3D%3D", "Cleaning and Sanitary Services in Gram Panchayat GP Darguda PS Payala Kala")</f>
        <v/>
      </c>
      <c r="C2110" t="inlineStr">
        <is>
          <t>Panchayati Raj Department||Secretary and Commissioner||CEO-BADMER</t>
        </is>
      </c>
      <c r="D2110" t="inlineStr">
        <is>
          <t>24-May-2025 05:00 PM</t>
        </is>
      </c>
      <c r="E2110" t="inlineStr">
        <is>
          <t>4,85,365</t>
        </is>
      </c>
      <c r="F2110" t="inlineStr">
        <is>
          <t>Cleaning and Sanitary Services in Gram Panchayat GP Darguda PS Payala Kala</t>
        </is>
      </c>
      <c r="G2110" t="inlineStr">
        <is>
          <t>GP Darguda</t>
        </is>
      </c>
    </row>
    <row r="2111">
      <c r="A2111" s="1" t="n">
        <v>2109</v>
      </c>
      <c r="B2111">
        <f>HYPERLINK("https://eproc.rajasthan.gov.in/nicgep/app?component=%24DirectLink&amp;page=FrontEndViewTender&amp;service=direct&amp;session=T&amp;sp=SJMc8sUp4hJBtM66yvnrabg%3D%3D", "Rate Contract for Construction Material and Equipments for MGNREGS works for the Year 2025-26 panchayat samiti DUG District Jhalawar At Gram Panchayats PARAPIPLI")</f>
        <v/>
      </c>
      <c r="C2111" t="inlineStr">
        <is>
          <t>Panchayati Raj Department||Secretary and Commissioner||CEO- JHALAWAR||BDO-DUG</t>
        </is>
      </c>
      <c r="D2111" t="inlineStr">
        <is>
          <t>22-May-2025 06:00 PM</t>
        </is>
      </c>
      <c r="E2111" t="inlineStr">
        <is>
          <t>50,00,000</t>
        </is>
      </c>
      <c r="F2111" t="inlineStr">
        <is>
          <t>Rate Contract for Construction Material and Equipments for MGNREGS works for the Year 2025-26 panchayat samiti DUG District Jhalawar At Gram Panchayats PARAPIPLI</t>
        </is>
      </c>
      <c r="G2111" t="inlineStr">
        <is>
          <t>JHALAWAR</t>
        </is>
      </c>
    </row>
    <row r="2112">
      <c r="A2112" s="1" t="n">
        <v>2110</v>
      </c>
      <c r="B2112">
        <f>HYPERLINK("https://eproc.rajasthan.gov.in/nicgep/app?component=%24DirectLink&amp;page=FrontEndViewTender&amp;service=direct&amp;session=T&amp;sp=STBTlYeN0OfdSfekyfWXAWg%3D%3D", "Rate Contract for Construction Material and Equipments for MGNREGS works for the Year 2025-26 panchayat samiti DUG District Jhalawar At Gram Panchayats GANGDHAR")</f>
        <v/>
      </c>
      <c r="C2112" t="inlineStr">
        <is>
          <t>Panchayati Raj Department||Secretary and Commissioner||CEO- JHALAWAR||BDO-DUG</t>
        </is>
      </c>
      <c r="D2112" t="inlineStr">
        <is>
          <t>22-May-2025 06:00 PM</t>
        </is>
      </c>
      <c r="E2112" t="inlineStr">
        <is>
          <t>50,00,000</t>
        </is>
      </c>
      <c r="F2112" t="inlineStr">
        <is>
          <t>Rate Contract for Construction Material and Equipments for MGNREGS works for the Year 2025-26 panchayat samiti DUG District Jhalawar At Gram Panchayats GANGDHAR</t>
        </is>
      </c>
      <c r="G2112" t="inlineStr">
        <is>
          <t>JHALAWAR</t>
        </is>
      </c>
    </row>
    <row r="2113">
      <c r="A2113" s="1" t="n">
        <v>2111</v>
      </c>
      <c r="B2113">
        <f>HYPERLINK("https://eproc.rajasthan.gov.in/nicgep/app?component=%24DirectLink&amp;page=FrontEndViewTender&amp;service=direct&amp;session=T&amp;sp=SoAwm%2BK63jFEST1MYHJWgxA%3D%3D", "Door-to-door waste collection and segregation, road and drain cleaning and cleaning of community premises in all villages of Gram Panchayat Morvan")</f>
        <v/>
      </c>
      <c r="C2113" t="inlineStr">
        <is>
          <t>Panchayati Raj Department||Secretary and Commissioner||CEO-CHITTORGARH||BDO-DUNGALA</t>
        </is>
      </c>
      <c r="D2113" t="inlineStr">
        <is>
          <t>29-May-2025 05:00 PM</t>
        </is>
      </c>
      <c r="E2113" t="inlineStr">
        <is>
          <t>11,39,734</t>
        </is>
      </c>
      <c r="F2113" t="inlineStr">
        <is>
          <t>Door-to-door waste collection and segregation, road and drain cleaning and cleaning of community premises in all villages of Gram Panchayat Morvan</t>
        </is>
      </c>
      <c r="G2113" t="inlineStr">
        <is>
          <t>Dungla</t>
        </is>
      </c>
    </row>
    <row r="2114">
      <c r="A2114" s="1" t="n">
        <v>2112</v>
      </c>
      <c r="B2114">
        <f>HYPERLINK("https://eproc.rajasthan.gov.in/nicgep/app?component=%24DirectLink&amp;page=FrontEndViewTender&amp;service=direct&amp;session=T&amp;sp=S5DR0NJgdzWqtisHNj%2B3URA%3D%3D", "Rate Contract for Construction Material and Equipments for MGNREGS works for the Year 2025-26 panchayat samiti DUG District Jhalawar At Gram Panchayats CHOUMHLA")</f>
        <v/>
      </c>
      <c r="C2114" t="inlineStr">
        <is>
          <t>Panchayati Raj Department||Secretary and Commissioner||CEO- JHALAWAR||BDO-DUG</t>
        </is>
      </c>
      <c r="D2114" t="inlineStr">
        <is>
          <t>22-May-2025 06:00 PM</t>
        </is>
      </c>
      <c r="E2114" t="inlineStr">
        <is>
          <t>50,00,000</t>
        </is>
      </c>
      <c r="F2114" t="inlineStr">
        <is>
          <t>Rate Contract for Construction Material and Equipments for MGNREGS works for the Year 2025-26 panchayat samiti DUG District Jhalawar At Gram Panchayats CHOUMHLA</t>
        </is>
      </c>
      <c r="G2114" t="inlineStr">
        <is>
          <t>JHALAWAR</t>
        </is>
      </c>
    </row>
    <row r="2115">
      <c r="A2115" s="1" t="n">
        <v>2113</v>
      </c>
      <c r="B2115">
        <f>HYPERLINK("https://eproc.rajasthan.gov.in/nicgep/app?component=%24DirectLink&amp;page=FrontEndViewTender&amp;service=direct&amp;session=T&amp;sp=SUaMR0zXvkue7N46GTOem1Q%3D%3D", "1 Hall room construction work in GSSS Chanawada")</f>
        <v/>
      </c>
      <c r="C2115" t="inlineStr">
        <is>
          <t>Panchayati Raj Department||Secretary and Commissioner||CEO-UDAIPUR||BDO-GIRVA</t>
        </is>
      </c>
      <c r="D2115" t="inlineStr">
        <is>
          <t>22-May-2025 06:00 PM</t>
        </is>
      </c>
      <c r="E2115" t="inlineStr">
        <is>
          <t>20,00,000</t>
        </is>
      </c>
      <c r="F2115" t="inlineStr">
        <is>
          <t>1 Hall room construction work in GSSS Chanawada</t>
        </is>
      </c>
      <c r="G2115" t="inlineStr">
        <is>
          <t>Govt. se.sec. school chanawada</t>
        </is>
      </c>
    </row>
    <row r="2116">
      <c r="A2116" s="1" t="n">
        <v>2114</v>
      </c>
      <c r="B2116">
        <f>HYPERLINK("https://eproc.rajasthan.gov.in/nicgep/app?component=%24DirectLink&amp;page=FrontEndViewTender&amp;service=direct&amp;session=T&amp;sp=Sbqx%2BvhFRpl3kYkddTgAcJw%3D%3D", "SUPPLY OF CONSTRUCTION MATERIAL AND PROVIDING EQUIPMENT IN GRAM PANCHAYAT BOMADRA OF PANCHAYAT SAMITI PALI, DIST.- PALI")</f>
        <v/>
      </c>
      <c r="C2116" t="inlineStr">
        <is>
          <t>Panchayati Raj Department||Secretary and Commissioner||CEO-PALI||BDO-PALI</t>
        </is>
      </c>
      <c r="D2116" t="inlineStr">
        <is>
          <t>22-May-2025 05:00 PM</t>
        </is>
      </c>
      <c r="E2116" t="inlineStr">
        <is>
          <t>NA</t>
        </is>
      </c>
      <c r="F2116" t="inlineStr">
        <is>
          <t>SUPPLY OF CONSTRUCTION MATERIAL AND PROVIDING EQUIPMENT IN GRAM PANCHAYAT BOMADRA OF PANCHAYAT SAMITI PALI, DIST.- PALI</t>
        </is>
      </c>
      <c r="G2116" t="inlineStr">
        <is>
          <t>GRAM PANCHAYAT BOMADRA</t>
        </is>
      </c>
    </row>
    <row r="2117">
      <c r="A2117" s="1" t="n">
        <v>2115</v>
      </c>
      <c r="B2117">
        <f>HYPERLINK("https://eproc.rajasthan.gov.in/nicgep/app?component=%24DirectLink&amp;page=FrontEndViewTender&amp;service=direct&amp;session=T&amp;sp=SgA2BbmyjcCJHqAWetHB7lA%3D%3D", "Rate Contract for Construction Material and Equipments for MGNREGS works for the Year 2025-26 panchayat samiti DUG District Jhalawar At Gram Panchayats DODI")</f>
        <v/>
      </c>
      <c r="C2117" t="inlineStr">
        <is>
          <t>Panchayati Raj Department||Secretary and Commissioner||CEO- JHALAWAR||BDO-DUG</t>
        </is>
      </c>
      <c r="D2117" t="inlineStr">
        <is>
          <t>22-May-2025 06:00 PM</t>
        </is>
      </c>
      <c r="E2117" t="inlineStr">
        <is>
          <t>50,00,000</t>
        </is>
      </c>
      <c r="F2117" t="inlineStr">
        <is>
          <t>Rate Contract for Construction Material and Equipments for MGNREGS works for the Year 2025-26 panchayat samiti DUG District Jhalawar At Gram Panchayats DODI</t>
        </is>
      </c>
      <c r="G2117" t="inlineStr">
        <is>
          <t>JHALAWAR</t>
        </is>
      </c>
    </row>
    <row r="2118">
      <c r="A2118" s="1" t="n">
        <v>2116</v>
      </c>
      <c r="B2118">
        <f>HYPERLINK("https://eproc.rajasthan.gov.in/nicgep/app?component=%24DirectLink&amp;page=FrontEndViewTender&amp;service=direct&amp;session=T&amp;sp=SzSyjwcDVax1uRlPFQe3osQ%3D%3D", "Rate Contract for Construction Material and Equipments for MGNREGS works for the Year 2025-26 panchayat samiti DUG District Jhalawar At Gram Panchayats KITIYA")</f>
        <v/>
      </c>
      <c r="C2118" t="inlineStr">
        <is>
          <t>Panchayati Raj Department||Secretary and Commissioner||CEO- JHALAWAR||BDO-DUG</t>
        </is>
      </c>
      <c r="D2118" t="inlineStr">
        <is>
          <t>22-May-2025 06:00 PM</t>
        </is>
      </c>
      <c r="E2118" t="inlineStr">
        <is>
          <t>50,00,000</t>
        </is>
      </c>
      <c r="F2118" t="inlineStr">
        <is>
          <t>Rate Contract for Construction Material and Equipments for MGNREGS works for the Year 2025-26 panchayat samiti DUG District Jhalawar At Gram Panchayats KITIYA</t>
        </is>
      </c>
      <c r="G2118" t="inlineStr">
        <is>
          <t>JHALAWAR</t>
        </is>
      </c>
    </row>
    <row r="2119">
      <c r="A2119" s="1" t="n">
        <v>2117</v>
      </c>
      <c r="B2119">
        <f>HYPERLINK("https://eproc.rajasthan.gov.in/nicgep/app?component=%24DirectLink&amp;page=FrontEndViewTender&amp;service=direct&amp;session=T&amp;sp=SoppWH2CbX9BLuzJd%2FvAvBQ%3D%3D", "Rate Contract for Construction Material and Equipments for MGNREGS works for the Year 2025-26 panchayat samiti DUG District Jhalawar At Gram Panchayats KULKHEDA")</f>
        <v/>
      </c>
      <c r="C2119" t="inlineStr">
        <is>
          <t>Panchayati Raj Department||Secretary and Commissioner||CEO- JHALAWAR||BDO-DUG</t>
        </is>
      </c>
      <c r="D2119" t="inlineStr">
        <is>
          <t>22-May-2025 06:00 PM</t>
        </is>
      </c>
      <c r="E2119" t="inlineStr">
        <is>
          <t>1,00,00,000</t>
        </is>
      </c>
      <c r="F2119" t="inlineStr">
        <is>
          <t>Rate Contract for Construction Material and Equipments for MGNREGS works for the Year 2025-26 panchayat samiti DUG District Jhalawar At Gram Panchayats KULKHEDA</t>
        </is>
      </c>
      <c r="G2119" t="inlineStr">
        <is>
          <t>JHALAWAR</t>
        </is>
      </c>
    </row>
    <row r="2120">
      <c r="A2120" s="1" t="n">
        <v>2118</v>
      </c>
      <c r="B2120">
        <f>HYPERLINK("https://eproc.rajasthan.gov.in/nicgep/app?component=%24DirectLink&amp;page=FrontEndViewTender&amp;service=direct&amp;session=T&amp;sp=Sx%2BCxbvF9pB5Qr%2Fjgvkr0Sw%3D%3D", "Rate Contract for Construction Material and Equipments for MGNREGS works for the Year 2025-26 panchayat samiti DUG District Jhalawar At Gram Panchayats JAGDISHPURA")</f>
        <v/>
      </c>
      <c r="C2120" t="inlineStr">
        <is>
          <t>Panchayati Raj Department||Secretary and Commissioner||CEO- JHALAWAR||BDO-DUG</t>
        </is>
      </c>
      <c r="D2120" t="inlineStr">
        <is>
          <t>22-May-2025 06:00 PM</t>
        </is>
      </c>
      <c r="E2120" t="inlineStr">
        <is>
          <t>1,00,00,000</t>
        </is>
      </c>
      <c r="F2120" t="inlineStr">
        <is>
          <t>Rate Contract for Construction Material and Equipments for MGNREGS works for the Year 2025-26 panchayat samiti DUG District Jhalawar At Gram Panchayats JAGDISHPURA</t>
        </is>
      </c>
      <c r="G2120" t="inlineStr">
        <is>
          <t>JHALAWAR</t>
        </is>
      </c>
    </row>
    <row r="2121">
      <c r="A2121" s="1" t="n">
        <v>2119</v>
      </c>
      <c r="B2121">
        <f>HYPERLINK("https://eproc.rajasthan.gov.in/nicgep/app?component=%24DirectLink&amp;page=FrontEndViewTender&amp;service=direct&amp;session=T&amp;sp=SYUe1r6QCVVqJUpRcB91Vew%3D%3D", "ghar ghar kchara sangran etc")</f>
        <v/>
      </c>
      <c r="C2121" t="inlineStr">
        <is>
          <t>Panchayati Raj Department||Secretary and Commissioner||CEO-CHURU||BDO-SUJANGARH</t>
        </is>
      </c>
      <c r="D2121" t="inlineStr">
        <is>
          <t>19-May-2025 06:00 PM</t>
        </is>
      </c>
      <c r="E2121" t="inlineStr">
        <is>
          <t>7,96,640</t>
        </is>
      </c>
      <c r="F2121" t="inlineStr">
        <is>
          <t>ghar ghar kchara sangran etc IN GP MURDAKIYA</t>
        </is>
      </c>
      <c r="G2121" t="inlineStr">
        <is>
          <t>GP MURDAKIYA</t>
        </is>
      </c>
    </row>
    <row r="2122">
      <c r="A2122" s="1" t="n">
        <v>2120</v>
      </c>
      <c r="B2122">
        <f>HYPERLINK("https://eproc.rajasthan.gov.in/nicgep/app?component=%24DirectLink&amp;page=FrontEndViewTender&amp;service=direct&amp;session=T&amp;sp=SX7f%2FzmsaPGVKzxpj6Yc6rw%3D%3D", "Rate Contract for Construction Material and Equipments for MGNREGS works for the Year 2025-26 panchayat samiti DUG District Jhalawar At Gram Panchayats KYASRA")</f>
        <v/>
      </c>
      <c r="C2122" t="inlineStr">
        <is>
          <t>Panchayati Raj Department||Secretary and Commissioner||CEO- JHALAWAR||BDO-DUG</t>
        </is>
      </c>
      <c r="D2122" t="inlineStr">
        <is>
          <t>22-May-2025 06:00 PM</t>
        </is>
      </c>
      <c r="E2122" t="inlineStr">
        <is>
          <t>50,00,000</t>
        </is>
      </c>
      <c r="F2122" t="inlineStr">
        <is>
          <t>Rate Contract for Construction Material and Equipments for MGNREGS works for the Year 2025-26 panchayat samiti DUG District Jhalawar At Gram Panchayats KYASRA</t>
        </is>
      </c>
      <c r="G2122" t="inlineStr">
        <is>
          <t>JHALAWAR</t>
        </is>
      </c>
    </row>
    <row r="2123">
      <c r="A2123" s="1" t="n">
        <v>2121</v>
      </c>
      <c r="B2123">
        <f>HYPERLINK("https://eproc.rajasthan.gov.in/nicgep/app?component=%24DirectLink&amp;page=FrontEndViewTender&amp;service=direct&amp;session=T&amp;sp=StvQ4qO%2BM2djb0HHKNbQwow%3D%3D", "Rate Contract for Construction Material and Equipments for MGNREGS works for the Year 2025-26 panchayat samiti DUG District Jhalawar At Gram Panchayats PADLIYA")</f>
        <v/>
      </c>
      <c r="C2123" t="inlineStr">
        <is>
          <t>Panchayati Raj Department||Secretary and Commissioner||CEO- JHALAWAR||BDO-DUG</t>
        </is>
      </c>
      <c r="D2123" t="inlineStr">
        <is>
          <t>22-May-2025 06:00 PM</t>
        </is>
      </c>
      <c r="E2123" t="inlineStr">
        <is>
          <t>1,00,00,000</t>
        </is>
      </c>
      <c r="F2123" t="inlineStr">
        <is>
          <t>Rate Contract for Construction Material and Equipments for MGNREGS works for the Year 2025-26 panchayat samiti DUG District Jhalawar At Gram Panchayats PADLIYA</t>
        </is>
      </c>
      <c r="G2123" t="inlineStr">
        <is>
          <t>JHALAWAR</t>
        </is>
      </c>
    </row>
    <row r="2124">
      <c r="A2124" s="1" t="n">
        <v>2122</v>
      </c>
      <c r="B2124">
        <f>HYPERLINK("https://eproc.rajasthan.gov.in/nicgep/app?component=%24DirectLink&amp;page=FrontEndViewTender&amp;service=direct&amp;session=T&amp;sp=SjONnaHujB4TaFmWVKXbegg%3D%3D", "Rate Contract for Construction Material and Equipments for MGNREGS works for the Year 2025-26 panchayat samiti DUG District Jhalawar At Gram Panchayats KUMTHIYA")</f>
        <v/>
      </c>
      <c r="C2124" t="inlineStr">
        <is>
          <t>Panchayati Raj Department||Secretary and Commissioner||CEO- JHALAWAR||BDO-DUG</t>
        </is>
      </c>
      <c r="D2124" t="inlineStr">
        <is>
          <t>22-May-2025 06:00 PM</t>
        </is>
      </c>
      <c r="E2124" t="inlineStr">
        <is>
          <t>50,00,000</t>
        </is>
      </c>
      <c r="F2124" t="inlineStr">
        <is>
          <t>Rate Contract for Construction Material and Equipments for MGNREGS works for the Year 2025-26 panchayat samiti DUG District Jhalawar At Gram Panchayats KUMTHIYA</t>
        </is>
      </c>
      <c r="G2124" t="inlineStr">
        <is>
          <t>JHALAWAR</t>
        </is>
      </c>
    </row>
    <row r="2125">
      <c r="A2125" s="1" t="n">
        <v>2123</v>
      </c>
      <c r="B2125">
        <f>HYPERLINK("https://eproc.rajasthan.gov.in/nicgep/app?component=%24DirectLink&amp;page=FrontEndViewTender&amp;service=direct&amp;session=T&amp;sp=SH%2BTyk3vbI7C%2BvJHrFeS7Jw%3D%3D", "Rate Contract for Construction Material and Equipments for MGNREGS works for the Year 2025-26 panchayat samiti DUG District Jhalawar At Gram Panchayats TISAI")</f>
        <v/>
      </c>
      <c r="C2125" t="inlineStr">
        <is>
          <t>Panchayati Raj Department||Secretary and Commissioner||CEO- JHALAWAR||BDO-DUG</t>
        </is>
      </c>
      <c r="D2125" t="inlineStr">
        <is>
          <t>22-May-2025 06:00 PM</t>
        </is>
      </c>
      <c r="E2125" t="inlineStr">
        <is>
          <t>50,00,000</t>
        </is>
      </c>
      <c r="F2125" t="inlineStr">
        <is>
          <t>Rate Contract for Construction Material and Equipments for MGNREGS works for the Year 2025-26 panchayat samiti DUG District Jhalawar At Gram Panchayats TISAI</t>
        </is>
      </c>
      <c r="G2125" t="inlineStr">
        <is>
          <t>JHALAWAR</t>
        </is>
      </c>
    </row>
    <row r="2126">
      <c r="A2126" s="1" t="n">
        <v>2124</v>
      </c>
      <c r="B2126">
        <f>HYPERLINK("https://eproc.rajasthan.gov.in/nicgep/app?component=%24DirectLink&amp;page=FrontEndViewTender&amp;service=direct&amp;session=T&amp;sp=SGSTMYaBaSgJ30Ky4J44QbQ%3D%3D", "Rate Contract for Construction Material and Equipments for MGNREGS works for the Year 2025-26 panchayat samiti DUG District Jhalawar At Gram Panchayats BARDIYABIRJI")</f>
        <v/>
      </c>
      <c r="C2126" t="inlineStr">
        <is>
          <t>Panchayati Raj Department||Secretary and Commissioner||CEO- JHALAWAR||BDO-DUG</t>
        </is>
      </c>
      <c r="D2126" t="inlineStr">
        <is>
          <t>22-May-2025 06:00 PM</t>
        </is>
      </c>
      <c r="E2126" t="inlineStr">
        <is>
          <t>1,00,00,000</t>
        </is>
      </c>
      <c r="F2126" t="inlineStr">
        <is>
          <t>Rate Contract for Construction Material and Equipments for MGNREGS works for the Year 2025-26 panchayat samiti DUG District Jhalawar At Gram Panchayats BARDIYABIRJI</t>
        </is>
      </c>
      <c r="G2126" t="inlineStr">
        <is>
          <t>JHALAWAR</t>
        </is>
      </c>
    </row>
    <row r="2127">
      <c r="A2127" s="1" t="n">
        <v>2125</v>
      </c>
      <c r="B2127">
        <f>HYPERLINK("https://eproc.rajasthan.gov.in/nicgep/app?component=%24DirectLink&amp;page=FrontEndViewTender&amp;service=direct&amp;session=T&amp;sp=Sjd8bwIa9QNSSk50fSabZaQ%3D%3D", "Rate Contract for Construction Material and Equipments for MGNREGS works for the Year 2025-26 panchayat samiti DUG District Jhalawar At Gram Panchayats KUNDLA")</f>
        <v/>
      </c>
      <c r="C2127" t="inlineStr">
        <is>
          <t>Panchayati Raj Department||Secretary and Commissioner||CEO- JHALAWAR||BDO-DUG</t>
        </is>
      </c>
      <c r="D2127" t="inlineStr">
        <is>
          <t>22-May-2025 06:00 PM</t>
        </is>
      </c>
      <c r="E2127" t="inlineStr">
        <is>
          <t>1,00,00,000</t>
        </is>
      </c>
      <c r="F2127" t="inlineStr">
        <is>
          <t>Rate Contract for Construction Material and Equipments for MGNREGS works for the Year 2025-26 panchayat samiti DUG District Jhalawar At Gram Panchayats KUNDLA</t>
        </is>
      </c>
      <c r="G2127" t="inlineStr">
        <is>
          <t>JHALAWAR</t>
        </is>
      </c>
    </row>
    <row r="2128">
      <c r="A2128" s="1" t="n">
        <v>2126</v>
      </c>
      <c r="B2128">
        <f>HYPERLINK("https://eproc.rajasthan.gov.in/nicgep/app?component=%24DirectLink&amp;page=FrontEndViewTender&amp;service=direct&amp;session=T&amp;sp=SuwWbVk6CkBlP5IPx3Y%2BI0g%3D%3D", "Rate Contract for Construction Material and Equipments for MGNREGS works for the Year 2025-26 panchayat samiti DUG District Jhalawar At Gram Panchayats RANAYRA")</f>
        <v/>
      </c>
      <c r="C2128" t="inlineStr">
        <is>
          <t>Panchayati Raj Department||Secretary and Commissioner||CEO- JHALAWAR||BDO-DUG</t>
        </is>
      </c>
      <c r="D2128" t="inlineStr">
        <is>
          <t>22-May-2025 06:00 PM</t>
        </is>
      </c>
      <c r="E2128" t="inlineStr">
        <is>
          <t>50,00,000</t>
        </is>
      </c>
      <c r="F2128" t="inlineStr">
        <is>
          <t>Rate Contract for Construction Material and Equipments for MGNREGS works for the Year 2025-26 panchayat samiti DUG District Jhalawar At Gram Panchayats RANAYRA</t>
        </is>
      </c>
      <c r="G2128" t="inlineStr">
        <is>
          <t>JHALAWAR</t>
        </is>
      </c>
    </row>
    <row r="2129">
      <c r="A2129" s="1" t="n">
        <v>2127</v>
      </c>
      <c r="B2129">
        <f>HYPERLINK("https://eproc.rajasthan.gov.in/nicgep/app?component=%24DirectLink&amp;page=FrontEndViewTender&amp;service=direct&amp;session=T&amp;sp=SGwhpD5X%2FaKAhc9U9Mvr1yw%3D%3D", "Rate Contract for Construction Material and Equipments for MGNREGS works for the Year 2025-26 panchayat samiti DUG District Jhalawar At Gram Panchayats CHADA")</f>
        <v/>
      </c>
      <c r="C2129" t="inlineStr">
        <is>
          <t>Panchayati Raj Department||Secretary and Commissioner||CEO- JHALAWAR||BDO-DUG</t>
        </is>
      </c>
      <c r="D2129" t="inlineStr">
        <is>
          <t>22-May-2025 06:00 PM</t>
        </is>
      </c>
      <c r="E2129" t="inlineStr">
        <is>
          <t>50,00,000</t>
        </is>
      </c>
      <c r="F2129" t="inlineStr">
        <is>
          <t>Rate Contract for Construction Material and Equipments for MGNREGS works for the Year 2025-26 panchayat samiti DUG District Jhalawar At Gram Panchayats CHADA</t>
        </is>
      </c>
      <c r="G2129" t="inlineStr">
        <is>
          <t>JHALAWAR</t>
        </is>
      </c>
    </row>
    <row r="2130">
      <c r="A2130" s="1" t="n">
        <v>2128</v>
      </c>
      <c r="B2130">
        <f>HYPERLINK("https://eproc.rajasthan.gov.in/nicgep/app?component=%24DirectLink&amp;page=FrontEndViewTender&amp;service=direct&amp;session=T&amp;sp=Shb3fzlig2QPhdLkO4MoY4w%3D%3D", "Rate Contract for Construction Material and Equipments for MGNREGS works for the Year 2025-26 panchayat samiti DUG District Jhalawar At Gram Panchayats KACHNARA")</f>
        <v/>
      </c>
      <c r="C2130" t="inlineStr">
        <is>
          <t>Panchayati Raj Department||Secretary and Commissioner||CEO- JHALAWAR||BDO-DUG</t>
        </is>
      </c>
      <c r="D2130" t="inlineStr">
        <is>
          <t>22-May-2025 06:00 PM</t>
        </is>
      </c>
      <c r="E2130" t="inlineStr">
        <is>
          <t>50,00,000</t>
        </is>
      </c>
      <c r="F2130" t="inlineStr">
        <is>
          <t>Rate Contract for Construction Material and Equipments for MGNREGS works for the Year 2025-26 panchayat samiti DUG District Jhalawar At Gram Panchayats KACHNARA</t>
        </is>
      </c>
      <c r="G2130" t="inlineStr">
        <is>
          <t>JHALAWAR</t>
        </is>
      </c>
    </row>
    <row r="2131">
      <c r="A2131" s="1" t="n">
        <v>2129</v>
      </c>
      <c r="B2131">
        <f>HYPERLINK("https://eproc.rajasthan.gov.in/nicgep/app?component=%24DirectLink&amp;page=FrontEndViewTender&amp;service=direct&amp;session=T&amp;sp=Sy514jHhjZ5ebvAUud8Xerw%3D%3D", "SAAF SAFAI KARY IN G.P. MASARI")</f>
        <v/>
      </c>
      <c r="C2131" t="inlineStr">
        <is>
          <t>Panchayati Raj Department||Secretary and Commissioner||CEO-ALWAR||BDO-KATHUMBAR</t>
        </is>
      </c>
      <c r="D2131" t="inlineStr">
        <is>
          <t>19-May-2025 06:00 PM</t>
        </is>
      </c>
      <c r="E2131" t="inlineStr">
        <is>
          <t>10,00,000</t>
        </is>
      </c>
      <c r="F2131" t="inlineStr">
        <is>
          <t>SAAF SAFAI KARY IN G.P. MASARI</t>
        </is>
      </c>
      <c r="G2131" t="inlineStr">
        <is>
          <t>MASARI</t>
        </is>
      </c>
    </row>
    <row r="2132">
      <c r="A2132" s="1" t="n">
        <v>2130</v>
      </c>
      <c r="B2132">
        <f>HYPERLINK("https://eproc.rajasthan.gov.in/nicgep/app?component=%24DirectLink&amp;page=FrontEndViewTender&amp;service=direct&amp;session=T&amp;sp=S9FTVuAYPu391QVOBPJ8cOg%3D%3D", "Rate Contract for Construction Material and Equipments for MGNREGS works for the Year 2025-26 panchayat samiti DUG District Jhalawar At Gram Panchayats UNHEL NAGESHWAR")</f>
        <v/>
      </c>
      <c r="C2132" t="inlineStr">
        <is>
          <t>Panchayati Raj Department||Secretary and Commissioner||CEO- JHALAWAR||BDO-DUG</t>
        </is>
      </c>
      <c r="D2132" t="inlineStr">
        <is>
          <t>22-May-2025 06:00 PM</t>
        </is>
      </c>
      <c r="E2132" t="inlineStr">
        <is>
          <t>50,00,000</t>
        </is>
      </c>
      <c r="F2132" t="inlineStr">
        <is>
          <t>Rate Contract for Construction Material and Equipments for MGNREGS works for the Year 2025-26 panchayat samiti DUG District Jhalawar At Gram Panchayats UNHEL NAGESHWAR</t>
        </is>
      </c>
      <c r="G2132" t="inlineStr">
        <is>
          <t>JHALAWAR</t>
        </is>
      </c>
    </row>
    <row r="2133">
      <c r="A2133" s="1" t="n">
        <v>2131</v>
      </c>
      <c r="B2133">
        <f>HYPERLINK("https://eproc.rajasthan.gov.in/nicgep/app?component=%24DirectLink&amp;page=FrontEndViewTender&amp;service=direct&amp;session=T&amp;sp=SZossRySn2Z8zKAf65YgqFA%3D%3D", "SBM")</f>
        <v/>
      </c>
      <c r="C2133" t="inlineStr">
        <is>
          <t>Panchayati Raj Department||Secretary and Commissioner||CEO-AJMER||BDO-JAWAJA</t>
        </is>
      </c>
      <c r="D2133" t="inlineStr">
        <is>
          <t>28-May-2025 05:00 PM</t>
        </is>
      </c>
      <c r="E2133" t="inlineStr">
        <is>
          <t>8,64,863</t>
        </is>
      </c>
      <c r="F2133" t="inlineStr">
        <is>
          <t>SBM</t>
        </is>
      </c>
      <c r="G2133" t="inlineStr">
        <is>
          <t>GP</t>
        </is>
      </c>
    </row>
    <row r="2134">
      <c r="A2134" s="1" t="n">
        <v>2132</v>
      </c>
      <c r="B2134">
        <f>HYPERLINK("https://eproc.rajasthan.gov.in/nicgep/app?component=%24DirectLink&amp;page=FrontEndViewTender&amp;service=direct&amp;session=T&amp;sp=S0dflYs3RpRJQo2EdxfyE%2Bw%3D%3D", "SAAF SAFAI KARY IN G.P. SONKHAR")</f>
        <v/>
      </c>
      <c r="C2134" t="inlineStr">
        <is>
          <t>Panchayati Raj Department||Secretary and Commissioner||CEO-ALWAR||BDO-KATHUMBAR</t>
        </is>
      </c>
      <c r="D2134" t="inlineStr">
        <is>
          <t>19-May-2025 06:00 PM</t>
        </is>
      </c>
      <c r="E2134" t="inlineStr">
        <is>
          <t>10,00,000</t>
        </is>
      </c>
      <c r="F2134" t="inlineStr">
        <is>
          <t>SAAF SAFAI KARY IN G.P. SONKHAR</t>
        </is>
      </c>
      <c r="G2134" t="inlineStr">
        <is>
          <t>SONKHAR</t>
        </is>
      </c>
    </row>
    <row r="2135">
      <c r="A2135" s="1" t="n">
        <v>2133</v>
      </c>
      <c r="B2135">
        <f>HYPERLINK("https://eproc.rajasthan.gov.in/nicgep/app?component=%24DirectLink&amp;page=FrontEndViewTender&amp;service=direct&amp;session=T&amp;sp=SnkgEpck9E5toR1q6azDQcQ%3D%3D", "SAAF SAFAI KARY GP SONKAHRI")</f>
        <v/>
      </c>
      <c r="C2135" t="inlineStr">
        <is>
          <t>Panchayati Raj Department||Secretary and Commissioner||CEO-ALWAR||BDO-KATHUMBAR</t>
        </is>
      </c>
      <c r="D2135" t="inlineStr">
        <is>
          <t>19-May-2025 06:00 PM</t>
        </is>
      </c>
      <c r="E2135" t="inlineStr">
        <is>
          <t>10,00,000</t>
        </is>
      </c>
      <c r="F2135" t="inlineStr">
        <is>
          <t>SAAF SAFAI KARY GP SONKAHRI</t>
        </is>
      </c>
      <c r="G2135" t="inlineStr">
        <is>
          <t>GP SONKHARI</t>
        </is>
      </c>
    </row>
    <row r="2136">
      <c r="A2136" s="1" t="n">
        <v>2134</v>
      </c>
      <c r="B2136">
        <f>HYPERLINK("https://eproc.rajasthan.gov.in/nicgep/app?component=%24DirectLink&amp;page=FrontEndViewTender&amp;service=direct&amp;session=T&amp;sp=SI9MMCcsbN5GOSUhXn9%2Bklg%3D%3D", "SAAF SAFAI KARY IN G.P. NANGAL RUPA")</f>
        <v/>
      </c>
      <c r="C2136" t="inlineStr">
        <is>
          <t>Panchayati Raj Department||Secretary and Commissioner||CEO-ALWAR||BDO-KATHUMBAR</t>
        </is>
      </c>
      <c r="D2136" t="inlineStr">
        <is>
          <t>19-May-2025 06:00 PM</t>
        </is>
      </c>
      <c r="E2136" t="inlineStr">
        <is>
          <t>10,00,000</t>
        </is>
      </c>
      <c r="F2136" t="inlineStr">
        <is>
          <t>SAAF SAFAI KARY IN G.P. NANGAL RUPA</t>
        </is>
      </c>
      <c r="G2136" t="inlineStr">
        <is>
          <t>NANGAL RUPA</t>
        </is>
      </c>
    </row>
    <row r="2137">
      <c r="A2137" s="1" t="n">
        <v>2135</v>
      </c>
      <c r="B2137">
        <f>HYPERLINK("https://eproc.rajasthan.gov.in/nicgep/app?component=%24DirectLink&amp;page=FrontEndViewTender&amp;service=direct&amp;session=T&amp;sp=SfB6iiGH1r2TkMaCs0%2FP9Ew%3D%3D", "Rate Contract for Construction Material and Equipments for MGNREGS works for the Year 2025-26 panchayat samiti DUG District Jhalawar At Gram Panchayats GURADIYAJHALA")</f>
        <v/>
      </c>
      <c r="C2137" t="inlineStr">
        <is>
          <t>Panchayati Raj Department||Secretary and Commissioner||CEO- JHALAWAR||BDO-DUG</t>
        </is>
      </c>
      <c r="D2137" t="inlineStr">
        <is>
          <t>22-May-2025 06:00 PM</t>
        </is>
      </c>
      <c r="E2137" t="inlineStr">
        <is>
          <t>50,00,000</t>
        </is>
      </c>
      <c r="F2137" t="inlineStr">
        <is>
          <t>Rate Contract for Construction Material and Equipments for MGNREGS works for the Year 2025-26 panchayat samiti DUG District Jhalawar At Gram Panchayats GURADIYAJHALA</t>
        </is>
      </c>
      <c r="G2137" t="inlineStr">
        <is>
          <t>JHALAWAR</t>
        </is>
      </c>
    </row>
    <row r="2138">
      <c r="A2138" s="1" t="n">
        <v>2136</v>
      </c>
      <c r="B2138">
        <f>HYPERLINK("https://eproc.rajasthan.gov.in/nicgep/app?component=%24DirectLink&amp;page=FrontEndViewTender&amp;service=direct&amp;session=T&amp;sp=Ss1vmagZt2hdMcw3E1YkCSQ%3D%3D", "SAAF SAFAI KARY IN G.P. KHERA MAIDA")</f>
        <v/>
      </c>
      <c r="C2138" t="inlineStr">
        <is>
          <t>Panchayati Raj Department||Secretary and Commissioner||CEO-ALWAR||BDO-KATHUMBAR</t>
        </is>
      </c>
      <c r="D2138" t="inlineStr">
        <is>
          <t>19-May-2025 06:00 PM</t>
        </is>
      </c>
      <c r="E2138" t="inlineStr">
        <is>
          <t>10,00,000</t>
        </is>
      </c>
      <c r="F2138" t="inlineStr">
        <is>
          <t>SAAF SAFAI KARY IN G.P. KHERA MAIDA</t>
        </is>
      </c>
      <c r="G2138" t="inlineStr">
        <is>
          <t>KHERA MAIDA</t>
        </is>
      </c>
    </row>
    <row r="2139">
      <c r="A2139" s="1" t="n">
        <v>2137</v>
      </c>
      <c r="B2139">
        <f>HYPERLINK("https://eproc.rajasthan.gov.in/nicgep/app?component=%24DirectLink&amp;page=FrontEndViewTender&amp;service=direct&amp;session=T&amp;sp=Si0wyo%2Fq3Du79iEuIJ4tGAg%3D%3D", "Work including garbage collection and separation from every house (Residential and Commercial), road and drain cleaning and community sanitation complex cleaning in all the villages of Gram Panchayat Jegnia Bidavtan P S Ratangarh for 6 Month")</f>
        <v/>
      </c>
      <c r="C2139" t="inlineStr">
        <is>
          <t>Panchayati Raj Department||Secretary and Commissioner||CEO-CHURU||BDO-RATANGARH</t>
        </is>
      </c>
      <c r="D2139" t="inlineStr">
        <is>
          <t>22-May-2025 04:00 PM</t>
        </is>
      </c>
      <c r="E2139" t="inlineStr">
        <is>
          <t>7,97,000</t>
        </is>
      </c>
      <c r="F2139" t="inlineStr">
        <is>
          <t>Work including garbage collection and separation from every house (Residential and Commercial), road and drain cleaning and community sanitation complex cleaning in all the villages of Gram Panchayat Jegnia Bidavtan P S Ratangarh for 6 Month</t>
        </is>
      </c>
      <c r="G2139" t="inlineStr">
        <is>
          <t>GP JEGNIA</t>
        </is>
      </c>
    </row>
    <row r="2140">
      <c r="A2140" s="1" t="n">
        <v>2138</v>
      </c>
      <c r="B2140">
        <f>HYPERLINK("https://eproc.rajasthan.gov.in/nicgep/app?component=%24DirectLink&amp;page=FrontEndViewTender&amp;service=direct&amp;session=T&amp;sp=SdVHMzYY9ja%2BuNfNBO1WFjA%3D%3D", "Work including garbage collection and separation from every house (Residential and Commercial), road and drain cleaning and community sanitation complex cleaning in all the villages of Gram Panchayat Menasar P S Ratangarh for 6 Month")</f>
        <v/>
      </c>
      <c r="C2140" t="inlineStr">
        <is>
          <t>Panchayati Raj Department||Secretary and Commissioner||CEO-CHURU||BDO-RATANGARH</t>
        </is>
      </c>
      <c r="D2140" t="inlineStr">
        <is>
          <t>22-May-2025 04:00 PM</t>
        </is>
      </c>
      <c r="E2140" t="inlineStr">
        <is>
          <t>5,96,000</t>
        </is>
      </c>
      <c r="F2140" t="inlineStr">
        <is>
          <t>Work including garbage collection and separation from every house (Residential and Commercial), road and drain cleaning and community sanitation complex cleaning in all the villages of Gram Panchayat Menasar P S Ratangarh for 6 Month</t>
        </is>
      </c>
      <c r="G2140" t="inlineStr">
        <is>
          <t>GP MENASAR</t>
        </is>
      </c>
    </row>
    <row r="2141">
      <c r="A2141" s="1" t="n">
        <v>2139</v>
      </c>
      <c r="B2141">
        <f>HYPERLINK("https://eproc.rajasthan.gov.in/nicgep/app?component=%24DirectLink&amp;page=FrontEndViewTender&amp;service=direct&amp;session=T&amp;sp=S9JDTVRo9CZjj9i8wpFWi8w%3D%3D", "Work including garbage collection and separation from every house (Residential and Commercial), road and drain cleaning and community sanitation complex cleaning in all the villages of Gram Panchayat Sitsar P S Ratangarh for 12 Month")</f>
        <v/>
      </c>
      <c r="C2141" t="inlineStr">
        <is>
          <t>Panchayati Raj Department||Secretary and Commissioner||CEO-CHURU||BDO-RATANGARH</t>
        </is>
      </c>
      <c r="D2141" t="inlineStr">
        <is>
          <t>22-May-2025 04:00 PM</t>
        </is>
      </c>
      <c r="E2141" t="inlineStr">
        <is>
          <t>5,76,000</t>
        </is>
      </c>
      <c r="F2141" t="inlineStr">
        <is>
          <t>Work including garbage collection and separation from every house (Residential and Commercial), road and drain cleaning and community sanitation complex cleaning in all the villages of Gram Panchayat Sitsar P S Ratangarh for 12 Month</t>
        </is>
      </c>
      <c r="G2141" t="inlineStr">
        <is>
          <t>GP SITSAR</t>
        </is>
      </c>
    </row>
    <row r="2142">
      <c r="A2142" s="1" t="n">
        <v>2140</v>
      </c>
      <c r="B2142">
        <f>HYPERLINK("https://eproc.rajasthan.gov.in/nicgep/app?component=%24DirectLink&amp;page=FrontEndViewTender&amp;service=direct&amp;session=T&amp;sp=SsfcRs%2B%2Fu%2FI8Jwwi5YNjiXg%3D%3D", "NALA NIRMAN KARY ARJUN KUMAWAT KE GHAR SE TALAB KI OR MANDOLI GP MANDOLI")</f>
        <v/>
      </c>
      <c r="C2142" t="inlineStr">
        <is>
          <t>Panchayati Raj Department||Secretary and Commissioner||CEO-SIKAR||BDO-NEEMKATHANA</t>
        </is>
      </c>
      <c r="D2142" t="inlineStr">
        <is>
          <t>19-May-2025 06:00 PM</t>
        </is>
      </c>
      <c r="E2142" t="inlineStr">
        <is>
          <t>8,40,000</t>
        </is>
      </c>
      <c r="F2142" t="inlineStr">
        <is>
          <t>NALA NIRMAN KARY ARJUN KUMAWAT KE GHAR SE TALAB KI OR MANDOLI GP MANDOLI</t>
        </is>
      </c>
      <c r="G2142" t="inlineStr">
        <is>
          <t>GP MNDOLI</t>
        </is>
      </c>
    </row>
    <row r="2143">
      <c r="A2143" s="1" t="n">
        <v>2141</v>
      </c>
      <c r="B2143">
        <f>HYPERLINK("https://eproc.rajasthan.gov.in/nicgep/app?component=%24DirectLink&amp;page=FrontEndViewTender&amp;service=direct&amp;session=T&amp;sp=Sf%2Bo%2BO8G0OM5gTv0GrAyv3Q%3D%3D", "SAAF SAFAI KARY IN G.P. KUTTIN SABDAS")</f>
        <v/>
      </c>
      <c r="C2143" t="inlineStr">
        <is>
          <t>Panchayati Raj Department||Secretary and Commissioner||CEO-ALWAR||BDO-KATHUMBAR</t>
        </is>
      </c>
      <c r="D2143" t="inlineStr">
        <is>
          <t>19-May-2025 06:00 PM</t>
        </is>
      </c>
      <c r="E2143" t="inlineStr">
        <is>
          <t>10,00,000</t>
        </is>
      </c>
      <c r="F2143" t="inlineStr">
        <is>
          <t>SAAF SAFAI KARY IN G.P. KUTTIN SABDAS</t>
        </is>
      </c>
      <c r="G2143" t="inlineStr">
        <is>
          <t>KUTTIN SABDAS</t>
        </is>
      </c>
    </row>
    <row r="2144">
      <c r="A2144" s="1" t="n">
        <v>2142</v>
      </c>
      <c r="B2144">
        <f>HYPERLINK("https://eproc.rajasthan.gov.in/nicgep/app?component=%24DirectLink&amp;page=FrontEndViewTender&amp;service=direct&amp;session=T&amp;sp=Shn1lwKQGbwXj0hmHkP%2FRfA%3D%3D", "SAAF SAFAI KARY IN G.P. JATWADA")</f>
        <v/>
      </c>
      <c r="C2144" t="inlineStr">
        <is>
          <t>Panchayati Raj Department||Secretary and Commissioner||CEO-ALWAR||BDO-KATHUMBAR</t>
        </is>
      </c>
      <c r="D2144" t="inlineStr">
        <is>
          <t>19-May-2025 06:00 PM</t>
        </is>
      </c>
      <c r="E2144" t="inlineStr">
        <is>
          <t>10,00,000</t>
        </is>
      </c>
      <c r="F2144" t="inlineStr">
        <is>
          <t>SAAF SAFAI KARY IN G.P. JATWADA</t>
        </is>
      </c>
      <c r="G2144" t="inlineStr">
        <is>
          <t>JATWADA</t>
        </is>
      </c>
    </row>
    <row r="2145">
      <c r="A2145" s="1" t="n">
        <v>2143</v>
      </c>
      <c r="B2145">
        <f>HYPERLINK("https://eproc.rajasthan.gov.in/nicgep/app?component=%24DirectLink&amp;page=FrontEndViewTender&amp;service=direct&amp;session=T&amp;sp=S9nfE6z97%2FSYUktVSJ0NjvA%3D%3D", "Rate contract For Supply of Construction Material and Providing Equipments for MGNREGA and Rural Development and Panchayati Raj departments various schemes at Gram Panchayat Anantwara Panchayat Samiti Bandikui Dist Dausa For FY 2025-26")</f>
        <v/>
      </c>
      <c r="C2145" t="inlineStr">
        <is>
          <t>Panchayati Raj Department||Secretary and Commissioner||CEO-DAUSA||BDO-BANDIKUI</t>
        </is>
      </c>
      <c r="D2145" t="inlineStr">
        <is>
          <t>22-May-2025 05:00 PM</t>
        </is>
      </c>
      <c r="E2145" t="inlineStr">
        <is>
          <t>50,00,000</t>
        </is>
      </c>
      <c r="F2145" t="inlineStr">
        <is>
          <t>Rate contract For Supply of Construction Material and Providing Equipments for MGNREGA and Rural Development and Panchayati Raj departments various schemes at Gram Panchayat Anantwara Panchayat Samiti Bandikui Dist Dausa For FY 2025-26</t>
        </is>
      </c>
      <c r="G2145" t="inlineStr">
        <is>
          <t>GRAM PANCHYAT ANANTWARA</t>
        </is>
      </c>
    </row>
    <row r="2146">
      <c r="A2146" s="1" t="n">
        <v>2144</v>
      </c>
      <c r="B2146">
        <f>HYPERLINK("https://eproc.rajasthan.gov.in/nicgep/app?component=%24DirectLink&amp;page=FrontEndViewTender&amp;service=direct&amp;session=T&amp;sp=SkZAfG3ePGPf0HH7nJbVVQQ%3D%3D", "SAAF SAFAI KARY IN G.P. JAHADU")</f>
        <v/>
      </c>
      <c r="C2146" t="inlineStr">
        <is>
          <t>Panchayati Raj Department||Secretary and Commissioner||CEO-ALWAR||BDO-KATHUMBAR</t>
        </is>
      </c>
      <c r="D2146" t="inlineStr">
        <is>
          <t>19-May-2025 06:00 PM</t>
        </is>
      </c>
      <c r="E2146" t="inlineStr">
        <is>
          <t>10,00,000</t>
        </is>
      </c>
      <c r="F2146" t="inlineStr">
        <is>
          <t>SAAF SAFAI KARY IN G.P. JAHADU</t>
        </is>
      </c>
      <c r="G2146" t="inlineStr">
        <is>
          <t>JAHADU</t>
        </is>
      </c>
    </row>
    <row r="2147">
      <c r="A2147" s="1" t="n">
        <v>2145</v>
      </c>
      <c r="B2147">
        <f>HYPERLINK("https://eproc.rajasthan.gov.in/nicgep/app?component=%24DirectLink&amp;page=FrontEndViewTender&amp;service=direct&amp;session=T&amp;sp=S%2Bg%2B096okjoPqEHO6%2BwTPfQ%3D%3D", "SAAF SAFAI KARY IN G.P. JADLA")</f>
        <v/>
      </c>
      <c r="C2147" t="inlineStr">
        <is>
          <t>Panchayati Raj Department||Secretary and Commissioner||CEO-ALWAR||BDO-KATHUMBAR</t>
        </is>
      </c>
      <c r="D2147" t="inlineStr">
        <is>
          <t>19-May-2025 06:00 PM</t>
        </is>
      </c>
      <c r="E2147" t="inlineStr">
        <is>
          <t>10,00,000</t>
        </is>
      </c>
      <c r="F2147" t="inlineStr">
        <is>
          <t>SAAF SAFAI KARY IN G.P. JADLA</t>
        </is>
      </c>
      <c r="G2147" t="inlineStr">
        <is>
          <t>JADLA</t>
        </is>
      </c>
    </row>
    <row r="2148">
      <c r="A2148" s="1" t="n">
        <v>2146</v>
      </c>
      <c r="B2148">
        <f>HYPERLINK("https://eproc.rajasthan.gov.in/nicgep/app?component=%24DirectLink&amp;page=FrontEndViewTender&amp;service=direct&amp;session=T&amp;sp=S9gQhx5aokGlcvSDIoNMFjw%3D%3D", "SAAF SAFAI KARY IN G.P. RAMPURA PATAN")</f>
        <v/>
      </c>
      <c r="C2148" t="inlineStr">
        <is>
          <t>Panchayati Raj Department||Secretary and Commissioner||CEO-ALWAR||BDO-KATHUMBAR</t>
        </is>
      </c>
      <c r="D2148" t="inlineStr">
        <is>
          <t>19-May-2025 06:00 PM</t>
        </is>
      </c>
      <c r="E2148" t="inlineStr">
        <is>
          <t>10,00,000</t>
        </is>
      </c>
      <c r="F2148" t="inlineStr">
        <is>
          <t>SAAF SAFAI KARY IN G.P. RAMPURA PATAN</t>
        </is>
      </c>
      <c r="G2148" t="inlineStr">
        <is>
          <t>RAMPURA PATAN</t>
        </is>
      </c>
    </row>
    <row r="2149">
      <c r="A2149" s="1" t="n">
        <v>2147</v>
      </c>
      <c r="B2149">
        <f>HYPERLINK("https://eproc.rajasthan.gov.in/nicgep/app?component=%24DirectLink&amp;page=FrontEndViewTender&amp;service=direct&amp;session=T&amp;sp=SJg8t%2BcAX4E2Ob4LUMCc1wg%3D%3D", "SAAF SAFAI KARY IN G.P. KALWADI")</f>
        <v/>
      </c>
      <c r="C2149" t="inlineStr">
        <is>
          <t>Panchayati Raj Department||Secretary and Commissioner||CEO-ALWAR||BDO-KATHUMBAR</t>
        </is>
      </c>
      <c r="D2149" t="inlineStr">
        <is>
          <t>19-May-2025 06:00 PM</t>
        </is>
      </c>
      <c r="E2149" t="inlineStr">
        <is>
          <t>10,00,000</t>
        </is>
      </c>
      <c r="F2149" t="inlineStr">
        <is>
          <t>SAAF SAFAI KARY IN G.P. KALWADI</t>
        </is>
      </c>
      <c r="G2149" t="inlineStr">
        <is>
          <t>KALWADI</t>
        </is>
      </c>
    </row>
    <row r="2150">
      <c r="A2150" s="1" t="n">
        <v>2148</v>
      </c>
      <c r="B2150">
        <f>HYPERLINK("https://eproc.rajasthan.gov.in/nicgep/app?component=%24DirectLink&amp;page=FrontEndViewTender&amp;service=direct&amp;session=T&amp;sp=SkG2GVteUJ9LfUdmgjSLBDw%3D%3D", "SAAF SAFAI KARY IN G.P. ISROTA")</f>
        <v/>
      </c>
      <c r="C2150" t="inlineStr">
        <is>
          <t>Panchayati Raj Department||Secretary and Commissioner||CEO-ALWAR||BDO-KATHUMBAR</t>
        </is>
      </c>
      <c r="D2150" t="inlineStr">
        <is>
          <t>19-May-2025 06:00 PM</t>
        </is>
      </c>
      <c r="E2150" t="inlineStr">
        <is>
          <t>10,00,000</t>
        </is>
      </c>
      <c r="F2150" t="inlineStr">
        <is>
          <t>SAAF SAFAI KARY IN G.P. ISROTA</t>
        </is>
      </c>
      <c r="G2150" t="inlineStr">
        <is>
          <t>ISROTA</t>
        </is>
      </c>
    </row>
    <row r="2151">
      <c r="A2151" s="1" t="n">
        <v>2149</v>
      </c>
      <c r="B2151">
        <f>HYPERLINK("https://eproc.rajasthan.gov.in/nicgep/app?component=%24DirectLink&amp;page=FrontEndViewTender&amp;service=direct&amp;session=T&amp;sp=SHCoHhwZCQ1YsFzC3XYP%2BAw%3D%3D", "SAAF SAFAI KARY IN G.P. KHERA KALYANPUR")</f>
        <v/>
      </c>
      <c r="C2151" t="inlineStr">
        <is>
          <t>Panchayati Raj Department||Secretary and Commissioner||CEO-ALWAR||BDO-KATHUMBAR</t>
        </is>
      </c>
      <c r="D2151" t="inlineStr">
        <is>
          <t>19-May-2025 06:00 PM</t>
        </is>
      </c>
      <c r="E2151" t="inlineStr">
        <is>
          <t>10,00,000</t>
        </is>
      </c>
      <c r="F2151" t="inlineStr">
        <is>
          <t>SAAF SAFAI KARY IN G.P. KHERA KALYANPUR</t>
        </is>
      </c>
      <c r="G2151" t="inlineStr">
        <is>
          <t>KHERA KALYANPUR</t>
        </is>
      </c>
    </row>
    <row r="2152">
      <c r="A2152" s="1" t="n">
        <v>2150</v>
      </c>
      <c r="B2152">
        <f>HYPERLINK("https://eproc.rajasthan.gov.in/nicgep/app?component=%24DirectLink&amp;page=FrontEndViewTender&amp;service=direct&amp;session=T&amp;sp=SHU0e%2FNnMeGo4QpHkwmBcaQ%3D%3D", "saaf safai kary gp toda")</f>
        <v/>
      </c>
      <c r="C2152" t="inlineStr">
        <is>
          <t>Panchayati Raj Department||Secretary and Commissioner||CEO-ALWAR||BDO-KATHUMBAR</t>
        </is>
      </c>
      <c r="D2152" t="inlineStr">
        <is>
          <t>19-May-2025 05:00 PM</t>
        </is>
      </c>
      <c r="E2152" t="inlineStr">
        <is>
          <t>10,00,000</t>
        </is>
      </c>
      <c r="F2152" t="inlineStr">
        <is>
          <t>saaf safai kary gp toda</t>
        </is>
      </c>
      <c r="G2152" t="inlineStr">
        <is>
          <t>GP TODA</t>
        </is>
      </c>
    </row>
    <row r="2153">
      <c r="A2153" s="1" t="n">
        <v>2151</v>
      </c>
      <c r="B2153">
        <f>HYPERLINK("https://eproc.rajasthan.gov.in/nicgep/app?component=%24DirectLink&amp;page=FrontEndViewTender&amp;service=direct&amp;session=T&amp;sp=ShOQzitVsyS2%2BxEmZBy0Ogw%3D%3D", "SBM")</f>
        <v/>
      </c>
      <c r="C2153" t="inlineStr">
        <is>
          <t>Panchayati Raj Department||Secretary and Commissioner||CEO-AJMER||BDO-JAWAJA</t>
        </is>
      </c>
      <c r="D2153" t="inlineStr">
        <is>
          <t>28-May-2025 05:00 PM</t>
        </is>
      </c>
      <c r="E2153" t="inlineStr">
        <is>
          <t>9,81,344</t>
        </is>
      </c>
      <c r="F2153" t="inlineStr">
        <is>
          <t>SBM</t>
        </is>
      </c>
      <c r="G2153" t="inlineStr">
        <is>
          <t>GP</t>
        </is>
      </c>
    </row>
    <row r="2154">
      <c r="A2154" s="1" t="n">
        <v>2152</v>
      </c>
      <c r="B2154">
        <f>HYPERLINK("https://eproc.rajasthan.gov.in/nicgep/app?component=%24DirectLink&amp;page=FrontEndViewTender&amp;service=direct&amp;session=T&amp;sp=SgVKNgNPIwAPZqAELXAxVPQ%3D%3D", "SAAF SAFAI KARY IN G.P. SONKH")</f>
        <v/>
      </c>
      <c r="C2154" t="inlineStr">
        <is>
          <t>Panchayati Raj Department||Secretary and Commissioner||CEO-ALWAR||BDO-KATHUMBAR</t>
        </is>
      </c>
      <c r="D2154" t="inlineStr">
        <is>
          <t>19-May-2025 06:00 PM</t>
        </is>
      </c>
      <c r="E2154" t="inlineStr">
        <is>
          <t>10,00,000</t>
        </is>
      </c>
      <c r="F2154" t="inlineStr">
        <is>
          <t>SAAF SAFAI KARY IN G.P. SONKH</t>
        </is>
      </c>
      <c r="G2154" t="inlineStr">
        <is>
          <t>SONKH</t>
        </is>
      </c>
    </row>
    <row r="2155">
      <c r="A2155" s="1" t="n">
        <v>2153</v>
      </c>
      <c r="B2155">
        <f>HYPERLINK("https://eproc.rajasthan.gov.in/nicgep/app?component=%24DirectLink&amp;page=FrontEndViewTender&amp;service=direct&amp;session=T&amp;sp=SckwWDJcJ9wzoskxO6zA7nA%3D%3D", "SAAF SAFAI KARY IN G.P. SALWADI")</f>
        <v/>
      </c>
      <c r="C2155" t="inlineStr">
        <is>
          <t>Panchayati Raj Department||Secretary and Commissioner||CEO-ALWAR||BDO-KATHUMBAR</t>
        </is>
      </c>
      <c r="D2155" t="inlineStr">
        <is>
          <t>19-May-2025 06:00 PM</t>
        </is>
      </c>
      <c r="E2155" t="inlineStr">
        <is>
          <t>10,00,000</t>
        </is>
      </c>
      <c r="F2155" t="inlineStr">
        <is>
          <t>SAAF SAFAI KARY IN G.P. SALWADI</t>
        </is>
      </c>
      <c r="G2155" t="inlineStr">
        <is>
          <t>SALWADI</t>
        </is>
      </c>
    </row>
    <row r="2156">
      <c r="A2156" s="1" t="n">
        <v>2154</v>
      </c>
      <c r="B2156">
        <f>HYPERLINK("https://eproc.rajasthan.gov.in/nicgep/app?component=%24DirectLink&amp;page=FrontEndViewTender&amp;service=direct&amp;session=T&amp;sp=SJ1Uhd5x8EJuDF7QBq8igTA%3D%3D", "SAAF SAFAI KARY TIGARIYA")</f>
        <v/>
      </c>
      <c r="C2156" t="inlineStr">
        <is>
          <t>Panchayati Raj Department||Secretary and Commissioner||CEO-ALWAR||BDO-KATHUMBAR</t>
        </is>
      </c>
      <c r="D2156" t="inlineStr">
        <is>
          <t>19-May-2025 06:00 PM</t>
        </is>
      </c>
      <c r="E2156" t="inlineStr">
        <is>
          <t>10,00,000</t>
        </is>
      </c>
      <c r="F2156" t="inlineStr">
        <is>
          <t>SAAF SAFAI KARY TIGARIYA</t>
        </is>
      </c>
      <c r="G2156" t="inlineStr">
        <is>
          <t>GP TIGARIYA</t>
        </is>
      </c>
    </row>
    <row r="2157">
      <c r="A2157" s="1" t="n">
        <v>2155</v>
      </c>
      <c r="B2157">
        <f>HYPERLINK("https://eproc.rajasthan.gov.in/nicgep/app?component=%24DirectLink&amp;page=FrontEndViewTender&amp;service=direct&amp;session=T&amp;sp=SQB2gBk6pNbzdVc7R34ZH9g%3D%3D", "SAAF SAFAI KARY GP TASAI")</f>
        <v/>
      </c>
      <c r="C2157" t="inlineStr">
        <is>
          <t>Panchayati Raj Department||Secretary and Commissioner||CEO-ALWAR||BDO-KATHUMBAR</t>
        </is>
      </c>
      <c r="D2157" t="inlineStr">
        <is>
          <t>19-May-2025 06:00 PM</t>
        </is>
      </c>
      <c r="E2157" t="inlineStr">
        <is>
          <t>10,00,000</t>
        </is>
      </c>
      <c r="F2157" t="inlineStr">
        <is>
          <t>SAAF SAFAI KARY GP TASAI</t>
        </is>
      </c>
      <c r="G2157" t="inlineStr">
        <is>
          <t>GP TASAI</t>
        </is>
      </c>
    </row>
    <row r="2158">
      <c r="A2158" s="1" t="n">
        <v>2156</v>
      </c>
      <c r="B2158">
        <f>HYPERLINK("https://eproc.rajasthan.gov.in/nicgep/app?component=%24DirectLink&amp;page=FrontEndViewTender&amp;service=direct&amp;session=T&amp;sp=ShTCtOdIqoRQxxcYkPDGoTQ%3D%3D", "SAAF SAFAI KARY IN G.P. SAMUCHI")</f>
        <v/>
      </c>
      <c r="C2158" t="inlineStr">
        <is>
          <t>Panchayati Raj Department||Secretary and Commissioner||CEO-ALWAR||BDO-KATHUMBAR</t>
        </is>
      </c>
      <c r="D2158" t="inlineStr">
        <is>
          <t>19-May-2025 06:00 PM</t>
        </is>
      </c>
      <c r="E2158" t="inlineStr">
        <is>
          <t>10,00,000</t>
        </is>
      </c>
      <c r="F2158" t="inlineStr">
        <is>
          <t>SAAF SAFAI KARY IN G.P. SAMUCHI</t>
        </is>
      </c>
      <c r="G2158" t="inlineStr">
        <is>
          <t>SAMUCHI</t>
        </is>
      </c>
    </row>
    <row r="2159">
      <c r="A2159" s="1" t="n">
        <v>2157</v>
      </c>
      <c r="B2159">
        <f>HYPERLINK("https://eproc.rajasthan.gov.in/nicgep/app?component=%24DirectLink&amp;page=FrontEndViewTender&amp;service=direct&amp;session=T&amp;sp=S4Qd%2BZjIXUY9VSGaK%2FjBAIA%3D%3D", "SAAF SAFAI KARY IN G.P. NATOJ")</f>
        <v/>
      </c>
      <c r="C2159" t="inlineStr">
        <is>
          <t>Panchayati Raj Department||Secretary and Commissioner||CEO-ALWAR||BDO-KATHUMBAR</t>
        </is>
      </c>
      <c r="D2159" t="inlineStr">
        <is>
          <t>19-May-2025 06:00 PM</t>
        </is>
      </c>
      <c r="E2159" t="inlineStr">
        <is>
          <t>10,00,000</t>
        </is>
      </c>
      <c r="F2159" t="inlineStr">
        <is>
          <t>SAAF SAFAI KARY IN G.P. NATOJ</t>
        </is>
      </c>
      <c r="G2159" t="inlineStr">
        <is>
          <t>NATOJ</t>
        </is>
      </c>
    </row>
    <row r="2160">
      <c r="A2160" s="1" t="n">
        <v>2158</v>
      </c>
      <c r="B2160">
        <f>HYPERLINK("https://eproc.rajasthan.gov.in/nicgep/app?component=%24DirectLink&amp;page=FrontEndViewTender&amp;service=direct&amp;session=T&amp;sp=SK2uoQXZJ%2BqLcG7HNAqP05w%3D%3D", "SAAF SAFAI KARY IN GP TITPURI")</f>
        <v/>
      </c>
      <c r="C2160" t="inlineStr">
        <is>
          <t>Panchayati Raj Department||Secretary and Commissioner||CEO-ALWAR||BDO-KATHUMBAR</t>
        </is>
      </c>
      <c r="D2160" t="inlineStr">
        <is>
          <t>19-May-2025 06:00 PM</t>
        </is>
      </c>
      <c r="E2160" t="inlineStr">
        <is>
          <t>10,00,000</t>
        </is>
      </c>
      <c r="F2160" t="inlineStr">
        <is>
          <t>SAAF SAFAI KARY IN GP TITPURI</t>
        </is>
      </c>
      <c r="G2160" t="inlineStr">
        <is>
          <t>GP TITPURI</t>
        </is>
      </c>
    </row>
    <row r="2161">
      <c r="A2161" s="1" t="n">
        <v>2159</v>
      </c>
      <c r="B2161">
        <f>HYPERLINK("https://eproc.rajasthan.gov.in/nicgep/app?component=%24DirectLink&amp;page=FrontEndViewTender&amp;service=direct&amp;session=T&amp;sp=SjhNRtJ4F6jFrzhQNVsRjJQ%3D%3D", "SAAF SAFAI KARY IN G.P. RONIJATHAN")</f>
        <v/>
      </c>
      <c r="C2161" t="inlineStr">
        <is>
          <t>Panchayati Raj Department||Secretary and Commissioner||CEO-ALWAR||BDO-KATHUMBAR</t>
        </is>
      </c>
      <c r="D2161" t="inlineStr">
        <is>
          <t>19-May-2025 06:00 PM</t>
        </is>
      </c>
      <c r="E2161" t="inlineStr">
        <is>
          <t>10,00,000</t>
        </is>
      </c>
      <c r="F2161" t="inlineStr">
        <is>
          <t>SAAF SAFAI KARY IN G.P. RONIJATHAN</t>
        </is>
      </c>
      <c r="G2161" t="inlineStr">
        <is>
          <t>RONIJATHAN</t>
        </is>
      </c>
    </row>
    <row r="2162">
      <c r="A2162" s="1" t="n">
        <v>2160</v>
      </c>
      <c r="B2162">
        <f>HYPERLINK("https://eproc.rajasthan.gov.in/nicgep/app?component=%24DirectLink&amp;page=FrontEndViewTender&amp;service=direct&amp;session=T&amp;sp=SIQmxbO%2FVuUuRfsnXr8D7tA%3D%3D", "SAAF SAFAI KARY IN G.P. MATHURAHEDA")</f>
        <v/>
      </c>
      <c r="C2162" t="inlineStr">
        <is>
          <t>Panchayati Raj Department||Secretary and Commissioner||CEO-ALWAR||BDO-KATHUMBAR</t>
        </is>
      </c>
      <c r="D2162" t="inlineStr">
        <is>
          <t>19-May-2025 06:00 PM</t>
        </is>
      </c>
      <c r="E2162" t="inlineStr">
        <is>
          <t>10,00,000</t>
        </is>
      </c>
      <c r="F2162" t="inlineStr">
        <is>
          <t>SAAF SAFAI KARY IN G.P. MATHURAHEDA</t>
        </is>
      </c>
      <c r="G2162" t="inlineStr">
        <is>
          <t>MATHURAHEDA</t>
        </is>
      </c>
    </row>
    <row r="2163">
      <c r="A2163" s="1" t="n">
        <v>2161</v>
      </c>
      <c r="B2163">
        <f>HYPERLINK("https://eproc.rajasthan.gov.in/nicgep/app?component=%24DirectLink&amp;page=FrontEndViewTender&amp;service=direct&amp;session=T&amp;sp=SnLhIcT7uF7OhUJbNTCYLqA%3D%3D", "SAAF SAFAI KARY IN G.P. MAITHNA")</f>
        <v/>
      </c>
      <c r="C2163" t="inlineStr">
        <is>
          <t>Panchayati Raj Department||Secretary and Commissioner||CEO-ALWAR||BDO-KATHUMBAR</t>
        </is>
      </c>
      <c r="D2163" t="inlineStr">
        <is>
          <t>19-May-2025 06:00 PM</t>
        </is>
      </c>
      <c r="E2163" t="inlineStr">
        <is>
          <t>10,00,000</t>
        </is>
      </c>
      <c r="F2163" t="inlineStr">
        <is>
          <t>SAAF SAFAI KARY IN G.P. MAITHNA</t>
        </is>
      </c>
      <c r="G2163" t="inlineStr">
        <is>
          <t>MAITHNA</t>
        </is>
      </c>
    </row>
    <row r="2164">
      <c r="A2164" s="1" t="n">
        <v>2162</v>
      </c>
      <c r="B2164">
        <f>HYPERLINK("https://eproc.rajasthan.gov.in/nicgep/app?component=%24DirectLink&amp;page=FrontEndViewTender&amp;service=direct&amp;session=T&amp;sp=S3YNYLz%2FWqmARhqD%2BaC%2FUXA%3D%3D", "SAAF SAFAI KARY IN G.P. KHOKHAR")</f>
        <v/>
      </c>
      <c r="C2164" t="inlineStr">
        <is>
          <t>Panchayati Raj Department||Secretary and Commissioner||CEO-ALWAR||BDO-KATHUMBAR</t>
        </is>
      </c>
      <c r="D2164" t="inlineStr">
        <is>
          <t>19-May-2025 06:00 PM</t>
        </is>
      </c>
      <c r="E2164" t="inlineStr">
        <is>
          <t>10,00,000</t>
        </is>
      </c>
      <c r="F2164" t="inlineStr">
        <is>
          <t>SAAF SAFAI KARY IN G.P. KHOKHAR</t>
        </is>
      </c>
      <c r="G2164" t="inlineStr">
        <is>
          <t>KHOKHAR</t>
        </is>
      </c>
    </row>
    <row r="2165">
      <c r="A2165" s="1" t="n">
        <v>2163</v>
      </c>
      <c r="B2165">
        <f>HYPERLINK("https://eproc.rajasthan.gov.in/nicgep/app?component=%24DirectLink&amp;page=FrontEndViewTender&amp;service=direct&amp;session=T&amp;sp=S0vcP9Hx%2FC90DJUSf9lelZw%3D%3D", "SAAF SAFAI KARY IN G.P. INDRA COLONI")</f>
        <v/>
      </c>
      <c r="C2165" t="inlineStr">
        <is>
          <t>Panchayati Raj Department||Secretary and Commissioner||CEO-ALWAR||BDO-KATHUMBAR</t>
        </is>
      </c>
      <c r="D2165" t="inlineStr">
        <is>
          <t>19-May-2025 06:00 PM</t>
        </is>
      </c>
      <c r="E2165" t="inlineStr">
        <is>
          <t>10,00,000</t>
        </is>
      </c>
      <c r="F2165" t="inlineStr">
        <is>
          <t>SAAF SAFAI KARY IN G.P. INDRA COLONI</t>
        </is>
      </c>
      <c r="G2165" t="inlineStr">
        <is>
          <t>INDRA COLONI</t>
        </is>
      </c>
    </row>
    <row r="2166">
      <c r="A2166" s="1" t="n">
        <v>2164</v>
      </c>
      <c r="B2166">
        <f>HYPERLINK("https://eproc.rajasthan.gov.in/nicgep/app?component=%24DirectLink&amp;page=FrontEndViewTender&amp;service=direct&amp;session=T&amp;sp=ScmxKF2OUhzNyxaQchCbpdw%3D%3D", "SAAF SAFAI KARY IN G.P. KHOH")</f>
        <v/>
      </c>
      <c r="C2166" t="inlineStr">
        <is>
          <t>Panchayati Raj Department||Secretary and Commissioner||CEO-ALWAR||BDO-KATHUMBAR</t>
        </is>
      </c>
      <c r="D2166" t="inlineStr">
        <is>
          <t>19-May-2025 06:00 PM</t>
        </is>
      </c>
      <c r="E2166" t="inlineStr">
        <is>
          <t>10,00,000</t>
        </is>
      </c>
      <c r="F2166" t="inlineStr">
        <is>
          <t>SAAF SAFAI KARY IN G.P. KHOH</t>
        </is>
      </c>
      <c r="G2166" t="inlineStr">
        <is>
          <t>KHOH</t>
        </is>
      </c>
    </row>
    <row r="2167">
      <c r="A2167" s="1" t="n">
        <v>2165</v>
      </c>
      <c r="B2167">
        <f>HYPERLINK("https://eproc.rajasthan.gov.in/nicgep/app?component=%24DirectLink&amp;page=FrontEndViewTender&amp;service=direct&amp;session=T&amp;sp=Suq98NAlAAXxJJKEuNhHTsg%3D%3D", "SAAF SAFAI KARY IN G.P. SAHADI")</f>
        <v/>
      </c>
      <c r="C2167" t="inlineStr">
        <is>
          <t>Panchayati Raj Department||Secretary and Commissioner||CEO-ALWAR||BDO-KATHUMBAR</t>
        </is>
      </c>
      <c r="D2167" t="inlineStr">
        <is>
          <t>19-May-2025 06:00 PM</t>
        </is>
      </c>
      <c r="E2167" t="inlineStr">
        <is>
          <t>10,00,000</t>
        </is>
      </c>
      <c r="F2167" t="inlineStr">
        <is>
          <t>SAAF SAFAI KARY IN G.P. SAHADI</t>
        </is>
      </c>
      <c r="G2167" t="inlineStr">
        <is>
          <t>SAHADI</t>
        </is>
      </c>
    </row>
    <row r="2168">
      <c r="A2168" s="1" t="n">
        <v>2166</v>
      </c>
      <c r="B2168">
        <f>HYPERLINK("https://eproc.rajasthan.gov.in/nicgep/app?component=%24DirectLink&amp;page=FrontEndViewTender&amp;service=direct&amp;session=T&amp;sp=S93PUg94CbbS7nZlvGwnS3w%3D%3D", "SAAF SAFAI KARY G.P. KHERLI REL")</f>
        <v/>
      </c>
      <c r="C2168" t="inlineStr">
        <is>
          <t>Panchayati Raj Department||Secretary and Commissioner||CEO-ALWAR||BDO-KATHUMBAR</t>
        </is>
      </c>
      <c r="D2168" t="inlineStr">
        <is>
          <t>19-May-2025 06:00 PM</t>
        </is>
      </c>
      <c r="E2168" t="inlineStr">
        <is>
          <t>10,00,000</t>
        </is>
      </c>
      <c r="F2168" t="inlineStr">
        <is>
          <t>SAAF SAFAI KARY G.P. KHERLI REL</t>
        </is>
      </c>
      <c r="G2168" t="inlineStr">
        <is>
          <t>KHERI REL</t>
        </is>
      </c>
    </row>
    <row r="2169">
      <c r="A2169" s="1" t="n">
        <v>2167</v>
      </c>
      <c r="B2169">
        <f>HYPERLINK("https://eproc.rajasthan.gov.in/nicgep/app?component=%24DirectLink&amp;page=FrontEndViewTender&amp;service=direct&amp;session=T&amp;sp=S%2BfYLrPb%2FgCYZLcqfBBgYAQ%3D%3D", "SAAF SAFAI KARY GP TEEKRI")</f>
        <v/>
      </c>
      <c r="C2169" t="inlineStr">
        <is>
          <t>Panchayati Raj Department||Secretary and Commissioner||CEO-ALWAR||BDO-KATHUMBAR</t>
        </is>
      </c>
      <c r="D2169" t="inlineStr">
        <is>
          <t>19-May-2025 06:00 PM</t>
        </is>
      </c>
      <c r="E2169" t="inlineStr">
        <is>
          <t>10,00,000</t>
        </is>
      </c>
      <c r="F2169" t="inlineStr">
        <is>
          <t>SAAF SAFAI KARY GP TEEKRI</t>
        </is>
      </c>
      <c r="G2169" t="inlineStr">
        <is>
          <t>GP TEEKRI</t>
        </is>
      </c>
    </row>
    <row r="2170">
      <c r="A2170" s="1" t="n">
        <v>2168</v>
      </c>
      <c r="B2170">
        <f>HYPERLINK("https://eproc.rajasthan.gov.in/nicgep/app?component=%24DirectLink&amp;page=FrontEndViewTender&amp;service=direct&amp;session=T&amp;sp=S5KkBcjM%2BETp3urVnfjETIw%3D%3D", "SAAF SAFAI KARY IN G.P. RETA")</f>
        <v/>
      </c>
      <c r="C2170" t="inlineStr">
        <is>
          <t>Panchayati Raj Department||Secretary and Commissioner||CEO-ALWAR||BDO-KATHUMBAR</t>
        </is>
      </c>
      <c r="D2170" t="inlineStr">
        <is>
          <t>19-May-2025 06:00 PM</t>
        </is>
      </c>
      <c r="E2170" t="inlineStr">
        <is>
          <t>10,00,000</t>
        </is>
      </c>
      <c r="F2170" t="inlineStr">
        <is>
          <t>SAAF SAFAI KARY IN G.P. RETA</t>
        </is>
      </c>
      <c r="G2170" t="inlineStr">
        <is>
          <t>RETA</t>
        </is>
      </c>
    </row>
    <row r="2171">
      <c r="A2171" s="1" t="n">
        <v>2169</v>
      </c>
      <c r="B2171">
        <f>HYPERLINK("https://eproc.rajasthan.gov.in/nicgep/app?component=%24DirectLink&amp;page=FrontEndViewTender&amp;service=direct&amp;session=T&amp;sp=SZVV39xz5SclqCwq5aCrO%2Bw%3D%3D", "SAAF SAFAI KARY IN G.P. NAHARKHOHRA")</f>
        <v/>
      </c>
      <c r="C2171" t="inlineStr">
        <is>
          <t>Panchayati Raj Department||Secretary and Commissioner||CEO-ALWAR||BDO-KATHUMBAR</t>
        </is>
      </c>
      <c r="D2171" t="inlineStr">
        <is>
          <t>19-May-2025 06:00 PM</t>
        </is>
      </c>
      <c r="E2171" t="inlineStr">
        <is>
          <t>10,00,000</t>
        </is>
      </c>
      <c r="F2171" t="inlineStr">
        <is>
          <t>SAAF SAFAI KARY IN G.P. NAHARKHOHRA</t>
        </is>
      </c>
      <c r="G2171" t="inlineStr">
        <is>
          <t>NAHARKHOHRA</t>
        </is>
      </c>
    </row>
    <row r="2172">
      <c r="A2172" s="1" t="n">
        <v>2170</v>
      </c>
      <c r="B2172">
        <f>HYPERLINK("https://eproc.rajasthan.gov.in/nicgep/app?component=%24DirectLink&amp;page=FrontEndViewTender&amp;service=direct&amp;session=T&amp;sp=S2chQorm2YXjCybyI0Q%2BzDw%3D%3D", "Work including garbage collection and separation from every house (Residential and Commercial), road and drain cleaning and community sanitation complex cleaning in all the villages of Gram Panchayat Bachrara Bada P S Ratangarh for 6 Month")</f>
        <v/>
      </c>
      <c r="C2172" t="inlineStr">
        <is>
          <t>Panchayati Raj Department||Secretary and Commissioner||CEO-CHURU||BDO-RATANGARH</t>
        </is>
      </c>
      <c r="D2172" t="inlineStr">
        <is>
          <t>22-May-2025 04:00 PM</t>
        </is>
      </c>
      <c r="E2172" t="inlineStr">
        <is>
          <t>9,00,000</t>
        </is>
      </c>
      <c r="F2172" t="inlineStr">
        <is>
          <t>Work including garbage collection and separation from every house (Residential and Commercial), road and drain cleaning and community sanitation complex cleaning in all the villages of Gram Panchayat Bachrara Bada P S Ratangarh for 6 Month</t>
        </is>
      </c>
      <c r="G2172" t="inlineStr">
        <is>
          <t>GP BACHRARA</t>
        </is>
      </c>
    </row>
    <row r="2173">
      <c r="A2173" s="1" t="n">
        <v>2171</v>
      </c>
      <c r="B2173">
        <f>HYPERLINK("https://eproc.rajasthan.gov.in/nicgep/app?component=%24DirectLink&amp;page=FrontEndViewTender&amp;service=direct&amp;session=T&amp;sp=SpsZXX0iyLgtNf5cQnQSbcA%3D%3D", "Work including garbage collection and separation from every house (Residential and Commercial), road and drain cleaning and community sanitation complex cleaning in all the villages of Gram Panchayat Melusar P S Ratangarh for 6 Month")</f>
        <v/>
      </c>
      <c r="C2173" t="inlineStr">
        <is>
          <t>Panchayati Raj Department||Secretary and Commissioner||CEO-CHURU||BDO-RATANGARH</t>
        </is>
      </c>
      <c r="D2173" t="inlineStr">
        <is>
          <t>22-May-2025 04:00 PM</t>
        </is>
      </c>
      <c r="E2173" t="inlineStr">
        <is>
          <t>7,07,000</t>
        </is>
      </c>
      <c r="F2173" t="inlineStr">
        <is>
          <t>Work including garbage collection and separation from every house (Residential and Commercial), road and drain cleaning and community sanitation complex cleaning in all the villages of Gram Panchayat Melusar P S Ratangarh for 6 Month</t>
        </is>
      </c>
      <c r="G2173" t="inlineStr">
        <is>
          <t>GP MELUSAR</t>
        </is>
      </c>
    </row>
    <row r="2174">
      <c r="A2174" s="1" t="n">
        <v>2172</v>
      </c>
      <c r="B2174">
        <f>HYPERLINK("https://eproc.rajasthan.gov.in/nicgep/app?component=%24DirectLink&amp;page=FrontEndViewTender&amp;service=direct&amp;session=T&amp;sp=SfMv3kpwGzwqr2TcNaKm96g%3D%3D", "Work including garbage collection and separation from every house (Residential and Commercial), road and drain cleaning and community sanitation complex cleaning in all the villages of Gram Panchayat Alsar P S Ratangarh for 6 Month")</f>
        <v/>
      </c>
      <c r="C2174" t="inlineStr">
        <is>
          <t>Panchayati Raj Department||Secretary and Commissioner||CEO-CHURU||BDO-RATANGARH</t>
        </is>
      </c>
      <c r="D2174" t="inlineStr">
        <is>
          <t>22-May-2025 04:00 PM</t>
        </is>
      </c>
      <c r="E2174" t="inlineStr">
        <is>
          <t>6,21,000</t>
        </is>
      </c>
      <c r="F2174" t="inlineStr">
        <is>
          <t>Work including garbage collection and separation from every house (Residential and Commercial), road and drain cleaning and community sanitation complex cleaning in all the villages of Gram Panchayat Alsar P S Ratangarh for 6 Month</t>
        </is>
      </c>
      <c r="G2174" t="inlineStr">
        <is>
          <t>GP ALSAR</t>
        </is>
      </c>
    </row>
    <row r="2175">
      <c r="A2175" s="1" t="n">
        <v>2173</v>
      </c>
      <c r="B2175">
        <f>HYPERLINK("https://eproc.rajasthan.gov.in/nicgep/app?component=%24DirectLink&amp;page=FrontEndViewTender&amp;service=direct&amp;session=T&amp;sp=SxdLH3U0ciMFCL8OxVjumLw%3D%3D", "SUPPLY OF CONSTRUCTION MATERIAL AND PROVIDING EQUIPMENT IN GRAM PANCHAYAT TEWALI OF PANCHAYAT SAMITI PALI, DIST.- PALI")</f>
        <v/>
      </c>
      <c r="C2175" t="inlineStr">
        <is>
          <t>Panchayati Raj Department||Secretary and Commissioner||CEO-PALI||BDO-PALI</t>
        </is>
      </c>
      <c r="D2175" t="inlineStr">
        <is>
          <t>22-May-2025 05:00 PM</t>
        </is>
      </c>
      <c r="E2175" t="inlineStr">
        <is>
          <t>30,00,000</t>
        </is>
      </c>
      <c r="F2175" t="inlineStr">
        <is>
          <t>SUPPLY OF CONSTRUCTION MATERIAL AND PROVIDING EQUIPMENT IN GRAM PANCHAYAT TEWALI OF PANCHAYAT SAMITI PALI, DIST.- PALI</t>
        </is>
      </c>
      <c r="G2175" t="inlineStr">
        <is>
          <t>Gram Panchayat Tewali</t>
        </is>
      </c>
    </row>
    <row r="2176">
      <c r="A2176" s="1" t="n">
        <v>2174</v>
      </c>
      <c r="B2176">
        <f>HYPERLINK("https://eproc.rajasthan.gov.in/nicgep/app?component=%24DirectLink&amp;page=FrontEndViewTender&amp;service=direct&amp;session=T&amp;sp=SGkgkx4UrR3q0jXHqBtf9mA%3D%3D", "Gram Panchayat PEELODI All village, Home to Home Garbage collection and segregation from(residential and commercial)areas, street and drain cleaning and community sanitation,premises cleaning work,GP PEELODI PS SIKRAI")</f>
        <v/>
      </c>
      <c r="C2176" t="inlineStr">
        <is>
          <t>Panchayati Raj Department||Secretary and Commissioner||CEO-DAUSA||BDO-SIKARAI</t>
        </is>
      </c>
      <c r="D2176" t="inlineStr">
        <is>
          <t>20-May-2025 06:00 PM</t>
        </is>
      </c>
      <c r="E2176" t="inlineStr">
        <is>
          <t>9,99,998</t>
        </is>
      </c>
      <c r="F2176" t="inlineStr">
        <is>
          <t>Gram Panchayat PEELODI All village, Home to Home Garbage collection and segregation from(residential and commercial)areas, street and drain cleaning and community sanitation,premises cleaning work,GP PEELODI PS SIKRAI</t>
        </is>
      </c>
      <c r="G2176" t="inlineStr">
        <is>
          <t>Gram Panchayat PEELODI All village, Home to Home G</t>
        </is>
      </c>
    </row>
    <row r="2177">
      <c r="A2177" s="1" t="n">
        <v>2175</v>
      </c>
      <c r="B2177">
        <f>HYPERLINK("https://eproc.rajasthan.gov.in/nicgep/app?component=%24DirectLink&amp;page=FrontEndViewTender&amp;service=direct&amp;session=T&amp;sp=SiZRTTIrGPHJu8SRub6o5eQ%3D%3D", "Construction of Two Class Room in Govt. S.S. School Ukhliyat GP Ukhliyat Block Kotra under DMFT Fund")</f>
        <v/>
      </c>
      <c r="C2177" t="inlineStr">
        <is>
          <t>Panchayati Raj Department||Secretary and Commissioner||CEO-UDAIPUR||BDO-KHERWARA</t>
        </is>
      </c>
      <c r="D2177" t="inlineStr">
        <is>
          <t>19-May-2025 06:00 PM</t>
        </is>
      </c>
      <c r="E2177" t="inlineStr">
        <is>
          <t>24,81,000</t>
        </is>
      </c>
      <c r="F2177" t="inlineStr">
        <is>
          <t>Construction of Two Class Room in Govt. S.S. School Ukhliyat GP Ukhliyat Block Kotra under DMFT Fund</t>
        </is>
      </c>
      <c r="G2177" t="inlineStr">
        <is>
          <t>GP Ukhliyat Block Kotra</t>
        </is>
      </c>
    </row>
    <row r="2178">
      <c r="A2178" s="1" t="n">
        <v>2176</v>
      </c>
      <c r="B2178">
        <f>HYPERLINK("https://eproc.rajasthan.gov.in/nicgep/app?component=%24DirectLink&amp;page=FrontEndViewTender&amp;service=direct&amp;session=T&amp;sp=S2POi5yATyniSYqMryd04pw%3D%3D", "SAAF SAFAI KARY IN G.P. NURPUR")</f>
        <v/>
      </c>
      <c r="C2178" t="inlineStr">
        <is>
          <t>Panchayati Raj Department||Secretary and Commissioner||CEO-ALWAR||BDO-KATHUMBAR</t>
        </is>
      </c>
      <c r="D2178" t="inlineStr">
        <is>
          <t>19-May-2025 06:00 PM</t>
        </is>
      </c>
      <c r="E2178" t="inlineStr">
        <is>
          <t>10,00,000</t>
        </is>
      </c>
      <c r="F2178" t="inlineStr">
        <is>
          <t>SAAF SAFAI KARY IN G.P. NURPUR</t>
        </is>
      </c>
      <c r="G2178" t="inlineStr">
        <is>
          <t>NURPUR</t>
        </is>
      </c>
    </row>
    <row r="2179">
      <c r="A2179" s="1" t="n">
        <v>2177</v>
      </c>
      <c r="B2179">
        <f>HYPERLINK("https://eproc.rajasthan.gov.in/nicgep/app?component=%24DirectLink&amp;page=FrontEndViewTender&amp;service=direct&amp;session=T&amp;sp=SiLR5rOCFo6gM1szOJPBW%2BA%3D%3D", "SAAF SAFAI KARY IN G.P. DOROLI")</f>
        <v/>
      </c>
      <c r="C2179" t="inlineStr">
        <is>
          <t>Panchayati Raj Department||Secretary and Commissioner||CEO-ALWAR||BDO-KATHUMBAR</t>
        </is>
      </c>
      <c r="D2179" t="inlineStr">
        <is>
          <t>19-May-2025 06:00 PM</t>
        </is>
      </c>
      <c r="E2179" t="inlineStr">
        <is>
          <t>10,00,000</t>
        </is>
      </c>
      <c r="F2179" t="inlineStr">
        <is>
          <t>SAAF SAFAI KARY IN G.P. DOROLI</t>
        </is>
      </c>
      <c r="G2179" t="inlineStr">
        <is>
          <t>DOROLI</t>
        </is>
      </c>
    </row>
    <row r="2180">
      <c r="A2180" s="1" t="n">
        <v>2178</v>
      </c>
      <c r="B2180">
        <f>HYPERLINK("https://eproc.rajasthan.gov.in/nicgep/app?component=%24DirectLink&amp;page=FrontEndViewTender&amp;service=direct&amp;session=T&amp;sp=Sfdyt5bebBEOBrgxwuzcNDg%3D%3D", "SAAF SAFAI KARY IN G.P. DARODA")</f>
        <v/>
      </c>
      <c r="C2180" t="inlineStr">
        <is>
          <t>Panchayati Raj Department||Secretary and Commissioner||CEO-ALWAR||BDO-KATHUMBAR</t>
        </is>
      </c>
      <c r="D2180" t="inlineStr">
        <is>
          <t>19-May-2025 06:00 PM</t>
        </is>
      </c>
      <c r="E2180" t="inlineStr">
        <is>
          <t>10,00,000</t>
        </is>
      </c>
      <c r="F2180" t="inlineStr">
        <is>
          <t>SAAF SAFAI KARY IN G.P. DARODA</t>
        </is>
      </c>
      <c r="G2180" t="inlineStr">
        <is>
          <t>DARODA</t>
        </is>
      </c>
    </row>
    <row r="2181">
      <c r="A2181" s="1" t="n">
        <v>2179</v>
      </c>
      <c r="B2181">
        <f>HYPERLINK("https://eproc.rajasthan.gov.in/nicgep/app?component=%24DirectLink&amp;page=FrontEndViewTender&amp;service=direct&amp;session=T&amp;sp=SD5O2H3woTcmly%2FwTATKO6A%3D%3D", "SAAF SAFAI KARY IN G.P. MANGOLAKI")</f>
        <v/>
      </c>
      <c r="C2181" t="inlineStr">
        <is>
          <t>Panchayati Raj Department||Secretary and Commissioner||CEO-ALWAR||BDO-KATHUMBAR</t>
        </is>
      </c>
      <c r="D2181" t="inlineStr">
        <is>
          <t>19-May-2025 06:00 PM</t>
        </is>
      </c>
      <c r="E2181" t="inlineStr">
        <is>
          <t>10,00,000</t>
        </is>
      </c>
      <c r="F2181" t="inlineStr">
        <is>
          <t>SAAF SAFAI KARY IN G.P. MANGOLAKI</t>
        </is>
      </c>
      <c r="G2181" t="inlineStr">
        <is>
          <t>MANGOLAKI</t>
        </is>
      </c>
    </row>
    <row r="2182">
      <c r="A2182" s="1" t="n">
        <v>2180</v>
      </c>
      <c r="B2182">
        <f>HYPERLINK("https://eproc.rajasthan.gov.in/nicgep/app?component=%24DirectLink&amp;page=FrontEndViewTender&amp;service=direct&amp;session=T&amp;sp=SUFCJc1jlFP6%2F0%2BWF9cbOVw%3D%3D", "SAAF SAFAI KARY IN G.P. BERKA")</f>
        <v/>
      </c>
      <c r="C2182" t="inlineStr">
        <is>
          <t>Panchayati Raj Department||Secretary and Commissioner||CEO-ALWAR||BDO-KATHUMBAR</t>
        </is>
      </c>
      <c r="D2182" t="inlineStr">
        <is>
          <t>19-May-2025 06:00 PM</t>
        </is>
      </c>
      <c r="E2182" t="inlineStr">
        <is>
          <t>10,00,000</t>
        </is>
      </c>
      <c r="F2182" t="inlineStr">
        <is>
          <t>SAAF SAFAI KARY IN G.P. BERKA</t>
        </is>
      </c>
      <c r="G2182" t="inlineStr">
        <is>
          <t>BERKA</t>
        </is>
      </c>
    </row>
    <row r="2183">
      <c r="A2183" s="1" t="n">
        <v>2181</v>
      </c>
      <c r="B2183">
        <f>HYPERLINK("https://eproc.rajasthan.gov.in/nicgep/app?component=%24DirectLink&amp;page=FrontEndViewTender&amp;service=direct&amp;session=T&amp;sp=S9gsAPWah4rNH4XUJ%2BDiRyg%3D%3D", "SAAF SAFAI KARY IN G.P. BASETH")</f>
        <v/>
      </c>
      <c r="C2183" t="inlineStr">
        <is>
          <t>Panchayati Raj Department||Secretary and Commissioner||CEO-ALWAR||BDO-KATHUMBAR</t>
        </is>
      </c>
      <c r="D2183" t="inlineStr">
        <is>
          <t>19-May-2025 09:00 AM</t>
        </is>
      </c>
      <c r="E2183" t="inlineStr">
        <is>
          <t>10,00,000</t>
        </is>
      </c>
      <c r="F2183" t="inlineStr">
        <is>
          <t>SAAF SAFAI KARY IN G.P. BASETH</t>
        </is>
      </c>
      <c r="G2183" t="inlineStr">
        <is>
          <t>BASETH</t>
        </is>
      </c>
    </row>
    <row r="2184">
      <c r="A2184" s="1" t="n">
        <v>2182</v>
      </c>
      <c r="B2184">
        <f>HYPERLINK("https://eproc.rajasthan.gov.in/nicgep/app?component=%24DirectLink&amp;page=FrontEndViewTender&amp;service=direct&amp;session=T&amp;sp=SJvVLH%2Fk2IpsL4UXq3mSfBA%3D%3D", "SAAF SAFAI KARY IN G.P. DANTIYA")</f>
        <v/>
      </c>
      <c r="C2184" t="inlineStr">
        <is>
          <t>Panchayati Raj Department||Secretary and Commissioner||CEO-ALWAR||BDO-KATHUMBAR</t>
        </is>
      </c>
      <c r="D2184" t="inlineStr">
        <is>
          <t>19-May-2025 06:00 PM</t>
        </is>
      </c>
      <c r="E2184" t="inlineStr">
        <is>
          <t>10,00,000</t>
        </is>
      </c>
      <c r="F2184" t="inlineStr">
        <is>
          <t>SAAF SAFAI KARY IN G.P. DANTIYA</t>
        </is>
      </c>
      <c r="G2184" t="inlineStr">
        <is>
          <t>DANITYA</t>
        </is>
      </c>
    </row>
    <row r="2185">
      <c r="A2185" s="1" t="n">
        <v>2183</v>
      </c>
      <c r="B2185">
        <f>HYPERLINK("https://eproc.rajasthan.gov.in/nicgep/app?component=%24DirectLink&amp;page=FrontEndViewTender&amp;service=direct&amp;session=T&amp;sp=SG8h6bOczGW65qOZMj9CjFA%3D%3D", "SAAF SAFAI KARY IN G.P. BADODAKAN")</f>
        <v/>
      </c>
      <c r="C2185" t="inlineStr">
        <is>
          <t>Panchayati Raj Department||Secretary and Commissioner||CEO-ALWAR||BDO-KATHUMBAR</t>
        </is>
      </c>
      <c r="D2185" t="inlineStr">
        <is>
          <t>19-May-2025 09:00 AM</t>
        </is>
      </c>
      <c r="E2185" t="inlineStr">
        <is>
          <t>10,00,000</t>
        </is>
      </c>
      <c r="F2185" t="inlineStr">
        <is>
          <t>SAAF SAFAI KARY IN G.P. BADODAKAN</t>
        </is>
      </c>
      <c r="G2185" t="inlineStr">
        <is>
          <t>BADODAKAN</t>
        </is>
      </c>
    </row>
    <row r="2186">
      <c r="A2186" s="1" t="n">
        <v>2184</v>
      </c>
      <c r="B2186">
        <f>HYPERLINK("https://eproc.rajasthan.gov.in/nicgep/app?component=%24DirectLink&amp;page=FrontEndViewTender&amp;service=direct&amp;session=T&amp;sp=SQfJxVBMjAcuslgk3wyFYHQ%3D%3D", "SAAF SAFAI KARY IN G.P. BAHAUKALA")</f>
        <v/>
      </c>
      <c r="C2186" t="inlineStr">
        <is>
          <t>Panchayati Raj Department||Secretary and Commissioner||CEO-ALWAR||BDO-KATHUMBAR</t>
        </is>
      </c>
      <c r="D2186" t="inlineStr">
        <is>
          <t>19-May-2025 06:00 PM</t>
        </is>
      </c>
      <c r="E2186" t="inlineStr">
        <is>
          <t>10,00,000</t>
        </is>
      </c>
      <c r="F2186" t="inlineStr">
        <is>
          <t>SAAF SAFAI KARY IN G.P. BAHAUKALA</t>
        </is>
      </c>
      <c r="G2186" t="inlineStr">
        <is>
          <t>BAHATUKALA</t>
        </is>
      </c>
    </row>
    <row r="2187">
      <c r="A2187" s="1" t="n">
        <v>2185</v>
      </c>
      <c r="B2187">
        <f>HYPERLINK("https://eproc.rajasthan.gov.in/nicgep/app?component=%24DirectLink&amp;page=FrontEndViewTender&amp;service=direct&amp;session=T&amp;sp=Sn95UDjbqMyIjGQV3u%2Ff2PQ%3D%3D", "SAAF SAFAI KARY IN G.P. BAHRAMPUR")</f>
        <v/>
      </c>
      <c r="C2187" t="inlineStr">
        <is>
          <t>Panchayati Raj Department||Secretary and Commissioner||CEO-ALWAR||BDO-KATHUMBAR</t>
        </is>
      </c>
      <c r="D2187" t="inlineStr">
        <is>
          <t>19-May-2025 06:00 PM</t>
        </is>
      </c>
      <c r="E2187" t="inlineStr">
        <is>
          <t>10,00,000</t>
        </is>
      </c>
      <c r="F2187" t="inlineStr">
        <is>
          <t>SAAF SAFAI KARY IN G.P. BAHRAMPUR</t>
        </is>
      </c>
      <c r="G2187" t="inlineStr">
        <is>
          <t>BAHRAMPUR</t>
        </is>
      </c>
    </row>
    <row r="2188">
      <c r="A2188" s="1" t="n">
        <v>2186</v>
      </c>
      <c r="B2188">
        <f>HYPERLINK("https://eproc.rajasthan.gov.in/nicgep/app?component=%24DirectLink&amp;page=FrontEndViewTender&amp;service=direct&amp;session=T&amp;sp=S%2B2MXqg0h9dDRvnG1UTFEQw%3D%3D", "SAAF SAFAI KARY IN G.P. ARRUWA")</f>
        <v/>
      </c>
      <c r="C2188" t="inlineStr">
        <is>
          <t>Panchayati Raj Department||Secretary and Commissioner||CEO-ALWAR||BDO-KATHUMBAR</t>
        </is>
      </c>
      <c r="D2188" t="inlineStr">
        <is>
          <t>19-May-2025 06:00 PM</t>
        </is>
      </c>
      <c r="E2188" t="inlineStr">
        <is>
          <t>10,00,000</t>
        </is>
      </c>
      <c r="F2188" t="inlineStr">
        <is>
          <t>SAAF SAFAI KARY IN G.P. ARRUWA</t>
        </is>
      </c>
      <c r="G2188" t="inlineStr">
        <is>
          <t>ARRUWA</t>
        </is>
      </c>
    </row>
    <row r="2189">
      <c r="A2189" s="1" t="n">
        <v>2187</v>
      </c>
      <c r="B2189">
        <f>HYPERLINK("https://eproc.rajasthan.gov.in/nicgep/app?component=%24DirectLink&amp;page=FrontEndViewTender&amp;service=direct&amp;session=T&amp;sp=SIPl%2FfUVTl441RurtmDpIQw%3D%3D", "SAAF SAFAI KARY IN G.P. ADOLI")</f>
        <v/>
      </c>
      <c r="C2189" t="inlineStr">
        <is>
          <t>Panchayati Raj Department||Secretary and Commissioner||CEO-ALWAR||BDO-KATHUMBAR</t>
        </is>
      </c>
      <c r="D2189" t="inlineStr">
        <is>
          <t>19-May-2025 06:00 PM</t>
        </is>
      </c>
      <c r="E2189" t="inlineStr">
        <is>
          <t>10,00,000</t>
        </is>
      </c>
      <c r="F2189" t="inlineStr">
        <is>
          <t>SAAF SAFAI KARY IN G.P. ADOLI</t>
        </is>
      </c>
      <c r="G2189" t="inlineStr">
        <is>
          <t>ADOLI</t>
        </is>
      </c>
    </row>
    <row r="2190">
      <c r="A2190" s="1" t="n">
        <v>2188</v>
      </c>
      <c r="B2190">
        <f>HYPERLINK("https://eproc.rajasthan.gov.in/nicgep/app?component=%24DirectLink&amp;page=FrontEndViewTender&amp;service=direct&amp;session=T&amp;sp=S%2F6bHjHT7dI7gPlKP4iF62g%3D%3D", "SAAF SAFAI KARY IN G.P. BHANOKHAR")</f>
        <v/>
      </c>
      <c r="C2190" t="inlineStr">
        <is>
          <t>Panchayati Raj Department||Secretary and Commissioner||CEO-ALWAR||BDO-KATHUMBAR</t>
        </is>
      </c>
      <c r="D2190" t="inlineStr">
        <is>
          <t>19-May-2025 06:00 PM</t>
        </is>
      </c>
      <c r="E2190" t="inlineStr">
        <is>
          <t>10,00,000</t>
        </is>
      </c>
      <c r="F2190" t="inlineStr">
        <is>
          <t>SAAF SAFAI KARY IN G.P. BHANOKHAR</t>
        </is>
      </c>
      <c r="G2190" t="inlineStr">
        <is>
          <t>BHANOKHAR</t>
        </is>
      </c>
    </row>
    <row r="2191">
      <c r="A2191" s="1" t="n">
        <v>2189</v>
      </c>
      <c r="B2191">
        <f>HYPERLINK("https://eproc.rajasthan.gov.in/nicgep/app?component=%24DirectLink&amp;page=FrontEndViewTender&amp;service=direct&amp;session=T&amp;sp=SJMJA9J7ynn7INs0EKonNHA%3D%3D", "Supply of Various Construction Materials and Equipment Service Gram Panchayat SOMARWALO KA KHEDA P.S. Rashmi")</f>
        <v/>
      </c>
      <c r="C2191" t="inlineStr">
        <is>
          <t>Panchayati Raj Department||Secretary and Commissioner||CEO-CHITTORGARH||BDO-RASHMI</t>
        </is>
      </c>
      <c r="D2191" t="inlineStr">
        <is>
          <t>23-May-2025 10:00 AM</t>
        </is>
      </c>
      <c r="E2191" t="inlineStr">
        <is>
          <t>45,30,000</t>
        </is>
      </c>
      <c r="F2191" t="inlineStr">
        <is>
          <t>Supply of Various Construction Materials and Equipment Service Gram Panchayat SOMARWALO KA KHEDA P.S. Rashmi</t>
        </is>
      </c>
      <c r="G2191" t="inlineStr">
        <is>
          <t>gram panchayat Somarwalo ka kheda</t>
        </is>
      </c>
    </row>
    <row r="2192">
      <c r="A2192" s="1" t="n">
        <v>2190</v>
      </c>
      <c r="B2192">
        <f>HYPERLINK("https://eproc.rajasthan.gov.in/nicgep/app?component=%24DirectLink&amp;page=FrontEndViewTender&amp;service=direct&amp;session=T&amp;sp=Sdpfc1OKdMKhrF4qwv8Wl3w%3D%3D", "Gram Panchayat LAKA All village, Home to Home Garbage collection and segregation from(residential and commercial)areas, street and drain cleaning and community sanitation,premises cleaning work,GP LAKA 01/2025-26_LAKA PS SIKANDARA")</f>
        <v/>
      </c>
      <c r="C2192" t="inlineStr">
        <is>
          <t>Panchayati Raj Department||Secretary and Commissioner||CEO-DAUSA||BDO-SIKANDARA</t>
        </is>
      </c>
      <c r="D2192" t="inlineStr">
        <is>
          <t>20-May-2025 06:00 PM</t>
        </is>
      </c>
      <c r="E2192" t="inlineStr">
        <is>
          <t>NA</t>
        </is>
      </c>
      <c r="F2192" t="inlineStr">
        <is>
          <t>Gram Panchayat LAKA All village, Home to Home Garbage collection and segregation from(residential and commercial)areas, street and drain cleaning and community sanitation,premises cleaning work,GP LAKA 01/2025-26_LAKA PS SIKANDARA</t>
        </is>
      </c>
      <c r="G2192" t="inlineStr">
        <is>
          <t>Gram Panchayat LAKA All village, Home to Home Garb</t>
        </is>
      </c>
    </row>
    <row r="2193">
      <c r="A2193" s="1" t="n">
        <v>2191</v>
      </c>
      <c r="B2193">
        <f>HYPERLINK("https://eproc.rajasthan.gov.in/nicgep/app?component=%24DirectLink&amp;page=FrontEndViewTender&amp;service=direct&amp;session=T&amp;sp=SPsN8Toi2mfHFworIRNXx3A%3D%3D", "Gram Panchayat GANIPUR All village, Home to Home Garbage collection and segregation from(residential and commercial)areas, street and drain cleaning and community sanitation,premises cleaning work,GP GANIPUR PS SIKRAI")</f>
        <v/>
      </c>
      <c r="C2193" t="inlineStr">
        <is>
          <t>Panchayati Raj Department||Secretary and Commissioner||CEO-DAUSA||BDO-SIKARAI</t>
        </is>
      </c>
      <c r="D2193" t="inlineStr">
        <is>
          <t>20-May-2025 06:00 PM</t>
        </is>
      </c>
      <c r="E2193" t="inlineStr">
        <is>
          <t>6,84,058</t>
        </is>
      </c>
      <c r="F2193" t="inlineStr">
        <is>
          <t>Gram Panchayat GANIPUR All village, Home to Home Garbage collection and segregation from(residential and commercial)areas, street and drain cleaning and community sanitation,premises cleaning work,GP GANIPUR PS SIKRAI</t>
        </is>
      </c>
      <c r="G2193" t="inlineStr">
        <is>
          <t>Gram Panchayat GANIPUR All village, Home to Home G</t>
        </is>
      </c>
    </row>
    <row r="2194">
      <c r="A2194" s="1" t="n">
        <v>2192</v>
      </c>
      <c r="B2194">
        <f>HYPERLINK("https://eproc.rajasthan.gov.in/nicgep/app?component=%24DirectLink&amp;page=FrontEndViewTender&amp;service=direct&amp;session=T&amp;sp=SFwGJlKPlMBemuSC99QsMZw%3D%3D", "Construction of Two Class Room in Govt. S.S. School Malva ka Chora GP Malva ka Chora Block Kotra under DMFT Fund")</f>
        <v/>
      </c>
      <c r="C2194" t="inlineStr">
        <is>
          <t>Panchayati Raj Department||Secretary and Commissioner||CEO-UDAIPUR||BDO-KHERWARA</t>
        </is>
      </c>
      <c r="D2194" t="inlineStr">
        <is>
          <t>19-May-2025 06:00 PM</t>
        </is>
      </c>
      <c r="E2194" t="inlineStr">
        <is>
          <t>24,00,000</t>
        </is>
      </c>
      <c r="F2194" t="inlineStr">
        <is>
          <t>Construction of Two Class Room in Govt. S.S. School Malva ka Chora GP Malva ka Chora Block Kotra under DMFT Fund</t>
        </is>
      </c>
      <c r="G2194" t="inlineStr">
        <is>
          <t>GP Malva ka Chora Block Kotra</t>
        </is>
      </c>
    </row>
    <row r="2195">
      <c r="A2195" s="1" t="n">
        <v>2193</v>
      </c>
      <c r="B2195">
        <f>HYPERLINK("https://eproc.rajasthan.gov.in/nicgep/app?component=%24DirectLink&amp;page=FrontEndViewTender&amp;service=direct&amp;session=T&amp;sp=SbZU5LsEoDxE493dG1MjVtw%3D%3D", "Supply of Constriction Material and Providing Equipment in MGNREGA and other Scheme at GP Amaliyali PS Payla Kalan For FY 2025-26")</f>
        <v/>
      </c>
      <c r="C2195" t="inlineStr">
        <is>
          <t>Panchayati Raj Department||Secretary and Commissioner||CEO-BADMER</t>
        </is>
      </c>
      <c r="D2195" t="inlineStr">
        <is>
          <t>26-May-2025 06:00 PM</t>
        </is>
      </c>
      <c r="E2195" t="inlineStr">
        <is>
          <t>90,00,000</t>
        </is>
      </c>
      <c r="F2195" t="inlineStr">
        <is>
          <t>Supply of Constriction Material and Providing Equipment in MGNREGA and other Scheme at GP Amaliyali PS Payla Kalan For FY 2025-26</t>
        </is>
      </c>
      <c r="G2195" t="inlineStr">
        <is>
          <t>GP Amaliyali</t>
        </is>
      </c>
    </row>
    <row r="2196">
      <c r="A2196" s="1" t="n">
        <v>2194</v>
      </c>
      <c r="B2196">
        <f>HYPERLINK("https://eproc.rajasthan.gov.in/nicgep/app?component=%24DirectLink&amp;page=FrontEndViewTender&amp;service=direct&amp;session=T&amp;sp=SIADVhVj69TekRnmrRQmtfw%3D%3D", "Cleaning and Sanitary Services in Gram Panchayat GP Amliyala PS Payala Kala")</f>
        <v/>
      </c>
      <c r="C2196" t="inlineStr">
        <is>
          <t>Panchayati Raj Department||Secretary and Commissioner||CEO-BADMER</t>
        </is>
      </c>
      <c r="D2196" t="inlineStr">
        <is>
          <t>24-May-2025 05:00 PM</t>
        </is>
      </c>
      <c r="E2196" t="inlineStr">
        <is>
          <t>7,64,760</t>
        </is>
      </c>
      <c r="F2196" t="inlineStr">
        <is>
          <t>Cleaning and Sanitary Services in Gram Panchayat GP Amliyala PS Payala Kala</t>
        </is>
      </c>
      <c r="G2196" t="inlineStr">
        <is>
          <t>GP Amliyala</t>
        </is>
      </c>
    </row>
    <row r="2197">
      <c r="A2197" s="1" t="n">
        <v>2195</v>
      </c>
      <c r="B2197">
        <f>HYPERLINK("https://eproc.rajasthan.gov.in/nicgep/app?component=%24DirectLink&amp;page=FrontEndViewTender&amp;service=direct&amp;session=T&amp;sp=SgnQlFJkG8t56s4IU5vhazA%3D%3D", "Nrega Material Tender For Year 2025-26 in G P Kundiya Railmagra")</f>
        <v/>
      </c>
      <c r="C2197" t="inlineStr">
        <is>
          <t>Panchayati Raj Department||Secretary and Commissioner||CEO-RAJSAMAND||BDO-RAILMAGARA</t>
        </is>
      </c>
      <c r="D2197" t="inlineStr">
        <is>
          <t>18-May-2025 06:00 PM</t>
        </is>
      </c>
      <c r="E2197" t="inlineStr">
        <is>
          <t>50,00,000</t>
        </is>
      </c>
      <c r="F2197" t="inlineStr">
        <is>
          <t>Nrega Material Tender For Year 2025-26 in G P Kundiya Railmagra</t>
        </is>
      </c>
      <c r="G2197" t="inlineStr">
        <is>
          <t>GP KUNDIYA</t>
        </is>
      </c>
    </row>
    <row r="2198">
      <c r="A2198" s="1" t="n">
        <v>2196</v>
      </c>
      <c r="B2198">
        <f>HYPERLINK("https://eproc.rajasthan.gov.in/nicgep/app?component=%24DirectLink&amp;page=FrontEndViewTender&amp;service=direct&amp;session=T&amp;sp=S6RRxpUVFG0cb4Iv6%2Fcl1Vw%3D%3D", "Material Tender For Year 2025-26 In Kuraj Railmagra")</f>
        <v/>
      </c>
      <c r="C2198" t="inlineStr">
        <is>
          <t>Panchayati Raj Department||Secretary and Commissioner||CEO-RAJSAMAND||BDO-RAILMAGARA</t>
        </is>
      </c>
      <c r="D2198" t="inlineStr">
        <is>
          <t>19-May-2025 06:00 PM</t>
        </is>
      </c>
      <c r="E2198" t="inlineStr">
        <is>
          <t>50,00,000</t>
        </is>
      </c>
      <c r="F2198" t="inlineStr">
        <is>
          <t>Material Tender For Year 2025-26 In Kuraj Railmagra</t>
        </is>
      </c>
      <c r="G2198" t="inlineStr">
        <is>
          <t>GP KURAJ</t>
        </is>
      </c>
    </row>
    <row r="2199">
      <c r="A2199" s="1" t="n">
        <v>2197</v>
      </c>
      <c r="B2199">
        <f>HYPERLINK("https://eproc.rajasthan.gov.in/nicgep/app?component=%24DirectLink&amp;page=FrontEndViewTender&amp;service=direct&amp;session=T&amp;sp=SIRG%2FloKs7aARlaOH%2F1Mb0g%3D%3D", "Gram Panchayat Chhatra me Niyamit Saf Safai avam Swachhta Karye Gram Panchayat Chordi")</f>
        <v/>
      </c>
      <c r="C2199" t="inlineStr">
        <is>
          <t>Panchayati Raj Department||Secretary and Commissioner||CEO-DAUSA||BDO-DAUSA</t>
        </is>
      </c>
      <c r="D2199" t="inlineStr">
        <is>
          <t>22-May-2025 02:00 PM</t>
        </is>
      </c>
      <c r="E2199" t="inlineStr">
        <is>
          <t>7,00,000</t>
        </is>
      </c>
      <c r="F2199" t="inlineStr">
        <is>
          <t>Gram Panchayat Chhatra me Niyamit Saf Safai avam Swachhta Karye Gram Panchayat Chordi</t>
        </is>
      </c>
      <c r="G2199" t="inlineStr">
        <is>
          <t>Chordi</t>
        </is>
      </c>
    </row>
    <row r="2200">
      <c r="A2200" s="1" t="n">
        <v>2198</v>
      </c>
      <c r="B2200">
        <f>HYPERLINK("https://eproc.rajasthan.gov.in/nicgep/app?component=%24DirectLink&amp;page=FrontEndViewTender&amp;service=direct&amp;session=T&amp;sp=SWYKG4BvTDYWvazipXr%2Fc0A%3D%3D", "Material Tender For Year 2025-26 In G P BANEDIYA")</f>
        <v/>
      </c>
      <c r="C2200" t="inlineStr">
        <is>
          <t>Panchayati Raj Department||Secretary and Commissioner||CEO-RAJSAMAND||BDO-RAILMAGARA</t>
        </is>
      </c>
      <c r="D2200" t="inlineStr">
        <is>
          <t>20-May-2025 06:00 PM</t>
        </is>
      </c>
      <c r="E2200" t="inlineStr">
        <is>
          <t>50,00,000</t>
        </is>
      </c>
      <c r="F2200" t="inlineStr">
        <is>
          <t>Material Tender For Year 2025-26 In G P BANEDIYA</t>
        </is>
      </c>
      <c r="G2200" t="inlineStr">
        <is>
          <t>GRAM PANCHAYAT BANEDIYA</t>
        </is>
      </c>
    </row>
    <row r="2201">
      <c r="A2201" s="1" t="n">
        <v>2199</v>
      </c>
      <c r="B2201">
        <f>HYPERLINK("https://eproc.rajasthan.gov.in/nicgep/app?component=%24DirectLink&amp;page=FrontEndViewTender&amp;service=direct&amp;session=T&amp;sp=SHdV2ggY%2FKpl%2FZRIIQF5spQ%3D%3D", "Rate Contract for Supply of Construction Material and equipment in Gram Panchayat")</f>
        <v/>
      </c>
      <c r="C2201" t="inlineStr">
        <is>
          <t>Panchayati Raj Department||Secretary and Commissioner||CEO-SIKAR||BDO-KHANDELA</t>
        </is>
      </c>
      <c r="D2201" t="inlineStr">
        <is>
          <t>20-May-2025 06:00 PM</t>
        </is>
      </c>
      <c r="E2201" t="inlineStr">
        <is>
          <t>50,00,000</t>
        </is>
      </c>
      <c r="F2201" t="inlineStr">
        <is>
          <t>Rate Contract for Supply of Construction Material and equipment in Gram Panchayat</t>
        </is>
      </c>
      <c r="G2201" t="inlineStr">
        <is>
          <t>GP BASADI</t>
        </is>
      </c>
    </row>
    <row r="2202">
      <c r="A2202" s="1" t="n">
        <v>2200</v>
      </c>
      <c r="B2202">
        <f>HYPERLINK("https://eproc.rajasthan.gov.in/nicgep/app?component=%24DirectLink&amp;page=FrontEndViewTender&amp;service=direct&amp;session=T&amp;sp=S9hqj7V3uwW4h3qP6z5grZQ%3D%3D", "Material Tender For Year 2025-26 In G P CHOKADI")</f>
        <v/>
      </c>
      <c r="C2202" t="inlineStr">
        <is>
          <t>Panchayati Raj Department||Secretary and Commissioner||CEO-RAJSAMAND||BDO-RAILMAGARA</t>
        </is>
      </c>
      <c r="D2202" t="inlineStr">
        <is>
          <t>20-May-2025 06:00 PM</t>
        </is>
      </c>
      <c r="E2202" t="inlineStr">
        <is>
          <t>50,00,000</t>
        </is>
      </c>
      <c r="F2202" t="inlineStr">
        <is>
          <t>Material Tender For Year 2025-26 In G P CHOKADI</t>
        </is>
      </c>
      <c r="G2202" t="inlineStr">
        <is>
          <t>G P CHOKDI</t>
        </is>
      </c>
    </row>
    <row r="2203">
      <c r="A2203" s="1" t="n">
        <v>2201</v>
      </c>
      <c r="B2203">
        <f>HYPERLINK("https://eproc.rajasthan.gov.in/nicgep/app?component=%24DirectLink&amp;page=FrontEndViewTender&amp;service=direct&amp;session=T&amp;sp=S%2BkVEXMKdET1qsInX8ilb2A%3D%3D", "Rate Contract for Supply of Construction Material and equipment in Gram Panchayat kanwat")</f>
        <v/>
      </c>
      <c r="C2203" t="inlineStr">
        <is>
          <t>Panchayati Raj Department||Secretary and Commissioner||CEO-SIKAR||BDO-KHANDELA</t>
        </is>
      </c>
      <c r="D2203" t="inlineStr">
        <is>
          <t>21-May-2025 06:00 PM</t>
        </is>
      </c>
      <c r="E2203" t="inlineStr">
        <is>
          <t>50,00,000</t>
        </is>
      </c>
      <c r="F2203" t="inlineStr">
        <is>
          <t>Rate Contract for Supply of Construction Material and equipment in Gram Panchayat kanwat</t>
        </is>
      </c>
      <c r="G2203" t="inlineStr">
        <is>
          <t>GP KANWAT</t>
        </is>
      </c>
    </row>
    <row r="2204">
      <c r="A2204" s="1" t="n">
        <v>2202</v>
      </c>
      <c r="B2204">
        <f>HYPERLINK("https://eproc.rajasthan.gov.in/nicgep/app?component=%24DirectLink&amp;page=FrontEndViewTender&amp;service=direct&amp;session=T&amp;sp=S1TVh2ENzHhqzx23pw7teYQ%3D%3D", "JILAWARSBM25")</f>
        <v/>
      </c>
      <c r="C2204" t="inlineStr">
        <is>
          <t>Panchayati Raj Department||Secretary and Commissioner||CEO-AJMER||BDO-SRI NAGAR</t>
        </is>
      </c>
      <c r="D2204" t="inlineStr">
        <is>
          <t>19-May-2025 10:00 AM</t>
        </is>
      </c>
      <c r="E2204" t="inlineStr">
        <is>
          <t>6,00,512</t>
        </is>
      </c>
      <c r="F2204" t="inlineStr">
        <is>
          <t>SBM WORK IN GP JILAWARA</t>
        </is>
      </c>
      <c r="G2204" t="inlineStr">
        <is>
          <t>GP JILAWARA</t>
        </is>
      </c>
    </row>
    <row r="2205">
      <c r="A2205" s="1" t="n">
        <v>2203</v>
      </c>
      <c r="B2205">
        <f>HYPERLINK("https://eproc.rajasthan.gov.in/nicgep/app?component=%24DirectLink&amp;page=FrontEndViewTender&amp;service=direct&amp;session=T&amp;sp=S5KTvIB02j4TuywbhghakOQ%3D%3D", "11/2025-26")</f>
        <v/>
      </c>
      <c r="C2205" t="inlineStr">
        <is>
          <t>Panchayati Raj Department||Secretary and Commissioner||CEO- JALORE||BDO- SANCHORE</t>
        </is>
      </c>
      <c r="D2205" t="inlineStr">
        <is>
          <t>22-May-2025 05:00 PM</t>
        </is>
      </c>
      <c r="E2205" t="inlineStr">
        <is>
          <t>49,00,000</t>
        </is>
      </c>
      <c r="F2205" t="inlineStr">
        <is>
          <t>SUPPLY OF MATERIAL PROVIDING EQUIPMENT UNDER MG NREGA , PANCHAYTIRAJ DEPARTMENT SCHEME AND OTHER EACH WORK AT GP MEDA JAGEER</t>
        </is>
      </c>
      <c r="G2205" t="inlineStr">
        <is>
          <t>MEDA JAGEER</t>
        </is>
      </c>
    </row>
    <row r="2206">
      <c r="A2206" s="1" t="n">
        <v>2204</v>
      </c>
      <c r="B2206">
        <f>HYPERLINK("https://eproc.rajasthan.gov.in/nicgep/app?component=%24DirectLink&amp;page=FrontEndViewTender&amp;service=direct&amp;session=T&amp;sp=S9ODHwOjgPuwcgaOsa%2BEDqg%3D%3D", "GRAM PANCHAYAT DHANIYA NAWALGARH ME MISHRA WALI DHANI ME CHOKHA RAM BHOJI KI DUKAN SE CHELASI MAIN ROAD KI OR CC SADAK NIRMAN KARYA")</f>
        <v/>
      </c>
      <c r="C2206" t="inlineStr">
        <is>
          <t>Panchayati Raj Department||Secretary and Commissioner||CEO-JHUNJHUNU||BDO-NAVALGARH</t>
        </is>
      </c>
      <c r="D2206" t="inlineStr">
        <is>
          <t>21-May-2025 06:00 PM</t>
        </is>
      </c>
      <c r="E2206" t="inlineStr">
        <is>
          <t>8,00,000</t>
        </is>
      </c>
      <c r="F2206" t="inlineStr">
        <is>
          <t>GRAM PANCHAYAT DHANIYA NAWALGARH ME MISHRA WALI DHANI ME CHOKHA RAM BHOJI KI DUKAN SE CHELASI MAIN ROAD KI OR CC SADAK NIRMAN KARYA</t>
        </is>
      </c>
      <c r="G2206" t="inlineStr">
        <is>
          <t>GRAM PANCHAYAT DHANIYA NAWALGARH</t>
        </is>
      </c>
    </row>
    <row r="2207">
      <c r="A2207" s="1" t="n">
        <v>2205</v>
      </c>
      <c r="B2207">
        <f>HYPERLINK("https://eproc.rajasthan.gov.in/nicgep/app?component=%24DirectLink&amp;page=FrontEndViewTender&amp;service=direct&amp;session=T&amp;sp=Svr3SbolxpkIFqGp%2Fv3c3eA%3D%3D", "INTERLOKING SADAK NIRMAN KARY BHERU BABA MANDIR SE HANUMAN SINGH KE MKAAN KI AUR SUDARPURA DHADHA")</f>
        <v/>
      </c>
      <c r="C2207" t="inlineStr">
        <is>
          <t>Panchayati Raj Department||Secretary and Commissioner||CEO- JAIPUR||BDO-PAWTA</t>
        </is>
      </c>
      <c r="D2207" t="inlineStr">
        <is>
          <t>19-May-2025 04:00 PM</t>
        </is>
      </c>
      <c r="E2207" t="inlineStr">
        <is>
          <t>2,64,000</t>
        </is>
      </c>
      <c r="F2207" t="inlineStr">
        <is>
          <t>INTERLOKING SADAK NIRMAN KARY BHERU BABA MANDIR SE HANUMAN SINGH KE MKAAN KI AUR SUDARPURA DHADHA</t>
        </is>
      </c>
      <c r="G2207" t="inlineStr">
        <is>
          <t>GP SUDARPURA DHADHA</t>
        </is>
      </c>
    </row>
    <row r="2208">
      <c r="A2208" s="1" t="n">
        <v>2206</v>
      </c>
      <c r="B2208">
        <f>HYPERLINK("https://eproc.rajasthan.gov.in/nicgep/app?component=%24DirectLink&amp;page=FrontEndViewTender&amp;service=direct&amp;session=T&amp;sp=S%2F1wqK78RsBbxmSbkmlxUZA%3D%3D", "Rajkiya Uchch Madhyamik Vidyalaya Kamoll me 02 kamare nirman karya")</f>
        <v/>
      </c>
      <c r="C2208" t="inlineStr">
        <is>
          <t>Panchayati Raj Department||Secretary and Commissioner||CEO-UDAIPUR||BDO-SAYRA</t>
        </is>
      </c>
      <c r="D2208" t="inlineStr">
        <is>
          <t>19-May-2025 06:00 PM</t>
        </is>
      </c>
      <c r="E2208" t="inlineStr">
        <is>
          <t>24,00,000</t>
        </is>
      </c>
      <c r="F2208" t="inlineStr">
        <is>
          <t>Rajkiya Uchch Madhyamik Vidyalaya Kamoll me 02 kamare nirman karya Gram Panchayat Kamol, PS Sayra</t>
        </is>
      </c>
      <c r="G2208" t="inlineStr">
        <is>
          <t>Kamol</t>
        </is>
      </c>
    </row>
    <row r="2209">
      <c r="A2209" s="1" t="n">
        <v>2207</v>
      </c>
      <c r="B2209">
        <f>HYPERLINK("https://eproc.rajasthan.gov.in/nicgep/app?component=%24DirectLink&amp;page=FrontEndViewTender&amp;service=direct&amp;session=T&amp;sp=S8LkY8IzxZudpie6BX6gzcw%3D%3D", "GRAM PANCHAYAT KE SAMAST GAVO ME GHR GHR SE KACHRA SANGRHAN V PRATHKKRN SADAK V NALI SAFAI CSC SAFAI KARYA GP ADANA")</f>
        <v/>
      </c>
      <c r="C2209" t="inlineStr">
        <is>
          <t>Panchayati Raj Department||Secretary and Commissioner||CEO-CHITTORGARH||BDO-RASHMI</t>
        </is>
      </c>
      <c r="D2209" t="inlineStr">
        <is>
          <t>20-May-2025 10:00 AM</t>
        </is>
      </c>
      <c r="E2209" t="inlineStr">
        <is>
          <t>8,67,909</t>
        </is>
      </c>
      <c r="F2209" t="inlineStr">
        <is>
          <t>GRAM PANCHAYAT KE SAMAST GAVO ME GHR GHR SE KACHRA SANGRHAN V PRATHKKRN SADAK V NALI SAFAI CSC SAFAI KARYA GP ADANA</t>
        </is>
      </c>
      <c r="G2209" t="inlineStr">
        <is>
          <t>gram panchayat ADANA</t>
        </is>
      </c>
    </row>
    <row r="2210">
      <c r="A2210" s="1" t="n">
        <v>2208</v>
      </c>
      <c r="B2210">
        <f>HYPERLINK("https://eproc.rajasthan.gov.in/nicgep/app?component=%24DirectLink&amp;page=FrontEndViewTender&amp;service=direct&amp;session=T&amp;sp=S2slDWYFNts6ZCaeEs7%2BjPA%3D%3D", "Supply of Various Construction Materials and Equipment Service Gram Panchayat Adana P.S. Rashmi")</f>
        <v/>
      </c>
      <c r="C2210" t="inlineStr">
        <is>
          <t>Panchayati Raj Department||Secretary and Commissioner||CEO-CHITTORGARH||BDO-RASHMI</t>
        </is>
      </c>
      <c r="D2210" t="inlineStr">
        <is>
          <t>22-May-2025 10:00 AM</t>
        </is>
      </c>
      <c r="E2210" t="inlineStr">
        <is>
          <t>45,30,000</t>
        </is>
      </c>
      <c r="F2210" t="inlineStr">
        <is>
          <t>Supply of Various Construction Materials and Equipment Service Gram Panchayat Adana P.S. Rashmi</t>
        </is>
      </c>
      <c r="G2210" t="inlineStr">
        <is>
          <t>gram panchayat ADANA</t>
        </is>
      </c>
    </row>
    <row r="2211">
      <c r="A2211" s="1" t="n">
        <v>2209</v>
      </c>
      <c r="B2211">
        <f>HYPERLINK("https://eproc.rajasthan.gov.in/nicgep/app?component=%24DirectLink&amp;page=FrontEndViewTender&amp;service=direct&amp;session=T&amp;sp=Sg8O2cYgQgpLgeCh9z9mD0A%3D%3D", "MATERIAL SUPPLY TENDER GP PAWA")</f>
        <v/>
      </c>
      <c r="C2211" t="inlineStr">
        <is>
          <t>Panchayati Raj Department||Secretary and Commissioner||CEO-NAGORE||BDO-DIDWANA</t>
        </is>
      </c>
      <c r="D2211" t="inlineStr">
        <is>
          <t>22-May-2025 06:00 PM</t>
        </is>
      </c>
      <c r="E2211" t="inlineStr">
        <is>
          <t>1,00,00,000</t>
        </is>
      </c>
      <c r="F2211" t="inlineStr">
        <is>
          <t>Material and Equipment supply under MGNREGA RD and PRD Schemes in GP PAWA</t>
        </is>
      </c>
      <c r="G2211" t="inlineStr">
        <is>
          <t>GP PAWA</t>
        </is>
      </c>
    </row>
    <row r="2212">
      <c r="A2212" s="1" t="n">
        <v>2210</v>
      </c>
      <c r="B2212">
        <f>HYPERLINK("https://eproc.rajasthan.gov.in/nicgep/app?component=%24DirectLink&amp;page=FrontEndViewTender&amp;service=direct&amp;session=T&amp;sp=S4tulh8m96%2B3Mc7ThP0qsMg%3D%3D", "material supply in gram panchayat kamalpura ps bhusawar")</f>
        <v/>
      </c>
      <c r="C2212" t="inlineStr">
        <is>
          <t>Panchayati Raj Department||Secretary and Commissioner||CEO-BHARATPUR||BDO-BHUSAWAR</t>
        </is>
      </c>
      <c r="D2212" t="inlineStr">
        <is>
          <t>28-May-2025 05:00 PM</t>
        </is>
      </c>
      <c r="E2212" t="inlineStr">
        <is>
          <t>40,00,000</t>
        </is>
      </c>
      <c r="F2212" t="inlineStr">
        <is>
          <t>material supply in gram panchayat kamalpura ps bhusawar</t>
        </is>
      </c>
      <c r="G2212" t="inlineStr">
        <is>
          <t>bhusawar</t>
        </is>
      </c>
    </row>
    <row r="2213">
      <c r="A2213" s="1" t="n">
        <v>2211</v>
      </c>
      <c r="B2213">
        <f>HYPERLINK("https://eproc.rajasthan.gov.in/nicgep/app?component=%24DirectLink&amp;page=FrontEndViewTender&amp;service=direct&amp;session=T&amp;sp=SsAWhi7aXW2h7pp20bPPtPA%3D%3D", "Supply of Construction Material with POI Driver in Scheme MNREGA, SFC , FFC and other scheme for Financial Year 2025-26 in Gram Panchyat ASTROLI MAY SONPUR PS Gangapur city")</f>
        <v/>
      </c>
      <c r="C2213" t="inlineStr">
        <is>
          <t>Panchayati Raj Department||Secretary and Commissioner||CEO-S.MADHOPUR||BDO-GANGAPUR</t>
        </is>
      </c>
      <c r="D2213" t="inlineStr">
        <is>
          <t>20-May-2025 06:00 PM</t>
        </is>
      </c>
      <c r="E2213" t="inlineStr">
        <is>
          <t>40,00,000</t>
        </is>
      </c>
      <c r="F2213" t="inlineStr">
        <is>
          <t>Supply of Construction Material with POI Driver in Scheme MNREGA, SFC , FFC and other scheme for Financial Year 2025-26 in Gram Panchyat ASTROLI MAY SONPUR PS Gangapur city</t>
        </is>
      </c>
      <c r="G2213" t="inlineStr">
        <is>
          <t>GRAM PANCHYAT ASTROLI MAY SONPUR</t>
        </is>
      </c>
    </row>
    <row r="2214">
      <c r="A2214" s="1" t="n">
        <v>2212</v>
      </c>
      <c r="B2214">
        <f>HYPERLINK("https://eproc.rajasthan.gov.in/nicgep/app?component=%24DirectLink&amp;page=FrontEndViewTender&amp;service=direct&amp;session=T&amp;sp=SKjthh8jX0fxR2PQ3518SZw%3D%3D", "material supply in gram panchayat naroli ps bhusawar")</f>
        <v/>
      </c>
      <c r="C2214" t="inlineStr">
        <is>
          <t>Panchayati Raj Department||Secretary and Commissioner||CEO-BHARATPUR||BDO-BHUSAWAR</t>
        </is>
      </c>
      <c r="D2214" t="inlineStr">
        <is>
          <t>28-May-2025 05:00 PM</t>
        </is>
      </c>
      <c r="E2214" t="inlineStr">
        <is>
          <t>40,00,000</t>
        </is>
      </c>
      <c r="F2214" t="inlineStr">
        <is>
          <t>material supply in gram panchayat naroli ps bhusawar</t>
        </is>
      </c>
      <c r="G2214" t="inlineStr">
        <is>
          <t>bhusawar</t>
        </is>
      </c>
    </row>
    <row r="2215">
      <c r="A2215" s="1" t="n">
        <v>2213</v>
      </c>
      <c r="B2215">
        <f>HYPERLINK("https://eproc.rajasthan.gov.in/nicgep/app?component=%24DirectLink&amp;page=FrontEndViewTender&amp;service=direct&amp;session=T&amp;sp=SWokGatnqNFmKKkgJbuNjSA%3D%3D", "Supply of Construction Material with POI Driver in Scheme MNREGA, SFC , FFC and other scheme for Financial Year 2025-26 in Gram Panchyat KUNKATA KALAN PS Gangapur city")</f>
        <v/>
      </c>
      <c r="C2215" t="inlineStr">
        <is>
          <t>Panchayati Raj Department||Secretary and Commissioner||CEO-S.MADHOPUR||BDO-GANGAPUR</t>
        </is>
      </c>
      <c r="D2215" t="inlineStr">
        <is>
          <t>20-May-2025 06:00 PM</t>
        </is>
      </c>
      <c r="E2215" t="inlineStr">
        <is>
          <t>40,00,000</t>
        </is>
      </c>
      <c r="F2215" t="inlineStr">
        <is>
          <t>Supply of Construction Material with POI Driver in Scheme MNREGA, SFC , FFC and other scheme for Financial Year 2025-26 in Gram Panchyat KUNKATA KALAN PS Gangapur city</t>
        </is>
      </c>
      <c r="G2215" t="inlineStr">
        <is>
          <t>GRAM PANCHYAT KUNKATA KALAN</t>
        </is>
      </c>
    </row>
    <row r="2216">
      <c r="A2216" s="1" t="n">
        <v>2214</v>
      </c>
      <c r="B2216">
        <f>HYPERLINK("https://eproc.rajasthan.gov.in/nicgep/app?component=%24DirectLink&amp;page=FrontEndViewTender&amp;service=direct&amp;session=T&amp;sp=SKqvwI%2BiYsqh%2FLNwQE5PhiQ%3D%3D", "material supply in gram panchayat menapura ps bhusawar")</f>
        <v/>
      </c>
      <c r="C2216" t="inlineStr">
        <is>
          <t>Panchayati Raj Department||Secretary and Commissioner||CEO-BHARATPUR||BDO-BHUSAWAR</t>
        </is>
      </c>
      <c r="D2216" t="inlineStr">
        <is>
          <t>28-May-2025 05:00 PM</t>
        </is>
      </c>
      <c r="E2216" t="inlineStr">
        <is>
          <t>40,00,000</t>
        </is>
      </c>
      <c r="F2216" t="inlineStr">
        <is>
          <t>material supply in gram panchayat menapura ps bhusawar</t>
        </is>
      </c>
      <c r="G2216" t="inlineStr">
        <is>
          <t>bhusawar</t>
        </is>
      </c>
    </row>
    <row r="2217">
      <c r="A2217" s="1" t="n">
        <v>2215</v>
      </c>
      <c r="B2217">
        <f>HYPERLINK("https://eproc.rajasthan.gov.in/nicgep/app?component=%24DirectLink&amp;page=FrontEndViewTender&amp;service=direct&amp;session=T&amp;sp=Sq1JLoJOIEbNs3xOmizD2Bg%3D%3D", "CEMENT INTERLOCK ROAD NIRMAN KARIYA JHUFA KI DHANI SE BANI KI DHANI KI AUR GRAM PANCHAYAT HATHIDEH")</f>
        <v/>
      </c>
      <c r="C2217" t="inlineStr">
        <is>
          <t>Panchayati Raj Department||Secretary and Commissioner||CEO-SIKAR||BDO-AJEET GARH</t>
        </is>
      </c>
      <c r="D2217" t="inlineStr">
        <is>
          <t>19-May-2025 06:00 PM</t>
        </is>
      </c>
      <c r="E2217" t="inlineStr">
        <is>
          <t>10,00,000</t>
        </is>
      </c>
      <c r="F2217" t="inlineStr">
        <is>
          <t>CEMENT INTERLOCK ROAD NIRMAN KARIYA JHUFA KI DHANI SE BANI KI DHANI KI AUR GRAM PANCHAYAT HATHIDEH</t>
        </is>
      </c>
      <c r="G2217" t="inlineStr">
        <is>
          <t>GP HATHIDEH</t>
        </is>
      </c>
    </row>
    <row r="2218">
      <c r="A2218" s="1" t="n">
        <v>2216</v>
      </c>
      <c r="B2218">
        <f>HYPERLINK("https://eproc.rajasthan.gov.in/nicgep/app?component=%24DirectLink&amp;page=FrontEndViewTender&amp;service=direct&amp;session=T&amp;sp=SMthL3d6q%2F8a83rJtgDjCVQ%3D%3D", "sanodsbm25")</f>
        <v/>
      </c>
      <c r="C2218" t="inlineStr">
        <is>
          <t>Panchayati Raj Department||Secretary and Commissioner||CEO-AJMER||BDO-SRI NAGAR</t>
        </is>
      </c>
      <c r="D2218" t="inlineStr">
        <is>
          <t>19-May-2025 10:00 AM</t>
        </is>
      </c>
      <c r="E2218" t="inlineStr">
        <is>
          <t>7,12,233</t>
        </is>
      </c>
      <c r="F2218" t="inlineStr">
        <is>
          <t>sbm work in gp sanod</t>
        </is>
      </c>
      <c r="G2218" t="inlineStr">
        <is>
          <t>GP SANOD</t>
        </is>
      </c>
    </row>
    <row r="2219">
      <c r="A2219" s="1" t="n">
        <v>2217</v>
      </c>
      <c r="B2219">
        <f>HYPERLINK("https://eproc.rajasthan.gov.in/nicgep/app?component=%24DirectLink&amp;page=FrontEndViewTender&amp;service=direct&amp;session=T&amp;sp=SmRDZgWmh6MA20sWhOvtU1g%3D%3D", "ghar ghar kchara sangran etc")</f>
        <v/>
      </c>
      <c r="C2219" t="inlineStr">
        <is>
          <t>Panchayati Raj Department||Secretary and Commissioner||CEO-CHURU||BDO-SUJANGARH</t>
        </is>
      </c>
      <c r="D2219" t="inlineStr">
        <is>
          <t>19-May-2025 06:00 PM</t>
        </is>
      </c>
      <c r="E2219" t="inlineStr">
        <is>
          <t>8,41,139</t>
        </is>
      </c>
      <c r="F2219" t="inlineStr">
        <is>
          <t>ghar ghar kchara sangran etc IN GP JOGLIYA</t>
        </is>
      </c>
      <c r="G2219" t="inlineStr">
        <is>
          <t>GP JOGLIYA</t>
        </is>
      </c>
    </row>
    <row r="2220">
      <c r="A2220" s="1" t="n">
        <v>2218</v>
      </c>
      <c r="B2220">
        <f>HYPERLINK("https://eproc.rajasthan.gov.in/nicgep/app?component=%24DirectLink&amp;page=FrontEndViewTender&amp;service=direct&amp;session=T&amp;sp=Scv75j8mSnqNpG6JBW6EGbQ%3D%3D", "sanitation works gp tatarpur")</f>
        <v/>
      </c>
      <c r="C2220" t="inlineStr">
        <is>
          <t>Panchayati Raj Department||Secretary and Commissioner||CEO-ALWAR||BDO-TIJARA</t>
        </is>
      </c>
      <c r="D2220" t="inlineStr">
        <is>
          <t>19-May-2025 11:00 AM</t>
        </is>
      </c>
      <c r="E2220" t="inlineStr">
        <is>
          <t>5,18,000</t>
        </is>
      </c>
      <c r="F2220" t="inlineStr">
        <is>
          <t>sanitation works gp tatarpur</t>
        </is>
      </c>
      <c r="G2220" t="inlineStr">
        <is>
          <t>sanitation works gp tatarpur</t>
        </is>
      </c>
    </row>
    <row r="2221">
      <c r="A2221" s="1" t="n">
        <v>2219</v>
      </c>
      <c r="B2221">
        <f>HYPERLINK("https://eproc.rajasthan.gov.in/nicgep/app?component=%24DirectLink&amp;page=FrontEndViewTender&amp;service=direct&amp;session=T&amp;sp=SDn6Oc01Gl6WA6HY%2FIQ9WAA%3D%3D", "Supply of Various Construction Materials and Equipment Service Gram Panchayat Bavlas P.S. Rashmi")</f>
        <v/>
      </c>
      <c r="C2221" t="inlineStr">
        <is>
          <t>Panchayati Raj Department||Secretary and Commissioner||CEO-CHITTORGARH||BDO-RASHMI</t>
        </is>
      </c>
      <c r="D2221" t="inlineStr">
        <is>
          <t>22-May-2025 10:00 AM</t>
        </is>
      </c>
      <c r="E2221" t="inlineStr">
        <is>
          <t>45,30,000</t>
        </is>
      </c>
      <c r="F2221" t="inlineStr">
        <is>
          <t>Supply of Various Construction Materials and Equipment Service Gram Panchayat Bavlas P.S. Rashmi</t>
        </is>
      </c>
      <c r="G2221" t="inlineStr">
        <is>
          <t>gram panchayat BAVALAS</t>
        </is>
      </c>
    </row>
    <row r="2222">
      <c r="A2222" s="1" t="n">
        <v>2220</v>
      </c>
      <c r="B2222">
        <f>HYPERLINK("https://eproc.rajasthan.gov.in/nicgep/app?component=%24DirectLink&amp;page=FrontEndViewTender&amp;service=direct&amp;session=T&amp;sp=SY31LpciQAWtEcYXheO1ugw%3D%3D", "sanitation works gp khidarpur")</f>
        <v/>
      </c>
      <c r="C2222" t="inlineStr">
        <is>
          <t>Panchayati Raj Department||Secretary and Commissioner||CEO-ALWAR||BDO-TIJARA</t>
        </is>
      </c>
      <c r="D2222" t="inlineStr">
        <is>
          <t>19-May-2025 11:00 AM</t>
        </is>
      </c>
      <c r="E2222" t="inlineStr">
        <is>
          <t>7,34,000</t>
        </is>
      </c>
      <c r="F2222" t="inlineStr">
        <is>
          <t>sanitation works gp khidarpur</t>
        </is>
      </c>
      <c r="G2222" t="inlineStr">
        <is>
          <t>sanitation works gp khidarpur</t>
        </is>
      </c>
    </row>
    <row r="2223">
      <c r="A2223" s="1" t="n">
        <v>2221</v>
      </c>
      <c r="B2223">
        <f>HYPERLINK("https://eproc.rajasthan.gov.in/nicgep/app?component=%24DirectLink&amp;page=FrontEndViewTender&amp;service=direct&amp;session=T&amp;sp=S0adjyoYAxR2OtY7LDIi2ag%3D%3D", "sanitation works gp karenda")</f>
        <v/>
      </c>
      <c r="C2223" t="inlineStr">
        <is>
          <t>Panchayati Raj Department||Secretary and Commissioner||CEO-ALWAR||BDO-TIJARA</t>
        </is>
      </c>
      <c r="D2223" t="inlineStr">
        <is>
          <t>19-May-2025 11:00 AM</t>
        </is>
      </c>
      <c r="E2223" t="inlineStr">
        <is>
          <t>6,86,000</t>
        </is>
      </c>
      <c r="F2223" t="inlineStr">
        <is>
          <t>sanitation works gp karenda</t>
        </is>
      </c>
      <c r="G2223" t="inlineStr">
        <is>
          <t>sanitation works gp karenda</t>
        </is>
      </c>
    </row>
    <row r="2224">
      <c r="A2224" s="1" t="n">
        <v>2222</v>
      </c>
      <c r="B2224">
        <f>HYPERLINK("https://eproc.rajasthan.gov.in/nicgep/app?component=%24DirectLink&amp;page=FrontEndViewTender&amp;service=direct&amp;session=T&amp;sp=S3laYR9oR%2F9jz4U5BuKc8Dg%3D%3D", "sanitation works gp kamalpur")</f>
        <v/>
      </c>
      <c r="C2224" t="inlineStr">
        <is>
          <t>Panchayati Raj Department||Secretary and Commissioner||CEO-ALWAR||BDO-TIJARA</t>
        </is>
      </c>
      <c r="D2224" t="inlineStr">
        <is>
          <t>19-May-2025 11:00 AM</t>
        </is>
      </c>
      <c r="E2224" t="inlineStr">
        <is>
          <t>5,91,000</t>
        </is>
      </c>
      <c r="F2224" t="inlineStr">
        <is>
          <t>sanitation works gp kamalpur</t>
        </is>
      </c>
      <c r="G2224" t="inlineStr">
        <is>
          <t>sanitation works gp kamalpur</t>
        </is>
      </c>
    </row>
    <row r="2225">
      <c r="A2225" s="1" t="n">
        <v>2223</v>
      </c>
      <c r="B2225">
        <f>HYPERLINK("https://eproc.rajasthan.gov.in/nicgep/app?component=%24DirectLink&amp;page=FrontEndViewTender&amp;service=direct&amp;session=T&amp;sp=SO63c877udkJGQLu%2B1K2ZyA%3D%3D", "sanitation works gp thada")</f>
        <v/>
      </c>
      <c r="C2225" t="inlineStr">
        <is>
          <t>Panchayati Raj Department||Secretary and Commissioner||CEO-ALWAR||BDO-TIJARA</t>
        </is>
      </c>
      <c r="D2225" t="inlineStr">
        <is>
          <t>19-May-2025 11:00 AM</t>
        </is>
      </c>
      <c r="E2225" t="inlineStr">
        <is>
          <t>5,08,000</t>
        </is>
      </c>
      <c r="F2225" t="inlineStr">
        <is>
          <t>sanitation works gp thada</t>
        </is>
      </c>
      <c r="G2225" t="inlineStr">
        <is>
          <t>sanitation works gp thada</t>
        </is>
      </c>
    </row>
    <row r="2226">
      <c r="A2226" s="1" t="n">
        <v>2224</v>
      </c>
      <c r="B2226">
        <f>HYPERLINK("https://eproc.rajasthan.gov.in/nicgep/app?component=%24DirectLink&amp;page=FrontEndViewTender&amp;service=direct&amp;session=T&amp;sp=SjWba4Of0cWc9Lr7X8%2FdtKA%3D%3D", "sanitation works gp gahankar")</f>
        <v/>
      </c>
      <c r="C2226" t="inlineStr">
        <is>
          <t>Panchayati Raj Department||Secretary and Commissioner||CEO-ALWAR||BDO-TIJARA</t>
        </is>
      </c>
      <c r="D2226" t="inlineStr">
        <is>
          <t>19-May-2025 11:00 AM</t>
        </is>
      </c>
      <c r="E2226" t="inlineStr">
        <is>
          <t>4,78,000</t>
        </is>
      </c>
      <c r="F2226" t="inlineStr">
        <is>
          <t>sanitation works gp gahankar</t>
        </is>
      </c>
      <c r="G2226" t="inlineStr">
        <is>
          <t>sanitation works gp gahankar</t>
        </is>
      </c>
    </row>
    <row r="2227">
      <c r="A2227" s="1" t="n">
        <v>2225</v>
      </c>
      <c r="B2227">
        <f>HYPERLINK("https://eproc.rajasthan.gov.in/nicgep/app?component=%24DirectLink&amp;page=FrontEndViewTender&amp;service=direct&amp;session=T&amp;sp=SZYDjG4JE7h7W4NUDgH8sWQ%3D%3D", "Rajkiya Uchcha Madhyamik Vidyalaya Dhundhi me 02 kamare nirman karya")</f>
        <v/>
      </c>
      <c r="C2227" t="inlineStr">
        <is>
          <t>Panchayati Raj Department||Secretary and Commissioner||CEO-UDAIPUR||BDO-SAYRA</t>
        </is>
      </c>
      <c r="D2227" t="inlineStr">
        <is>
          <t>19-May-2025 06:00 PM</t>
        </is>
      </c>
      <c r="E2227" t="inlineStr">
        <is>
          <t>24,00,000</t>
        </is>
      </c>
      <c r="F2227" t="inlineStr">
        <is>
          <t>Rajkiya Uchcha Madhyamik Vidyalaya Dhundhi me 02 kamare nirman karya</t>
        </is>
      </c>
      <c r="G2227" t="inlineStr">
        <is>
          <t>Dhundhi</t>
        </is>
      </c>
    </row>
    <row r="2228">
      <c r="A2228" s="1" t="n">
        <v>2226</v>
      </c>
      <c r="B2228">
        <f>HYPERLINK("https://eproc.rajasthan.gov.in/nicgep/app?component=%24DirectLink&amp;page=FrontEndViewTender&amp;service=direct&amp;session=T&amp;sp=SIyWlk42Awqz251wWz5nDiA%3D%3D", "Rate contract For providing Material Supply and Equipments for all construction works conducted in all Schemes of Rural Development and Panchayati Raj Department and MG Nrega in GP mahukhurd Panchayat Samiti Baijupada Dist.Dausa for FY 2025-26")</f>
        <v/>
      </c>
      <c r="C2228" t="inlineStr">
        <is>
          <t>Panchayati Raj Department||Secretary and Commissioner||CEO-DAUSA||BDO-BAIJUPADA</t>
        </is>
      </c>
      <c r="D2228" t="inlineStr">
        <is>
          <t>21-May-2025 05:00 PM</t>
        </is>
      </c>
      <c r="E2228" t="inlineStr">
        <is>
          <t>35,00,000</t>
        </is>
      </c>
      <c r="F2228" t="inlineStr">
        <is>
          <t>Rate contract For providing Material Supply and Equipments for all construction works conducted in all Schemes of Rural Development and Panchayati Raj Department and MG Nrega in GP mahukhurd Panchayat Samiti Baijupada Dist.Dausa for FY 2025-26</t>
        </is>
      </c>
      <c r="G2228" t="inlineStr">
        <is>
          <t>gram panchayat mahukhurd</t>
        </is>
      </c>
    </row>
    <row r="2229">
      <c r="A2229" s="1" t="n">
        <v>2227</v>
      </c>
      <c r="B2229">
        <f>HYPERLINK("https://eproc.rajasthan.gov.in/nicgep/app?component=%24DirectLink&amp;page=FrontEndViewTender&amp;service=direct&amp;session=T&amp;sp=SCXuoNJDRkPgHLgh1UWl0LA%3D%3D", "sanitation works gp roopbas")</f>
        <v/>
      </c>
      <c r="C2229" t="inlineStr">
        <is>
          <t>Panchayati Raj Department||Secretary and Commissioner||CEO-ALWAR||BDO-TIJARA</t>
        </is>
      </c>
      <c r="D2229" t="inlineStr">
        <is>
          <t>19-May-2025 11:00 AM</t>
        </is>
      </c>
      <c r="E2229" t="inlineStr">
        <is>
          <t>5,71,000</t>
        </is>
      </c>
      <c r="F2229" t="inlineStr">
        <is>
          <t>sanitation works gp roopbas</t>
        </is>
      </c>
      <c r="G2229" t="inlineStr">
        <is>
          <t>sanitation works gp roopbas</t>
        </is>
      </c>
    </row>
    <row r="2230">
      <c r="A2230" s="1" t="n">
        <v>2228</v>
      </c>
      <c r="B2230">
        <f>HYPERLINK("https://eproc.rajasthan.gov.in/nicgep/app?component=%24DirectLink&amp;page=FrontEndViewTender&amp;service=direct&amp;session=T&amp;sp=S7jZE2pAhR%2F%2BFf3s9fy%2BGnA%3D%3D", "sanitation works gp maheshra")</f>
        <v/>
      </c>
      <c r="C2230" t="inlineStr">
        <is>
          <t>Panchayati Raj Department||Secretary and Commissioner||CEO-ALWAR||BDO-TIJARA</t>
        </is>
      </c>
      <c r="D2230" t="inlineStr">
        <is>
          <t>19-May-2025 11:00 AM</t>
        </is>
      </c>
      <c r="E2230" t="inlineStr">
        <is>
          <t>7,37,000</t>
        </is>
      </c>
      <c r="F2230" t="inlineStr">
        <is>
          <t>sanitation works gp maheshra</t>
        </is>
      </c>
      <c r="G2230" t="inlineStr">
        <is>
          <t>sanitation works gp maheshra</t>
        </is>
      </c>
    </row>
    <row r="2231">
      <c r="A2231" s="1" t="n">
        <v>2229</v>
      </c>
      <c r="B2231">
        <f>HYPERLINK("https://eproc.rajasthan.gov.in/nicgep/app?component=%24DirectLink&amp;page=FrontEndViewTender&amp;service=direct&amp;session=T&amp;sp=S7Mj2Xs2ED%2Fks7Iqba8zPRQ%3D%3D", "sanitation works gp luhadera")</f>
        <v/>
      </c>
      <c r="C2231" t="inlineStr">
        <is>
          <t>Panchayati Raj Department||Secretary and Commissioner||CEO-ALWAR||BDO-TIJARA</t>
        </is>
      </c>
      <c r="D2231" t="inlineStr">
        <is>
          <t>19-May-2025 11:00 AM</t>
        </is>
      </c>
      <c r="E2231" t="inlineStr">
        <is>
          <t>3,06,000</t>
        </is>
      </c>
      <c r="F2231" t="inlineStr">
        <is>
          <t>sanitation works gp luhadera</t>
        </is>
      </c>
      <c r="G2231" t="inlineStr">
        <is>
          <t>sanitation works gp luhadera</t>
        </is>
      </c>
    </row>
    <row r="2232">
      <c r="A2232" s="1" t="n">
        <v>2230</v>
      </c>
      <c r="B2232">
        <f>HYPERLINK("https://eproc.rajasthan.gov.in/nicgep/app?component=%24DirectLink&amp;page=FrontEndViewTender&amp;service=direct&amp;session=T&amp;sp=Sm%2B8bqwGhR5RDhT1wNcw8zQ%3D%3D", "sanitation works gp luhadera")</f>
        <v/>
      </c>
      <c r="C2232" t="inlineStr">
        <is>
          <t>Panchayati Raj Department||Secretary and Commissioner||CEO-ALWAR||BDO-TIJARA</t>
        </is>
      </c>
      <c r="D2232" t="inlineStr">
        <is>
          <t>19-May-2025 11:00 AM</t>
        </is>
      </c>
      <c r="E2232" t="inlineStr">
        <is>
          <t>3,06,000</t>
        </is>
      </c>
      <c r="F2232" t="inlineStr">
        <is>
          <t>sanitation works gp luhadera</t>
        </is>
      </c>
      <c r="G2232" t="inlineStr">
        <is>
          <t>sanitation works gp luhadera</t>
        </is>
      </c>
    </row>
    <row r="2233">
      <c r="A2233" s="1" t="n">
        <v>2231</v>
      </c>
      <c r="B2233">
        <f>HYPERLINK("https://eproc.rajasthan.gov.in/nicgep/app?component=%24DirectLink&amp;page=FrontEndViewTender&amp;service=direct&amp;session=T&amp;sp=S3cfl2zijmgxSc9NQwq6%2Ftw%3D%3D", "sanitation works gp raikheda")</f>
        <v/>
      </c>
      <c r="C2233" t="inlineStr">
        <is>
          <t>Panchayati Raj Department||Secretary and Commissioner||CEO-ALWAR||BDO-TIJARA</t>
        </is>
      </c>
      <c r="D2233" t="inlineStr">
        <is>
          <t>19-May-2025 11:00 AM</t>
        </is>
      </c>
      <c r="E2233" t="inlineStr">
        <is>
          <t>6,58,000</t>
        </is>
      </c>
      <c r="F2233" t="inlineStr">
        <is>
          <t>sanitation works gp raikheda</t>
        </is>
      </c>
      <c r="G2233" t="inlineStr">
        <is>
          <t>sanitation works gp raikheda</t>
        </is>
      </c>
    </row>
    <row r="2234">
      <c r="A2234" s="1" t="n">
        <v>2232</v>
      </c>
      <c r="B2234">
        <f>HYPERLINK("https://eproc.rajasthan.gov.in/nicgep/app?component=%24DirectLink&amp;page=FrontEndViewTender&amp;service=direct&amp;session=T&amp;sp=SBL6wJWTVdl7jgksp3QJjiQ%3D%3D", "RAJKIYA UCCH PRATHMIK VIDHYALAY BHAIDADIMEENAN ME EK KAKSHYA KAKSH NIRMAN KARYA GRAM PANCHAYAT BHAIDADIMEENAN")</f>
        <v/>
      </c>
      <c r="C2234" t="inlineStr">
        <is>
          <t>Panchayati Raj Department||Secretary and Commissioner||CEO-DAUSA||BDO-BAIJUPADA</t>
        </is>
      </c>
      <c r="D2234" t="inlineStr">
        <is>
          <t>21-May-2025 05:00 PM</t>
        </is>
      </c>
      <c r="E2234" t="inlineStr">
        <is>
          <t>10,00,000</t>
        </is>
      </c>
      <c r="F2234" t="inlineStr">
        <is>
          <t>RAJKIYA UCCH PRATHMIK VIDHYALAY BHAIDADIMEENAN ME EK KAKSHYA KAKSH NIRMAN KARYA GRAM PANCHAYAT BHAIDADIMEENAN</t>
        </is>
      </c>
      <c r="G2234" t="inlineStr">
        <is>
          <t>gram panchayat bhaidadimeenan</t>
        </is>
      </c>
    </row>
    <row r="2235">
      <c r="A2235" s="1" t="n">
        <v>2233</v>
      </c>
      <c r="B2235">
        <f>HYPERLINK("https://eproc.rajasthan.gov.in/nicgep/app?component=%24DirectLink&amp;page=FrontEndViewTender&amp;service=direct&amp;session=T&amp;sp=ShL8KcnW8CuAuoHOU5g2tKg%3D%3D", "material supply in gram panchayat itamda ps bhusawar")</f>
        <v/>
      </c>
      <c r="C2235" t="inlineStr">
        <is>
          <t>Panchayati Raj Department||Secretary and Commissioner||CEO-BHARATPUR||BDO-BHUSAWAR</t>
        </is>
      </c>
      <c r="D2235" t="inlineStr">
        <is>
          <t>28-May-2025 05:00 PM</t>
        </is>
      </c>
      <c r="E2235" t="inlineStr">
        <is>
          <t>40,00,000</t>
        </is>
      </c>
      <c r="F2235" t="inlineStr">
        <is>
          <t>material supply in gram panchayat itamda ps bhusawar</t>
        </is>
      </c>
      <c r="G2235" t="inlineStr">
        <is>
          <t>bhusawar</t>
        </is>
      </c>
    </row>
    <row r="2236">
      <c r="A2236" s="1" t="n">
        <v>2234</v>
      </c>
      <c r="B2236">
        <f>HYPERLINK("https://eproc.rajasthan.gov.in/nicgep/app?component=%24DirectLink&amp;page=FrontEndViewTender&amp;service=direct&amp;session=T&amp;sp=SAEzQY7EqDfQuur2RyAO0kQ%3D%3D", "sanitation works gp guwalda")</f>
        <v/>
      </c>
      <c r="C2236" t="inlineStr">
        <is>
          <t>Panchayati Raj Department||Secretary and Commissioner||CEO-ALWAR||BDO-TIJARA</t>
        </is>
      </c>
      <c r="D2236" t="inlineStr">
        <is>
          <t>19-May-2025 11:00 AM</t>
        </is>
      </c>
      <c r="E2236" t="inlineStr">
        <is>
          <t>10,00,000</t>
        </is>
      </c>
      <c r="F2236" t="inlineStr">
        <is>
          <t>sanitation works gp guwalda</t>
        </is>
      </c>
      <c r="G2236" t="inlineStr">
        <is>
          <t>sanitation works gp guwalda</t>
        </is>
      </c>
    </row>
    <row r="2237">
      <c r="A2237" s="1" t="n">
        <v>2235</v>
      </c>
      <c r="B2237">
        <f>HYPERLINK("https://eproc.rajasthan.gov.in/nicgep/app?component=%24DirectLink&amp;page=FrontEndViewTender&amp;service=direct&amp;session=T&amp;sp=SxP5BtJrZf4lqJ%2B%2BcQNNW5w%3D%3D", "material supply in gram panchayat jharoti ps bhusawar")</f>
        <v/>
      </c>
      <c r="C2237" t="inlineStr">
        <is>
          <t>Panchayati Raj Department||Secretary and Commissioner||CEO-BHARATPUR||BDO-BHUSAWAR</t>
        </is>
      </c>
      <c r="D2237" t="inlineStr">
        <is>
          <t>28-May-2025 05:00 PM</t>
        </is>
      </c>
      <c r="E2237" t="inlineStr">
        <is>
          <t>40,00,000</t>
        </is>
      </c>
      <c r="F2237" t="inlineStr">
        <is>
          <t>material supply in gram panchayat jharoti ps bhusawar</t>
        </is>
      </c>
      <c r="G2237" t="inlineStr">
        <is>
          <t>bhusawar</t>
        </is>
      </c>
    </row>
    <row r="2238">
      <c r="A2238" s="1" t="n">
        <v>2236</v>
      </c>
      <c r="B2238">
        <f>HYPERLINK("https://eproc.rajasthan.gov.in/nicgep/app?component=%24DirectLink&amp;page=FrontEndViewTender&amp;service=direct&amp;session=T&amp;sp=Sv7K4PvX202sXqgaAJIfMeA%3D%3D", "sanitation works gp jodiyamev")</f>
        <v/>
      </c>
      <c r="C2238" t="inlineStr">
        <is>
          <t>Panchayati Raj Department||Secretary and Commissioner||CEO-ALWAR||BDO-TIJARA</t>
        </is>
      </c>
      <c r="D2238" t="inlineStr">
        <is>
          <t>19-May-2025 11:00 AM</t>
        </is>
      </c>
      <c r="E2238" t="inlineStr">
        <is>
          <t>4,18,000</t>
        </is>
      </c>
      <c r="F2238" t="inlineStr">
        <is>
          <t>sanitation works gp jodiyamev</t>
        </is>
      </c>
      <c r="G2238" t="inlineStr">
        <is>
          <t>sanitation works gp jodiyamev</t>
        </is>
      </c>
    </row>
    <row r="2239">
      <c r="A2239" s="1" t="n">
        <v>2237</v>
      </c>
      <c r="B2239">
        <f>HYPERLINK("https://eproc.rajasthan.gov.in/nicgep/app?component=%24DirectLink&amp;page=FrontEndViewTender&amp;service=direct&amp;session=T&amp;sp=SbyJeokw5%2F26W%2BNSBa3iNUQ%3D%3D", "sanitation works gp virampur")</f>
        <v/>
      </c>
      <c r="C2239" t="inlineStr">
        <is>
          <t>Panchayati Raj Department||Secretary and Commissioner||CEO-ALWAR||BDO-TIJARA</t>
        </is>
      </c>
      <c r="D2239" t="inlineStr">
        <is>
          <t>19-May-2025 11:00 AM</t>
        </is>
      </c>
      <c r="E2239" t="inlineStr">
        <is>
          <t>5,00,000</t>
        </is>
      </c>
      <c r="F2239" t="inlineStr">
        <is>
          <t>sanitation works gp virampur</t>
        </is>
      </c>
      <c r="G2239" t="inlineStr">
        <is>
          <t>sanitation works gp virampur</t>
        </is>
      </c>
    </row>
    <row r="2240">
      <c r="A2240" s="1" t="n">
        <v>2238</v>
      </c>
      <c r="B2240">
        <f>HYPERLINK("https://eproc.rajasthan.gov.in/nicgep/app?component=%24DirectLink&amp;page=FrontEndViewTender&amp;service=direct&amp;session=T&amp;sp=S0sKsSRfMY3RYy9HElqXTnw%3D%3D", "sanitation works gp khalilpuri")</f>
        <v/>
      </c>
      <c r="C2240" t="inlineStr">
        <is>
          <t>Panchayati Raj Department||Secretary and Commissioner||CEO-ALWAR||BDO-TIJARA</t>
        </is>
      </c>
      <c r="D2240" t="inlineStr">
        <is>
          <t>19-May-2025 11:00 AM</t>
        </is>
      </c>
      <c r="E2240" t="inlineStr">
        <is>
          <t>3,85,000</t>
        </is>
      </c>
      <c r="F2240" t="inlineStr">
        <is>
          <t>sanitation works gp khalilpuri</t>
        </is>
      </c>
      <c r="G2240" t="inlineStr">
        <is>
          <t>sanitation works gp khalilpuri</t>
        </is>
      </c>
    </row>
    <row r="2241">
      <c r="A2241" s="1" t="n">
        <v>2239</v>
      </c>
      <c r="B2241">
        <f>HYPERLINK("https://eproc.rajasthan.gov.in/nicgep/app?component=%24DirectLink&amp;page=FrontEndViewTender&amp;service=direct&amp;session=T&amp;sp=SGKMX0pXSQcOHZ9d09IHMqA%3D%3D", "sanitation works gp sarheta")</f>
        <v/>
      </c>
      <c r="C2241" t="inlineStr">
        <is>
          <t>Panchayati Raj Department||Secretary and Commissioner||CEO-ALWAR||BDO-TIJARA</t>
        </is>
      </c>
      <c r="D2241" t="inlineStr">
        <is>
          <t>19-May-2025 11:00 AM</t>
        </is>
      </c>
      <c r="E2241" t="inlineStr">
        <is>
          <t>4,19,000</t>
        </is>
      </c>
      <c r="F2241" t="inlineStr">
        <is>
          <t>sanitation works gp sarheta</t>
        </is>
      </c>
      <c r="G2241" t="inlineStr">
        <is>
          <t>sanitation works gp sarheta</t>
        </is>
      </c>
    </row>
    <row r="2242">
      <c r="A2242" s="1" t="n">
        <v>2240</v>
      </c>
      <c r="B2242">
        <f>HYPERLINK("https://eproc.rajasthan.gov.in/nicgep/app?component=%24DirectLink&amp;page=FrontEndViewTender&amp;service=direct&amp;session=T&amp;sp=SG3m%2FmXUY9JXR8mFLX0nquA%3D%3D", "sanitation works gp chuhadpur")</f>
        <v/>
      </c>
      <c r="C2242" t="inlineStr">
        <is>
          <t>Panchayati Raj Department||Secretary and Commissioner||CEO-ALWAR||BDO-TIJARA</t>
        </is>
      </c>
      <c r="D2242" t="inlineStr">
        <is>
          <t>19-May-2025 11:00 AM</t>
        </is>
      </c>
      <c r="E2242" t="inlineStr">
        <is>
          <t>4,13,000</t>
        </is>
      </c>
      <c r="F2242" t="inlineStr">
        <is>
          <t>sanitation works gp chuhadpur</t>
        </is>
      </c>
      <c r="G2242" t="inlineStr">
        <is>
          <t>sanitation works gp chuhadpur</t>
        </is>
      </c>
    </row>
    <row r="2243">
      <c r="A2243" s="1" t="n">
        <v>2241</v>
      </c>
      <c r="B2243">
        <f>HYPERLINK("https://eproc.rajasthan.gov.in/nicgep/app?component=%24DirectLink&amp;page=FrontEndViewTender&amp;service=direct&amp;session=T&amp;sp=SaWZ1OCP%2F5lB%2FeI0cxQyMsQ%3D%3D", "sanitation works gp mundana")</f>
        <v/>
      </c>
      <c r="C2243" t="inlineStr">
        <is>
          <t>Panchayati Raj Department||Secretary and Commissioner||CEO-ALWAR||BDO-TIJARA</t>
        </is>
      </c>
      <c r="D2243" t="inlineStr">
        <is>
          <t>19-May-2025 11:00 AM</t>
        </is>
      </c>
      <c r="E2243" t="inlineStr">
        <is>
          <t>3,15,000</t>
        </is>
      </c>
      <c r="F2243" t="inlineStr">
        <is>
          <t>sanitation works gp mundana</t>
        </is>
      </c>
      <c r="G2243" t="inlineStr">
        <is>
          <t>sanitation works gp mundana</t>
        </is>
      </c>
    </row>
    <row r="2244">
      <c r="A2244" s="1" t="n">
        <v>2242</v>
      </c>
      <c r="B2244">
        <f>HYPERLINK("https://eproc.rajasthan.gov.in/nicgep/app?component=%24DirectLink&amp;page=FrontEndViewTender&amp;service=direct&amp;session=T&amp;sp=SlVAA5WvYYtzSylUFjROrxA%3D%3D", "sanitation works gp hamiraka")</f>
        <v/>
      </c>
      <c r="C2244" t="inlineStr">
        <is>
          <t>Panchayati Raj Department||Secretary and Commissioner||CEO-ALWAR||BDO-TIJARA</t>
        </is>
      </c>
      <c r="D2244" t="inlineStr">
        <is>
          <t>19-May-2025 11:00 AM</t>
        </is>
      </c>
      <c r="E2244" t="inlineStr">
        <is>
          <t>6,06,000</t>
        </is>
      </c>
      <c r="F2244" t="inlineStr">
        <is>
          <t>sanitation works gp hamiraka</t>
        </is>
      </c>
      <c r="G2244" t="inlineStr">
        <is>
          <t>sanitation works gp hamiraka</t>
        </is>
      </c>
    </row>
    <row r="2245">
      <c r="A2245" s="1" t="n">
        <v>2243</v>
      </c>
      <c r="B2245">
        <f>HYPERLINK("https://eproc.rajasthan.gov.in/nicgep/app?component=%24DirectLink&amp;page=FrontEndViewTender&amp;service=direct&amp;session=T&amp;sp=SgX%2FeB28cqkCyEU45lQ45mQ%3D%3D", "sanitation works gp masit")</f>
        <v/>
      </c>
      <c r="C2245" t="inlineStr">
        <is>
          <t>Panchayati Raj Department||Secretary and Commissioner||CEO-ALWAR||BDO-TIJARA</t>
        </is>
      </c>
      <c r="D2245" t="inlineStr">
        <is>
          <t>19-May-2025 11:00 AM</t>
        </is>
      </c>
      <c r="E2245" t="inlineStr">
        <is>
          <t>7,00,000</t>
        </is>
      </c>
      <c r="F2245" t="inlineStr">
        <is>
          <t>sanitation works gp masit</t>
        </is>
      </c>
      <c r="G2245" t="inlineStr">
        <is>
          <t>sanitation works gp masit</t>
        </is>
      </c>
    </row>
    <row r="2246">
      <c r="A2246" s="1" t="n">
        <v>2244</v>
      </c>
      <c r="B2246">
        <f>HYPERLINK("https://eproc.rajasthan.gov.in/nicgep/app?component=%24DirectLink&amp;page=FrontEndViewTender&amp;service=direct&amp;session=T&amp;sp=SuSGNpFLVp6gamDX9NEZr7A%3D%3D", "sanitation works gp jaroli")</f>
        <v/>
      </c>
      <c r="C2246" t="inlineStr">
        <is>
          <t>Panchayati Raj Department||Secretary and Commissioner||CEO-ALWAR||BDO-TIJARA</t>
        </is>
      </c>
      <c r="D2246" t="inlineStr">
        <is>
          <t>19-May-2025 11:00 AM</t>
        </is>
      </c>
      <c r="E2246" t="inlineStr">
        <is>
          <t>5,20,000</t>
        </is>
      </c>
      <c r="F2246" t="inlineStr">
        <is>
          <t>sanitation works gp jaroli</t>
        </is>
      </c>
      <c r="G2246" t="inlineStr">
        <is>
          <t>sanitation works gp jaroli</t>
        </is>
      </c>
    </row>
    <row r="2247">
      <c r="A2247" s="1" t="n">
        <v>2245</v>
      </c>
      <c r="B2247">
        <f>HYPERLINK("https://eproc.rajasthan.gov.in/nicgep/app?component=%24DirectLink&amp;page=FrontEndViewTender&amp;service=direct&amp;session=T&amp;sp=SP7YhKVYkhd0rl86l9o7mJw%3D%3D", "RATE CONTRACT FOR SUPPLY OF CONSTRUCTION MATERIAL IN GRAM PANCHAYAT ANATPURA")</f>
        <v/>
      </c>
      <c r="C2247" t="inlineStr">
        <is>
          <t>Panchayati Raj Department||Secretary and Commissioner||CEO-SIKAR||BDO-SRI MADHOPUR</t>
        </is>
      </c>
      <c r="D2247" t="inlineStr">
        <is>
          <t>22-May-2025 06:00 PM</t>
        </is>
      </c>
      <c r="E2247" t="inlineStr">
        <is>
          <t>30,00,000</t>
        </is>
      </c>
      <c r="F2247" t="inlineStr">
        <is>
          <t>RATE CONTRACT FOR SUPPLY OF CONSTRUCTION MATERIAL IN GRAM PANCHAYAT ANATPURA</t>
        </is>
      </c>
      <c r="G2247" t="inlineStr">
        <is>
          <t>GP ANATPURA</t>
        </is>
      </c>
    </row>
    <row r="2248">
      <c r="A2248" s="1" t="n">
        <v>2246</v>
      </c>
      <c r="B2248">
        <f>HYPERLINK("https://eproc.rajasthan.gov.in/nicgep/app?component=%24DirectLink&amp;page=FrontEndViewTender&amp;service=direct&amp;session=T&amp;sp=SlaXRO3fZ%2BBXDrf02ShTPPg%3D%3D", "sanitation works gp hingwahera")</f>
        <v/>
      </c>
      <c r="C2248" t="inlineStr">
        <is>
          <t>Panchayati Raj Department||Secretary and Commissioner||CEO-ALWAR||BDO-TIJARA</t>
        </is>
      </c>
      <c r="D2248" t="inlineStr">
        <is>
          <t>19-May-2025 11:00 AM</t>
        </is>
      </c>
      <c r="E2248" t="inlineStr">
        <is>
          <t>4,07,000</t>
        </is>
      </c>
      <c r="F2248" t="inlineStr">
        <is>
          <t>sanitation works gp hingwahera</t>
        </is>
      </c>
      <c r="G2248" t="inlineStr">
        <is>
          <t>sanitation works gp hingwahera</t>
        </is>
      </c>
    </row>
    <row r="2249">
      <c r="A2249" s="1" t="n">
        <v>2247</v>
      </c>
      <c r="B2249">
        <f>HYPERLINK("https://eproc.rajasthan.gov.in/nicgep/app?component=%24DirectLink&amp;page=FrontEndViewTender&amp;service=direct&amp;session=T&amp;sp=SBO4lCG67vv%2FLDojb1o8kVQ%3D%3D", "sanitation works gp jhiwana")</f>
        <v/>
      </c>
      <c r="C2249" t="inlineStr">
        <is>
          <t>Panchayati Raj Department||Secretary and Commissioner||CEO-ALWAR||BDO-TIJARA</t>
        </is>
      </c>
      <c r="D2249" t="inlineStr">
        <is>
          <t>19-May-2025 11:00 AM</t>
        </is>
      </c>
      <c r="E2249" t="inlineStr">
        <is>
          <t>3,20,000</t>
        </is>
      </c>
      <c r="F2249" t="inlineStr">
        <is>
          <t>sanitation works gp jhiwana</t>
        </is>
      </c>
      <c r="G2249" t="inlineStr">
        <is>
          <t>sanitation works gp jhiwana</t>
        </is>
      </c>
    </row>
    <row r="2250">
      <c r="A2250" s="1" t="n">
        <v>2248</v>
      </c>
      <c r="B2250">
        <f>HYPERLINK("https://eproc.rajasthan.gov.in/nicgep/app?component=%24DirectLink&amp;page=FrontEndViewTender&amp;service=direct&amp;session=T&amp;sp=Sal5BlKqZHp7Ja12kiu5utw%3D%3D", "MATERIAL SUPPLY GP KUMAS JAGIR")</f>
        <v/>
      </c>
      <c r="C2250" t="inlineStr">
        <is>
          <t>Panchayati Raj Department||Secretary and Commissioner||CEO-SIKAR||BDO-NECHWA</t>
        </is>
      </c>
      <c r="D2250" t="inlineStr">
        <is>
          <t>22-May-2025 06:00 PM</t>
        </is>
      </c>
      <c r="E2250" t="inlineStr">
        <is>
          <t>40,00,000</t>
        </is>
      </c>
      <c r="F2250" t="inlineStr">
        <is>
          <t>Construction and building material, equipment supply in GP Kumas Jagir and villages Panchayat Samiti Nechhwa Distt. Sikar YEAR 2025-26</t>
        </is>
      </c>
      <c r="G2250" t="inlineStr">
        <is>
          <t>GP KUMAS JAGIR AND VILLAGES</t>
        </is>
      </c>
    </row>
    <row r="2251">
      <c r="A2251" s="1" t="n">
        <v>2249</v>
      </c>
      <c r="B2251">
        <f>HYPERLINK("https://eproc.rajasthan.gov.in/nicgep/app?component=%24DirectLink&amp;page=FrontEndViewTender&amp;service=direct&amp;session=T&amp;sp=S%2B6M82g6YESmhOtnGhRllgQ%3D%3D", "material supply in gram panchayat ghatri ps bhusawar")</f>
        <v/>
      </c>
      <c r="C2251" t="inlineStr">
        <is>
          <t>Panchayati Raj Department||Secretary and Commissioner||CEO-BHARATPUR||BDO-BHUSAWAR</t>
        </is>
      </c>
      <c r="D2251" t="inlineStr">
        <is>
          <t>28-May-2025 05:00 PM</t>
        </is>
      </c>
      <c r="E2251" t="inlineStr">
        <is>
          <t>40,00,000</t>
        </is>
      </c>
      <c r="F2251" t="inlineStr">
        <is>
          <t>material supply in gram panchayat ghatri ps bhusawar</t>
        </is>
      </c>
      <c r="G2251" t="inlineStr">
        <is>
          <t>bhusawar</t>
        </is>
      </c>
    </row>
    <row r="2252">
      <c r="A2252" s="1" t="n">
        <v>2250</v>
      </c>
      <c r="B2252">
        <f>HYPERLINK("https://eproc.rajasthan.gov.in/nicgep/app?component=%24DirectLink&amp;page=FrontEndViewTender&amp;service=direct&amp;session=T&amp;sp=SeMh%2BtAle5yeFG60ZYFbcrw%3D%3D", "material supply in gram panchayat bhesina ps bhusawar")</f>
        <v/>
      </c>
      <c r="C2252" t="inlineStr">
        <is>
          <t>Panchayati Raj Department||Secretary and Commissioner||CEO-BHARATPUR||BDO-BHUSAWAR</t>
        </is>
      </c>
      <c r="D2252" t="inlineStr">
        <is>
          <t>28-May-2025 05:00 PM</t>
        </is>
      </c>
      <c r="E2252" t="inlineStr">
        <is>
          <t>40,00,000</t>
        </is>
      </c>
      <c r="F2252" t="inlineStr">
        <is>
          <t>material supply in gram panchayat bhesina ps bhusawar</t>
        </is>
      </c>
      <c r="G2252" t="inlineStr">
        <is>
          <t>bhusawar</t>
        </is>
      </c>
    </row>
    <row r="2253">
      <c r="A2253" s="1" t="n">
        <v>2251</v>
      </c>
      <c r="B2253">
        <f>HYPERLINK("https://eproc.rajasthan.gov.in/nicgep/app?component=%24DirectLink&amp;page=FrontEndViewTender&amp;service=direct&amp;session=T&amp;sp=SvRPOeI0r6DqWtTj71QIztA%3D%3D", "08 DATED 12.05.2025")</f>
        <v/>
      </c>
      <c r="C2253" t="inlineStr">
        <is>
          <t>Panchayati Raj Department||Secretary and Commissioner||CEO-SIKAR||BDO-NECHWA</t>
        </is>
      </c>
      <c r="D2253" t="inlineStr">
        <is>
          <t>22-May-2025 06:00 PM</t>
        </is>
      </c>
      <c r="E2253" t="inlineStr">
        <is>
          <t>40,00,000</t>
        </is>
      </c>
      <c r="F2253" t="inlineStr">
        <is>
          <t>Construction and building material, equipment supply in GP MEERAN and villages Panchayat Samiti Nechhwa Distt. Sikar YEAR 2025-26</t>
        </is>
      </c>
      <c r="G2253" t="inlineStr">
        <is>
          <t>MATERIAL SUPPLY IN GP MEERAN AND VILLAGES</t>
        </is>
      </c>
    </row>
    <row r="2254">
      <c r="A2254" s="1" t="n">
        <v>2252</v>
      </c>
      <c r="B2254">
        <f>HYPERLINK("https://eproc.rajasthan.gov.in/nicgep/app?component=%24DirectLink&amp;page=FrontEndViewTender&amp;service=direct&amp;session=T&amp;sp=SnS8R79ncKIE6d%2By7dlmJXQ%3D%3D", "GP KHAROLI MATERIAL SUPPLY UNDER PS SARMATHURA")</f>
        <v/>
      </c>
      <c r="C2254" t="inlineStr">
        <is>
          <t>Panchayati Raj Department||Secretary and Commissioner||CEO-DHOLPUR||BDO-SARMATHURA</t>
        </is>
      </c>
      <c r="D2254" t="inlineStr">
        <is>
          <t>21-May-2025 06:00 PM</t>
        </is>
      </c>
      <c r="E2254" t="inlineStr">
        <is>
          <t>50,00,000</t>
        </is>
      </c>
      <c r="F2254" t="inlineStr">
        <is>
          <t>GP KHAROLI MATERIAL SUPPLY UNDER PS SARMATHURA</t>
        </is>
      </c>
      <c r="G2254" t="inlineStr">
        <is>
          <t>GP KHAROLI</t>
        </is>
      </c>
    </row>
    <row r="2255">
      <c r="A2255" s="1" t="n">
        <v>2253</v>
      </c>
      <c r="B2255">
        <f>HYPERLINK("https://eproc.rajasthan.gov.in/nicgep/app?component=%24DirectLink&amp;page=FrontEndViewTender&amp;service=direct&amp;session=T&amp;sp=S8PZiy9xyUAicbekWzYfc8g%3D%3D", "material supply in gram panchayat gogera ps bhusawar")</f>
        <v/>
      </c>
      <c r="C2255" t="inlineStr">
        <is>
          <t>Panchayati Raj Department||Secretary and Commissioner||CEO-BHARATPUR||BDO-BHUSAWAR</t>
        </is>
      </c>
      <c r="D2255" t="inlineStr">
        <is>
          <t>28-May-2025 05:00 PM</t>
        </is>
      </c>
      <c r="E2255" t="inlineStr">
        <is>
          <t>40,00,000</t>
        </is>
      </c>
      <c r="F2255" t="inlineStr">
        <is>
          <t>material supply in gram panchayat gogera ps bhusawar</t>
        </is>
      </c>
      <c r="G2255" t="inlineStr">
        <is>
          <t>bhusawar</t>
        </is>
      </c>
    </row>
    <row r="2256">
      <c r="A2256" s="1" t="n">
        <v>2254</v>
      </c>
      <c r="B2256">
        <f>HYPERLINK("https://eproc.rajasthan.gov.in/nicgep/app?component=%24DirectLink&amp;page=FrontEndViewTender&amp;service=direct&amp;session=T&amp;sp=SdpWUOfYQ3VfMwr3JOiSW%2Bg%3D%3D", "GRAM PANCHAYAT KA SAMST GAVO ME GHR GHR SE KACHRA SANGRHAN V PRATHAKKRAN V SADAK V NALI SAFAI CSC SAFAI GP BAVLAS")</f>
        <v/>
      </c>
      <c r="C2256" t="inlineStr">
        <is>
          <t>Panchayati Raj Department||Secretary and Commissioner||CEO-CHITTORGARH||BDO-RASHMI</t>
        </is>
      </c>
      <c r="D2256" t="inlineStr">
        <is>
          <t>20-May-2025 10:00 AM</t>
        </is>
      </c>
      <c r="E2256" t="inlineStr">
        <is>
          <t>8,79,243</t>
        </is>
      </c>
      <c r="F2256" t="inlineStr">
        <is>
          <t>GRAM PANCHAYAT KA SAMST GAVO ME GHR GHR SE KACHRA SANGRHAN V PRATHAKKRAN V SADAK V NALI SAFAI CSC SAFAI GP BAVLAS</t>
        </is>
      </c>
      <c r="G2256" t="inlineStr">
        <is>
          <t>gram panchayat BAVALAS</t>
        </is>
      </c>
    </row>
    <row r="2257">
      <c r="A2257" s="1" t="n">
        <v>2255</v>
      </c>
      <c r="B2257">
        <f>HYPERLINK("https://eproc.rajasthan.gov.in/nicgep/app?component=%24DirectLink&amp;page=FrontEndViewTender&amp;service=direct&amp;session=T&amp;sp=STXGxZhqtLiqeTVf1ZHAY4g%3D%3D", "GP KHURDIYA MATERIAL SUPPLY UNDER PS SARMATHURA")</f>
        <v/>
      </c>
      <c r="C2257" t="inlineStr">
        <is>
          <t>Panchayati Raj Department||Secretary and Commissioner||CEO-DHOLPUR||BDO-SARMATHURA</t>
        </is>
      </c>
      <c r="D2257" t="inlineStr">
        <is>
          <t>20-May-2025 11:00 AM</t>
        </is>
      </c>
      <c r="E2257" t="inlineStr">
        <is>
          <t>50,00,000</t>
        </is>
      </c>
      <c r="F2257" t="inlineStr">
        <is>
          <t>GP KHURDIYA MATERIAL SUPPLY UNDER PS SARMATHURA</t>
        </is>
      </c>
      <c r="G2257" t="inlineStr">
        <is>
          <t>GP KHURDIYA</t>
        </is>
      </c>
    </row>
    <row r="2258">
      <c r="A2258" s="1" t="n">
        <v>2256</v>
      </c>
      <c r="B2258">
        <f>HYPERLINK("https://eproc.rajasthan.gov.in/nicgep/app?component=%24DirectLink&amp;page=FrontEndViewTender&amp;service=direct&amp;session=T&amp;sp=SigLDRtOPzPjunv5EtjkdeA%3D%3D", "GP RAHARAI MATERIAL SUPPLY UNDER PS SARMATHURA")</f>
        <v/>
      </c>
      <c r="C2258" t="inlineStr">
        <is>
          <t>Panchayati Raj Department||Secretary and Commissioner||CEO-DHOLPUR||BDO-SARMATHURA</t>
        </is>
      </c>
      <c r="D2258" t="inlineStr">
        <is>
          <t>21-May-2025 10:00 AM</t>
        </is>
      </c>
      <c r="E2258" t="inlineStr">
        <is>
          <t>NA</t>
        </is>
      </c>
      <c r="F2258" t="inlineStr">
        <is>
          <t>GP RAHARAI MATERIAL SUPPLY UNDER PS SARMATHURA</t>
        </is>
      </c>
      <c r="G2258" t="inlineStr">
        <is>
          <t>GP RAHARAI</t>
        </is>
      </c>
    </row>
    <row r="2259">
      <c r="A2259" s="1" t="n">
        <v>2257</v>
      </c>
      <c r="B2259">
        <f>HYPERLINK("https://eproc.rajasthan.gov.in/nicgep/app?component=%24DirectLink&amp;page=FrontEndViewTender&amp;service=direct&amp;session=T&amp;sp=ShlBS5PLLxwDYJ1YaoKOSQQ%3D%3D", "GP VATIKARA MATERIAL SUPPLY UNDER PS SARMATHURA")</f>
        <v/>
      </c>
      <c r="C2259" t="inlineStr">
        <is>
          <t>Panchayati Raj Department||Secretary and Commissioner||CEO-DHOLPUR||BDO-SARMATHURA</t>
        </is>
      </c>
      <c r="D2259" t="inlineStr">
        <is>
          <t>21-May-2025 10:00 AM</t>
        </is>
      </c>
      <c r="E2259" t="inlineStr">
        <is>
          <t>NA</t>
        </is>
      </c>
      <c r="F2259" t="inlineStr">
        <is>
          <t>GP VATIKARA MATERIAL SUPPLY UNDER PS SARMATHURA</t>
        </is>
      </c>
      <c r="G2259" t="inlineStr">
        <is>
          <t>GP VATIKARA</t>
        </is>
      </c>
    </row>
    <row r="2260">
      <c r="A2260" s="1" t="n">
        <v>2258</v>
      </c>
      <c r="B2260">
        <f>HYPERLINK("https://eproc.rajasthan.gov.in/nicgep/app?component=%24DirectLink&amp;page=FrontEndViewTender&amp;service=direct&amp;session=T&amp;sp=Sc4%2BxhQOiMcp5vMBhzI0mbA%3D%3D", "GP DOMAI MATERIAL SUPPLY UNDER PS SARMATHURA")</f>
        <v/>
      </c>
      <c r="C2260" t="inlineStr">
        <is>
          <t>Panchayati Raj Department||Secretary and Commissioner||CEO-DHOLPUR||BDO-SARMATHURA</t>
        </is>
      </c>
      <c r="D2260" t="inlineStr">
        <is>
          <t>20-May-2025 06:00 PM</t>
        </is>
      </c>
      <c r="E2260" t="inlineStr">
        <is>
          <t>50,00,000</t>
        </is>
      </c>
      <c r="F2260" t="inlineStr">
        <is>
          <t>GP DOMAI MATERIAL SUPPLY UNDER PS SARMATHURA</t>
        </is>
      </c>
      <c r="G2260" t="inlineStr">
        <is>
          <t>GP DOMAI</t>
        </is>
      </c>
    </row>
    <row r="2261">
      <c r="A2261" s="1" t="n">
        <v>2259</v>
      </c>
      <c r="B2261">
        <f>HYPERLINK("https://eproc.rajasthan.gov.in/nicgep/app?component=%24DirectLink&amp;page=FrontEndViewTender&amp;service=direct&amp;session=T&amp;sp=S18hSGNSb1YUcEcEgVYt7ug%3D%3D", "Gram Panchayat Chhatra me Niyamit Saf Safai avam Swachhta Karye Gram Panchayat Nimali")</f>
        <v/>
      </c>
      <c r="C2261" t="inlineStr">
        <is>
          <t>Panchayati Raj Department||Secretary and Commissioner||CEO-DAUSA||BDO-DAUSA</t>
        </is>
      </c>
      <c r="D2261" t="inlineStr">
        <is>
          <t>19-May-2025 02:00 PM</t>
        </is>
      </c>
      <c r="E2261" t="inlineStr">
        <is>
          <t>5,00,000</t>
        </is>
      </c>
      <c r="F2261" t="inlineStr">
        <is>
          <t>Gram Panchayat Chhatra me Niyamit Saf Safai avam Swachhta Karye Gram Panchayat Nimali</t>
        </is>
      </c>
      <c r="G2261" t="inlineStr">
        <is>
          <t>Nimali</t>
        </is>
      </c>
    </row>
    <row r="2262">
      <c r="A2262" s="1" t="n">
        <v>2260</v>
      </c>
      <c r="B2262">
        <f>HYPERLINK("https://eproc.rajasthan.gov.in/nicgep/app?component=%24DirectLink&amp;page=FrontEndViewTender&amp;service=direct&amp;session=T&amp;sp=S9sM%2FqIzOF%2BYFNvYWt6RvjA%3D%3D", "GP CHANDRAWALI MATERIAL SUPPLY UNDER PS SARMATHURA")</f>
        <v/>
      </c>
      <c r="C2262" t="inlineStr">
        <is>
          <t>Panchayati Raj Department||Secretary and Commissioner||CEO-DHOLPUR||BDO-SARMATHURA</t>
        </is>
      </c>
      <c r="D2262" t="inlineStr">
        <is>
          <t>21-May-2025 06:00 PM</t>
        </is>
      </c>
      <c r="E2262" t="inlineStr">
        <is>
          <t>50,00,000</t>
        </is>
      </c>
      <c r="F2262" t="inlineStr">
        <is>
          <t>GP CHANDRAWALI MATERIAL SUPPLY UNDER PS SARMATHURA</t>
        </is>
      </c>
      <c r="G2262" t="inlineStr">
        <is>
          <t>GP CHANDRAWALI</t>
        </is>
      </c>
    </row>
    <row r="2263">
      <c r="A2263" s="1" t="n">
        <v>2261</v>
      </c>
      <c r="B2263">
        <f>HYPERLINK("https://eproc.rajasthan.gov.in/nicgep/app?component=%24DirectLink&amp;page=FrontEndViewTender&amp;service=direct&amp;session=T&amp;sp=SNJlLHsJuPQXgL7fRaNXjGw%3D%3D", "MATERIALS SUPPLY TENDER GP BALICHA")</f>
        <v/>
      </c>
      <c r="C2263" t="inlineStr">
        <is>
          <t>Panchayati Raj Department||Secretary and Commissioner||CEO-UDAIPUR||BDO-NAYA GAON</t>
        </is>
      </c>
      <c r="D2263" t="inlineStr">
        <is>
          <t>22-May-2025 12:00 PM</t>
        </is>
      </c>
      <c r="E2263" t="inlineStr">
        <is>
          <t>40,00,000</t>
        </is>
      </c>
      <c r="F2263" t="inlineStr">
        <is>
          <t>MATERIALS SUPPLY</t>
        </is>
      </c>
      <c r="G2263" t="inlineStr">
        <is>
          <t>GP BALICHA</t>
        </is>
      </c>
    </row>
    <row r="2264">
      <c r="A2264" s="1" t="n">
        <v>2262</v>
      </c>
      <c r="B2264">
        <f>HYPERLINK("https://eproc.rajasthan.gov.in/nicgep/app?component=%24DirectLink&amp;page=FrontEndViewTender&amp;service=direct&amp;session=T&amp;sp=S4PBjPz%2FMUdDq%2BTrLx6IqmA%3D%3D", "MATERIALS SUPPLY TENDER FOR GP DERI")</f>
        <v/>
      </c>
      <c r="C2264" t="inlineStr">
        <is>
          <t>Panchayati Raj Department||Secretary and Commissioner||CEO-UDAIPUR||BDO-NAYA GAON</t>
        </is>
      </c>
      <c r="D2264" t="inlineStr">
        <is>
          <t>22-May-2025 12:00 PM</t>
        </is>
      </c>
      <c r="E2264" t="inlineStr">
        <is>
          <t>50,00,000</t>
        </is>
      </c>
      <c r="F2264" t="inlineStr">
        <is>
          <t>MATERIALS SUPPLY TENDER FOR GP DERI</t>
        </is>
      </c>
      <c r="G2264" t="inlineStr">
        <is>
          <t>GP DERI</t>
        </is>
      </c>
    </row>
    <row r="2265">
      <c r="A2265" s="1" t="n">
        <v>2263</v>
      </c>
      <c r="B2265">
        <f>HYPERLINK("https://eproc.rajasthan.gov.in/nicgep/app?component=%24DirectLink&amp;page=FrontEndViewTender&amp;service=direct&amp;session=T&amp;sp=Sj3cXcbGWKl9jelfxTcA51Q%3D%3D", "MATERIALS SUPPLY TENDER FOR GP NAYAGAON")</f>
        <v/>
      </c>
      <c r="C2265" t="inlineStr">
        <is>
          <t>Panchayati Raj Department||Secretary and Commissioner||CEO-UDAIPUR||BDO-NAYA GAON</t>
        </is>
      </c>
      <c r="D2265" t="inlineStr">
        <is>
          <t>22-May-2025 12:00 PM</t>
        </is>
      </c>
      <c r="E2265" t="inlineStr">
        <is>
          <t>60,00,000</t>
        </is>
      </c>
      <c r="F2265" t="inlineStr">
        <is>
          <t>MATERIALS SUPPLY TENDER FOR GP NAYAGAON</t>
        </is>
      </c>
      <c r="G2265" t="inlineStr">
        <is>
          <t>GP NAYAGAON</t>
        </is>
      </c>
    </row>
    <row r="2266">
      <c r="A2266" s="1" t="n">
        <v>2264</v>
      </c>
      <c r="B2266">
        <f>HYPERLINK("https://eproc.rajasthan.gov.in/nicgep/app?component=%24DirectLink&amp;page=FrontEndViewTender&amp;service=direct&amp;session=T&amp;sp=ShKBJSmJZwFIoEjIHVxBtlg%3D%3D", "Rate contract For Supply of Construction Material and Providing Equipments for NREGA, RD and PR Schemes at Gram Panchayat Boroda Panchayat Samiti DAUSA Dist Dausa For FY 2025-26 up to 31 March 2026")</f>
        <v/>
      </c>
      <c r="C2266" t="inlineStr">
        <is>
          <t>Panchayati Raj Department||Secretary and Commissioner||CEO-DAUSA||BDO-DAUSA</t>
        </is>
      </c>
      <c r="D2266" t="inlineStr">
        <is>
          <t>19-May-2025 09:30 AM</t>
        </is>
      </c>
      <c r="E2266" t="inlineStr">
        <is>
          <t>50,00,000</t>
        </is>
      </c>
      <c r="F2266" t="inlineStr">
        <is>
          <t>Rate contract For Supply of Construction Material and Providing Equipments for NREGA, RD and PR Schemes at Gram Panchayat Boroda Panchayat Samiti DAUSA Dist Dausa For FY 2025-26 up to 31 March 2026</t>
        </is>
      </c>
      <c r="G2266" t="inlineStr">
        <is>
          <t>Boroda</t>
        </is>
      </c>
    </row>
    <row r="2267">
      <c r="A2267" s="1" t="n">
        <v>2265</v>
      </c>
      <c r="B2267">
        <f>HYPERLINK("https://eproc.rajasthan.gov.in/nicgep/app?component=%24DirectLink&amp;page=FrontEndViewTender&amp;service=direct&amp;session=T&amp;sp=SStBHMmewq3hPIIhMZDo5rg%3D%3D", "Payajal pipe line bhojewala road se shernath ki dhani")</f>
        <v/>
      </c>
      <c r="C2267" t="inlineStr">
        <is>
          <t>Panchayati Raj Department||Secretary and Commissioner||CEO- GANGANAGAR||BDO-SURATGARH</t>
        </is>
      </c>
      <c r="D2267" t="inlineStr">
        <is>
          <t>21-May-2025 02:00 PM</t>
        </is>
      </c>
      <c r="E2267" t="inlineStr">
        <is>
          <t>10,00,000</t>
        </is>
      </c>
      <c r="F2267" t="inlineStr">
        <is>
          <t>Payajal pipe line bhojewala road se shernath ki dhani</t>
        </is>
      </c>
      <c r="G2267" t="inlineStr">
        <is>
          <t>Rajpura piperan</t>
        </is>
      </c>
    </row>
    <row r="2268">
      <c r="A2268" s="1" t="n">
        <v>2266</v>
      </c>
      <c r="B2268">
        <f>HYPERLINK("https://eproc.rajasthan.gov.in/nicgep/app?component=%24DirectLink&amp;page=FrontEndViewTender&amp;service=direct&amp;session=T&amp;sp=Se9B7ELost8jEyJwXTgtmHg%3D%3D", "MATERIALS SUPPLY TENDER FOR GP JHANJHRI")</f>
        <v/>
      </c>
      <c r="C2268" t="inlineStr">
        <is>
          <t>Panchayati Raj Department||Secretary and Commissioner||CEO-UDAIPUR||BDO-NAYA GAON</t>
        </is>
      </c>
      <c r="D2268" t="inlineStr">
        <is>
          <t>22-May-2025 12:00 PM</t>
        </is>
      </c>
      <c r="E2268" t="inlineStr">
        <is>
          <t>50,00,000</t>
        </is>
      </c>
      <c r="F2268" t="inlineStr">
        <is>
          <t>MATERIALS SUPPLY TENDER FOR GP JHANJHRI</t>
        </is>
      </c>
      <c r="G2268" t="inlineStr">
        <is>
          <t>GP JHANJHRI</t>
        </is>
      </c>
    </row>
    <row r="2269">
      <c r="A2269" s="1" t="n">
        <v>2267</v>
      </c>
      <c r="B2269">
        <f>HYPERLINK("https://eproc.rajasthan.gov.in/nicgep/app?component=%24DirectLink&amp;page=FrontEndViewTender&amp;service=direct&amp;session=T&amp;sp=SuiOe5FQJvms4sbDbLGLMbA%3D%3D", "Rate contract For Supply of Construction Material and Providing Equipments for NREGA, RD and PR Schemes at Gram Panchayat Sainthal Panchayat Samiti DAUSA Dist Dausa For FY 2025-26 up to 31 March 2026")</f>
        <v/>
      </c>
      <c r="C2269" t="inlineStr">
        <is>
          <t>Panchayati Raj Department||Secretary and Commissioner||CEO-DAUSA||BDO-DAUSA</t>
        </is>
      </c>
      <c r="D2269" t="inlineStr">
        <is>
          <t>22-May-2025 09:30 AM</t>
        </is>
      </c>
      <c r="E2269" t="inlineStr">
        <is>
          <t>50,00,000</t>
        </is>
      </c>
      <c r="F2269" t="inlineStr">
        <is>
          <t>Rate contract For Supply of Construction Material and Providing Equipments for NREGA, RD and PR Schemes at Gram Panchayat Sainthal Panchayat Samiti DAUSA Dist Dausa For FY 2025-26 up to 31 March 2026</t>
        </is>
      </c>
      <c r="G2269" t="inlineStr">
        <is>
          <t>Sainthal</t>
        </is>
      </c>
    </row>
    <row r="2270">
      <c r="A2270" s="1" t="n">
        <v>2268</v>
      </c>
      <c r="B2270">
        <f>HYPERLINK("https://eproc.rajasthan.gov.in/nicgep/app?component=%24DirectLink&amp;page=FrontEndViewTender&amp;service=direct&amp;session=T&amp;sp=S%2BQ4sgxIEjHtLAHlvILS8aA%3D%3D", "Gram Panchayat Chhatra me Niyamit Saf Safai avam Swachhta Karye Gram Panchayat Sainthal")</f>
        <v/>
      </c>
      <c r="C2270" t="inlineStr">
        <is>
          <t>Panchayati Raj Department||Secretary and Commissioner||CEO-DAUSA||BDO-DAUSA</t>
        </is>
      </c>
      <c r="D2270" t="inlineStr">
        <is>
          <t>22-May-2025 02:00 PM</t>
        </is>
      </c>
      <c r="E2270" t="inlineStr">
        <is>
          <t>10,00,000</t>
        </is>
      </c>
      <c r="F2270" t="inlineStr">
        <is>
          <t>Gram Panchayat Chhatra me Niyamit Saf Safai avam Swachhta Karye Gram Panchayat Sainthal</t>
        </is>
      </c>
      <c r="G2270" t="inlineStr">
        <is>
          <t>Sainthal</t>
        </is>
      </c>
    </row>
    <row r="2271">
      <c r="A2271" s="1" t="n">
        <v>2269</v>
      </c>
      <c r="B2271">
        <f>HYPERLINK("https://eproc.rajasthan.gov.in/nicgep/app?component=%24DirectLink&amp;page=FrontEndViewTender&amp;service=direct&amp;session=T&amp;sp=SaF5OxAbybQaJW7a9NB8BFg%3D%3D", "MATERIAL SUPPLY IN GRAM PANCHAYAT PURA CHHOTI PS DHOD FOR MGNREGA AND OTHER SCHEME")</f>
        <v/>
      </c>
      <c r="C2271" t="inlineStr">
        <is>
          <t>Panchayati Raj Department||Secretary and Commissioner||CEO-SIKAR||BDO-DHOD</t>
        </is>
      </c>
      <c r="D2271" t="inlineStr">
        <is>
          <t>22-May-2025 06:00 PM</t>
        </is>
      </c>
      <c r="E2271" t="inlineStr">
        <is>
          <t>45,00,000</t>
        </is>
      </c>
      <c r="F2271" t="inlineStr">
        <is>
          <t>MATERIAL SUPPLY IN GRAM PANCHAYAT PURA CHHOTI PS DHOD FOR MGNREGA AND OTHER SCHEME</t>
        </is>
      </c>
      <c r="G2271" t="inlineStr">
        <is>
          <t>PURA CHHOTI</t>
        </is>
      </c>
    </row>
    <row r="2272">
      <c r="A2272" s="1" t="n">
        <v>2270</v>
      </c>
      <c r="B2272">
        <f>HYPERLINK("https://eproc.rajasthan.gov.in/nicgep/app?component=%24DirectLink&amp;page=FrontEndViewTender&amp;service=direct&amp;session=T&amp;sp=S%2F7bCS687Oy4pR0dZHE0uRw%3D%3D", "Payajal pipe line work shernath ki dhani se rajkiya school 2 KSPM")</f>
        <v/>
      </c>
      <c r="C2272" t="inlineStr">
        <is>
          <t>Panchayati Raj Department||Secretary and Commissioner||CEO- GANGANAGAR||BDO-SURATGARH</t>
        </is>
      </c>
      <c r="D2272" t="inlineStr">
        <is>
          <t>21-May-2025 02:00 PM</t>
        </is>
      </c>
      <c r="E2272" t="inlineStr">
        <is>
          <t>10,00,000</t>
        </is>
      </c>
      <c r="F2272" t="inlineStr">
        <is>
          <t>Payajal pipe line work shernath ki dhani se rajkiya school 2 KSPM</t>
        </is>
      </c>
      <c r="G2272" t="inlineStr">
        <is>
          <t>Gram Panchyat Rajpura Piperan</t>
        </is>
      </c>
    </row>
    <row r="2273">
      <c r="A2273" s="1" t="n">
        <v>2271</v>
      </c>
      <c r="B2273">
        <f>HYPERLINK("https://eproc.rajasthan.gov.in/nicgep/app?component=%24DirectLink&amp;page=FrontEndViewTender&amp;service=direct&amp;session=T&amp;sp=SbcsiiFucha6M7S%2BYLWDtGA%3D%3D", "MATERIAL SUPPLY IN GRAM PANCHAYAT BHIMA PS DHOD FOR MGNREGA AND OTHER SCHEME")</f>
        <v/>
      </c>
      <c r="C2273" t="inlineStr">
        <is>
          <t>Panchayati Raj Department||Secretary and Commissioner||CEO-SIKAR||BDO-DANTARAMGARH</t>
        </is>
      </c>
      <c r="D2273" t="inlineStr">
        <is>
          <t>22-May-2025 06:00 PM</t>
        </is>
      </c>
      <c r="E2273" t="inlineStr">
        <is>
          <t>45,00,000</t>
        </is>
      </c>
      <c r="F2273" t="inlineStr">
        <is>
          <t>MATERIAL SUPPLY IN GRAM PANCHAYAT BHIMA PS DHOD FOR MGNREGA AND OTHER SCHEME</t>
        </is>
      </c>
      <c r="G2273" t="inlineStr">
        <is>
          <t>BHIMA</t>
        </is>
      </c>
    </row>
    <row r="2274">
      <c r="A2274" s="1" t="n">
        <v>2272</v>
      </c>
      <c r="B2274">
        <f>HYPERLINK("https://eproc.rajasthan.gov.in/nicgep/app?component=%24DirectLink&amp;page=FrontEndViewTender&amp;service=direct&amp;session=T&amp;sp=ST6mYUY1c3x8mUirmmDcEzg%3D%3D", "Annual Rate Contract of Material Supply and Equipment Arrangement for Year 2025-26 for Gram Panchayat Danda for MNREGA and All Other Schemes of Panchayati Raj Department")</f>
        <v/>
      </c>
      <c r="C2274" t="inlineStr">
        <is>
          <t>Panchayati Raj Department||Secretary and Commissioner||CEO-KARAULI||BDO-MASALPUR</t>
        </is>
      </c>
      <c r="D2274" t="inlineStr">
        <is>
          <t>21-May-2025 06:00 PM</t>
        </is>
      </c>
      <c r="E2274" t="inlineStr">
        <is>
          <t>1,00,00,000</t>
        </is>
      </c>
      <c r="F2274" t="inlineStr">
        <is>
          <t>Annual Rate Contract of Material Supply and Equipment Arrangement for Year 2025-26 for Gram Panchayat Danda for MNREGA and All Other Schemes of Panchayati Raj Department</t>
        </is>
      </c>
      <c r="G2274" t="inlineStr">
        <is>
          <t>DANDA</t>
        </is>
      </c>
    </row>
    <row r="2275">
      <c r="A2275" s="1" t="n">
        <v>2273</v>
      </c>
      <c r="B2275">
        <f>HYPERLINK("https://eproc.rajasthan.gov.in/nicgep/app?component=%24DirectLink&amp;page=FrontEndViewTender&amp;service=direct&amp;session=T&amp;sp=S62qx84b6jALcT9szcnoMNA%3D%3D", "MNREGA EVM ANY YOJNAO ME NIRMAN SAMGRI AAPURTI KI NIVIDA GRAM PANCHAYAT CHITORA")</f>
        <v/>
      </c>
      <c r="C2275" t="inlineStr">
        <is>
          <t>Panchayati Raj Department||Secretary and Commissioner||CEO- JAIPUR||BDO-MADHORAJ PURA</t>
        </is>
      </c>
      <c r="D2275" t="inlineStr">
        <is>
          <t>24-May-2025 12:00 PM</t>
        </is>
      </c>
      <c r="E2275" t="inlineStr">
        <is>
          <t>70,00,000</t>
        </is>
      </c>
      <c r="F2275" t="inlineStr">
        <is>
          <t>MNREGA EVM ANY YOJNAO ME NIRMAN SAMGRI AAPURTI KI NIVIDA GRAM PANCHAYAT CHITORA</t>
        </is>
      </c>
      <c r="G2275" t="inlineStr">
        <is>
          <t>GRAM PANCHAYAT</t>
        </is>
      </c>
    </row>
    <row r="2276">
      <c r="A2276" s="1" t="n">
        <v>2274</v>
      </c>
      <c r="B2276">
        <f>HYPERLINK("https://eproc.rajasthan.gov.in/nicgep/app?component=%24DirectLink&amp;page=FrontEndViewTender&amp;service=direct&amp;session=T&amp;sp=SEa7op%2FWuPdIo2ltdDwr%2FaA%3D%3D", "Construction of Open well tank with pump machinery work for drinking water in Gram panchayat Idana, Panchayat Samiti SALUMBAR District SALUMBAR (Raj.)")</f>
        <v/>
      </c>
      <c r="C2276" t="inlineStr">
        <is>
          <t>Panchayati Raj Department||Secretary and Commissioner||CEO-UDAIPUR||BDO-GIRVA</t>
        </is>
      </c>
      <c r="D2276" t="inlineStr">
        <is>
          <t>19-May-2025 06:00 PM</t>
        </is>
      </c>
      <c r="E2276" t="inlineStr">
        <is>
          <t>9,66,000</t>
        </is>
      </c>
      <c r="F2276" t="inlineStr">
        <is>
          <t>Construction of Open well tank with pump machinery work for drinking water in Gram panchayat Idana, Panchayat Samiti SALUMBAR District SALUMBAR (Raj.)</t>
        </is>
      </c>
      <c r="G2276" t="inlineStr">
        <is>
          <t>Gram panchayat Idana, Panchayat Samiti SALUMBAR</t>
        </is>
      </c>
    </row>
    <row r="2277">
      <c r="A2277" s="1" t="n">
        <v>2275</v>
      </c>
      <c r="B2277">
        <f>HYPERLINK("https://eproc.rajasthan.gov.in/nicgep/app?component=%24DirectLink&amp;page=FrontEndViewTender&amp;service=direct&amp;session=T&amp;sp=SiBiKc8Zo90GqXlfbQzg0XA%3D%3D", "Annual Rate Contract of Material Supply and Equipment Arrangement for Year 2025-26 for Gram Panchayat Dukabali for MNREGA and All Other Schemes of Panchayati Raj Department")</f>
        <v/>
      </c>
      <c r="C2277" t="inlineStr">
        <is>
          <t>Panchayati Raj Department||Secretary and Commissioner||CEO-KARAULI||BDO-MASALPUR</t>
        </is>
      </c>
      <c r="D2277" t="inlineStr">
        <is>
          <t>21-May-2025 06:00 PM</t>
        </is>
      </c>
      <c r="E2277" t="inlineStr">
        <is>
          <t>1,00,00,000</t>
        </is>
      </c>
      <c r="F2277" t="inlineStr">
        <is>
          <t>Annual Rate Contract of Material Supply and Equipment Arrangement for Year 2025-26 for Gram Panchayat Dukabali for MNREGA and All Other Schemes of Panchayati Raj Department</t>
        </is>
      </c>
      <c r="G2277" t="inlineStr">
        <is>
          <t>DUKABALI</t>
        </is>
      </c>
    </row>
    <row r="2278">
      <c r="A2278" s="1" t="n">
        <v>2276</v>
      </c>
      <c r="B2278">
        <f>HYPERLINK("https://eproc.rajasthan.gov.in/nicgep/app?component=%24DirectLink&amp;page=FrontEndViewTender&amp;service=direct&amp;session=T&amp;sp=S14soZnvWNv%2F3eSi9k6Y16w%3D%3D", "Annual Rate Contract of Material Supply and Equipment Arrangement for Year 2025-26 for Gram Panchayat Ledor Kalan for MNREGA and All Other Schemes of Panchayati Raj Department")</f>
        <v/>
      </c>
      <c r="C2278" t="inlineStr">
        <is>
          <t>Panchayati Raj Department||Secretary and Commissioner||CEO-KARAULI||BDO-MASALPUR</t>
        </is>
      </c>
      <c r="D2278" t="inlineStr">
        <is>
          <t>21-May-2025 06:00 PM</t>
        </is>
      </c>
      <c r="E2278" t="inlineStr">
        <is>
          <t>1,00,00,000</t>
        </is>
      </c>
      <c r="F2278" t="inlineStr">
        <is>
          <t>Annual Rate Contract of Material Supply and Equipment Arrangement for Year 2025-26 for Gram Panchayat Ledor Kalan for MNREGA and All Other Schemes of Panchayati Raj Department</t>
        </is>
      </c>
      <c r="G2278" t="inlineStr">
        <is>
          <t>LEDOR KALAN</t>
        </is>
      </c>
    </row>
    <row r="2279">
      <c r="A2279" s="1" t="n">
        <v>2277</v>
      </c>
      <c r="B2279">
        <f>HYPERLINK("https://eproc.rajasthan.gov.in/nicgep/app?component=%24DirectLink&amp;page=FrontEndViewTender&amp;service=direct&amp;session=T&amp;sp=SjsdF9Kk3DnY%2FMoV783Wf5w%3D%3D", "RinuMS")</f>
        <v/>
      </c>
      <c r="C2279" t="inlineStr">
        <is>
          <t>Panchayati Raj Department||Secretary and Commissioner||CEO-SIKAR||BDO-LAXMANGARH</t>
        </is>
      </c>
      <c r="D2279" t="inlineStr">
        <is>
          <t>27-May-2025 06:00 PM</t>
        </is>
      </c>
      <c r="E2279" t="inlineStr">
        <is>
          <t>40,00,000</t>
        </is>
      </c>
      <c r="F2279" t="inlineStr">
        <is>
          <t>Material_supply</t>
        </is>
      </c>
      <c r="G2279" t="inlineStr">
        <is>
          <t>Rinu</t>
        </is>
      </c>
    </row>
    <row r="2280">
      <c r="A2280" s="1" t="n">
        <v>2278</v>
      </c>
      <c r="B2280">
        <f>HYPERLINK("https://eproc.rajasthan.gov.in/nicgep/app?component=%24DirectLink&amp;page=FrontEndViewTender&amp;service=direct&amp;session=T&amp;sp=S2ZXZvqKvTq22VNhZFeIYdw%3D%3D", "ALL KIND OF BUILDING MATERIAL SUPPLY FOR GRAM PANCHAYAT TAPRA MGNREGA AND ALL SCHEME CIVIL CONSTRUCTION FOR FY 2025-26")</f>
        <v/>
      </c>
      <c r="C2280" t="inlineStr">
        <is>
          <t>Panchayati Raj Department||Secretary and Commissioner||CEO-BADMER||BDO-BALOTRA</t>
        </is>
      </c>
      <c r="D2280" t="inlineStr">
        <is>
          <t>21-May-2025 05:00 PM</t>
        </is>
      </c>
      <c r="E2280" t="inlineStr">
        <is>
          <t>80,00,000</t>
        </is>
      </c>
      <c r="F2280" t="inlineStr">
        <is>
          <t>supply work</t>
        </is>
      </c>
      <c r="G2280" t="inlineStr">
        <is>
          <t>gp Tapra</t>
        </is>
      </c>
    </row>
    <row r="2281">
      <c r="A2281" s="1" t="n">
        <v>2279</v>
      </c>
      <c r="B2281">
        <f>HYPERLINK("https://eproc.rajasthan.gov.in/nicgep/app?component=%24DirectLink&amp;page=FrontEndViewTender&amp;service=direct&amp;session=T&amp;sp=S3Dj67KV8xp8IGfhhioojlg%3D%3D", "Supply Of Various Construction Materials In Gram Panchayat For MG Nrega and Rural Development and Panchayati raj Departments Schemes for Financial Year 2025-26 URIKA")</f>
        <v/>
      </c>
      <c r="C2281" t="inlineStr">
        <is>
          <t>Panchayati Raj Department||Secretary and Commissioner||CEO-JHUNJHUNU||BDO-SURAJGARH</t>
        </is>
      </c>
      <c r="D2281" t="inlineStr">
        <is>
          <t>05-Jun-2025 02:00 PM</t>
        </is>
      </c>
      <c r="E2281" t="inlineStr">
        <is>
          <t>70,00,000</t>
        </is>
      </c>
      <c r="F2281" t="inlineStr">
        <is>
          <t>Supply Of Various Construction Materials In Gram Panchayat For MG Nrega and Rural Development and Panchayati raj Departments Schemes for Financial Year 2025-26 URIKA</t>
        </is>
      </c>
      <c r="G2281" t="inlineStr">
        <is>
          <t>gp urika</t>
        </is>
      </c>
    </row>
    <row r="2282">
      <c r="A2282" s="1" t="n">
        <v>2280</v>
      </c>
      <c r="B2282">
        <f>HYPERLINK("https://eproc.rajasthan.gov.in/nicgep/app?component=%24DirectLink&amp;page=FrontEndViewTender&amp;service=direct&amp;session=T&amp;sp=S9qVVvDHA3yKWEGCMPiFAYg%3D%3D", "Annual Rate Contract of Material Supply and Equipment Arrangement for Year 2025-26 for Gram Panchayat Kota Chhabar for MNREGA and All Other Schemes of Panchayati Raj Department")</f>
        <v/>
      </c>
      <c r="C2282" t="inlineStr">
        <is>
          <t>Panchayati Raj Department||Secretary and Commissioner||CEO-KARAULI||BDO-MASALPUR</t>
        </is>
      </c>
      <c r="D2282" t="inlineStr">
        <is>
          <t>21-May-2025 06:00 PM</t>
        </is>
      </c>
      <c r="E2282" t="inlineStr">
        <is>
          <t>1,00,00,000</t>
        </is>
      </c>
      <c r="F2282" t="inlineStr">
        <is>
          <t>Annual Rate Contract of Material Supply and Equipment Arrangement for Year 2025-26 for Gram Panchayat Kota Chhabar for MNREGA and All Other Schemes of Panchayati Raj Department</t>
        </is>
      </c>
      <c r="G2282" t="inlineStr">
        <is>
          <t>KOTA CHHABAR</t>
        </is>
      </c>
    </row>
    <row r="2283">
      <c r="A2283" s="1" t="n">
        <v>2281</v>
      </c>
      <c r="B2283">
        <f>HYPERLINK("https://eproc.rajasthan.gov.in/nicgep/app?component=%24DirectLink&amp;page=FrontEndViewTender&amp;service=direct&amp;session=T&amp;sp=S7T%2BW5owbqoUOTOh65HTmrg%3D%3D", "MNREGA EVM ANY YOJNAO ME NIRMAN SAMGRI AAPURTI KI NIVIDA GRAM PANCHAYAT DIDAWATA")</f>
        <v/>
      </c>
      <c r="C2283" t="inlineStr">
        <is>
          <t>Panchayati Raj Department||Secretary and Commissioner||CEO- JAIPUR||BDO-MADHORAJ PURA</t>
        </is>
      </c>
      <c r="D2283" t="inlineStr">
        <is>
          <t>24-May-2025 09:00 AM</t>
        </is>
      </c>
      <c r="E2283" t="inlineStr">
        <is>
          <t>90,00,000</t>
        </is>
      </c>
      <c r="F2283" t="inlineStr">
        <is>
          <t>MNREGA EVM ANY YOJNAO ME NIRMAN SAMGRI AAPURTI KI NIVIDA GRAM PANCHAYAT DIDAWATA MNREGA EVM ANY YOJNAO ME NIRMAN SAMGRI AAPURTI KI NIVIDA GRAM PANCHAYAT MNREGA EVM ANY YOJNAO ME NIRMAN SAMGRI AAPURTI KI NIVIDA GRAM PANCHAYAT DIDAWATA</t>
        </is>
      </c>
      <c r="G2283" t="inlineStr">
        <is>
          <t>gram panchayat</t>
        </is>
      </c>
    </row>
    <row r="2284">
      <c r="A2284" s="1" t="n">
        <v>2282</v>
      </c>
      <c r="B2284">
        <f>HYPERLINK("https://eproc.rajasthan.gov.in/nicgep/app?component=%24DirectLink&amp;page=FrontEndViewTender&amp;service=direct&amp;session=T&amp;sp=SWY7lZp5jAVkCPt9oi4EZZg%3D%3D", "RATE CONTRACT FOR MATERIAL SUPPLY OF BSR FY 2025-26 FOR SCHEME MGNREGA AND OTHER RDPR SCHEME GP SIYAMBER")</f>
        <v/>
      </c>
      <c r="C2284" t="inlineStr">
        <is>
          <t>Panchayati Raj Department||Secretary and Commissioner||CEO- JAISALMER||BDO-SAM</t>
        </is>
      </c>
      <c r="D2284" t="inlineStr">
        <is>
          <t>22-May-2025 06:00 PM</t>
        </is>
      </c>
      <c r="E2284" t="inlineStr">
        <is>
          <t>1,00,00,000</t>
        </is>
      </c>
      <c r="F2284" t="inlineStr">
        <is>
          <t>RATE CONTRACT FOR MATERIAL SUPPLY OF BSR FY 2025-26 FOR SCHEME MGNREGA AND OTHER RDPR SCHEME GP SIYAMBER</t>
        </is>
      </c>
      <c r="G2284" t="inlineStr">
        <is>
          <t>JAISALMER</t>
        </is>
      </c>
    </row>
    <row r="2285">
      <c r="A2285" s="1" t="n">
        <v>2283</v>
      </c>
      <c r="B2285">
        <f>HYPERLINK("https://eproc.rajasthan.gov.in/nicgep/app?component=%24DirectLink&amp;page=FrontEndViewTender&amp;service=direct&amp;session=T&amp;sp=Sh3xrDX1qfCt309b31ptBTQ%3D%3D", "RATE CONTRACT FOR MATERIAL SUPPLY OF BSR FY 2025-26 FOR SCHEME MGNREGA AND OTHER RDPR SCHEME GP BANDHA")</f>
        <v/>
      </c>
      <c r="C2285" t="inlineStr">
        <is>
          <t>Panchayati Raj Department||Secretary and Commissioner||CEO- JAISALMER||BDO-SAM</t>
        </is>
      </c>
      <c r="D2285" t="inlineStr">
        <is>
          <t>21-May-2025 06:00 PM</t>
        </is>
      </c>
      <c r="E2285" t="inlineStr">
        <is>
          <t>1,00,00,000</t>
        </is>
      </c>
      <c r="F2285" t="inlineStr">
        <is>
          <t>RATE CONTRACT FOR MATERIAL SUPPLY OF BSR FY 2025-26 FOR SCHEME MGNREGA AND OTHER RDPR SCHEME GP BANDHA</t>
        </is>
      </c>
      <c r="G2285" t="inlineStr">
        <is>
          <t>JAISALMER</t>
        </is>
      </c>
    </row>
    <row r="2286">
      <c r="A2286" s="1" t="n">
        <v>2284</v>
      </c>
      <c r="B2286">
        <f>HYPERLINK("https://eproc.rajasthan.gov.in/nicgep/app?component=%24DirectLink&amp;page=FrontEndViewTender&amp;service=direct&amp;session=T&amp;sp=S%2Ff%2B3T7JDwdw5aRwBDv%2F8%2Bg%3D%3D", "GRAM PANCHAYAT KE SAMAST GAVO ME GHR GHR SE KACHRA SANGRHAN V PRATHAKKARAN SADAK V NALI SAFAI CSC SAFAI GP SIHANA")</f>
        <v/>
      </c>
      <c r="C2286" t="inlineStr">
        <is>
          <t>Panchayati Raj Department||Secretary and Commissioner||CEO-CHITTORGARH||BDO-RASHMI</t>
        </is>
      </c>
      <c r="D2286" t="inlineStr">
        <is>
          <t>20-May-2025 10:00 AM</t>
        </is>
      </c>
      <c r="E2286" t="inlineStr">
        <is>
          <t>5,21,508</t>
        </is>
      </c>
      <c r="F2286" t="inlineStr">
        <is>
          <t>GRAM PANCHAYAT KE SAMAST GAVO ME GHR GHR SE KACHRA SANGRHAN V PRATHAKKARAN SADAK V NALI SAFAI CSC SAFAI GP SIHANA</t>
        </is>
      </c>
      <c r="G2286" t="inlineStr">
        <is>
          <t>GP SIHANA</t>
        </is>
      </c>
    </row>
    <row r="2287">
      <c r="A2287" s="1" t="n">
        <v>2285</v>
      </c>
      <c r="B2287">
        <f>HYPERLINK("https://eproc.rajasthan.gov.in/nicgep/app?component=%24DirectLink&amp;page=FrontEndViewTender&amp;service=direct&amp;session=T&amp;sp=S5Iae6suNGFqMfEzI7pQOAw%3D%3D", "supply of various construction materials and equipment servies GP SIHANA")</f>
        <v/>
      </c>
      <c r="C2287" t="inlineStr">
        <is>
          <t>Panchayati Raj Department||Secretary and Commissioner||CEO-CHITTORGARH||BDO-RASHMI</t>
        </is>
      </c>
      <c r="D2287" t="inlineStr">
        <is>
          <t>22-May-2025 10:00 AM</t>
        </is>
      </c>
      <c r="E2287" t="inlineStr">
        <is>
          <t>45,30,000</t>
        </is>
      </c>
      <c r="F2287" t="inlineStr">
        <is>
          <t>Supply of Various Construction Materials and Equipment Service Gram Panchayat Sihana P.S. Rashmi</t>
        </is>
      </c>
      <c r="G2287" t="inlineStr">
        <is>
          <t>GP SIHANA</t>
        </is>
      </c>
    </row>
    <row r="2288">
      <c r="A2288" s="1" t="n">
        <v>2286</v>
      </c>
      <c r="B2288">
        <f>HYPERLINK("https://eproc.rajasthan.gov.in/nicgep/app?component=%24DirectLink&amp;page=FrontEndViewTender&amp;service=direct&amp;session=T&amp;sp=S6WWxdg5X4vPPToZnqdWjyg%3D%3D", "Supply Of Various Construction Materials In Gram Panchayat For MG Nrega and Rural Development and Panchayati raj Departments Schemes for Financial Year 2025-26 Dhingriya")</f>
        <v/>
      </c>
      <c r="C2288" t="inlineStr">
        <is>
          <t>Panchayati Raj Department||Secretary and Commissioner||CEO-JHUNJHUNU||BDO-SURAJGARH</t>
        </is>
      </c>
      <c r="D2288" t="inlineStr">
        <is>
          <t>05-Jun-2025 02:00 PM</t>
        </is>
      </c>
      <c r="E2288" t="inlineStr">
        <is>
          <t>70,00,000</t>
        </is>
      </c>
      <c r="F2288" t="inlineStr">
        <is>
          <t>Supply Of Various Construction Materials In Gram Panchayat For MG Nrega and Rural Development and Panchayati raj Departments Schemes for Financial Year 2025-26 Dhingriya</t>
        </is>
      </c>
      <c r="G2288" t="inlineStr">
        <is>
          <t>gp dhingriya</t>
        </is>
      </c>
    </row>
    <row r="2289">
      <c r="A2289" s="1" t="n">
        <v>2287</v>
      </c>
      <c r="B2289">
        <f>HYPERLINK("https://eproc.rajasthan.gov.in/nicgep/app?component=%24DirectLink&amp;page=FrontEndViewTender&amp;service=direct&amp;session=T&amp;sp=SfK9egIMcNIpXhl0U8Qe6uQ%3D%3D", "Supply Of Various Construction Materials In Gram Panchayat For MG Nrega and Rural Development and Panchayati raj Departments Schemes for Financial Year 2025-26dalyon ki dhani")</f>
        <v/>
      </c>
      <c r="C2289" t="inlineStr">
        <is>
          <t>Panchayati Raj Department||Secretary and Commissioner||CEO-JHUNJHUNU||BDO-SURAJGARH</t>
        </is>
      </c>
      <c r="D2289" t="inlineStr">
        <is>
          <t>05-Jun-2025 02:00 PM</t>
        </is>
      </c>
      <c r="E2289" t="inlineStr">
        <is>
          <t>70,00,000</t>
        </is>
      </c>
      <c r="F2289" t="inlineStr">
        <is>
          <t>Supply Of Various Construction Materials In Gram Panchayat For MG Nrega and Rural Development and Panchayati raj Departments Schemes for Financial Year 2025-26dalyon ki dhani</t>
        </is>
      </c>
      <c r="G2289" t="inlineStr">
        <is>
          <t>gp dalmiyon ki dhani</t>
        </is>
      </c>
    </row>
    <row r="2290">
      <c r="A2290" s="1" t="n">
        <v>2288</v>
      </c>
      <c r="B2290">
        <f>HYPERLINK("https://eproc.rajasthan.gov.in/nicgep/app?component=%24DirectLink&amp;page=FrontEndViewTender&amp;service=direct&amp;session=T&amp;sp=SlkYqMMjp4yIh8MSym2KusA%3D%3D", "Panchyat Samiti Buhana ke Adhinasth Gram Panchyato me Gramin Vikash avm Panchyati Raj Vibhag ki Samast Vikash Yojnao me 2025-26 me Payjal hetu karvaye jane vale boorwell Karya")</f>
        <v/>
      </c>
      <c r="C2290" t="inlineStr">
        <is>
          <t>Panchayati Raj Department||Secretary and Commissioner||CEO-JHUNJHUNU||BDO-BUHANA</t>
        </is>
      </c>
      <c r="D2290" t="inlineStr">
        <is>
          <t>27-May-2025 06:00 PM</t>
        </is>
      </c>
      <c r="E2290" t="inlineStr">
        <is>
          <t>1,00,00,000</t>
        </is>
      </c>
      <c r="F2290" t="inlineStr">
        <is>
          <t>Panchyat Samiti Buhana ke Adhinasth Gram Panchyato me Gramin Vikash avm Panchyati Raj Vibhag ki Vikash Yojnao me 2025-26 me Payjal hetu karvaye jane vale boorwell Karya ke liye rate Contract</t>
        </is>
      </c>
      <c r="G2290" t="inlineStr">
        <is>
          <t>BDO Panchyat samiti Buhana</t>
        </is>
      </c>
    </row>
    <row r="2291">
      <c r="A2291" s="1" t="n">
        <v>2289</v>
      </c>
      <c r="B2291">
        <f>HYPERLINK("https://eproc.rajasthan.gov.in/nicgep/app?component=%24DirectLink&amp;page=FrontEndViewTender&amp;service=direct&amp;session=T&amp;sp=SRvNP9o0q3Eephfyyyi3gLA%3D%3D", "Supply Of Various Construction Materials In Gram Panchayat For MG Nrega and Rural Development and Panchayati raj Departments Schemes for Financial Year 2025-26 Bhawthdi")</f>
        <v/>
      </c>
      <c r="C2291" t="inlineStr">
        <is>
          <t>Panchayati Raj Department||Secretary and Commissioner||CEO-JHUNJHUNU||BDO-SURAJGARH</t>
        </is>
      </c>
      <c r="D2291" t="inlineStr">
        <is>
          <t>05-Jun-2025 02:00 PM</t>
        </is>
      </c>
      <c r="E2291" t="inlineStr">
        <is>
          <t>70,00,000</t>
        </is>
      </c>
      <c r="F2291" t="inlineStr">
        <is>
          <t>Supply Of Various Construction Materials In Gram Panchayat For MG Nrega and Rural Development and Panchayati raj Departments Schemes for Financial Year 2025-26 Bhawthdi</t>
        </is>
      </c>
      <c r="G2291" t="inlineStr">
        <is>
          <t>gp bhawthdi</t>
        </is>
      </c>
    </row>
    <row r="2292">
      <c r="A2292" s="1" t="n">
        <v>2290</v>
      </c>
      <c r="B2292">
        <f>HYPERLINK("https://eproc.rajasthan.gov.in/nicgep/app?component=%24DirectLink&amp;page=FrontEndViewTender&amp;service=direct&amp;session=T&amp;sp=SXDvnz%2FCa30odn3XMB9GmvA%3D%3D", "Supply Of Various Construction Materials In Gram Panchayat For MG Nrega and Rural Development and Panchayati raj Departments Schemes for Financial Year 2025-26 Berla")</f>
        <v/>
      </c>
      <c r="C2292" t="inlineStr">
        <is>
          <t>Panchayati Raj Department||Secretary and Commissioner||CEO-JHUNJHUNU||BDO-SURAJGARH</t>
        </is>
      </c>
      <c r="D2292" t="inlineStr">
        <is>
          <t>05-Jun-2025 02:00 PM</t>
        </is>
      </c>
      <c r="E2292" t="inlineStr">
        <is>
          <t>70,00,000</t>
        </is>
      </c>
      <c r="F2292" t="inlineStr">
        <is>
          <t>Supply Of Various Construction Materials In Gram Panchayat For MG Nrega and Rural Development and Panchayati raj Departments Schemes for Financial Year 2025-26 Berla</t>
        </is>
      </c>
      <c r="G2292" t="inlineStr">
        <is>
          <t>gp Berla</t>
        </is>
      </c>
    </row>
    <row r="2293">
      <c r="A2293" s="1" t="n">
        <v>2291</v>
      </c>
      <c r="B2293">
        <f>HYPERLINK("https://eproc.rajasthan.gov.in/nicgep/app?component=%24DirectLink&amp;page=FrontEndViewTender&amp;service=direct&amp;session=T&amp;sp=S%2F7KDSEAocUd6Vgi9Zmnw6A%3D%3D", "Supply Of Various Construction Materials In Gram Panchayat For MG Nrega and Rural Development and Panchayati raj Departments Schemes for Financial Year 2025-26 FARAT")</f>
        <v/>
      </c>
      <c r="C2293" t="inlineStr">
        <is>
          <t>Panchayati Raj Department||Secretary and Commissioner||CEO-JHUNJHUNU||BDO-SURAJGARH</t>
        </is>
      </c>
      <c r="D2293" t="inlineStr">
        <is>
          <t>05-Jun-2025 02:00 PM</t>
        </is>
      </c>
      <c r="E2293" t="inlineStr">
        <is>
          <t>70,00,000</t>
        </is>
      </c>
      <c r="F2293" t="inlineStr">
        <is>
          <t>Supply Of Various Construction Materials In Gram Panchayat For MG Nrega and Rural Development and Panchayati raj Departments Schemes for Financial Year 2025-26 FARAT</t>
        </is>
      </c>
      <c r="G2293" t="inlineStr">
        <is>
          <t>gp farat</t>
        </is>
      </c>
    </row>
    <row r="2294">
      <c r="A2294" s="1" t="n">
        <v>2292</v>
      </c>
      <c r="B2294">
        <f>HYPERLINK("https://eproc.rajasthan.gov.in/nicgep/app?component=%24DirectLink&amp;page=FrontEndViewTender&amp;service=direct&amp;session=T&amp;sp=ShsF%2FBIuphXuCh89NGFbPfQ%3D%3D", "Supply Of Various Construction Materials In Gram Panchayat For MG Nrega and Rural Development and Panchayati raj Departments Schemes for Financial Year 2025-26 Badsari ka bas")</f>
        <v/>
      </c>
      <c r="C2294" t="inlineStr">
        <is>
          <t>Panchayati Raj Department||Secretary and Commissioner||CEO-JHUNJHUNU||BDO-SURAJGARH</t>
        </is>
      </c>
      <c r="D2294" t="inlineStr">
        <is>
          <t>05-Jun-2025 02:00 PM</t>
        </is>
      </c>
      <c r="E2294" t="inlineStr">
        <is>
          <t>70,00,000</t>
        </is>
      </c>
      <c r="F2294" t="inlineStr">
        <is>
          <t>Supply Of Various Construction Materials In Gram Panchayat For MG Nrega and Rural Development and Panchayati raj Departments Schemes for Financial Year 2025-26 Badsari ka bas</t>
        </is>
      </c>
      <c r="G2294" t="inlineStr">
        <is>
          <t>gp badsari ka bas</t>
        </is>
      </c>
    </row>
    <row r="2295">
      <c r="A2295" s="1" t="n">
        <v>2293</v>
      </c>
      <c r="B2295">
        <f>HYPERLINK("https://eproc.rajasthan.gov.in/nicgep/app?component=%24DirectLink&amp;page=FrontEndViewTender&amp;service=direct&amp;session=T&amp;sp=SQ41bU3u8wP0bjLsVdzfz%2Bw%3D%3D", "Supply Of Various Construction Materials In Gram Panchayat For MG Nrega and Rural Development and Panchayati raj Departments Schemes for Financial Year 2025-26 Bamanwas")</f>
        <v/>
      </c>
      <c r="C2295" t="inlineStr">
        <is>
          <t>Panchayati Raj Department||Secretary and Commissioner||CEO-JHUNJHUNU||BDO-SURAJGARH</t>
        </is>
      </c>
      <c r="D2295" t="inlineStr">
        <is>
          <t>05-Jun-2025 02:00 PM</t>
        </is>
      </c>
      <c r="E2295" t="inlineStr">
        <is>
          <t>70,00,000</t>
        </is>
      </c>
      <c r="F2295" t="inlineStr">
        <is>
          <t>Supply Of Various Construction Materials In Gram Panchayat For MG Nrega and Rural Development and Panchayati raj Departments Schemes for Financial Year 2025-26 Bamanwas</t>
        </is>
      </c>
      <c r="G2295" t="inlineStr">
        <is>
          <t>gp bamanwas</t>
        </is>
      </c>
    </row>
    <row r="2296">
      <c r="A2296" s="1" t="n">
        <v>2294</v>
      </c>
      <c r="B2296">
        <f>HYPERLINK("https://eproc.rajasthan.gov.in/nicgep/app?component=%24DirectLink&amp;page=FrontEndViewTender&amp;service=direct&amp;session=T&amp;sp=StP3SMgxg8HkQ1ZiawE2B0Q%3D%3D", "Supply Of Various Construction Materials In Gram Panchayat For MG Nrega and Rural Development and Panchayati raj Departments Schemes for Financial Year 2025-26 Baloda")</f>
        <v/>
      </c>
      <c r="C2296" t="inlineStr">
        <is>
          <t>Panchayati Raj Department||Secretary and Commissioner||CEO-JHUNJHUNU||BDO-SURAJGARH</t>
        </is>
      </c>
      <c r="D2296" t="inlineStr">
        <is>
          <t>05-Jun-2025 02:00 PM</t>
        </is>
      </c>
      <c r="E2296" t="inlineStr">
        <is>
          <t>70,00,000</t>
        </is>
      </c>
      <c r="F2296" t="inlineStr">
        <is>
          <t>Supply Of Various Construction Materials In Gram Panchayat For MG Nrega and Rural Development and Panchayati raj Departments Schemes for Financial Year 2025-26 Baloda</t>
        </is>
      </c>
      <c r="G2296" t="inlineStr">
        <is>
          <t>gp baloda</t>
        </is>
      </c>
    </row>
    <row r="2297">
      <c r="A2297" s="1" t="n">
        <v>2295</v>
      </c>
      <c r="B2297">
        <f>HYPERLINK("https://eproc.rajasthan.gov.in/nicgep/app?component=%24DirectLink&amp;page=FrontEndViewTender&amp;service=direct&amp;session=T&amp;sp=S3pQ2wR53sZsUjkwU6CDezg%3D%3D", "Supply Of Various Construction Materials In Gram Panchayat For MG Nrega and Rural Development and Panchayati raj Departments Schemes for Financial Year 2025-26 agwana khurd")</f>
        <v/>
      </c>
      <c r="C2297" t="inlineStr">
        <is>
          <t>Panchayati Raj Department||Secretary and Commissioner||CEO-JHUNJHUNU||BDO-SURAJGARH</t>
        </is>
      </c>
      <c r="D2297" t="inlineStr">
        <is>
          <t>05-Jun-2025 02:00 PM</t>
        </is>
      </c>
      <c r="E2297" t="inlineStr">
        <is>
          <t>70,00,000</t>
        </is>
      </c>
      <c r="F2297" t="inlineStr">
        <is>
          <t>Supply Of Various Construction Materials In Gram Panchayat For MG Nrega and Rural Development and Panchayati raj Departments Schemes for Financial Year 2025-26 agwana khurd</t>
        </is>
      </c>
      <c r="G2297" t="inlineStr">
        <is>
          <t>gp agwana khurd</t>
        </is>
      </c>
    </row>
    <row r="2298">
      <c r="A2298" s="1" t="n">
        <v>2296</v>
      </c>
      <c r="B2298">
        <f>HYPERLINK("https://eproc.rajasthan.gov.in/nicgep/app?component=%24DirectLink&amp;page=FrontEndViewTender&amp;service=direct&amp;session=T&amp;sp=S8XaNVqWFrPhNsmNLJiQV4A%3D%3D", "Supply Of Various Construction Materials In Gram Panchayat For MG Nrega and Rural Development and Panchayati raj Departments Schemes for Financial Year 2025-26 KAJDA")</f>
        <v/>
      </c>
      <c r="C2298" t="inlineStr">
        <is>
          <t>Panchayati Raj Department||Secretary and Commissioner||CEO-JHUNJHUNU||BDO-SURAJGARH</t>
        </is>
      </c>
      <c r="D2298" t="inlineStr">
        <is>
          <t>05-Jun-2025 02:00 PM</t>
        </is>
      </c>
      <c r="E2298" t="inlineStr">
        <is>
          <t>70,00,000</t>
        </is>
      </c>
      <c r="F2298" t="inlineStr">
        <is>
          <t>Supply Of Various Construction Materials In Gram Panchayat For MG Nrega and Rural Development and Panchayati raj Departments Schemes for Financial Year 2025-26 KAJDA</t>
        </is>
      </c>
      <c r="G2298" t="inlineStr">
        <is>
          <t>gp kajda</t>
        </is>
      </c>
    </row>
    <row r="2299">
      <c r="A2299" s="1" t="n">
        <v>2297</v>
      </c>
      <c r="B2299">
        <f>HYPERLINK("https://eproc.rajasthan.gov.in/nicgep/app?component=%24DirectLink&amp;page=FrontEndViewTender&amp;service=direct&amp;session=T&amp;sp=SUsZ2gQtLtUX4%2FCCMxQJRfA%3D%3D", "Supply Of Various Construction Materials In Gram Panchayat For MG Nrega and Rural Development and Panchayati raj Departments Schemes for Financial Year 2025-26 KAKODA")</f>
        <v/>
      </c>
      <c r="C2299" t="inlineStr">
        <is>
          <t>Panchayati Raj Department||Secretary and Commissioner||CEO-JHUNJHUNU||BDO-SURAJGARH</t>
        </is>
      </c>
      <c r="D2299" t="inlineStr">
        <is>
          <t>05-Jun-2025 02:00 PM</t>
        </is>
      </c>
      <c r="E2299" t="inlineStr">
        <is>
          <t>70,00,000</t>
        </is>
      </c>
      <c r="F2299" t="inlineStr">
        <is>
          <t>Supply Of Various Construction Materials In Gram Panchayat For MG Nrega and Rural Development and Panchayati raj Departments Schemes for Financial Year 2025-26 KAKODA</t>
        </is>
      </c>
      <c r="G2299" t="inlineStr">
        <is>
          <t>gp kakoda</t>
        </is>
      </c>
    </row>
    <row r="2300">
      <c r="A2300" s="1" t="n">
        <v>2298</v>
      </c>
      <c r="B2300">
        <f>HYPERLINK("https://eproc.rajasthan.gov.in/nicgep/app?component=%24DirectLink&amp;page=FrontEndViewTender&amp;service=direct&amp;session=T&amp;sp=Soxwh34NX1fssFz%2FuzVYrZA%3D%3D", "Supply Of Various Construction Materials In Gram Panchayat For MG Nrega and Rural Development and Panchayati raj Departments Schemes for Financial Year 2025-26 JEENI")</f>
        <v/>
      </c>
      <c r="C2300" t="inlineStr">
        <is>
          <t>Panchayati Raj Department||Secretary and Commissioner||CEO-JHUNJHUNU||BDO-SURAJGARH</t>
        </is>
      </c>
      <c r="D2300" t="inlineStr">
        <is>
          <t>05-Jun-2025 02:00 PM</t>
        </is>
      </c>
      <c r="E2300" t="inlineStr">
        <is>
          <t>70,00,000</t>
        </is>
      </c>
      <c r="F2300" t="inlineStr">
        <is>
          <t>Supply Of Various Construction Materials In Gram Panchayat For MG Nrega and Rural Development and Panchayati raj Departments Schemes for Financial Year 2025-26 JEENI</t>
        </is>
      </c>
      <c r="G2300" t="inlineStr">
        <is>
          <t>gp jeeni</t>
        </is>
      </c>
    </row>
    <row r="2301">
      <c r="A2301" s="1" t="n">
        <v>2299</v>
      </c>
      <c r="B2301">
        <f>HYPERLINK("https://eproc.rajasthan.gov.in/nicgep/app?component=%24DirectLink&amp;page=FrontEndViewTender&amp;service=direct&amp;session=T&amp;sp=SbsSrLZr9Hu6iBVL%2F4lYdfw%3D%3D", "Supply Of Various Construction Materials In Gram Panchayat For MG Nrega and Rural Development and Panchayati raj Departments Schemes for Financial Year 2025-26 JAKHOD")</f>
        <v/>
      </c>
      <c r="C2301" t="inlineStr">
        <is>
          <t>Panchayati Raj Department||Secretary and Commissioner||CEO-JHUNJHUNU||BDO-SURAJGARH</t>
        </is>
      </c>
      <c r="D2301" t="inlineStr">
        <is>
          <t>05-Jun-2025 02:00 PM</t>
        </is>
      </c>
      <c r="E2301" t="inlineStr">
        <is>
          <t>70,00,000</t>
        </is>
      </c>
      <c r="F2301" t="inlineStr">
        <is>
          <t>Supply Of Various Construction Materials In Gram Panchayat For MG Nrega and Rural Development and Panchayati raj Departments Schemes for Financial Year 2025-26 JAKHOD</t>
        </is>
      </c>
      <c r="G2301" t="inlineStr">
        <is>
          <t>gp jakhod</t>
        </is>
      </c>
    </row>
    <row r="2302">
      <c r="A2302" s="1" t="n">
        <v>2300</v>
      </c>
      <c r="B2302">
        <f>HYPERLINK("https://eproc.rajasthan.gov.in/nicgep/app?component=%24DirectLink&amp;page=FrontEndViewTender&amp;service=direct&amp;session=T&amp;sp=Swu%2BmCaxv6XggBWqlF82jdQ%3D%3D", "Supply Of Various Construction Materials In Gram Panchayat For MG Nrega and Rural Development and Panchayati raj Departments Schemes for Financial Year 2025-26 LAKHU")</f>
        <v/>
      </c>
      <c r="C2302" t="inlineStr">
        <is>
          <t>Panchayati Raj Department||Secretary and Commissioner||CEO-JHUNJHUNU||BDO-SURAJGARH</t>
        </is>
      </c>
      <c r="D2302" t="inlineStr">
        <is>
          <t>05-Jun-2025 02:00 PM</t>
        </is>
      </c>
      <c r="E2302" t="inlineStr">
        <is>
          <t>70,00,000</t>
        </is>
      </c>
      <c r="F2302" t="inlineStr">
        <is>
          <t>Supply Of Various Construction Materials In Gram Panchayat For MG Nrega and Rural Development and Panchayati raj Departments Schemes for Financial Year 2025-26 LAKHU</t>
        </is>
      </c>
      <c r="G2302" t="inlineStr">
        <is>
          <t>gp lakhu</t>
        </is>
      </c>
    </row>
    <row r="2303">
      <c r="A2303" s="1" t="n">
        <v>2301</v>
      </c>
      <c r="B2303">
        <f>HYPERLINK("https://eproc.rajasthan.gov.in/nicgep/app?component=%24DirectLink&amp;page=FrontEndViewTender&amp;service=direct&amp;session=T&amp;sp=SPn4aVizfYBHeMrlsZJjNWA%3D%3D", "Supply Of Various Construction Materials In Gram Panchayat For MG Nrega and Rural Development and Panchayati raj Departments Schemes for Financial Year 2025-26 KIDWANA")</f>
        <v/>
      </c>
      <c r="C2303" t="inlineStr">
        <is>
          <t>Panchayati Raj Department||Secretary and Commissioner||CEO-JHUNJHUNU||BDO-SURAJGARH</t>
        </is>
      </c>
      <c r="D2303" t="inlineStr">
        <is>
          <t>05-Jun-2025 02:00 PM</t>
        </is>
      </c>
      <c r="E2303" t="inlineStr">
        <is>
          <t>70,00,000</t>
        </is>
      </c>
      <c r="F2303" t="inlineStr">
        <is>
          <t>Supply Of Various Construction Materials In Gram Panchayat For MG Nrega and Rural Development and Panchayati raj Departments Schemes for Financial Year 2025-26 KIDWANA</t>
        </is>
      </c>
      <c r="G2303" t="inlineStr">
        <is>
          <t>gp kidwana</t>
        </is>
      </c>
    </row>
    <row r="2304">
      <c r="A2304" s="1" t="n">
        <v>2302</v>
      </c>
      <c r="B2304">
        <f>HYPERLINK("https://eproc.rajasthan.gov.in/nicgep/app?component=%24DirectLink&amp;page=FrontEndViewTender&amp;service=direct&amp;session=T&amp;sp=S9eBCHMS7%2Fz6IyEixbYSzwg%3D%3D", "Supply Of Various Construction Materials In Gram Panchayat For MG Nrega and Rural Development and Panchayati raj Departments Schemes for Financial Year 2025-26 adooka")</f>
        <v/>
      </c>
      <c r="C2304" t="inlineStr">
        <is>
          <t>Panchayati Raj Department||Secretary and Commissioner||CEO-JHUNJHUNU||BDO-SURAJGARH</t>
        </is>
      </c>
      <c r="D2304" t="inlineStr">
        <is>
          <t>05-Jun-2025 02:00 PM</t>
        </is>
      </c>
      <c r="E2304" t="inlineStr">
        <is>
          <t>70,00,000</t>
        </is>
      </c>
      <c r="F2304" t="inlineStr">
        <is>
          <t>Supply Of Various Construction Materials In Gram Panchayat For MG Nrega and Rural Development and Panchayati raj Departments Schemes for Financial Year 2025-26 adooka</t>
        </is>
      </c>
      <c r="G2304" t="inlineStr">
        <is>
          <t>gp adooka</t>
        </is>
      </c>
    </row>
    <row r="2305">
      <c r="A2305" s="1" t="n">
        <v>2303</v>
      </c>
      <c r="B2305">
        <f>HYPERLINK("https://eproc.rajasthan.gov.in/nicgep/app?component=%24DirectLink&amp;page=FrontEndViewTender&amp;service=direct&amp;session=T&amp;sp=Sz1gV0GDE80qHEk3Tn4PxTA%3D%3D", "Supply Of Various Construction Materials In Gram Panchayat For MG Nrega and Rural Development and Panchayati raj Departments Schemes for Financial Year 2025-26 LOTIA")</f>
        <v/>
      </c>
      <c r="C2305" t="inlineStr">
        <is>
          <t>Panchayati Raj Department||Secretary and Commissioner||CEO-JHUNJHUNU||BDO-SURAJGARH</t>
        </is>
      </c>
      <c r="D2305" t="inlineStr">
        <is>
          <t>05-Jun-2025 02:00 PM</t>
        </is>
      </c>
      <c r="E2305" t="inlineStr">
        <is>
          <t>70,00,000</t>
        </is>
      </c>
      <c r="F2305" t="inlineStr">
        <is>
          <t>Supply Of Various Construction Materials In Gram Panchayat For MG Nrega and Rural Development and Panchayati raj Departments Schemes for Financial Year 2025-26 LOTIA</t>
        </is>
      </c>
      <c r="G2305" t="inlineStr">
        <is>
          <t>gp lotia</t>
        </is>
      </c>
    </row>
    <row r="2306">
      <c r="A2306" s="1" t="n">
        <v>2304</v>
      </c>
      <c r="B2306">
        <f>HYPERLINK("https://eproc.rajasthan.gov.in/nicgep/app?component=%24DirectLink&amp;page=FrontEndViewTender&amp;service=direct&amp;session=T&amp;sp=SPZB8xvt%2Br146EwPuW30bgg%3D%3D", "Supply Of Various Construction Materials In Gram Panchayat For MG Nrega and Rural Development and Panchayati raj Departments Schemes for Financial Year 2025-26 PILOD")</f>
        <v/>
      </c>
      <c r="C2306" t="inlineStr">
        <is>
          <t>Panchayati Raj Department||Secretary and Commissioner||CEO-JHUNJHUNU||BDO-SURAJGARH</t>
        </is>
      </c>
      <c r="D2306" t="inlineStr">
        <is>
          <t>05-Jun-2025 02:00 PM</t>
        </is>
      </c>
      <c r="E2306" t="inlineStr">
        <is>
          <t>70,00,000</t>
        </is>
      </c>
      <c r="F2306" t="inlineStr">
        <is>
          <t>Supply Of Various Construction Materials In Gram Panchayat For MG Nrega and Rural Development and Panchayati raj Departments Schemes for Financial Year 2025-26 PILOD</t>
        </is>
      </c>
      <c r="G2306" t="inlineStr">
        <is>
          <t>gp pilod</t>
        </is>
      </c>
    </row>
    <row r="2307">
      <c r="A2307" s="1" t="n">
        <v>2305</v>
      </c>
      <c r="B2307">
        <f>HYPERLINK("https://eproc.rajasthan.gov.in/nicgep/app?component=%24DirectLink&amp;page=FrontEndViewTender&amp;service=direct&amp;session=T&amp;sp=SchO7CLC8PpZJ%2FBIVN67p2g%3D%3D", "Supply Of Various Construction Materials In Gram Panchayat For MG Nrega and Rural Development and Panchayati raj Departments Schemes for Financial Year 2025-26 SEHIKALAN")</f>
        <v/>
      </c>
      <c r="C2307" t="inlineStr">
        <is>
          <t>Panchayati Raj Department||Secretary and Commissioner||CEO-JHUNJHUNU||BDO-SURAJGARH</t>
        </is>
      </c>
      <c r="D2307" t="inlineStr">
        <is>
          <t>05-Jun-2025 02:00 PM</t>
        </is>
      </c>
      <c r="E2307" t="inlineStr">
        <is>
          <t>70,00,000</t>
        </is>
      </c>
      <c r="F2307" t="inlineStr">
        <is>
          <t>Supply Of Various Construction Materials In Gram Panchayat For MG Nrega and Rural Development and Panchayati raj Departments Schemes for Financial Year 2025-26 SEHIKALAN</t>
        </is>
      </c>
      <c r="G2307" t="inlineStr">
        <is>
          <t>GP SEHIKALAN</t>
        </is>
      </c>
    </row>
    <row r="2308">
      <c r="A2308" s="1" t="n">
        <v>2306</v>
      </c>
      <c r="B2308">
        <f>HYPERLINK("https://eproc.rajasthan.gov.in/nicgep/app?component=%24DirectLink&amp;page=FrontEndViewTender&amp;service=direct&amp;session=T&amp;sp=SvX%2FmAXM2S8Z0n1T2lxeMQQ%3D%3D", "Supply Of Various Construction Materials In Gram Panchayat For MG Nrega and Rural Development and Panchayati raj Departments Schemes for Financial Year 2025-26SWAMISEHI")</f>
        <v/>
      </c>
      <c r="C2308" t="inlineStr">
        <is>
          <t>Panchayati Raj Department||Secretary and Commissioner||CEO-JHUNJHUNU||BDO-SURAJGARH</t>
        </is>
      </c>
      <c r="D2308" t="inlineStr">
        <is>
          <t>05-Jun-2025 02:00 PM</t>
        </is>
      </c>
      <c r="E2308" t="inlineStr">
        <is>
          <t>70,00,000</t>
        </is>
      </c>
      <c r="F2308" t="inlineStr">
        <is>
          <t>Supply Of Various Construction Materials In Gram Panchayat For MG Nrega and Rural Development and Panchayati raj Departments Schemes for Financial Year 2025-26SWAMISEHI</t>
        </is>
      </c>
      <c r="G2308" t="inlineStr">
        <is>
          <t>gp swamisehi</t>
        </is>
      </c>
    </row>
    <row r="2309">
      <c r="A2309" s="1" t="n">
        <v>2307</v>
      </c>
      <c r="B2309">
        <f>HYPERLINK("https://eproc.rajasthan.gov.in/nicgep/app?component=%24DirectLink&amp;page=FrontEndViewTender&amp;service=direct&amp;session=T&amp;sp=SyNJu%2Fuaq4TsZP1pSMo%2BiKA%3D%3D", "Supply Of Various Construction Materials In Gram Panchayat For MG Nrega and Rural Development and Panchayati raj Departments Schemes for Financial Year 2025-26 MEHPALWAS")</f>
        <v/>
      </c>
      <c r="C2309" t="inlineStr">
        <is>
          <t>Panchayati Raj Department||Secretary and Commissioner||CEO-JHUNJHUNU||BDO-SURAJGARH</t>
        </is>
      </c>
      <c r="D2309" t="inlineStr">
        <is>
          <t>05-Jun-2025 02:00 PM</t>
        </is>
      </c>
      <c r="E2309" t="inlineStr">
        <is>
          <t>70,00,000</t>
        </is>
      </c>
      <c r="F2309" t="inlineStr">
        <is>
          <t>Supply Of Various Construction Materials In Gram Panchayat For MG Nrega and Rural Development and Panchayati raj Departments Schemes for Financial Year 2025-26 MEHPALWAS</t>
        </is>
      </c>
      <c r="G2309" t="inlineStr">
        <is>
          <t>gp mehpalwas</t>
        </is>
      </c>
    </row>
    <row r="2310">
      <c r="A2310" s="1" t="n">
        <v>2308</v>
      </c>
      <c r="B2310">
        <f>HYPERLINK("https://eproc.rajasthan.gov.in/nicgep/app?component=%24DirectLink&amp;page=FrontEndViewTender&amp;service=direct&amp;session=T&amp;sp=Sh%2BA6sGwE1O7ieYeHaomCkA%3D%3D", "Supply Of Various Construction Materials In Gram Panchayat For MG Nrega and Rural Development and Panchayati raj Departments Schemes for Financial Year 2025-26 KULOTH KHURD")</f>
        <v/>
      </c>
      <c r="C2310" t="inlineStr">
        <is>
          <t>Panchayati Raj Department||Secretary and Commissioner||CEO-JHUNJHUNU||BDO-SURAJGARH</t>
        </is>
      </c>
      <c r="D2310" t="inlineStr">
        <is>
          <t>05-Jun-2025 02:00 PM</t>
        </is>
      </c>
      <c r="E2310" t="inlineStr">
        <is>
          <t>70,00,000</t>
        </is>
      </c>
      <c r="F2310" t="inlineStr">
        <is>
          <t>Supply Of Various Construction Materials In Gram Panchayat For MG Nrega and Rural Development and Panchayati raj Departments Schemes for Financial Year 2025-26 KULOTH KHURD</t>
        </is>
      </c>
      <c r="G2310" t="inlineStr">
        <is>
          <t>GP KULOTH KHURD</t>
        </is>
      </c>
    </row>
    <row r="2311">
      <c r="A2311" s="1" t="n">
        <v>2309</v>
      </c>
      <c r="B2311">
        <f>HYPERLINK("https://eproc.rajasthan.gov.in/nicgep/app?component=%24DirectLink&amp;page=FrontEndViewTender&amp;service=direct&amp;session=T&amp;sp=S7YE0sfy%2FPA%2FbPLLRUHpHxA%3D%3D", "Supply Of Various Construction Materials In Gram Panchayat For MG Nrega and Rural Development and Panchayati raj Departments Schemes for Financial Year 2025-26 KULOTH KALAN")</f>
        <v/>
      </c>
      <c r="C2311" t="inlineStr">
        <is>
          <t>Panchayati Raj Department||Secretary and Commissioner||CEO-JHUNJHUNU||BDO-SURAJGARH</t>
        </is>
      </c>
      <c r="D2311" t="inlineStr">
        <is>
          <t>05-Jun-2025 02:00 PM</t>
        </is>
      </c>
      <c r="E2311" t="inlineStr">
        <is>
          <t>70,00,000</t>
        </is>
      </c>
      <c r="F2311" t="inlineStr">
        <is>
          <t>Supply Of Various Construction Materials In Gram Panchayat For MG Nrega and Rural Development and Panchayati raj Departments Schemes for Financial Year 2025-26 KULOTH KALAN</t>
        </is>
      </c>
      <c r="G2311" t="inlineStr">
        <is>
          <t>gp kuloth kalan</t>
        </is>
      </c>
    </row>
    <row r="2312">
      <c r="A2312" s="1" t="n">
        <v>2310</v>
      </c>
      <c r="B2312">
        <f>HYPERLINK("https://eproc.rajasthan.gov.in/nicgep/app?component=%24DirectLink&amp;page=FrontEndViewTender&amp;service=direct&amp;session=T&amp;sp=SledbF6sT6v0h%2BzcOw7706g%3D%3D", "RATE CONTRACT FOR Work including door-to-door(residential and commercial)garbage collection and segregation, road and drain cleaning, and community sanitation premises cleaning in all villages of the Gram Panchayat PEETH FY-2025-26 FOR SCHEME SBM")</f>
        <v/>
      </c>
      <c r="C2312" t="inlineStr">
        <is>
          <t>Panchayati Raj Department||Secretary and Commissioner||CEO- DUNGARPUR||BDO-JHOTHARI</t>
        </is>
      </c>
      <c r="D2312" t="inlineStr">
        <is>
          <t>19-May-2025 05:00 PM</t>
        </is>
      </c>
      <c r="E2312" t="inlineStr">
        <is>
          <t>18,44,000</t>
        </is>
      </c>
      <c r="F2312" t="inlineStr">
        <is>
          <t>RATE CONTRACT FOR Work including door-to-door(residential and commercial)garbage collection and segregation, road and drain cleaning, and community sanitation premises cleaning in all villages of the Gram Panchayat PEETH FY-2025-26 FOR SCHEME SBM</t>
        </is>
      </c>
      <c r="G2312" t="inlineStr">
        <is>
          <t>PEETH</t>
        </is>
      </c>
    </row>
    <row r="2313">
      <c r="A2313" s="1" t="n">
        <v>2311</v>
      </c>
      <c r="B2313">
        <f>HYPERLINK("https://eproc.rajasthan.gov.in/nicgep/app?component=%24DirectLink&amp;page=FrontEndViewTender&amp;service=direct&amp;session=T&amp;sp=S0nLif4CZiEDnIYh7ryISFA%3D%3D", "CC SADAK MY NALI NIRMAN KARYA SAMPAT SINGH KE NOHRE SE SATI MATA TALAB KI PAL KE PASS REVADA")</f>
        <v/>
      </c>
      <c r="C2313" t="inlineStr">
        <is>
          <t>Panchayati Raj Department||Secretary and Commissioner||CEO-CHITTORGARH||BDO-RASHMI</t>
        </is>
      </c>
      <c r="D2313" t="inlineStr">
        <is>
          <t>20-May-2025 10:00 AM</t>
        </is>
      </c>
      <c r="E2313" t="inlineStr">
        <is>
          <t>9,79,000</t>
        </is>
      </c>
      <c r="F2313" t="inlineStr">
        <is>
          <t>CC SADAK MY NALI NIRMAN KARYA SAMPAT SINGH KE NOHRE SE SATI MATA TALAB KI PAL KE PASS REVADA</t>
        </is>
      </c>
      <c r="G2313" t="inlineStr">
        <is>
          <t>GP REVADA</t>
        </is>
      </c>
    </row>
    <row r="2314">
      <c r="A2314" s="1" t="n">
        <v>2312</v>
      </c>
      <c r="B2314">
        <f>HYPERLINK("https://eproc.rajasthan.gov.in/nicgep/app?component=%24DirectLink&amp;page=FrontEndViewTender&amp;service=direct&amp;session=T&amp;sp=SU2YURohBDzc151Wj%2BGXwTQ%3D%3D", "RATE CONTRACT FOR Work including door-to-door(residential and commercial)garbage collection and segregation, road and drain cleaning, and community sanitation premises cleaning in all villages of the Gram Panchayat DHAMBOLA FY-2025-26 FOR SCHEME SBM")</f>
        <v/>
      </c>
      <c r="C2314" t="inlineStr">
        <is>
          <t>Panchayati Raj Department||Secretary and Commissioner||CEO- DUNGARPUR||BDO-JHOTHARI</t>
        </is>
      </c>
      <c r="D2314" t="inlineStr">
        <is>
          <t>19-May-2025 05:00 PM</t>
        </is>
      </c>
      <c r="E2314" t="inlineStr">
        <is>
          <t>18,87,000</t>
        </is>
      </c>
      <c r="F2314" t="inlineStr">
        <is>
          <t>RATE CONTRACT FOR Work including door-to-door(residential and commercial)garbage collection and segregation, road and drain cleaning, and community sanitation premises cleaning in all villages of the Gram Panchayat DHAMBOLA FY-2025-26 FOR SCHEME SBM</t>
        </is>
      </c>
      <c r="G2314" t="inlineStr">
        <is>
          <t>DHAMBOLA</t>
        </is>
      </c>
    </row>
    <row r="2315">
      <c r="A2315" s="1" t="n">
        <v>2313</v>
      </c>
      <c r="B2315">
        <f>HYPERLINK("https://eproc.rajasthan.gov.in/nicgep/app?component=%24DirectLink&amp;page=FrontEndViewTender&amp;service=direct&amp;session=T&amp;sp=Sg7CdoCpudvFsdtO2OYHVKQ%3D%3D", "RATE CONTRACT FOR Work including door-to-door(residential and commercial)garbage collection and segregation, road and drain cleaning, and community sanitation premises cleaning in all villages of the Gram Panchayat SIMALWARA FY-2025-26 FOR SCHEME SBM")</f>
        <v/>
      </c>
      <c r="C2315" t="inlineStr">
        <is>
          <t>Panchayati Raj Department||Secretary and Commissioner||CEO- DUNGARPUR||BDO-JHOTHARI</t>
        </is>
      </c>
      <c r="D2315" t="inlineStr">
        <is>
          <t>19-May-2025 05:00 PM</t>
        </is>
      </c>
      <c r="E2315" t="inlineStr">
        <is>
          <t>20,72,000</t>
        </is>
      </c>
      <c r="F2315" t="inlineStr">
        <is>
          <t>RATE CONTRACT FOR Work including door-to-door(residential and commercial)garbage collection and segregation, road and drain cleaning, and community sanitation premises cleaning in all villages of the Gram Panchayat SIMALWARA FY-2025-26 FOR SCHEME SBM</t>
        </is>
      </c>
      <c r="G2315" t="inlineStr">
        <is>
          <t>SIMALWARA</t>
        </is>
      </c>
    </row>
    <row r="2316">
      <c r="A2316" s="1" t="n">
        <v>2314</v>
      </c>
      <c r="B2316">
        <f>HYPERLINK("https://eproc.rajasthan.gov.in/nicgep/app?component=%24DirectLink&amp;page=FrontEndViewTender&amp;service=direct&amp;session=T&amp;sp=SyO8M8UimXj8KevPBsfpXig%3D%3D", "NALA NIRMAN KARYA RAM LAL JI MALI KE MAKN SE NANDRAM JI JAT KE KHET KI TRAF REVADA")</f>
        <v/>
      </c>
      <c r="C2316" t="inlineStr">
        <is>
          <t>Panchayati Raj Department||Secretary and Commissioner||CEO-CHITTORGARH||BDO-RASHMI</t>
        </is>
      </c>
      <c r="D2316" t="inlineStr">
        <is>
          <t>20-May-2025 10:00 AM</t>
        </is>
      </c>
      <c r="E2316" t="inlineStr">
        <is>
          <t>7,83,000</t>
        </is>
      </c>
      <c r="F2316" t="inlineStr">
        <is>
          <t>NALA NIRMAN KARYA RAM LAL JI MALI KE MAKN SE NANDRAM JI JAT KE KHET KI TRAF REVADA</t>
        </is>
      </c>
      <c r="G2316" t="inlineStr">
        <is>
          <t>GP REVADA</t>
        </is>
      </c>
    </row>
    <row r="2317">
      <c r="A2317" s="1" t="n">
        <v>2315</v>
      </c>
      <c r="B2317">
        <f>HYPERLINK("https://eproc.rajasthan.gov.in/nicgep/app?component=%24DirectLink&amp;page=FrontEndViewTender&amp;service=direct&amp;session=T&amp;sp=SrTPyMqnN5nQqxEBrT19CcQ%3D%3D", "SARVJANIK PARK NIRMAN V CHAR DIWARI NIRMAN KARYA REVADA")</f>
        <v/>
      </c>
      <c r="C2317" t="inlineStr">
        <is>
          <t>Panchayati Raj Department||Secretary and Commissioner||CEO-CHITTORGARH||BDO-RASHMI</t>
        </is>
      </c>
      <c r="D2317" t="inlineStr">
        <is>
          <t>20-May-2025 10:00 AM</t>
        </is>
      </c>
      <c r="E2317" t="inlineStr">
        <is>
          <t>9,79,000</t>
        </is>
      </c>
      <c r="F2317" t="inlineStr">
        <is>
          <t>SARVJANIK PARK NIRMAN V CHAR DIWARI NIRMAN KARYA REVADA</t>
        </is>
      </c>
      <c r="G2317" t="inlineStr">
        <is>
          <t>GP REVADA</t>
        </is>
      </c>
    </row>
    <row r="2318">
      <c r="A2318" s="1" t="n">
        <v>2316</v>
      </c>
      <c r="B2318">
        <f>HYPERLINK("https://eproc.rajasthan.gov.in/nicgep/app?component=%24DirectLink&amp;page=FrontEndViewTender&amp;service=direct&amp;session=T&amp;sp=S0%2BvvjS3SxFZ2VjbAshk42w%3D%3D", "Rajkiya Uchcha Madhyamik Vidyalaya Paner me 02 kamare nirman karya")</f>
        <v/>
      </c>
      <c r="C2318" t="inlineStr">
        <is>
          <t>Panchayati Raj Department||Secretary and Commissioner||CEO-UDAIPUR||BDO-SAYRA</t>
        </is>
      </c>
      <c r="D2318" t="inlineStr">
        <is>
          <t>19-May-2025 06:00 PM</t>
        </is>
      </c>
      <c r="E2318" t="inlineStr">
        <is>
          <t>24,00,000</t>
        </is>
      </c>
      <c r="F2318" t="inlineStr">
        <is>
          <t>Rajkiya Uchcha Madhyamik Vidyalaya Paner me 02 kamare nirman karya Gram Panchayat Paner, PS Sayara, Udaipur (Raj)</t>
        </is>
      </c>
      <c r="G2318" t="inlineStr">
        <is>
          <t>Paner</t>
        </is>
      </c>
    </row>
    <row r="2319">
      <c r="A2319" s="1" t="n">
        <v>2317</v>
      </c>
      <c r="B2319">
        <f>HYPERLINK("https://eproc.rajasthan.gov.in/nicgep/app?component=%24DirectLink&amp;page=FrontEndViewTender&amp;service=direct&amp;session=T&amp;sp=SE%2FLPY3KLHpFO3BXmi5q%2Bdw%3D%3D", "Rajkiya Uchcha Madhyamik Vidyalaya Punawali me 02 kamare nirman karya")</f>
        <v/>
      </c>
      <c r="C2319" t="inlineStr">
        <is>
          <t>Panchayati Raj Department||Secretary and Commissioner||CEO-UDAIPUR||BDO-SAYRA</t>
        </is>
      </c>
      <c r="D2319" t="inlineStr">
        <is>
          <t>21-May-2025 06:00 PM</t>
        </is>
      </c>
      <c r="E2319" t="inlineStr">
        <is>
          <t>24,00,000</t>
        </is>
      </c>
      <c r="F2319" t="inlineStr">
        <is>
          <t>Rajkiya Uchcha Madhyamik Vidyalaya Punawali me 02 kamare nirman karya Gram Panchayat Punawali</t>
        </is>
      </c>
      <c r="G2319" t="inlineStr">
        <is>
          <t>Punawali</t>
        </is>
      </c>
    </row>
    <row r="2320">
      <c r="A2320" s="1" t="n">
        <v>2318</v>
      </c>
      <c r="B2320">
        <f>HYPERLINK("https://eproc.rajasthan.gov.in/nicgep/app?component=%24DirectLink&amp;page=FrontEndViewTender&amp;service=direct&amp;session=T&amp;sp=Slj6i4lGLLwnIWdEI6fVGog%3D%3D", "Rajkiya Uchcha Prathmik Vidyalaya Umrod me kaksha kaksh nirman karya")</f>
        <v/>
      </c>
      <c r="C2320" t="inlineStr">
        <is>
          <t>Panchayati Raj Department||Secretary and Commissioner||CEO-UDAIPUR||BDO-SAYRA</t>
        </is>
      </c>
      <c r="D2320" t="inlineStr">
        <is>
          <t>22-May-2025 06:00 PM</t>
        </is>
      </c>
      <c r="E2320" t="inlineStr">
        <is>
          <t>10,00,000</t>
        </is>
      </c>
      <c r="F2320" t="inlineStr">
        <is>
          <t>Rajkiya Uchcha Prathmik Vidyalaya Umrod me kaksha kaksh nirman karya Gram Panchayat Punawali PS Sayra</t>
        </is>
      </c>
      <c r="G2320" t="inlineStr">
        <is>
          <t>Umrod (Punawali)</t>
        </is>
      </c>
    </row>
    <row r="2321">
      <c r="A2321" s="1" t="n">
        <v>2319</v>
      </c>
      <c r="B2321">
        <f>HYPERLINK("https://eproc.rajasthan.gov.in/nicgep/app?component=%24DirectLink&amp;page=FrontEndViewTender&amp;service=direct&amp;session=T&amp;sp=S5W%2BSKlSF6dmZsGhKMEyNqQ%3D%3D", "Rajkiya Uchcha Madhyamik Vidyalaya Gundali me 02 kamare nirman karya")</f>
        <v/>
      </c>
      <c r="C2321" t="inlineStr">
        <is>
          <t>Panchayati Raj Department||Secretary and Commissioner||CEO-UDAIPUR||BDO-SAYRA</t>
        </is>
      </c>
      <c r="D2321" t="inlineStr">
        <is>
          <t>20-May-2025 06:00 PM</t>
        </is>
      </c>
      <c r="E2321" t="inlineStr">
        <is>
          <t>24,00,000</t>
        </is>
      </c>
      <c r="F2321" t="inlineStr">
        <is>
          <t>Rajkiya Uchcha Madhyamik Vidyalaya Gundali me 02 kamare nirman karya Gram Panchayat Gundali, PS Sayra</t>
        </is>
      </c>
      <c r="G2321" t="inlineStr">
        <is>
          <t>Gundali</t>
        </is>
      </c>
    </row>
    <row r="2322">
      <c r="A2322" s="1" t="n">
        <v>2320</v>
      </c>
      <c r="B2322">
        <f>HYPERLINK("https://eproc.rajasthan.gov.in/nicgep/app?component=%24DirectLink&amp;page=FrontEndViewTender&amp;service=direct&amp;session=T&amp;sp=StDRJ5dDsFitHqEwOBed5aw%3D%3D", "Rajkiya uchch madhyamik vidyalaya Ghanawal me 02 kamare nirman karya")</f>
        <v/>
      </c>
      <c r="C2322" t="inlineStr">
        <is>
          <t>Panchayati Raj Department||Secretary and Commissioner||CEO-UDAIPUR||BDO-SAYRA</t>
        </is>
      </c>
      <c r="D2322" t="inlineStr">
        <is>
          <t>21-May-2025 06:00 PM</t>
        </is>
      </c>
      <c r="E2322" t="inlineStr">
        <is>
          <t>24,00,000</t>
        </is>
      </c>
      <c r="F2322" t="inlineStr">
        <is>
          <t>Rajkiya uchch madhyamik vidyalaya Ghanawal me 02 kamare nirman karya Gram Panchayat Ghanawal</t>
        </is>
      </c>
      <c r="G2322" t="inlineStr">
        <is>
          <t>Ghanawal</t>
        </is>
      </c>
    </row>
    <row r="2323">
      <c r="A2323" s="1" t="n">
        <v>2321</v>
      </c>
      <c r="B2323">
        <f>HYPERLINK("https://eproc.rajasthan.gov.in/nicgep/app?component=%24DirectLink&amp;page=FrontEndViewTender&amp;service=direct&amp;session=T&amp;sp=SU9%2FZAEKpdwPi9MEWE3DU2w%3D%3D", "Work including door-to-door (residential and commercial) garbage collection and segregation, road and drain cleaning and community sanitation premises cleaning in all villages of Gram Panchayat Patti Kishorpura")</f>
        <v/>
      </c>
      <c r="C2323" t="inlineStr">
        <is>
          <t>Panchayati Raj Department||Secretary and Commissioner||CEO-DAUSA||BDO-LALSOT</t>
        </is>
      </c>
      <c r="D2323" t="inlineStr">
        <is>
          <t>21-May-2025 06:00 PM</t>
        </is>
      </c>
      <c r="E2323" t="inlineStr">
        <is>
          <t>6,29,275</t>
        </is>
      </c>
      <c r="F2323" t="inlineStr">
        <is>
          <t>Work including door-to-door (residential and commercial) garbage collection and segregation, road and drain cleaning and community sanitation premises cleaning in all villages of Gram Panchayat Patti Kishorpura</t>
        </is>
      </c>
      <c r="G2323" t="inlineStr">
        <is>
          <t>Gram Panchayat Patti Kishorpura</t>
        </is>
      </c>
    </row>
    <row r="2324">
      <c r="A2324" s="1" t="n">
        <v>2322</v>
      </c>
      <c r="B2324">
        <f>HYPERLINK("https://eproc.rajasthan.gov.in/nicgep/app?component=%24DirectLink&amp;page=FrontEndViewTender&amp;service=direct&amp;session=T&amp;sp=SagaRvj%2B3SpXvwNbUsyM6QQ%3D%3D", "Mahatma Gandhi Rajkiya Vidyalaya Angreji Madhyam Sayra me 02 kamare nirman karya")</f>
        <v/>
      </c>
      <c r="C2324" t="inlineStr">
        <is>
          <t>Panchayati Raj Department||Secretary and Commissioner||CEO-UDAIPUR||BDO-SAYRA</t>
        </is>
      </c>
      <c r="D2324" t="inlineStr">
        <is>
          <t>22-May-2025 06:00 PM</t>
        </is>
      </c>
      <c r="E2324" t="inlineStr">
        <is>
          <t>24,00,000</t>
        </is>
      </c>
      <c r="F2324" t="inlineStr">
        <is>
          <t>Mahatma Gandhi Rajkiya Vidyalaya Angreji Madhyam Sayra me 02 kamare nirman karya Gram Panchayat Sayra</t>
        </is>
      </c>
      <c r="G2324" t="inlineStr">
        <is>
          <t>Sayra</t>
        </is>
      </c>
    </row>
    <row r="2325">
      <c r="A2325" s="1" t="n">
        <v>2323</v>
      </c>
      <c r="B2325">
        <f>HYPERLINK("https://eproc.rajasthan.gov.in/nicgep/app?component=%24DirectLink&amp;page=FrontEndViewTender&amp;service=direct&amp;session=T&amp;sp=S4voqRywes5Pwls4jgGACYQ%3D%3D", "Rajkiya Uchcha Madhyamik Vidyalaya Jemli me 02 kamare nirman karya")</f>
        <v/>
      </c>
      <c r="C2325" t="inlineStr">
        <is>
          <t>Panchayati Raj Department||Secretary and Commissioner||CEO-UDAIPUR||BDO-SAYRA</t>
        </is>
      </c>
      <c r="D2325" t="inlineStr">
        <is>
          <t>22-May-2025 06:00 PM</t>
        </is>
      </c>
      <c r="E2325" t="inlineStr">
        <is>
          <t>24,00,000</t>
        </is>
      </c>
      <c r="F2325" t="inlineStr">
        <is>
          <t>Rajkiya Uchcha Madhyamik Vidyalaya Jemli me 02 kamare nirman karya Gram Panchayat Jemli</t>
        </is>
      </c>
      <c r="G2325" t="inlineStr">
        <is>
          <t>Jemli</t>
        </is>
      </c>
    </row>
    <row r="2326">
      <c r="A2326" s="1" t="n">
        <v>2324</v>
      </c>
      <c r="B2326">
        <f>HYPERLINK("https://eproc.rajasthan.gov.in/nicgep/app?component=%24DirectLink&amp;page=FrontEndViewTender&amp;service=direct&amp;session=T&amp;sp=SX9N9RWzX7tSyrJ8mZtuSIg%3D%3D", "Work including door-to-door (residential and commercial) garbage collection and segregation, road and drain cleaning and community sanitation premises cleaning in all villages of Gram Panchayat Bilona Kalan")</f>
        <v/>
      </c>
      <c r="C2326" t="inlineStr">
        <is>
          <t>Panchayati Raj Department||Secretary and Commissioner||CEO-DAUSA||BDO-LALSOT</t>
        </is>
      </c>
      <c r="D2326" t="inlineStr">
        <is>
          <t>21-May-2025 06:00 PM</t>
        </is>
      </c>
      <c r="E2326" t="inlineStr">
        <is>
          <t>6,06,210</t>
        </is>
      </c>
      <c r="F2326" t="inlineStr">
        <is>
          <t>Work including door-to-door (residential and commercial) garbage collection and segregation, road and drain cleaning and community sanitation premises cleaning in all villages of Gram Panchayat Bilona Kalan</t>
        </is>
      </c>
      <c r="G2326" t="inlineStr">
        <is>
          <t>Gram Panchayat Bilona Kalan</t>
        </is>
      </c>
    </row>
    <row r="2327">
      <c r="A2327" s="1" t="n">
        <v>2325</v>
      </c>
      <c r="B2327">
        <f>HYPERLINK("https://eproc.rajasthan.gov.in/nicgep/app?component=%24DirectLink&amp;page=FrontEndViewTender&amp;service=direct&amp;session=T&amp;sp=SntJYwPhRqAk9FxyCvuxTfg%3D%3D", "Material Supply for MGNREGA Work in GP Barnawa Jageer patodi")</f>
        <v/>
      </c>
      <c r="C2327" t="inlineStr">
        <is>
          <t>Panchayati Raj Department||Secretary and Commissioner||CEO-BADMER||BDO-PATODI</t>
        </is>
      </c>
      <c r="D2327" t="inlineStr">
        <is>
          <t>22-May-2025 06:00 PM</t>
        </is>
      </c>
      <c r="E2327" t="inlineStr">
        <is>
          <t>60,00,000</t>
        </is>
      </c>
      <c r="F2327" t="inlineStr">
        <is>
          <t>Material Supply for MGNREGA Work in GP Barnawa Jageer ps patodi</t>
        </is>
      </c>
      <c r="G2327" t="inlineStr">
        <is>
          <t>Gram Panchayat Barnawa Jageer</t>
        </is>
      </c>
    </row>
    <row r="2328">
      <c r="A2328" s="1" t="n">
        <v>2326</v>
      </c>
      <c r="B2328">
        <f>HYPERLINK("https://eproc.rajasthan.gov.in/nicgep/app?component=%24DirectLink&amp;page=FrontEndViewTender&amp;service=direct&amp;session=T&amp;sp=S0SWgM%2FZBnyzlfjETUS2JhA%3D%3D", "MATERIAL SUPPLY FOR MGNREGA WORKS IN GP SAJIYALI PADAMSINGH PS PATODI DISTRICT BALOTRA")</f>
        <v/>
      </c>
      <c r="C2328" t="inlineStr">
        <is>
          <t>Panchayati Raj Department||Secretary and Commissioner||CEO-BADMER||BDO-PATODI</t>
        </is>
      </c>
      <c r="D2328" t="inlineStr">
        <is>
          <t>22-May-2025 06:00 PM</t>
        </is>
      </c>
      <c r="E2328" t="inlineStr">
        <is>
          <t>1,00,00,000</t>
        </is>
      </c>
      <c r="F2328" t="inlineStr">
        <is>
          <t>MATERIAL SUPPLY FOR MGNREGA WORKS IN GP SAJIYALI PADAMSINGH PS PATODI DISTRICT BALOTRA</t>
        </is>
      </c>
      <c r="G2328" t="inlineStr">
        <is>
          <t>GP SAJIYALI PADAM SINGH</t>
        </is>
      </c>
    </row>
    <row r="2329">
      <c r="A2329" s="1" t="n">
        <v>2327</v>
      </c>
      <c r="B2329">
        <f>HYPERLINK("https://eproc.rajasthan.gov.in/nicgep/app?component=%24DirectLink&amp;page=FrontEndViewTender&amp;service=direct&amp;session=T&amp;sp=Swf3jbGfIhR7Xb6exoE3YBw%3D%3D", "CONSTRUCTION OF BUILDING DR. AMBEDKAR SANGHOSHTI HALL IN GP SAJIYALI PADAMSINGH PS PATODI District BALOTRA")</f>
        <v/>
      </c>
      <c r="C2329" t="inlineStr">
        <is>
          <t>Panchayati Raj Department||Secretary and Commissioner||CEO-BADMER||BDO-PATODI</t>
        </is>
      </c>
      <c r="D2329" t="inlineStr">
        <is>
          <t>21-May-2025 05:00 PM</t>
        </is>
      </c>
      <c r="E2329" t="inlineStr">
        <is>
          <t>10,00,000</t>
        </is>
      </c>
      <c r="F2329" t="inlineStr">
        <is>
          <t>CONSTRUCTION OF BUILDING DR. AMBEDKAR SANGHOSHTI HALL IN GP SAJIYALI PADAMSINGH PS PATODI District BALOTRA</t>
        </is>
      </c>
      <c r="G2329" t="inlineStr">
        <is>
          <t>GP SAJIYALI PADAM SINGH</t>
        </is>
      </c>
    </row>
    <row r="2330">
      <c r="A2330" s="1" t="n">
        <v>2328</v>
      </c>
      <c r="B2330">
        <f>HYPERLINK("https://eproc.rajasthan.gov.in/nicgep/app?component=%24DirectLink&amp;page=FrontEndViewTender&amp;service=direct&amp;session=T&amp;sp=Ss6GmWX%2FTqYV0jMVOauTJuQ%3D%3D", "Gram Panchayat DUBBI All village, Home to Home Garbage collection and segregation from(residential and commercial)areas, street and drain cleaning and community sanitation,premises cleaning work,GP DUBBI 01/2025-26_DUBBI PS SIKANDARA")</f>
        <v/>
      </c>
      <c r="C2330" t="inlineStr">
        <is>
          <t>Panchayati Raj Department||Secretary and Commissioner||CEO-DAUSA||BDO-SIKANDARA</t>
        </is>
      </c>
      <c r="D2330" t="inlineStr">
        <is>
          <t>19-May-2025 06:00 PM</t>
        </is>
      </c>
      <c r="E2330" t="inlineStr">
        <is>
          <t>NA</t>
        </is>
      </c>
      <c r="F2330" t="inlineStr">
        <is>
          <t>Gram Panchayat DUBBI All village, Home to Home Garbage collection and segregation from(residential and commercial)areas, street and drain cleaning and community sanitation,premises cleaning work,GP DUBBI 01/2025-26_DUBBI PS SIKANDARA</t>
        </is>
      </c>
      <c r="G2330" t="inlineStr">
        <is>
          <t>Gram Panchayat DUBBI All village, Home to Home Gar</t>
        </is>
      </c>
    </row>
    <row r="2331">
      <c r="A2331" s="1" t="n">
        <v>2329</v>
      </c>
      <c r="B2331">
        <f>HYPERLINK("https://eproc.rajasthan.gov.in/nicgep/app?component=%24DirectLink&amp;page=FrontEndViewTender&amp;service=direct&amp;session=T&amp;sp=SXAQYzFCpOyY4baaGmvfIIg%3D%3D", "MATERIAL SUPPLY FOR MGNREGA WORKS IN GP NAYAPURA PS PATODI DISTRICT BALOTRA")</f>
        <v/>
      </c>
      <c r="C2331" t="inlineStr">
        <is>
          <t>Panchayati Raj Department||Secretary and Commissioner||CEO-BADMER||BDO-PATODI</t>
        </is>
      </c>
      <c r="D2331" t="inlineStr">
        <is>
          <t>22-May-2025 06:00 PM</t>
        </is>
      </c>
      <c r="E2331" t="inlineStr">
        <is>
          <t>1,00,00,000</t>
        </is>
      </c>
      <c r="F2331" t="inlineStr">
        <is>
          <t>MATERIAL SUPPLY FOR MGNREGA WORKS IN GP NAYAPURA PS PATODI DISTRICT BALOTRA</t>
        </is>
      </c>
      <c r="G2331" t="inlineStr">
        <is>
          <t>GP NAYAPURA</t>
        </is>
      </c>
    </row>
    <row r="2332">
      <c r="A2332" s="1" t="n">
        <v>2330</v>
      </c>
      <c r="B2332">
        <f>HYPERLINK("https://eproc.rajasthan.gov.in/nicgep/app?component=%24DirectLink&amp;page=FrontEndViewTender&amp;service=direct&amp;session=T&amp;sp=ShGW%2F0dGldLvDz3%2B85qTbHg%3D%3D", "Rate contract For Supply of Construction Material and Providing Equipments for MGNREGA and Rural Development and Panchayati Raj departments various schemes at Gram Panchayat Bilona Kalan Panchayat Samiti LALSOT Dist Dausa For FY 2025-26")</f>
        <v/>
      </c>
      <c r="C2332" t="inlineStr">
        <is>
          <t>Panchayati Raj Department||Secretary and Commissioner||CEO-DAUSA||BDO-LALSOT</t>
        </is>
      </c>
      <c r="D2332" t="inlineStr">
        <is>
          <t>21-May-2025 06:00 PM</t>
        </is>
      </c>
      <c r="E2332" t="inlineStr">
        <is>
          <t>70,00,000</t>
        </is>
      </c>
      <c r="F2332" t="inlineStr">
        <is>
          <t>Rate contract For Supply of Construction Material and Providing Equipments for MGNREGA and Rural Development and Panchayati Raj departments various schemes at Gram Panchayat Bilona Kalan Panchayat Samiti LALSOT Dist Dausa For FY 2025-26</t>
        </is>
      </c>
      <c r="G2332" t="inlineStr">
        <is>
          <t>Gram Panchayat Bilona Kalan</t>
        </is>
      </c>
    </row>
    <row r="2333">
      <c r="A2333" s="1" t="n">
        <v>2331</v>
      </c>
      <c r="B2333">
        <f>HYPERLINK("https://eproc.rajasthan.gov.in/nicgep/app?component=%24DirectLink&amp;page=FrontEndViewTender&amp;service=direct&amp;session=T&amp;sp=SWg63qdpaVjraZ%2FyGhwS2ng%3D%3D", "Material Supply In G.P. Reta")</f>
        <v/>
      </c>
      <c r="C2333" t="inlineStr">
        <is>
          <t>Panchayati Raj Department||Secretary and Commissioner||CEO-ALWAR||BDO-KATHUMBAR</t>
        </is>
      </c>
      <c r="D2333" t="inlineStr">
        <is>
          <t>21-May-2025 06:00 PM</t>
        </is>
      </c>
      <c r="E2333" t="inlineStr">
        <is>
          <t>30,00,000</t>
        </is>
      </c>
      <c r="F2333" t="inlineStr">
        <is>
          <t>Material Supply In G.P. Reta</t>
        </is>
      </c>
      <c r="G2333" t="inlineStr">
        <is>
          <t>RETA</t>
        </is>
      </c>
    </row>
    <row r="2334">
      <c r="A2334" s="1" t="n">
        <v>2332</v>
      </c>
      <c r="B2334">
        <f>HYPERLINK("https://eproc.rajasthan.gov.in/nicgep/app?component=%24DirectLink&amp;page=FrontEndViewTender&amp;service=direct&amp;session=T&amp;sp=SBDkiHQYRGLpCQhs5hz%2B4%2Fg%3D%3D", "Material Supply In G.P. SALWADI")</f>
        <v/>
      </c>
      <c r="C2334" t="inlineStr">
        <is>
          <t>Panchayati Raj Department||Secretary and Commissioner||CEO-ALWAR||BDO-KATHUMBAR</t>
        </is>
      </c>
      <c r="D2334" t="inlineStr">
        <is>
          <t>21-May-2025 06:00 PM</t>
        </is>
      </c>
      <c r="E2334" t="inlineStr">
        <is>
          <t>30,00,000</t>
        </is>
      </c>
      <c r="F2334" t="inlineStr">
        <is>
          <t>Material Supply In G.P. SALWADI</t>
        </is>
      </c>
      <c r="G2334" t="inlineStr">
        <is>
          <t>SALWADI</t>
        </is>
      </c>
    </row>
    <row r="2335">
      <c r="A2335" s="1" t="n">
        <v>2333</v>
      </c>
      <c r="B2335">
        <f>HYPERLINK("https://eproc.rajasthan.gov.in/nicgep/app?component=%24DirectLink&amp;page=FrontEndViewTender&amp;service=direct&amp;session=T&amp;sp=Sp%2FR%2FAdx9VJLJ7gfOLymVtw%3D%3D", "MATERIAL SUPPLY IN G.P. ISHROTA")</f>
        <v/>
      </c>
      <c r="C2335" t="inlineStr">
        <is>
          <t>Panchayati Raj Department||Secretary and Commissioner||CEO-ALWAR||BDO-KATHUMBAR</t>
        </is>
      </c>
      <c r="D2335" t="inlineStr">
        <is>
          <t>21-May-2025 06:00 PM</t>
        </is>
      </c>
      <c r="E2335" t="inlineStr">
        <is>
          <t>30,00,000</t>
        </is>
      </c>
      <c r="F2335" t="inlineStr">
        <is>
          <t>MATERIAL SUPPLY IN G.P. ISHROTA</t>
        </is>
      </c>
      <c r="G2335" t="inlineStr">
        <is>
          <t>ISHROTA</t>
        </is>
      </c>
    </row>
    <row r="2336">
      <c r="A2336" s="1" t="n">
        <v>2334</v>
      </c>
      <c r="B2336">
        <f>HYPERLINK("https://eproc.rajasthan.gov.in/nicgep/app?component=%24DirectLink&amp;page=FrontEndViewTender&amp;service=direct&amp;session=T&amp;sp=Sjb2eATAKFifonbDqGvfgzw%3D%3D", "SUPPLY OF MATERIAL PROVIDING EQUIPMENT UNDER MG NREGA , PANCHAYTIRAJ DEPARTMENT SCHEME AND OTHER EACH WORK AT GP JELATRA")</f>
        <v/>
      </c>
      <c r="C2336" t="inlineStr">
        <is>
          <t>Panchayati Raj Department||Secretary and Commissioner||CEO- JALORE||BDO- SANCHORE</t>
        </is>
      </c>
      <c r="D2336" t="inlineStr">
        <is>
          <t>22-May-2025 06:40 PM</t>
        </is>
      </c>
      <c r="E2336" t="inlineStr">
        <is>
          <t>49,00,000</t>
        </is>
      </c>
      <c r="F2336" t="inlineStr">
        <is>
          <t>SUPPLY OF MATERIAL</t>
        </is>
      </c>
      <c r="G2336" t="inlineStr">
        <is>
          <t>SANCHORE</t>
        </is>
      </c>
    </row>
    <row r="2337">
      <c r="A2337" s="1" t="n">
        <v>2335</v>
      </c>
      <c r="B2337">
        <f>HYPERLINK("https://eproc.rajasthan.gov.in/nicgep/app?component=%24DirectLink&amp;page=FrontEndViewTender&amp;service=direct&amp;session=T&amp;sp=Sek%2BgVIlM%2FWLVAcFATlGHdw%3D%3D", "Construction of Two Class Room in Govt. S.S. School Teja ka was and Two Class room in Govt. Sec. Pre. School Tarawala GP Tejaka was Block Kotra under DMFT Fund")</f>
        <v/>
      </c>
      <c r="C2337" t="inlineStr">
        <is>
          <t>Panchayati Raj Department||Secretary and Commissioner||CEO-UDAIPUR||BDO-KHERWARA</t>
        </is>
      </c>
      <c r="D2337" t="inlineStr">
        <is>
          <t>19-May-2025 06:00 PM</t>
        </is>
      </c>
      <c r="E2337" t="inlineStr">
        <is>
          <t>43,43,000</t>
        </is>
      </c>
      <c r="F2337" t="inlineStr">
        <is>
          <t>Construction of Two Class Room in Govt. S.S. School Teja ka was and Two Class room in Govt. Sec. Pre. School Tarawala GP Tejaka was Block Kotra under DMFT Fund</t>
        </is>
      </c>
      <c r="G2337" t="inlineStr">
        <is>
          <t>Gram Panchayat Tejakawas</t>
        </is>
      </c>
    </row>
    <row r="2338">
      <c r="A2338" s="1" t="n">
        <v>2336</v>
      </c>
      <c r="B2338">
        <f>HYPERLINK("https://eproc.rajasthan.gov.in/nicgep/app?component=%24DirectLink&amp;page=FrontEndViewTender&amp;service=direct&amp;session=T&amp;sp=SX8R3tm2ZlyzgOrpzQuEmDg%3D%3D", "Construction of Two Class Room in Govt. S.S. School Loharcha GP Loharcha Block Kotra under DMFT Fund")</f>
        <v/>
      </c>
      <c r="C2338" t="inlineStr">
        <is>
          <t>Panchayati Raj Department||Secretary and Commissioner||CEO-UDAIPUR||BDO-KHERWARA</t>
        </is>
      </c>
      <c r="D2338" t="inlineStr">
        <is>
          <t>19-May-2025 06:00 PM</t>
        </is>
      </c>
      <c r="E2338" t="inlineStr">
        <is>
          <t>24,86,000</t>
        </is>
      </c>
      <c r="F2338" t="inlineStr">
        <is>
          <t>Construction of Two Class Room in Govt. S.S. School Loharcha GP Loharcha Block Kotra under DMFT Fund</t>
        </is>
      </c>
      <c r="G2338" t="inlineStr">
        <is>
          <t>Gram Panchayat Loharcha</t>
        </is>
      </c>
    </row>
    <row r="2339">
      <c r="A2339" s="1" t="n">
        <v>2337</v>
      </c>
      <c r="B2339">
        <f>HYPERLINK("https://eproc.rajasthan.gov.in/nicgep/app?component=%24DirectLink&amp;page=FrontEndViewTender&amp;service=direct&amp;session=T&amp;sp=Sisf7bYBkLNkXQxGQH2kFdg%3D%3D", "Material Supply Work in Mahatma Gandhi Nrega Yojana And Various Rural Devlopement Scheme in Gram Panchayat Aradka Panchayat Samiti Ajmer Rural")</f>
        <v/>
      </c>
      <c r="C2339" t="inlineStr">
        <is>
          <t>Panchayati Raj Department||Secretary and Commissioner||CEO-AJMER||BDO-AJMER RURAL</t>
        </is>
      </c>
      <c r="D2339" t="inlineStr">
        <is>
          <t>19-May-2025 05:00 PM</t>
        </is>
      </c>
      <c r="E2339" t="inlineStr">
        <is>
          <t>50,00,000</t>
        </is>
      </c>
      <c r="F2339" t="inlineStr">
        <is>
          <t>Material Supply Work in Mahatma Gandhi Nrega Yojana And Various Rural Devlopement Scheme in Gram Panchayat Aradka Panchayat Samiti Ajmer Rural</t>
        </is>
      </c>
      <c r="G2339" t="inlineStr">
        <is>
          <t>Gram Panchayat Aradka</t>
        </is>
      </c>
    </row>
    <row r="2340">
      <c r="A2340" s="1" t="n">
        <v>2338</v>
      </c>
      <c r="B2340">
        <f>HYPERLINK("https://eproc.rajasthan.gov.in/nicgep/app?component=%24DirectLink&amp;page=FrontEndViewTender&amp;service=direct&amp;session=T&amp;sp=SRDrH2H79EWvgvz0i3CXYNQ%3D%3D", "Cleaning and Sanitary Services in Gram Panchayat GP Sanpa Manji PS Sindhari")</f>
        <v/>
      </c>
      <c r="C2340" t="inlineStr">
        <is>
          <t>Panchayati Raj Department||Secretary and Commissioner||CEO-BADMER||BDO-SINDHARI</t>
        </is>
      </c>
      <c r="D2340" t="inlineStr">
        <is>
          <t>26-May-2025 05:00 PM</t>
        </is>
      </c>
      <c r="E2340" t="inlineStr">
        <is>
          <t>16,77,401</t>
        </is>
      </c>
      <c r="F2340" t="inlineStr">
        <is>
          <t>Cleaning and Sanitary Services in Gram Panchayat GP Sanpa Manji PS Sindhari As Per Attach Tender Documents</t>
        </is>
      </c>
      <c r="G2340" t="inlineStr">
        <is>
          <t>GP Sanpa Manji</t>
        </is>
      </c>
    </row>
    <row r="2341">
      <c r="A2341" s="1" t="n">
        <v>2339</v>
      </c>
      <c r="B2341">
        <f>HYPERLINK("https://eproc.rajasthan.gov.in/nicgep/app?component=%24DirectLink&amp;page=FrontEndViewTender&amp;service=direct&amp;session=T&amp;sp=SQCVEePZT2%2FUog4wSX2TWJA%3D%3D", "Construction of Two Class Room in Govt. S.S. School Kyari GP Kyari Block Kotra under DMFT Fund")</f>
        <v/>
      </c>
      <c r="C2341" t="inlineStr">
        <is>
          <t>Panchayati Raj Department||Secretary and Commissioner||CEO-UDAIPUR||BDO-KHERWARA</t>
        </is>
      </c>
      <c r="D2341" t="inlineStr">
        <is>
          <t>19-May-2025 06:00 PM</t>
        </is>
      </c>
      <c r="E2341" t="inlineStr">
        <is>
          <t>24,86,000</t>
        </is>
      </c>
      <c r="F2341" t="inlineStr">
        <is>
          <t>Construction of Two Class Room in Govt. S.S. School Kyari GP Kyari Block Kotra under DMFT Fund</t>
        </is>
      </c>
      <c r="G2341" t="inlineStr">
        <is>
          <t>GP Kyrari</t>
        </is>
      </c>
    </row>
    <row r="2342">
      <c r="A2342" s="1" t="n">
        <v>2340</v>
      </c>
      <c r="B2342">
        <f>HYPERLINK("https://eproc.rajasthan.gov.in/nicgep/app?component=%24DirectLink&amp;page=FrontEndViewTender&amp;service=direct&amp;session=T&amp;sp=ShXqqk17Jwsb1ra3%2FWXNuqQ%3D%3D", "Cleaning and Sanitary Services in Gram Panchayat GP Luko Ki Dhani PS Sindhari")</f>
        <v/>
      </c>
      <c r="C2342" t="inlineStr">
        <is>
          <t>Panchayati Raj Department||Secretary and Commissioner||CEO-BADMER||BDO-SINDHARI</t>
        </is>
      </c>
      <c r="D2342" t="inlineStr">
        <is>
          <t>26-May-2025 05:00 PM</t>
        </is>
      </c>
      <c r="E2342" t="inlineStr">
        <is>
          <t>3,17,681</t>
        </is>
      </c>
      <c r="F2342" t="inlineStr">
        <is>
          <t>Cleaning and Sanitary Services in Gram Panchayat GP Luko Ki Dhani PS Sindhari As Per Attach Tender Documents</t>
        </is>
      </c>
      <c r="G2342" t="inlineStr">
        <is>
          <t>GP Luko Ki Dhani</t>
        </is>
      </c>
    </row>
    <row r="2343">
      <c r="A2343" s="1" t="n">
        <v>2341</v>
      </c>
      <c r="B2343">
        <f>HYPERLINK("https://eproc.rajasthan.gov.in/nicgep/app?component=%24DirectLink&amp;page=FrontEndViewTender&amp;service=direct&amp;session=T&amp;sp=SfRYLRY6y8LXFaCZtXCMm4A%3D%3D", "Cleaning and Sanitary Services in Gram Panchayat GP Samdaro Ka Tala PS Sindhari")</f>
        <v/>
      </c>
      <c r="C2343" t="inlineStr">
        <is>
          <t>Panchayati Raj Department||Secretary and Commissioner||CEO-BADMER||BDO-SINDHARI</t>
        </is>
      </c>
      <c r="D2343" t="inlineStr">
        <is>
          <t>26-May-2025 05:00 PM</t>
        </is>
      </c>
      <c r="E2343" t="inlineStr">
        <is>
          <t>3,68,898</t>
        </is>
      </c>
      <c r="F2343" t="inlineStr">
        <is>
          <t>Cleaning and Sanitary Services in Gram Panchayat GP Samdaro Ka Tala PS Sindhari As Per Attach Tender Documents</t>
        </is>
      </c>
      <c r="G2343" t="inlineStr">
        <is>
          <t>GP Samdaro Ka Tala</t>
        </is>
      </c>
    </row>
    <row r="2344">
      <c r="A2344" s="1" t="n">
        <v>2342</v>
      </c>
      <c r="B2344">
        <f>HYPERLINK("https://eproc.rajasthan.gov.in/nicgep/app?component=%24DirectLink&amp;page=FrontEndViewTender&amp;service=direct&amp;session=T&amp;sp=Ssa%2BUpfzvx7Sx99Xs7H97Ng%3D%3D", "Cleaning and Sanitary Services in Gram Panchayat GP Lohidi PS Sindhari")</f>
        <v/>
      </c>
      <c r="C2344" t="inlineStr">
        <is>
          <t>Panchayati Raj Department||Secretary and Commissioner||CEO-BADMER||BDO-SINDHARI</t>
        </is>
      </c>
      <c r="D2344" t="inlineStr">
        <is>
          <t>26-May-2025 05:00 PM</t>
        </is>
      </c>
      <c r="E2344" t="inlineStr">
        <is>
          <t>7,25,280</t>
        </is>
      </c>
      <c r="F2344" t="inlineStr">
        <is>
          <t>Cleaning and Sanitary Services in Gram Panchayat GP Lohidi PS Sindhari As Per Attach Tender Documents</t>
        </is>
      </c>
      <c r="G2344" t="inlineStr">
        <is>
          <t>GP Lohidi</t>
        </is>
      </c>
    </row>
    <row r="2345">
      <c r="A2345" s="1" t="n">
        <v>2343</v>
      </c>
      <c r="B2345">
        <f>HYPERLINK("https://eproc.rajasthan.gov.in/nicgep/app?component=%24DirectLink&amp;page=FrontEndViewTender&amp;service=direct&amp;session=T&amp;sp=SeD0izm5subHUgSGRjlY%2BcA%3D%3D", "Cleaning and Sanitary Services in Gram Panchayat GP Kharntiya PS Sindhari")</f>
        <v/>
      </c>
      <c r="C2345" t="inlineStr">
        <is>
          <t>Panchayati Raj Department||Secretary and Commissioner||CEO-BADMER||BDO-SINDHARI</t>
        </is>
      </c>
      <c r="D2345" t="inlineStr">
        <is>
          <t>26-May-2025 05:00 PM</t>
        </is>
      </c>
      <c r="E2345" t="inlineStr">
        <is>
          <t>8,45,077</t>
        </is>
      </c>
      <c r="F2345" t="inlineStr">
        <is>
          <t>Cleaning and Sanitary Services in Gram Panchayat GP Kharntiya PS Sindhari As Per Attach Tender Documents</t>
        </is>
      </c>
      <c r="G2345" t="inlineStr">
        <is>
          <t>GP Kharntiya</t>
        </is>
      </c>
    </row>
    <row r="2346">
      <c r="A2346" s="1" t="n">
        <v>2344</v>
      </c>
      <c r="B2346">
        <f>HYPERLINK("https://eproc.rajasthan.gov.in/nicgep/app?component=%24DirectLink&amp;page=FrontEndViewTender&amp;service=direct&amp;session=T&amp;sp=SXi0zgm9bRFbR9j1b5owF%2Bw%3D%3D", "Cleaning and Sanitary Services in Gram Panchayat GP Kharmachan PS Sindhari")</f>
        <v/>
      </c>
      <c r="C2346" t="inlineStr">
        <is>
          <t>Panchayati Raj Department||Secretary and Commissioner||CEO-BADMER||BDO-SINDHARI</t>
        </is>
      </c>
      <c r="D2346" t="inlineStr">
        <is>
          <t>26-May-2025 05:00 PM</t>
        </is>
      </c>
      <c r="E2346" t="inlineStr">
        <is>
          <t>7,05,530</t>
        </is>
      </c>
      <c r="F2346" t="inlineStr">
        <is>
          <t>Cleaning and Sanitary Services in Gram Panchayat GP Kharmachan PS Sindhari As Per Attach Tender Documents</t>
        </is>
      </c>
      <c r="G2346" t="inlineStr">
        <is>
          <t>GP Kharmachan</t>
        </is>
      </c>
    </row>
    <row r="2347">
      <c r="A2347" s="1" t="n">
        <v>2345</v>
      </c>
      <c r="B2347">
        <f>HYPERLINK("https://eproc.rajasthan.gov.in/nicgep/app?component=%24DirectLink&amp;page=FrontEndViewTender&amp;service=direct&amp;session=T&amp;sp=S8v7BRLTRV1MQYF5h%2BIIqQg%3D%3D", "Cleaning and Sanitary Services in Gram Panchayat GP Manawas PS Sindhari")</f>
        <v/>
      </c>
      <c r="C2347" t="inlineStr">
        <is>
          <t>Panchayati Raj Department||Secretary and Commissioner||CEO-BADMER||BDO-SINDHARI</t>
        </is>
      </c>
      <c r="D2347" t="inlineStr">
        <is>
          <t>26-May-2025 05:00 PM</t>
        </is>
      </c>
      <c r="E2347" t="inlineStr">
        <is>
          <t>6,71,819</t>
        </is>
      </c>
      <c r="F2347" t="inlineStr">
        <is>
          <t>Cleaning and Sanitary Services in Gram Panchayat GP Manawas PS Sindhari As Per Attach Tender Documents</t>
        </is>
      </c>
      <c r="G2347" t="inlineStr">
        <is>
          <t>GP Manawas</t>
        </is>
      </c>
    </row>
    <row r="2348">
      <c r="A2348" s="1" t="n">
        <v>2346</v>
      </c>
      <c r="B2348">
        <f>HYPERLINK("https://eproc.rajasthan.gov.in/nicgep/app?component=%24DirectLink&amp;page=FrontEndViewTender&amp;service=direct&amp;session=T&amp;sp=SG%2FrCC19TaedbXDh49GE%2Faw%3D%3D", "Cleaning and Sanitary Services in Gram Panchayat GP Nakodha PS Sindhari")</f>
        <v/>
      </c>
      <c r="C2348" t="inlineStr">
        <is>
          <t>Panchayati Raj Department||Secretary and Commissioner||CEO-BADMER||BDO-SINDHARI</t>
        </is>
      </c>
      <c r="D2348" t="inlineStr">
        <is>
          <t>26-May-2025 05:00 PM</t>
        </is>
      </c>
      <c r="E2348" t="inlineStr">
        <is>
          <t>7,28,759</t>
        </is>
      </c>
      <c r="F2348" t="inlineStr">
        <is>
          <t>Cleaning and Sanitary Services in Gram Panchayat GP Nakodha PS Sindhari As Per Attach Tender Documents</t>
        </is>
      </c>
      <c r="G2348" t="inlineStr">
        <is>
          <t>GP Nakodha</t>
        </is>
      </c>
    </row>
    <row r="2349">
      <c r="A2349" s="1" t="n">
        <v>2347</v>
      </c>
      <c r="B2349">
        <f>HYPERLINK("https://eproc.rajasthan.gov.in/nicgep/app?component=%24DirectLink&amp;page=FrontEndViewTender&amp;service=direct&amp;session=T&amp;sp=S1hodjy2mT%2FUxFXqvP51yEg%3D%3D", "Material Supply In G.P. SAMUCHI")</f>
        <v/>
      </c>
      <c r="C2349" t="inlineStr">
        <is>
          <t>Panchayati Raj Department||Secretary and Commissioner||CEO-ALWAR||BDO-KATHUMBAR</t>
        </is>
      </c>
      <c r="D2349" t="inlineStr">
        <is>
          <t>21-May-2025 06:00 PM</t>
        </is>
      </c>
      <c r="E2349" t="inlineStr">
        <is>
          <t>30,00,000</t>
        </is>
      </c>
      <c r="F2349" t="inlineStr">
        <is>
          <t>Material Supply In G.P. SAMUCHI</t>
        </is>
      </c>
      <c r="G2349" t="inlineStr">
        <is>
          <t>SAMUCHI</t>
        </is>
      </c>
    </row>
    <row r="2350">
      <c r="A2350" s="1" t="n">
        <v>2348</v>
      </c>
      <c r="B2350">
        <f>HYPERLINK("https://eproc.rajasthan.gov.in/nicgep/app?component=%24DirectLink&amp;page=FrontEndViewTender&amp;service=direct&amp;session=T&amp;sp=SFTdKohL7Z%2F6qlAkAZ%2FpvNA%3D%3D", "gp bhinvsar meterial supply for narega and rd")</f>
        <v/>
      </c>
      <c r="C2350" t="inlineStr">
        <is>
          <t>Panchayati Raj Department||Secretary and Commissioner||CEO-CHURU||BDO-SUJANGARH</t>
        </is>
      </c>
      <c r="D2350" t="inlineStr">
        <is>
          <t>21-May-2025 06:00 PM</t>
        </is>
      </c>
      <c r="E2350" t="inlineStr">
        <is>
          <t>1,00,00,000</t>
        </is>
      </c>
      <c r="F2350" t="inlineStr">
        <is>
          <t>gp bhinvsar meterial supply for narega and rd</t>
        </is>
      </c>
      <c r="G2350" t="inlineStr">
        <is>
          <t>gp bhinvsar</t>
        </is>
      </c>
    </row>
    <row r="2351">
      <c r="A2351" s="1" t="n">
        <v>2349</v>
      </c>
      <c r="B2351">
        <f>HYPERLINK("https://eproc.rajasthan.gov.in/nicgep/app?component=%24DirectLink&amp;page=FrontEndViewTender&amp;service=direct&amp;session=T&amp;sp=SUICV%2FBU4uEyO073QHjUCdw%3D%3D", "Gram Panchayat DOLIKA All village, Home to Home Garbage collection and segregation from(residential and commercial)areas, street and drain cleaning and community sanitation,premises cleaning work,GP DOLIKA 01/2025-26_DOLIKA")</f>
        <v/>
      </c>
      <c r="C2351" t="inlineStr">
        <is>
          <t>Panchayati Raj Department||Secretary and Commissioner||CEO-DAUSA||BDO-SIKARAI</t>
        </is>
      </c>
      <c r="D2351" t="inlineStr">
        <is>
          <t>19-May-2025 06:00 PM</t>
        </is>
      </c>
      <c r="E2351" t="inlineStr">
        <is>
          <t>9,63,090</t>
        </is>
      </c>
      <c r="F2351" t="inlineStr">
        <is>
          <t>Gram Panchayat DOLIKA All village, Home to Home Garbage collection and segregation from(residential and commercial)areas, street and drain cleaning and community sanitation,premises cleaning work,GP DOLIKA 01/2025-26_DOLIKA</t>
        </is>
      </c>
      <c r="G2351" t="inlineStr">
        <is>
          <t>Gram Panchayat DOLIKA All village, Home to Home Ga</t>
        </is>
      </c>
    </row>
    <row r="2352">
      <c r="A2352" s="1" t="n">
        <v>2350</v>
      </c>
      <c r="B2352">
        <f>HYPERLINK("https://eproc.rajasthan.gov.in/nicgep/app?component=%24DirectLink&amp;page=FrontEndViewTender&amp;service=direct&amp;session=T&amp;sp=SMxI7iMURTjhdbM9xEif72A%3D%3D", "Rate contract For Supply of Construction Material and Providing Equipments for MGNREGA and Rural Development and Panchayati Raj departments various schemes at Gram Panchayat Chondiyawas Panchayat Samiti LALSOT Dist Dausa For FY 2025-26")</f>
        <v/>
      </c>
      <c r="C2352" t="inlineStr">
        <is>
          <t>Panchayati Raj Department||Secretary and Commissioner||CEO-DAUSA||BDO-LALSOT</t>
        </is>
      </c>
      <c r="D2352" t="inlineStr">
        <is>
          <t>21-May-2025 06:00 PM</t>
        </is>
      </c>
      <c r="E2352" t="inlineStr">
        <is>
          <t>50,00,000</t>
        </is>
      </c>
      <c r="F2352" t="inlineStr">
        <is>
          <t>Rate contract For Supply of Construction Material and Providing Equipments for MGNREGA and Rural Development and Panchayati Raj departments various schemes at Gram Panchayat Chondiyawas Panchayat Samiti LALSOT Dist Dausa For FY 2025-26</t>
        </is>
      </c>
      <c r="G2352" t="inlineStr">
        <is>
          <t>Gram Panchayat Chondiyawas</t>
        </is>
      </c>
    </row>
    <row r="2353">
      <c r="A2353" s="1" t="n">
        <v>2351</v>
      </c>
      <c r="B2353">
        <f>HYPERLINK("https://eproc.rajasthan.gov.in/nicgep/app?component=%24DirectLink&amp;page=FrontEndViewTender&amp;service=direct&amp;session=T&amp;sp=S7yW%2BbvYhe39al%2F1NmlkUJg%3D%3D", "gp bhanisariya tej meterial supply for narega and rd")</f>
        <v/>
      </c>
      <c r="C2353" t="inlineStr">
        <is>
          <t>Panchayati Raj Department||Secretary and Commissioner||CEO-CHURU||BDO-SUJANGARH</t>
        </is>
      </c>
      <c r="D2353" t="inlineStr">
        <is>
          <t>21-May-2025 06:00 PM</t>
        </is>
      </c>
      <c r="E2353" t="inlineStr">
        <is>
          <t>50,00,000</t>
        </is>
      </c>
      <c r="F2353" t="inlineStr">
        <is>
          <t>gp bhanisariya tej meterial supply for narega and rd</t>
        </is>
      </c>
      <c r="G2353" t="inlineStr">
        <is>
          <t>gp bhanisariya tej</t>
        </is>
      </c>
    </row>
    <row r="2354">
      <c r="A2354" s="1" t="n">
        <v>2352</v>
      </c>
      <c r="B2354">
        <f>HYPERLINK("https://eproc.rajasthan.gov.in/nicgep/app?component=%24DirectLink&amp;page=FrontEndViewTender&amp;service=direct&amp;session=T&amp;sp=Sh%2F1vldNyKzJOQtekPnF1Jg%3D%3D", "Rate contract For Supply of Construction Material and Providing Equipments for MGNREGA and Rural Development and Panchayati Raj departments various schemes at Gram Panchayat KHEDLA KHURD Panchayat Samiti LALSOT Dist Dausa For FY 2025-26")</f>
        <v/>
      </c>
      <c r="C2354" t="inlineStr">
        <is>
          <t>Panchayati Raj Department||Secretary and Commissioner||CEO-DAUSA||BDO-LALSOT</t>
        </is>
      </c>
      <c r="D2354" t="inlineStr">
        <is>
          <t>21-May-2025 06:00 PM</t>
        </is>
      </c>
      <c r="E2354" t="inlineStr">
        <is>
          <t>60,00,000</t>
        </is>
      </c>
      <c r="F2354" t="inlineStr">
        <is>
          <t>Rate contract For Supply of Construction Material and Providing Equipments for MGNREGA and Rural Development and Panchayati Raj departments various schemes at Gram Panchayat KHEDLA KHURD Panchayat Samiti LALSOT Dist Dausa For FY 2025-26</t>
        </is>
      </c>
      <c r="G2354" t="inlineStr">
        <is>
          <t>Gram Panchayat Khedla Khurd</t>
        </is>
      </c>
    </row>
    <row r="2355">
      <c r="A2355" s="1" t="n">
        <v>2353</v>
      </c>
      <c r="B2355">
        <f>HYPERLINK("https://eproc.rajasthan.gov.in/nicgep/app?component=%24DirectLink&amp;page=FrontEndViewTender&amp;service=direct&amp;session=T&amp;sp=SuyNSkP%2F4RXurSCX8SjU0Tg%3D%3D", "gp khuri meterial supply for narega and rd")</f>
        <v/>
      </c>
      <c r="C2355" t="inlineStr">
        <is>
          <t>Panchayati Raj Department||Secretary and Commissioner||CEO-CHURU||BDO-SUJANGARH</t>
        </is>
      </c>
      <c r="D2355" t="inlineStr">
        <is>
          <t>31-May-2025 06:00 PM</t>
        </is>
      </c>
      <c r="E2355" t="inlineStr">
        <is>
          <t>1,50,00,000</t>
        </is>
      </c>
      <c r="F2355" t="inlineStr">
        <is>
          <t>gp khuri meterial supply for narega and rd</t>
        </is>
      </c>
      <c r="G2355" t="inlineStr">
        <is>
          <t>gpkhuri</t>
        </is>
      </c>
    </row>
    <row r="2356">
      <c r="A2356" s="1" t="n">
        <v>2354</v>
      </c>
      <c r="B2356">
        <f>HYPERLINK("https://eproc.rajasthan.gov.in/nicgep/app?component=%24DirectLink&amp;page=FrontEndViewTender&amp;service=direct&amp;session=T&amp;sp=SMmx18Tq4RA%2BpzTNheKxXQg%3D%3D", "Work including door to door garbage collection and separation, road and drain cleaning and cleaning of community sanitation complexes in all the villages of Gram Panchayat Napawali")</f>
        <v/>
      </c>
      <c r="C2356" t="inlineStr">
        <is>
          <t>Panchayati Raj Department||Secretary and Commissioner||CEO-SIKAR||BDO-NEEMKATHANA</t>
        </is>
      </c>
      <c r="D2356" t="inlineStr">
        <is>
          <t>19-May-2025 06:00 PM</t>
        </is>
      </c>
      <c r="E2356" t="inlineStr">
        <is>
          <t>3,50,000</t>
        </is>
      </c>
      <c r="F2356" t="inlineStr">
        <is>
          <t>Work including door to door garbage collection and separation, road and drain cleaning and cleaning of community sanitation complexes in all the villages of Gram Panchayat Napawali</t>
        </is>
      </c>
      <c r="G2356" t="inlineStr">
        <is>
          <t>GP NAPAWALI</t>
        </is>
      </c>
    </row>
    <row r="2357">
      <c r="A2357" s="1" t="n">
        <v>2355</v>
      </c>
      <c r="B2357">
        <f>HYPERLINK("https://eproc.rajasthan.gov.in/nicgep/app?component=%24DirectLink&amp;page=FrontEndViewTender&amp;service=direct&amp;session=T&amp;sp=SiFXYpiQokh3bkUsoDGgF6Q%3D%3D", "Work including door to door garbage collection and separation, road and drain cleaning and cleaning of community sanitation complexes in all the villages of Gram Panchayat Bhudoli")</f>
        <v/>
      </c>
      <c r="C2357" t="inlineStr">
        <is>
          <t>Panchayati Raj Department||Secretary and Commissioner||CEO-SIKAR||BDO-NEEMKATHANA</t>
        </is>
      </c>
      <c r="D2357" t="inlineStr">
        <is>
          <t>19-May-2025 06:00 PM</t>
        </is>
      </c>
      <c r="E2357" t="inlineStr">
        <is>
          <t>7,61,000</t>
        </is>
      </c>
      <c r="F2357" t="inlineStr">
        <is>
          <t>Work including door to door garbage collection and separation, road and drain cleaning and cleaning of community sanitation complexes in all the villages of Gram Panchayat Bhudoli</t>
        </is>
      </c>
      <c r="G2357" t="inlineStr">
        <is>
          <t>GP BHUDOLI</t>
        </is>
      </c>
    </row>
    <row r="2358">
      <c r="A2358" s="1" t="n">
        <v>2356</v>
      </c>
      <c r="B2358">
        <f>HYPERLINK("https://eproc.rajasthan.gov.in/nicgep/app?component=%24DirectLink&amp;page=FrontEndViewTender&amp;service=direct&amp;session=T&amp;sp=SdsPOcocJbAM9LGiFV4Uiiw%3D%3D", "Work including door to door garbage collection and separation, road and drain cleaning and cleaning of community sanitation complexes in all the villages of Gram Panchayat Dayal Ki Nangal")</f>
        <v/>
      </c>
      <c r="C2358" t="inlineStr">
        <is>
          <t>Panchayati Raj Department||Secretary and Commissioner||CEO-SIKAR||BDO-NEEMKATHANA</t>
        </is>
      </c>
      <c r="D2358" t="inlineStr">
        <is>
          <t>19-May-2025 06:00 PM</t>
        </is>
      </c>
      <c r="E2358" t="inlineStr">
        <is>
          <t>5,88,000</t>
        </is>
      </c>
      <c r="F2358" t="inlineStr">
        <is>
          <t>Work including door to door garbage collection and separation, road and drain cleaning and cleaning of community sanitation complexes in all the villages of Gram Panchayat Dayal Ki Nangal</t>
        </is>
      </c>
      <c r="G2358" t="inlineStr">
        <is>
          <t>GP DAYAL KI NANGAL</t>
        </is>
      </c>
    </row>
    <row r="2359">
      <c r="A2359" s="1" t="n">
        <v>2357</v>
      </c>
      <c r="B2359">
        <f>HYPERLINK("https://eproc.rajasthan.gov.in/nicgep/app?component=%24DirectLink&amp;page=FrontEndViewTender&amp;service=direct&amp;session=T&amp;sp=SRZuPAnj4%2Ba1Ani5cLD8BYQ%3D%3D", "Work including door to door garbage collection and separation, road and drain cleaning and cleaning of community sanitation complexes in all the villages of Gram Panchayat Puranabas")</f>
        <v/>
      </c>
      <c r="C2359" t="inlineStr">
        <is>
          <t>Panchayati Raj Department||Secretary and Commissioner||CEO-SIKAR||BDO-NEEMKATHANA</t>
        </is>
      </c>
      <c r="D2359" t="inlineStr">
        <is>
          <t>19-May-2025 06:00 PM</t>
        </is>
      </c>
      <c r="E2359" t="inlineStr">
        <is>
          <t>4,92,000</t>
        </is>
      </c>
      <c r="F2359" t="inlineStr">
        <is>
          <t>Work including door to door garbage collection and separation, road and drain cleaning and cleaning of community sanitation complexes in all the villages of Gram Panchayat Puranabas</t>
        </is>
      </c>
      <c r="G2359" t="inlineStr">
        <is>
          <t>GP PURANABAS</t>
        </is>
      </c>
    </row>
    <row r="2360">
      <c r="A2360" s="1" t="n">
        <v>2358</v>
      </c>
      <c r="B2360">
        <f>HYPERLINK("https://eproc.rajasthan.gov.in/nicgep/app?component=%24DirectLink&amp;page=FrontEndViewTender&amp;service=direct&amp;session=T&amp;sp=StYHKu8jUy30MLKAiVhEKeA%3D%3D", "Work including door to door garbage collection and separation, road and drain cleaning and cleaning of community sanitation complexes in all the villages of Gram Panchayat Jheerana")</f>
        <v/>
      </c>
      <c r="C2360" t="inlineStr">
        <is>
          <t>Panchayati Raj Department||Secretary and Commissioner||CEO-SIKAR||BDO-NEEMKATHANA</t>
        </is>
      </c>
      <c r="D2360" t="inlineStr">
        <is>
          <t>19-May-2025 06:00 PM</t>
        </is>
      </c>
      <c r="E2360" t="inlineStr">
        <is>
          <t>3,88,000</t>
        </is>
      </c>
      <c r="F2360" t="inlineStr">
        <is>
          <t>Work including door to door garbage collection and separation, road and drain cleaning and cleaning of community sanitation complexes in all the villages of Gram Panchayat Jheerana</t>
        </is>
      </c>
      <c r="G2360" t="inlineStr">
        <is>
          <t>GP JHEERANA</t>
        </is>
      </c>
    </row>
    <row r="2361">
      <c r="A2361" s="1" t="n">
        <v>2359</v>
      </c>
      <c r="B2361">
        <f>HYPERLINK("https://eproc.rajasthan.gov.in/nicgep/app?component=%24DirectLink&amp;page=FrontEndViewTender&amp;service=direct&amp;session=T&amp;sp=SqvwokAmLWBN%2BYU1EpLmXTA%3D%3D", "Work including door to door garbage collection and separation, road and drain cleaning and cleaning of community sanitation complexes in all the villages of Gram Panchayat Preetampuri")</f>
        <v/>
      </c>
      <c r="C2361" t="inlineStr">
        <is>
          <t>Panchayati Raj Department||Secretary and Commissioner||CEO-SIKAR||BDO-NEEMKATHANA</t>
        </is>
      </c>
      <c r="D2361" t="inlineStr">
        <is>
          <t>19-May-2025 06:00 PM</t>
        </is>
      </c>
      <c r="E2361" t="inlineStr">
        <is>
          <t>8,89,000</t>
        </is>
      </c>
      <c r="F2361" t="inlineStr">
        <is>
          <t>Work including door to door garbage collection and separation, road and drain cleaning and cleaning of community sanitation complexes in all the villages of Gram Panchayat Preetampuri</t>
        </is>
      </c>
      <c r="G2361" t="inlineStr">
        <is>
          <t>GP PREETAMPURI</t>
        </is>
      </c>
    </row>
    <row r="2362">
      <c r="A2362" s="1" t="n">
        <v>2360</v>
      </c>
      <c r="B2362">
        <f>HYPERLINK("https://eproc.rajasthan.gov.in/nicgep/app?component=%24DirectLink&amp;page=FrontEndViewTender&amp;service=direct&amp;session=T&amp;sp=Seem2vc4hsMJ9DDiQ%2Fv8uGw%3D%3D", "Material Supply In G.P. TODA")</f>
        <v/>
      </c>
      <c r="C2362" t="inlineStr">
        <is>
          <t>Panchayati Raj Department||Secretary and Commissioner||CEO-ALWAR||BDO-KATHUMBAR</t>
        </is>
      </c>
      <c r="D2362" t="inlineStr">
        <is>
          <t>21-May-2025 06:00 PM</t>
        </is>
      </c>
      <c r="E2362" t="inlineStr">
        <is>
          <t>30,00,000</t>
        </is>
      </c>
      <c r="F2362" t="inlineStr">
        <is>
          <t>Material Supply In G.P. TODA</t>
        </is>
      </c>
      <c r="G2362" t="inlineStr">
        <is>
          <t>TODA</t>
        </is>
      </c>
    </row>
    <row r="2363">
      <c r="A2363" s="1" t="n">
        <v>2361</v>
      </c>
      <c r="B2363">
        <f>HYPERLINK("https://eproc.rajasthan.gov.in/nicgep/app?component=%24DirectLink&amp;page=FrontEndViewTender&amp;service=direct&amp;session=T&amp;sp=SLUEOPsIKE7KMywByVDtswA%3D%3D", "Material Supply In G.P. TASAI")</f>
        <v/>
      </c>
      <c r="C2363" t="inlineStr">
        <is>
          <t>Panchayati Raj Department||Secretary and Commissioner||CEO-ALWAR||BDO-KATHUMBAR</t>
        </is>
      </c>
      <c r="D2363" t="inlineStr">
        <is>
          <t>21-May-2025 06:00 PM</t>
        </is>
      </c>
      <c r="E2363" t="inlineStr">
        <is>
          <t>30,00,000</t>
        </is>
      </c>
      <c r="F2363" t="inlineStr">
        <is>
          <t>Material Supply In G.P. TASAI</t>
        </is>
      </c>
      <c r="G2363" t="inlineStr">
        <is>
          <t>TASAI</t>
        </is>
      </c>
    </row>
    <row r="2364">
      <c r="A2364" s="1" t="n">
        <v>2362</v>
      </c>
      <c r="B2364">
        <f>HYPERLINK("https://eproc.rajasthan.gov.in/nicgep/app?component=%24DirectLink&amp;page=FrontEndViewTender&amp;service=direct&amp;session=T&amp;sp=Su2UaJbF4QL4QCJh8%2BC81og%3D%3D", "Material Supply In G.P. TITPURI")</f>
        <v/>
      </c>
      <c r="C2364" t="inlineStr">
        <is>
          <t>Panchayati Raj Department||Secretary and Commissioner||CEO-ALWAR||BDO-KATHUMBAR</t>
        </is>
      </c>
      <c r="D2364" t="inlineStr">
        <is>
          <t>21-May-2025 06:00 PM</t>
        </is>
      </c>
      <c r="E2364" t="inlineStr">
        <is>
          <t>30,00,000</t>
        </is>
      </c>
      <c r="F2364" t="inlineStr">
        <is>
          <t>Material Supply In G.P. TITPURI</t>
        </is>
      </c>
      <c r="G2364" t="inlineStr">
        <is>
          <t>TITPURI</t>
        </is>
      </c>
    </row>
    <row r="2365">
      <c r="A2365" s="1" t="n">
        <v>2363</v>
      </c>
      <c r="B2365">
        <f>HYPERLINK("https://eproc.rajasthan.gov.in/nicgep/app?component=%24DirectLink&amp;page=FrontEndViewTender&amp;service=direct&amp;session=T&amp;sp=S2GbQBP5Et7DcdS6PHlBuCg%3D%3D", "Material Supply In G.P. SONKHARI")</f>
        <v/>
      </c>
      <c r="C2365" t="inlineStr">
        <is>
          <t>Panchayati Raj Department||Secretary and Commissioner||CEO-ALWAR||BDO-KATHUMBAR</t>
        </is>
      </c>
      <c r="D2365" t="inlineStr">
        <is>
          <t>21-May-2025 06:00 PM</t>
        </is>
      </c>
      <c r="E2365" t="inlineStr">
        <is>
          <t>30,00,000</t>
        </is>
      </c>
      <c r="F2365" t="inlineStr">
        <is>
          <t>Material Supply In G.P. SONKHARI</t>
        </is>
      </c>
      <c r="G2365" t="inlineStr">
        <is>
          <t>SONKHARI</t>
        </is>
      </c>
    </row>
    <row r="2366">
      <c r="A2366" s="1" t="n">
        <v>2364</v>
      </c>
      <c r="B2366">
        <f>HYPERLINK("https://eproc.rajasthan.gov.in/nicgep/app?component=%24DirectLink&amp;page=FrontEndViewTender&amp;service=direct&amp;session=T&amp;sp=SobNyk6oL3%2BrAbrQonAizig%3D%3D", "Material Supply In G.P. SAHADI")</f>
        <v/>
      </c>
      <c r="C2366" t="inlineStr">
        <is>
          <t>Panchayati Raj Department||Secretary and Commissioner||CEO-ALWAR||BDO-KATHUMBAR</t>
        </is>
      </c>
      <c r="D2366" t="inlineStr">
        <is>
          <t>21-May-2025 06:00 PM</t>
        </is>
      </c>
      <c r="E2366" t="inlineStr">
        <is>
          <t>30,00,000</t>
        </is>
      </c>
      <c r="F2366" t="inlineStr">
        <is>
          <t>Material Supply In G.P. SAHADI</t>
        </is>
      </c>
      <c r="G2366" t="inlineStr">
        <is>
          <t>SAHADI</t>
        </is>
      </c>
    </row>
    <row r="2367">
      <c r="A2367" s="1" t="n">
        <v>2365</v>
      </c>
      <c r="B2367">
        <f>HYPERLINK("https://eproc.rajasthan.gov.in/nicgep/app?component=%24DirectLink&amp;page=FrontEndViewTender&amp;service=direct&amp;session=T&amp;sp=SRImf9oSOnPUFKd6pBDOIvA%3D%3D", "Material Supply In G.P. SONKHAR")</f>
        <v/>
      </c>
      <c r="C2367" t="inlineStr">
        <is>
          <t>Panchayati Raj Department||Secretary and Commissioner||CEO-ALWAR||BDO-KATHUMBAR</t>
        </is>
      </c>
      <c r="D2367" t="inlineStr">
        <is>
          <t>21-May-2025 06:00 PM</t>
        </is>
      </c>
      <c r="E2367" t="inlineStr">
        <is>
          <t>30,00,000</t>
        </is>
      </c>
      <c r="F2367" t="inlineStr">
        <is>
          <t>Material Supply In G.P. SONKHAR</t>
        </is>
      </c>
      <c r="G2367" t="inlineStr">
        <is>
          <t>SONKHAR</t>
        </is>
      </c>
    </row>
    <row r="2368">
      <c r="A2368" s="1" t="n">
        <v>2366</v>
      </c>
      <c r="B2368">
        <f>HYPERLINK("https://eproc.rajasthan.gov.in/nicgep/app?component=%24DirectLink&amp;page=FrontEndViewTender&amp;service=direct&amp;session=T&amp;sp=SODJi%2BCfrcgVeDIqHHhHLCw%3D%3D", "Material Supply In G.P. NANGALRUPA")</f>
        <v/>
      </c>
      <c r="C2368" t="inlineStr">
        <is>
          <t>Panchayati Raj Department||Secretary and Commissioner||CEO-ALWAR||BDO-KATHUMBAR</t>
        </is>
      </c>
      <c r="D2368" t="inlineStr">
        <is>
          <t>21-May-2025 06:00 PM</t>
        </is>
      </c>
      <c r="E2368" t="inlineStr">
        <is>
          <t>30,00,000</t>
        </is>
      </c>
      <c r="F2368" t="inlineStr">
        <is>
          <t>Material Supply In G.P. NANGALRUPA</t>
        </is>
      </c>
      <c r="G2368" t="inlineStr">
        <is>
          <t>NANGAL RUPA</t>
        </is>
      </c>
    </row>
    <row r="2369">
      <c r="A2369" s="1" t="n">
        <v>2367</v>
      </c>
      <c r="B2369">
        <f>HYPERLINK("https://eproc.rajasthan.gov.in/nicgep/app?component=%24DirectLink&amp;page=FrontEndViewTender&amp;service=direct&amp;session=T&amp;sp=SNPoix06K3YAgUoCK1G%2BwsA%3D%3D", "Material Supply In G.P. RONIJATHAN")</f>
        <v/>
      </c>
      <c r="C2369" t="inlineStr">
        <is>
          <t>Panchayati Raj Department||Secretary and Commissioner||CEO-ALWAR||BDO-KATHUMBAR</t>
        </is>
      </c>
      <c r="D2369" t="inlineStr">
        <is>
          <t>21-May-2025 06:00 PM</t>
        </is>
      </c>
      <c r="E2369" t="inlineStr">
        <is>
          <t>30,00,000</t>
        </is>
      </c>
      <c r="F2369" t="inlineStr">
        <is>
          <t>Material Supply In G.P. RONIJATHAN</t>
        </is>
      </c>
      <c r="G2369" t="inlineStr">
        <is>
          <t>RONIJATHAN</t>
        </is>
      </c>
    </row>
    <row r="2370">
      <c r="A2370" s="1" t="n">
        <v>2368</v>
      </c>
      <c r="B2370">
        <f>HYPERLINK("https://eproc.rajasthan.gov.in/nicgep/app?component=%24DirectLink&amp;page=FrontEndViewTender&amp;service=direct&amp;session=T&amp;sp=S1FyVkSdTQrAtDAWwA0aXQw%3D%3D", "Material Supply In G.P. Natoj")</f>
        <v/>
      </c>
      <c r="C2370" t="inlineStr">
        <is>
          <t>Panchayati Raj Department||Secretary and Commissioner||CEO-ALWAR||BDO-KATHUMBAR</t>
        </is>
      </c>
      <c r="D2370" t="inlineStr">
        <is>
          <t>21-May-2025 06:00 PM</t>
        </is>
      </c>
      <c r="E2370" t="inlineStr">
        <is>
          <t>30,00,000</t>
        </is>
      </c>
      <c r="F2370" t="inlineStr">
        <is>
          <t>Material Supply In G.P. Natoj</t>
        </is>
      </c>
      <c r="G2370" t="inlineStr">
        <is>
          <t>NATOJ</t>
        </is>
      </c>
    </row>
    <row r="2371">
      <c r="A2371" s="1" t="n">
        <v>2369</v>
      </c>
      <c r="B2371">
        <f>HYPERLINK("https://eproc.rajasthan.gov.in/nicgep/app?component=%24DirectLink&amp;page=FrontEndViewTender&amp;service=direct&amp;session=T&amp;sp=SGk5rOT1MYuNDtkPbvLfAsQ%3D%3D", "Material Supply In G.P. SONKH")</f>
        <v/>
      </c>
      <c r="C2371" t="inlineStr">
        <is>
          <t>Panchayati Raj Department||Secretary and Commissioner||CEO-ALWAR||BDO-KATHUMBAR</t>
        </is>
      </c>
      <c r="D2371" t="inlineStr">
        <is>
          <t>21-May-2025 06:00 PM</t>
        </is>
      </c>
      <c r="E2371" t="inlineStr">
        <is>
          <t>30,00,000</t>
        </is>
      </c>
      <c r="F2371" t="inlineStr">
        <is>
          <t>Material Supply In G.P. SONKH</t>
        </is>
      </c>
      <c r="G2371" t="inlineStr">
        <is>
          <t>SONKH</t>
        </is>
      </c>
    </row>
    <row r="2372">
      <c r="A2372" s="1" t="n">
        <v>2370</v>
      </c>
      <c r="B2372">
        <f>HYPERLINK("https://eproc.rajasthan.gov.in/nicgep/app?component=%24DirectLink&amp;page=FrontEndViewTender&amp;service=direct&amp;session=T&amp;sp=Sa9hKS%2Ftp5Y5pym2GiYVVZA%3D%3D", "Work including door to door garbage collection and separation, road and drain cleaning and cleaning of community sanitation complexes in all the villages of Gram Panchayat Mankadi")</f>
        <v/>
      </c>
      <c r="C2372" t="inlineStr">
        <is>
          <t>Panchayati Raj Department||Secretary and Commissioner||CEO-SIKAR||BDO-NEEMKATHANA</t>
        </is>
      </c>
      <c r="D2372" t="inlineStr">
        <is>
          <t>19-May-2025 06:00 PM</t>
        </is>
      </c>
      <c r="E2372" t="inlineStr">
        <is>
          <t>3,50,000</t>
        </is>
      </c>
      <c r="F2372" t="inlineStr">
        <is>
          <t>Work including door to door garbage collection and separation, road and drain cleaning and cleaning of community sanitation complexes in all the villages of Gram Panchayat Mankadi</t>
        </is>
      </c>
      <c r="G2372" t="inlineStr">
        <is>
          <t>GP MANKADI</t>
        </is>
      </c>
    </row>
    <row r="2373">
      <c r="A2373" s="1" t="n">
        <v>2371</v>
      </c>
      <c r="B2373">
        <f>HYPERLINK("https://eproc.rajasthan.gov.in/nicgep/app?component=%24DirectLink&amp;page=FrontEndViewTender&amp;service=direct&amp;session=T&amp;sp=SNAolAWqOPedVh6iDtNUdyQ%3D%3D", "Work including door to door garbage collection and separation, road and drain cleaning and cleaning of community sanitation complexes in all the villages of Gram Panchayat Govindpura")</f>
        <v/>
      </c>
      <c r="C2373" t="inlineStr">
        <is>
          <t>Panchayati Raj Department||Secretary and Commissioner||CEO-SIKAR||BDO-NEEMKATHANA</t>
        </is>
      </c>
      <c r="D2373" t="inlineStr">
        <is>
          <t>19-May-2025 06:00 PM</t>
        </is>
      </c>
      <c r="E2373" t="inlineStr">
        <is>
          <t>5,00,000</t>
        </is>
      </c>
      <c r="F2373" t="inlineStr">
        <is>
          <t>Work including door to door garbage collection and separation, road and drain cleaning and cleaning of community sanitation complexes in all the villages of Gram Panchayat Govindpura</t>
        </is>
      </c>
      <c r="G2373" t="inlineStr">
        <is>
          <t>GP GOVINDPURA</t>
        </is>
      </c>
    </row>
    <row r="2374">
      <c r="A2374" s="1" t="n">
        <v>2372</v>
      </c>
      <c r="B2374">
        <f>HYPERLINK("https://eproc.rajasthan.gov.in/nicgep/app?component=%24DirectLink&amp;page=FrontEndViewTender&amp;service=direct&amp;session=T&amp;sp=SjIDwuGoaKTwsTuLP%2BgKKKA%3D%3D", "Material Supply In G.P. Mathuraheda")</f>
        <v/>
      </c>
      <c r="C2374" t="inlineStr">
        <is>
          <t>Panchayati Raj Department||Secretary and Commissioner||CEO-ALWAR||BDO-KATHUMBAR</t>
        </is>
      </c>
      <c r="D2374" t="inlineStr">
        <is>
          <t>21-May-2025 06:00 PM</t>
        </is>
      </c>
      <c r="E2374" t="inlineStr">
        <is>
          <t>30,00,000</t>
        </is>
      </c>
      <c r="F2374" t="inlineStr">
        <is>
          <t>Material Supply In G.P. Mathuraheda</t>
        </is>
      </c>
      <c r="G2374" t="inlineStr">
        <is>
          <t>MATHURAHEDA</t>
        </is>
      </c>
    </row>
    <row r="2375">
      <c r="A2375" s="1" t="n">
        <v>2373</v>
      </c>
      <c r="B2375">
        <f>HYPERLINK("https://eproc.rajasthan.gov.in/nicgep/app?component=%24DirectLink&amp;page=FrontEndViewTender&amp;service=direct&amp;session=T&amp;sp=S42Lu1pmcPqd%2BuDBzjIPkaA%3D%3D", "Material Supply In G.P. Naharkhohra")</f>
        <v/>
      </c>
      <c r="C2375" t="inlineStr">
        <is>
          <t>Panchayati Raj Department||Secretary and Commissioner||CEO-ALWAR||BDO-KATHUMBAR</t>
        </is>
      </c>
      <c r="D2375" t="inlineStr">
        <is>
          <t>21-May-2025 06:00 PM</t>
        </is>
      </c>
      <c r="E2375" t="inlineStr">
        <is>
          <t>30,00,000</t>
        </is>
      </c>
      <c r="F2375" t="inlineStr">
        <is>
          <t>Material Supply In G.P. Naharkhohra</t>
        </is>
      </c>
      <c r="G2375" t="inlineStr">
        <is>
          <t>NAHARKHOHRA</t>
        </is>
      </c>
    </row>
    <row r="2376">
      <c r="A2376" s="1" t="n">
        <v>2374</v>
      </c>
      <c r="B2376">
        <f>HYPERLINK("https://eproc.rajasthan.gov.in/nicgep/app?component=%24DirectLink&amp;page=FrontEndViewTender&amp;service=direct&amp;session=T&amp;sp=S1W4BANPe0%2FVVT44AmcW9aA%3D%3D", "Material Supply In G.P. Jahadu")</f>
        <v/>
      </c>
      <c r="C2376" t="inlineStr">
        <is>
          <t>Panchayati Raj Department||Secretary and Commissioner||CEO-ALWAR||BDO-KATHUMBAR</t>
        </is>
      </c>
      <c r="D2376" t="inlineStr">
        <is>
          <t>21-May-2025 06:00 PM</t>
        </is>
      </c>
      <c r="E2376" t="inlineStr">
        <is>
          <t>30,00,000</t>
        </is>
      </c>
      <c r="F2376" t="inlineStr">
        <is>
          <t>Material Supply In G.P. Jahadu</t>
        </is>
      </c>
      <c r="G2376" t="inlineStr">
        <is>
          <t>jahadu</t>
        </is>
      </c>
    </row>
    <row r="2377">
      <c r="A2377" s="1" t="n">
        <v>2375</v>
      </c>
      <c r="B2377">
        <f>HYPERLINK("https://eproc.rajasthan.gov.in/nicgep/app?component=%24DirectLink&amp;page=FrontEndViewTender&amp;service=direct&amp;session=T&amp;sp=SEtTum0Y9sCjio01MySOdgQ%3D%3D", "MATERIAL SUPPLY FOR G.P. TIGARIYA")</f>
        <v/>
      </c>
      <c r="C2377" t="inlineStr">
        <is>
          <t>Panchayati Raj Department||Secretary and Commissioner||CEO-ALWAR||BDO-KATHUMBAR</t>
        </is>
      </c>
      <c r="D2377" t="inlineStr">
        <is>
          <t>21-May-2025 06:00 PM</t>
        </is>
      </c>
      <c r="E2377" t="inlineStr">
        <is>
          <t>30,00,000</t>
        </is>
      </c>
      <c r="F2377" t="inlineStr">
        <is>
          <t>MATERIAL SUPPLY FOR G.P. TIGARIYA</t>
        </is>
      </c>
      <c r="G2377" t="inlineStr">
        <is>
          <t>TIGARIYA</t>
        </is>
      </c>
    </row>
    <row r="2378">
      <c r="A2378" s="1" t="n">
        <v>2376</v>
      </c>
      <c r="B2378">
        <f>HYPERLINK("https://eproc.rajasthan.gov.in/nicgep/app?component=%24DirectLink&amp;page=FrontEndViewTender&amp;service=direct&amp;session=T&amp;sp=S6YufMn%2BLAVvXBmKyVJLzJQ%3D%3D", "Material Supply In G.P. Khoh")</f>
        <v/>
      </c>
      <c r="C2378" t="inlineStr">
        <is>
          <t>Panchayati Raj Department||Secretary and Commissioner||CEO-ALWAR||BDO-KATHUMBAR</t>
        </is>
      </c>
      <c r="D2378" t="inlineStr">
        <is>
          <t>21-May-2025 06:00 PM</t>
        </is>
      </c>
      <c r="E2378" t="inlineStr">
        <is>
          <t>30,00,000</t>
        </is>
      </c>
      <c r="F2378" t="inlineStr">
        <is>
          <t>Material Supply In G.P. Khoh</t>
        </is>
      </c>
      <c r="G2378" t="inlineStr">
        <is>
          <t>khoh</t>
        </is>
      </c>
    </row>
    <row r="2379">
      <c r="A2379" s="1" t="n">
        <v>2377</v>
      </c>
      <c r="B2379">
        <f>HYPERLINK("https://eproc.rajasthan.gov.in/nicgep/app?component=%24DirectLink&amp;page=FrontEndViewTender&amp;service=direct&amp;session=T&amp;sp=SCKcTeWD7c3JraSXrvxaLmQ%3D%3D", "Material Supply In G.P. Khonkhar")</f>
        <v/>
      </c>
      <c r="C2379" t="inlineStr">
        <is>
          <t>Panchayati Raj Department||Secretary and Commissioner||CEO-ALWAR||BDO-KATHUMBAR</t>
        </is>
      </c>
      <c r="D2379" t="inlineStr">
        <is>
          <t>21-May-2025 06:00 PM</t>
        </is>
      </c>
      <c r="E2379" t="inlineStr">
        <is>
          <t>30,00,000</t>
        </is>
      </c>
      <c r="F2379" t="inlineStr">
        <is>
          <t>Material Supply In G.P. Khonkhar</t>
        </is>
      </c>
      <c r="G2379" t="inlineStr">
        <is>
          <t>KHONKHAR</t>
        </is>
      </c>
    </row>
    <row r="2380">
      <c r="A2380" s="1" t="n">
        <v>2378</v>
      </c>
      <c r="B2380">
        <f>HYPERLINK("https://eproc.rajasthan.gov.in/nicgep/app?component=%24DirectLink&amp;page=FrontEndViewTender&amp;service=direct&amp;session=T&amp;sp=SbF00SI4ZiBEWz9Ic%2BklyiQ%3D%3D", "Work including door to door garbage collection and separation, road and drain cleaning and cleaning of community sanitation complexes in all the villages of Gram Panchayat Mandoli")</f>
        <v/>
      </c>
      <c r="C2380" t="inlineStr">
        <is>
          <t>Panchayati Raj Department||Secretary and Commissioner||CEO-SIKAR||BDO-NEEMKATHANA</t>
        </is>
      </c>
      <c r="D2380" t="inlineStr">
        <is>
          <t>19-May-2025 06:00 PM</t>
        </is>
      </c>
      <c r="E2380" t="inlineStr">
        <is>
          <t>4,80,000</t>
        </is>
      </c>
      <c r="F2380" t="inlineStr">
        <is>
          <t>Work including door to door garbage collection and separation, road and drain cleaning and cleaning of community sanitation complexes in all the villages of Gram Panchayat Mandoli</t>
        </is>
      </c>
      <c r="G2380" t="inlineStr">
        <is>
          <t>GP MANDOLI</t>
        </is>
      </c>
    </row>
    <row r="2381">
      <c r="A2381" s="1" t="n">
        <v>2379</v>
      </c>
      <c r="B2381">
        <f>HYPERLINK("https://eproc.rajasthan.gov.in/nicgep/app?component=%24DirectLink&amp;page=FrontEndViewTender&amp;service=direct&amp;session=T&amp;sp=SeM6qxG6TRahhP20UYsD%2FQg%3D%3D", "Work including door to door garbage collection and separation, road and drain cleaning and cleaning of community sanitation complexes in all the villages of Gram Panchayat Bhagega")</f>
        <v/>
      </c>
      <c r="C2381" t="inlineStr">
        <is>
          <t>Panchayati Raj Department||Secretary and Commissioner||CEO-SIKAR||BDO-NEEMKATHANA</t>
        </is>
      </c>
      <c r="D2381" t="inlineStr">
        <is>
          <t>19-May-2025 06:00 PM</t>
        </is>
      </c>
      <c r="E2381" t="inlineStr">
        <is>
          <t>6,90,000</t>
        </is>
      </c>
      <c r="F2381" t="inlineStr">
        <is>
          <t>Work including door to door garbage collection and separation, road and drain cleaning and cleaning of community sanitation complexes in all the villages of Gram Panchayat Bhagega</t>
        </is>
      </c>
      <c r="G2381" t="inlineStr">
        <is>
          <t>GP SIROHI</t>
        </is>
      </c>
    </row>
    <row r="2382">
      <c r="A2382" s="1" t="n">
        <v>2380</v>
      </c>
      <c r="B2382">
        <f>HYPERLINK("https://eproc.rajasthan.gov.in/nicgep/app?component=%24DirectLink&amp;page=FrontEndViewTender&amp;service=direct&amp;session=T&amp;sp=SScltN3FkMG5ovLaNOvHY%2Fg%3D%3D", "Material Supply In G.P. Maithna")</f>
        <v/>
      </c>
      <c r="C2382" t="inlineStr">
        <is>
          <t>Panchayati Raj Department||Secretary and Commissioner||CEO-ALWAR||BDO-KATHUMBAR</t>
        </is>
      </c>
      <c r="D2382" t="inlineStr">
        <is>
          <t>21-May-2025 06:00 PM</t>
        </is>
      </c>
      <c r="E2382" t="inlineStr">
        <is>
          <t>30,00,000</t>
        </is>
      </c>
      <c r="F2382" t="inlineStr">
        <is>
          <t>Material Supply In G.P. Maithna</t>
        </is>
      </c>
      <c r="G2382" t="inlineStr">
        <is>
          <t>MAITHNA</t>
        </is>
      </c>
    </row>
    <row r="2383">
      <c r="A2383" s="1" t="n">
        <v>2381</v>
      </c>
      <c r="B2383">
        <f>HYPERLINK("https://eproc.rajasthan.gov.in/nicgep/app?component=%24DirectLink&amp;page=FrontEndViewTender&amp;service=direct&amp;session=T&amp;sp=SltjQCX%2FGdM325%2FF%2B0a0iYQ%3D%3D", "Material Supply In G.P. Indra Colony")</f>
        <v/>
      </c>
      <c r="C2383" t="inlineStr">
        <is>
          <t>Panchayati Raj Department||Secretary and Commissioner||CEO-ALWAR||BDO-KATHUMBAR</t>
        </is>
      </c>
      <c r="D2383" t="inlineStr">
        <is>
          <t>21-May-2025 06:00 PM</t>
        </is>
      </c>
      <c r="E2383" t="inlineStr">
        <is>
          <t>30,00,000</t>
        </is>
      </c>
      <c r="F2383" t="inlineStr">
        <is>
          <t>Material Supply In G.P. Indra Colony</t>
        </is>
      </c>
      <c r="G2383" t="inlineStr">
        <is>
          <t>INDRA COLONY</t>
        </is>
      </c>
    </row>
    <row r="2384">
      <c r="A2384" s="1" t="n">
        <v>2382</v>
      </c>
      <c r="B2384">
        <f>HYPERLINK("https://eproc.rajasthan.gov.in/nicgep/app?component=%24DirectLink&amp;page=FrontEndViewTender&amp;service=direct&amp;session=T&amp;sp=S71QsLHFzFpEbCKCWVQ2CNA%3D%3D", "Material Supply In G.P. Jatwada")</f>
        <v/>
      </c>
      <c r="C2384" t="inlineStr">
        <is>
          <t>Panchayati Raj Department||Secretary and Commissioner||CEO-ALWAR||BDO-KATHUMBAR</t>
        </is>
      </c>
      <c r="D2384" t="inlineStr">
        <is>
          <t>21-May-2025 06:00 PM</t>
        </is>
      </c>
      <c r="E2384" t="inlineStr">
        <is>
          <t>30,00,000</t>
        </is>
      </c>
      <c r="F2384" t="inlineStr">
        <is>
          <t>Material Supply In G.P. Jatwada</t>
        </is>
      </c>
      <c r="G2384" t="inlineStr">
        <is>
          <t>JATWADA</t>
        </is>
      </c>
    </row>
    <row r="2385">
      <c r="A2385" s="1" t="n">
        <v>2383</v>
      </c>
      <c r="B2385">
        <f>HYPERLINK("https://eproc.rajasthan.gov.in/nicgep/app?component=%24DirectLink&amp;page=FrontEndViewTender&amp;service=direct&amp;session=T&amp;sp=SzlrAzwtNgSyHl%2F6Gm%2FWkMA%3D%3D", "MATERIAL SUPPLY IN G.P. BAHRAMPUR")</f>
        <v/>
      </c>
      <c r="C2385" t="inlineStr">
        <is>
          <t>Panchayati Raj Department||Secretary and Commissioner||CEO-ALWAR||BDO-KATHUMBAR</t>
        </is>
      </c>
      <c r="D2385" t="inlineStr">
        <is>
          <t>21-May-2025 06:00 PM</t>
        </is>
      </c>
      <c r="E2385" t="inlineStr">
        <is>
          <t>30,00,000</t>
        </is>
      </c>
      <c r="F2385" t="inlineStr">
        <is>
          <t>MATERIAL SUPPLY IN G.P. BAHRAMPUR</t>
        </is>
      </c>
      <c r="G2385" t="inlineStr">
        <is>
          <t>BAHRAMPUR</t>
        </is>
      </c>
    </row>
    <row r="2386">
      <c r="A2386" s="1" t="n">
        <v>2384</v>
      </c>
      <c r="B2386">
        <f>HYPERLINK("https://eproc.rajasthan.gov.in/nicgep/app?component=%24DirectLink&amp;page=FrontEndViewTender&amp;service=direct&amp;session=T&amp;sp=Sr8K8i8zhL%2FZ497rFy1kmaA%3D%3D", "MATERIAL SUPPLY IN G.P. BASETH")</f>
        <v/>
      </c>
      <c r="C2386" t="inlineStr">
        <is>
          <t>Panchayati Raj Department||Secretary and Commissioner||CEO-ALWAR||BDO-KATHUMBAR</t>
        </is>
      </c>
      <c r="D2386" t="inlineStr">
        <is>
          <t>21-May-2025 06:00 PM</t>
        </is>
      </c>
      <c r="E2386" t="inlineStr">
        <is>
          <t>30,00,000</t>
        </is>
      </c>
      <c r="F2386" t="inlineStr">
        <is>
          <t>MATERIAL SUPPLY IN G.P. BASETH</t>
        </is>
      </c>
      <c r="G2386" t="inlineStr">
        <is>
          <t>BASETH</t>
        </is>
      </c>
    </row>
    <row r="2387">
      <c r="A2387" s="1" t="n">
        <v>2385</v>
      </c>
      <c r="B2387">
        <f>HYPERLINK("https://eproc.rajasthan.gov.in/nicgep/app?component=%24DirectLink&amp;page=FrontEndViewTender&amp;service=direct&amp;session=T&amp;sp=ST%2FI2LT0c2WR0TqJena3PpA%3D%3D", "MATERIAL SUPPLY IN G.P. BARODAKAN")</f>
        <v/>
      </c>
      <c r="C2387" t="inlineStr">
        <is>
          <t>Panchayati Raj Department||Secretary and Commissioner||CEO-ALWAR||BDO-KATHUMBAR</t>
        </is>
      </c>
      <c r="D2387" t="inlineStr">
        <is>
          <t>21-May-2025 06:00 PM</t>
        </is>
      </c>
      <c r="E2387" t="inlineStr">
        <is>
          <t>30,00,000</t>
        </is>
      </c>
      <c r="F2387" t="inlineStr">
        <is>
          <t>MATERIAL SUPPLY IN G.P. BARODAKAN</t>
        </is>
      </c>
      <c r="G2387" t="inlineStr">
        <is>
          <t>BARODAKAN</t>
        </is>
      </c>
    </row>
    <row r="2388">
      <c r="A2388" s="1" t="n">
        <v>2386</v>
      </c>
      <c r="B2388">
        <f>HYPERLINK("https://eproc.rajasthan.gov.in/nicgep/app?component=%24DirectLink&amp;page=FrontEndViewTender&amp;service=direct&amp;session=T&amp;sp=S0p6vX0A0mGrnOqgVSKYvFw%3D%3D", "Cleaning and Sanitary Services in Gram Panchayat GP Karna PS Sindhari")</f>
        <v/>
      </c>
      <c r="C2388" t="inlineStr">
        <is>
          <t>Panchayati Raj Department||Secretary and Commissioner||CEO-BADMER||BDO-SINDHARI</t>
        </is>
      </c>
      <c r="D2388" t="inlineStr">
        <is>
          <t>26-May-2025 05:00 PM</t>
        </is>
      </c>
      <c r="E2388" t="inlineStr">
        <is>
          <t>9,80,908</t>
        </is>
      </c>
      <c r="F2388" t="inlineStr">
        <is>
          <t>Cleaning and Sanitary Services in Gram Panchayat GP Karna PS Sindhari As Per Attach Tender Documents</t>
        </is>
      </c>
      <c r="G2388" t="inlineStr">
        <is>
          <t>GP Karna</t>
        </is>
      </c>
    </row>
    <row r="2389">
      <c r="A2389" s="1" t="n">
        <v>2387</v>
      </c>
      <c r="B2389">
        <f>HYPERLINK("https://eproc.rajasthan.gov.in/nicgep/app?component=%24DirectLink&amp;page=FrontEndViewTender&amp;service=direct&amp;session=T&amp;sp=SwbwGhESq8j%2FMcsYDk5QzLg%3D%3D", "Cleaning and Sanitary Services in Gram Panchayat GP Dhuriya Motisingh PS Sindhari")</f>
        <v/>
      </c>
      <c r="C2389" t="inlineStr">
        <is>
          <t>Panchayati Raj Department||Secretary and Commissioner||CEO-BADMER||BDO-SINDHARI</t>
        </is>
      </c>
      <c r="D2389" t="inlineStr">
        <is>
          <t>26-May-2025 05:00 PM</t>
        </is>
      </c>
      <c r="E2389" t="inlineStr">
        <is>
          <t>3,64,620</t>
        </is>
      </c>
      <c r="F2389" t="inlineStr">
        <is>
          <t>Cleaning and Sanitary Services in Gram Panchayat GP Dhuriya Motisingh PS Sindhari As Per Attach Tender Documents</t>
        </is>
      </c>
      <c r="G2389" t="inlineStr">
        <is>
          <t>GP Dhuriya Motisingh</t>
        </is>
      </c>
    </row>
    <row r="2390">
      <c r="A2390" s="1" t="n">
        <v>2388</v>
      </c>
      <c r="B2390">
        <f>HYPERLINK("https://eproc.rajasthan.gov.in/nicgep/app?component=%24DirectLink&amp;page=FrontEndViewTender&amp;service=direct&amp;session=T&amp;sp=SlN%2F0wUgS7SBztUI7csEYTw%3D%3D", "Cleaning and Sanitary Services in Gram Panchayat GP Kamthai PS Sindhari")</f>
        <v/>
      </c>
      <c r="C2390" t="inlineStr">
        <is>
          <t>Panchayati Raj Department||Secretary and Commissioner||CEO-BADMER||BDO-SINDHARI</t>
        </is>
      </c>
      <c r="D2390" t="inlineStr">
        <is>
          <t>26-May-2025 05:00 PM</t>
        </is>
      </c>
      <c r="E2390" t="inlineStr">
        <is>
          <t>5,50,785</t>
        </is>
      </c>
      <c r="F2390" t="inlineStr">
        <is>
          <t>Cleaning and Sanitary Services in Gram Panchayat GP Kamthai PS Sindhari As Per Attach Tender Documents</t>
        </is>
      </c>
      <c r="G2390" t="inlineStr">
        <is>
          <t>GP Kamthai</t>
        </is>
      </c>
    </row>
    <row r="2391">
      <c r="A2391" s="1" t="n">
        <v>2389</v>
      </c>
      <c r="B2391">
        <f>HYPERLINK("https://eproc.rajasthan.gov.in/nicgep/app?component=%24DirectLink&amp;page=FrontEndViewTender&amp;service=direct&amp;session=T&amp;sp=S3S36QIoOYyhDmkhd0CEv9w%3D%3D", "Cleaning and Sanitary Services in Gram Panchayat GP Juna Metha Kheda PS Sindhari")</f>
        <v/>
      </c>
      <c r="C2391" t="inlineStr">
        <is>
          <t>Panchayati Raj Department||Secretary and Commissioner||CEO-BADMER||BDO-SINDHARI</t>
        </is>
      </c>
      <c r="D2391" t="inlineStr">
        <is>
          <t>26-May-2025 05:00 PM</t>
        </is>
      </c>
      <c r="E2391" t="inlineStr">
        <is>
          <t>14,97,631</t>
        </is>
      </c>
      <c r="F2391" t="inlineStr">
        <is>
          <t>Cleaning and Sanitary Services in Gram Panchayat GP Juna Metha Kheda PS Sindhari As Per Attach Tender Documents</t>
        </is>
      </c>
      <c r="G2391" t="inlineStr">
        <is>
          <t>GP Juna Metha Kheda</t>
        </is>
      </c>
    </row>
    <row r="2392">
      <c r="A2392" s="1" t="n">
        <v>2390</v>
      </c>
      <c r="B2392">
        <f>HYPERLINK("https://eproc.rajasthan.gov.in/nicgep/app?component=%24DirectLink&amp;page=FrontEndViewTender&amp;service=direct&amp;session=T&amp;sp=Swc6ulfZSYZQEdEMNxSRG7g%3D%3D", "Cleaning and Sanitary Services in Gram Panchayat GP Dhanwa PS Sindhari")</f>
        <v/>
      </c>
      <c r="C2392" t="inlineStr">
        <is>
          <t>Panchayati Raj Department||Secretary and Commissioner||CEO-BADMER||BDO-SINDHARI</t>
        </is>
      </c>
      <c r="D2392" t="inlineStr">
        <is>
          <t>26-May-2025 05:00 PM</t>
        </is>
      </c>
      <c r="E2392" t="inlineStr">
        <is>
          <t>9,97,373</t>
        </is>
      </c>
      <c r="F2392" t="inlineStr">
        <is>
          <t>Cleaning and Sanitary Services in Gram Panchayat GP Dhanwa PS Sindhari As Per Attach Tender Documents</t>
        </is>
      </c>
      <c r="G2392" t="inlineStr">
        <is>
          <t>GP Dhanwa</t>
        </is>
      </c>
    </row>
    <row r="2393">
      <c r="A2393" s="1" t="n">
        <v>2391</v>
      </c>
      <c r="B2393">
        <f>HYPERLINK("https://eproc.rajasthan.gov.in/nicgep/app?component=%24DirectLink&amp;page=FrontEndViewTender&amp;service=direct&amp;session=T&amp;sp=SSPnAoP34a2QZBRVodkaXHw%3D%3D", "Cleaning and Sanitary Services in Gram Panchayat GP Dhakha PS Sindhari")</f>
        <v/>
      </c>
      <c r="C2393" t="inlineStr">
        <is>
          <t>Panchayati Raj Department||Secretary and Commissioner||CEO-BADMER||BDO-SINDHARI</t>
        </is>
      </c>
      <c r="D2393" t="inlineStr">
        <is>
          <t>26-May-2025 05:00 PM</t>
        </is>
      </c>
      <c r="E2393" t="inlineStr">
        <is>
          <t>14,97,974</t>
        </is>
      </c>
      <c r="F2393" t="inlineStr">
        <is>
          <t>Cleaning and Sanitary Services in Gram Panchayat GP Dhakha PS Sindhari As Per Attach Tender Documents</t>
        </is>
      </c>
      <c r="G2393" t="inlineStr">
        <is>
          <t>GP Dhakha</t>
        </is>
      </c>
    </row>
    <row r="2394">
      <c r="A2394" s="1" t="n">
        <v>2392</v>
      </c>
      <c r="B2394">
        <f>HYPERLINK("https://eproc.rajasthan.gov.in/nicgep/app?component=%24DirectLink&amp;page=FrontEndViewTender&amp;service=direct&amp;session=T&amp;sp=S2VqzUwUOoFjAeVUMYJgHdQ%3D%3D", "Cleaning and Sanitary Services in Gram Panchayat GP Dandali PS Sindhari")</f>
        <v/>
      </c>
      <c r="C2394" t="inlineStr">
        <is>
          <t>Panchayati Raj Department||Secretary and Commissioner||CEO-BADMER||BDO-SINDHARI</t>
        </is>
      </c>
      <c r="D2394" t="inlineStr">
        <is>
          <t>26-May-2025 05:00 PM</t>
        </is>
      </c>
      <c r="E2394" t="inlineStr">
        <is>
          <t>14,93,959</t>
        </is>
      </c>
      <c r="F2394" t="inlineStr">
        <is>
          <t>Cleaning and Sanitary Services in Gram Panchayat GP Dandali PS Sindhari As Per Attach Tender Documents</t>
        </is>
      </c>
      <c r="G2394" t="inlineStr">
        <is>
          <t>GP Dandali</t>
        </is>
      </c>
    </row>
    <row r="2395">
      <c r="A2395" s="1" t="n">
        <v>2393</v>
      </c>
      <c r="B2395">
        <f>HYPERLINK("https://eproc.rajasthan.gov.in/nicgep/app?component=%24DirectLink&amp;page=FrontEndViewTender&amp;service=direct&amp;session=T&amp;sp=SkasYRFJimQU1hadYm%2BaH4g%3D%3D", "Cleaning and Sanitary Services in Gram Panchayat GP Chado Ki Dhani PS Sindhari")</f>
        <v/>
      </c>
      <c r="C2395" t="inlineStr">
        <is>
          <t>Panchayati Raj Department||Secretary and Commissioner||CEO-BADMER||BDO-SINDHARI</t>
        </is>
      </c>
      <c r="D2395" t="inlineStr">
        <is>
          <t>26-May-2025 05:00 PM</t>
        </is>
      </c>
      <c r="E2395" t="inlineStr">
        <is>
          <t>14,97,441</t>
        </is>
      </c>
      <c r="F2395" t="inlineStr">
        <is>
          <t>Cleaning and Sanitary Services in Gram Panchayat GP Chado Ki Dhani PS Sindhari As Per Attach Tender Documents</t>
        </is>
      </c>
      <c r="G2395" t="inlineStr">
        <is>
          <t>GP Chado Ki Dhani</t>
        </is>
      </c>
    </row>
    <row r="2396">
      <c r="A2396" s="1" t="n">
        <v>2394</v>
      </c>
      <c r="B2396">
        <f>HYPERLINK("https://eproc.rajasthan.gov.in/nicgep/app?component=%24DirectLink&amp;page=FrontEndViewTender&amp;service=direct&amp;session=T&amp;sp=SLYhhEq6nm481oCxZqrrzrw%3D%3D", "Cleaning and Sanitary Services in Gram Panchayat GP Hodu PS Sindhari")</f>
        <v/>
      </c>
      <c r="C2396" t="inlineStr">
        <is>
          <t>Panchayati Raj Department||Secretary and Commissioner||CEO-BADMER||BDO-SINDHARI</t>
        </is>
      </c>
      <c r="D2396" t="inlineStr">
        <is>
          <t>26-May-2025 05:00 PM</t>
        </is>
      </c>
      <c r="E2396" t="inlineStr">
        <is>
          <t>19,90,969</t>
        </is>
      </c>
      <c r="F2396" t="inlineStr">
        <is>
          <t>Cleaning and Sanitary Services in Gram Panchayat GP Hodu PS Sindhari As Per Attach Tender Documents</t>
        </is>
      </c>
      <c r="G2396" t="inlineStr">
        <is>
          <t>GP Hodu</t>
        </is>
      </c>
    </row>
    <row r="2397">
      <c r="A2397" s="1" t="n">
        <v>2395</v>
      </c>
      <c r="B2397">
        <f>HYPERLINK("https://eproc.rajasthan.gov.in/nicgep/app?component=%24DirectLink&amp;page=FrontEndViewTender&amp;service=direct&amp;session=T&amp;sp=SiVVhtcrknc%2FlVXpqEkjqLw%3D%3D", "Cleaning and Sanitary Services in Gram Panchayat GP Godaro Ka Sara PS Sindhari")</f>
        <v/>
      </c>
      <c r="C2397" t="inlineStr">
        <is>
          <t>Panchayati Raj Department||Secretary and Commissioner||CEO-BADMER||BDO-SINDHARI</t>
        </is>
      </c>
      <c r="D2397" t="inlineStr">
        <is>
          <t>26-May-2025 05:00 PM</t>
        </is>
      </c>
      <c r="E2397" t="inlineStr">
        <is>
          <t>7,14,144</t>
        </is>
      </c>
      <c r="F2397" t="inlineStr">
        <is>
          <t>Cleaning and Sanitary Services in Gram Panchayat GP Godaro Ka Sara PS Sindhari As Per Attach Tender Documents</t>
        </is>
      </c>
      <c r="G2397" t="inlineStr">
        <is>
          <t>GP Godaro Ka Sara</t>
        </is>
      </c>
    </row>
    <row r="2398">
      <c r="A2398" s="1" t="n">
        <v>2396</v>
      </c>
      <c r="B2398">
        <f>HYPERLINK("https://eproc.rajasthan.gov.in/nicgep/app?component=%24DirectLink&amp;page=FrontEndViewTender&amp;service=direct&amp;session=T&amp;sp=SK3xI2US00Uw%2BL%2F02TGsWLw%3D%3D", "Cleaning and Sanitary Services in Gram Panchayat GP Bilasar PS Sindhari")</f>
        <v/>
      </c>
      <c r="C2398" t="inlineStr">
        <is>
          <t>Panchayati Raj Department||Secretary and Commissioner||CEO-BADMER||BDO-SINDHARI</t>
        </is>
      </c>
      <c r="D2398" t="inlineStr">
        <is>
          <t>26-May-2025 05:00 PM</t>
        </is>
      </c>
      <c r="E2398" t="inlineStr">
        <is>
          <t>6,03,287</t>
        </is>
      </c>
      <c r="F2398" t="inlineStr">
        <is>
          <t>Cleaning and Sanitary Services in Gram Panchayat GP Bilasar PS Sindhari As Per Attach Tender Documents</t>
        </is>
      </c>
      <c r="G2398" t="inlineStr">
        <is>
          <t>GP Bilasar</t>
        </is>
      </c>
    </row>
    <row r="2399">
      <c r="A2399" s="1" t="n">
        <v>2397</v>
      </c>
      <c r="B2399">
        <f>HYPERLINK("https://eproc.rajasthan.gov.in/nicgep/app?component=%24DirectLink&amp;page=FrontEndViewTender&amp;service=direct&amp;session=T&amp;sp=SLdypcQ1WJ4AvBP3aK8kVlQ%3D%3D", "RAJKIYA BALIKA UCHCH MADHYAMIK VIDHYALAY OGNA ME 2 KAKSHA KAKSH NIRMAN")</f>
        <v/>
      </c>
      <c r="C2399" t="inlineStr">
        <is>
          <t>Panchayati Raj Department||Secretary and Commissioner||CEO-UDAIPUR||BDO-JHADOL</t>
        </is>
      </c>
      <c r="D2399" t="inlineStr">
        <is>
          <t>22-May-2025 06:00 PM</t>
        </is>
      </c>
      <c r="E2399" t="inlineStr">
        <is>
          <t>24,26,000</t>
        </is>
      </c>
      <c r="F2399" t="inlineStr">
        <is>
          <t>RAJKIYA BALIKA UCHCH MADHYAMIK VIDHYALAY OGNA ME 2 KAKSHA KAKSH NIRMAN</t>
        </is>
      </c>
      <c r="G2399" t="inlineStr">
        <is>
          <t>RAJKIYA BALIKA UCHCH MADHYAMIK VIDHYALAY OGNA ME</t>
        </is>
      </c>
    </row>
    <row r="2400">
      <c r="A2400" s="1" t="n">
        <v>2398</v>
      </c>
      <c r="B2400">
        <f>HYPERLINK("https://eproc.rajasthan.gov.in/nicgep/app?component=%24DirectLink&amp;page=FrontEndViewTender&amp;service=direct&amp;session=T&amp;sp=Slq%2B5OBPI%2F2UdA2eL8wbtfg%3D%3D", "RAJKIYA UCHCH MADHYAMIK VIDHYALAY OGANA ME 2 KAKSHA KAKSH NIRMAN")</f>
        <v/>
      </c>
      <c r="C2400" t="inlineStr">
        <is>
          <t>Panchayati Raj Department||Secretary and Commissioner||CEO-UDAIPUR||BDO-JHADOL</t>
        </is>
      </c>
      <c r="D2400" t="inlineStr">
        <is>
          <t>22-May-2025 06:00 PM</t>
        </is>
      </c>
      <c r="E2400" t="inlineStr">
        <is>
          <t>24,26,000</t>
        </is>
      </c>
      <c r="F2400" t="inlineStr">
        <is>
          <t>RAJKIYA UCHCH MADHYAMIK VIDHYALAY OGANA ME 2 KAKSHA KAKSH NIRMAN</t>
        </is>
      </c>
      <c r="G2400" t="inlineStr">
        <is>
          <t>RAJKIYA UCHCH MADHYAMIK VIDHYALAY OGANA ME 2 KAKS</t>
        </is>
      </c>
    </row>
    <row r="2401">
      <c r="A2401" s="1" t="n">
        <v>2399</v>
      </c>
      <c r="B2401">
        <f>HYPERLINK("https://eproc.rajasthan.gov.in/nicgep/app?component=%24DirectLink&amp;page=FrontEndViewTender&amp;service=direct&amp;session=T&amp;sp=SwARUkUIV2lMr%2B51Hg5lCCg%3D%3D", "RAJKIYA UCHCH MADHYAMIK VIDHYALAY DHADHAWALI ME 2 KAKSHA KAKSH NIRMAN")</f>
        <v/>
      </c>
      <c r="C2401" t="inlineStr">
        <is>
          <t>Panchayati Raj Department||Secretary and Commissioner||CEO-UDAIPUR||BDO-JHADOL</t>
        </is>
      </c>
      <c r="D2401" t="inlineStr">
        <is>
          <t>22-May-2025 06:00 PM</t>
        </is>
      </c>
      <c r="E2401" t="inlineStr">
        <is>
          <t>18,13,000</t>
        </is>
      </c>
      <c r="F2401" t="inlineStr">
        <is>
          <t>RAJKIYA UCHCH MADHYAMIK VIDHYALAY DHADHAWALI ME 2 KAKSHA KAKSH NIRMAN</t>
        </is>
      </c>
      <c r="G2401" t="inlineStr">
        <is>
          <t>RAJKIYA UCHCH MADHYAMIK VIDHYALAY DHADHAWALI ME 2</t>
        </is>
      </c>
    </row>
    <row r="2402">
      <c r="A2402" s="1" t="n">
        <v>2400</v>
      </c>
      <c r="B2402">
        <f>HYPERLINK("https://eproc.rajasthan.gov.in/nicgep/app?component=%24DirectLink&amp;page=FrontEndViewTender&amp;service=direct&amp;session=T&amp;sp=SgPamVX7n%2Fnm%2FpzJavo%2Faew%3D%3D", "RAJKIYA UCHCH PRATHAMIK VIDHYALAY CHATARPURA ME 1 KAKSHA KAKSH NIRMAN")</f>
        <v/>
      </c>
      <c r="C2402" t="inlineStr">
        <is>
          <t>Panchayati Raj Department||Secretary and Commissioner||CEO-UDAIPUR||BDO-JHADOL</t>
        </is>
      </c>
      <c r="D2402" t="inlineStr">
        <is>
          <t>22-May-2025 06:00 PM</t>
        </is>
      </c>
      <c r="E2402" t="inlineStr">
        <is>
          <t>9,77,000</t>
        </is>
      </c>
      <c r="F2402" t="inlineStr">
        <is>
          <t>RAJKIYA UCHCH PRATHAMIK VIDHYALAY CHATARPURA ME 1 KAKSHA KAKSH NIRMAN</t>
        </is>
      </c>
      <c r="G2402" t="inlineStr">
        <is>
          <t>RAJKIYA UCHCH PRATHAMIK VIDHYALAY CHATARPURA ME 1</t>
        </is>
      </c>
    </row>
    <row r="2403">
      <c r="A2403" s="1" t="n">
        <v>2401</v>
      </c>
      <c r="B2403">
        <f>HYPERLINK("https://eproc.rajasthan.gov.in/nicgep/app?component=%24DirectLink&amp;page=FrontEndViewTender&amp;service=direct&amp;session=T&amp;sp=SwdwajiM5wYSps2HF9qlcdQ%3D%3D", "Rate contract For Supply of Construction Material and Providing Equipments for MGNREGA and Rural Development and Panchayati Raj departments various schemes at Gram Panchayat Gudha katla Panchayat Samiti Baswa Dist Dausa For FY 2025-26")</f>
        <v/>
      </c>
      <c r="C2403" t="inlineStr">
        <is>
          <t>Panchayati Raj Department||Secretary and Commissioner||CEO-DAUSA||BDO-BASWA</t>
        </is>
      </c>
      <c r="D2403" t="inlineStr">
        <is>
          <t>21-May-2025 05:00 PM</t>
        </is>
      </c>
      <c r="E2403" t="inlineStr">
        <is>
          <t>50,00,000</t>
        </is>
      </c>
      <c r="F2403" t="inlineStr">
        <is>
          <t>Rate contract For Supply of Construction Material and Providing Equipments for MGNREGA and Rural Development and Panchayati Raj departments various schemes at Gram Panchayat Gudha katla Panchayat Samiti Baswa Dist Dausa For FY 2025-26</t>
        </is>
      </c>
      <c r="G2403" t="inlineStr">
        <is>
          <t>GRAM PANCHYAT GUDHA KATLA</t>
        </is>
      </c>
    </row>
    <row r="2404">
      <c r="A2404" s="1" t="n">
        <v>2402</v>
      </c>
      <c r="B2404">
        <f>HYPERLINK("https://eproc.rajasthan.gov.in/nicgep/app?component=%24DirectLink&amp;page=FrontEndViewTender&amp;service=direct&amp;session=T&amp;sp=SEMavcbqW0e3Uzabo5LH4PQ%3D%3D", "MATERIAL TENDER 2025-26 GP UJALA")</f>
        <v/>
      </c>
      <c r="C2404" t="inlineStr">
        <is>
          <t>Panchayati Raj Department||Secretary and Commissioner||CEO- JAISALMER||BDO-SANKARA</t>
        </is>
      </c>
      <c r="D2404" t="inlineStr">
        <is>
          <t>26-May-2025 06:00 PM</t>
        </is>
      </c>
      <c r="E2404" t="inlineStr">
        <is>
          <t>1,00,00,000</t>
        </is>
      </c>
      <c r="F2404" t="inlineStr">
        <is>
          <t>MATERIAL TENDER 2025-26 GP UJALA</t>
        </is>
      </c>
      <c r="G2404" t="inlineStr">
        <is>
          <t>GRAMPANCHAYAT UJALA</t>
        </is>
      </c>
    </row>
    <row r="2405">
      <c r="A2405" s="1" t="n">
        <v>2403</v>
      </c>
      <c r="B2405">
        <f>HYPERLINK("https://eproc.rajasthan.gov.in/nicgep/app?component=%24DirectLink&amp;page=FrontEndViewTender&amp;service=direct&amp;session=T&amp;sp=S1ClRVdVyPkZPcXfY%2BeYAGw%3D%3D", "MATERIAL TENDER 2025-26 GP SANKARA")</f>
        <v/>
      </c>
      <c r="C2405" t="inlineStr">
        <is>
          <t>Panchayati Raj Department||Secretary and Commissioner||CEO- JAISALMER||BDO-SANKARA</t>
        </is>
      </c>
      <c r="D2405" t="inlineStr">
        <is>
          <t>26-May-2025 06:00 PM</t>
        </is>
      </c>
      <c r="E2405" t="inlineStr">
        <is>
          <t>1,50,00,000</t>
        </is>
      </c>
      <c r="F2405" t="inlineStr">
        <is>
          <t>MATERIAL TENDER 2025-26 GP SANKARA</t>
        </is>
      </c>
      <c r="G2405" t="inlineStr">
        <is>
          <t>GRAMPANCHAYAT SANKARA</t>
        </is>
      </c>
    </row>
    <row r="2406">
      <c r="A2406" s="1" t="n">
        <v>2404</v>
      </c>
      <c r="B2406">
        <f>HYPERLINK("https://eproc.rajasthan.gov.in/nicgep/app?component=%24DirectLink&amp;page=FrontEndViewTender&amp;service=direct&amp;session=T&amp;sp=SbXKixD%2BqJ09gCBU8jUlplw%3D%3D", "MATERIAL TENDER 2025-26 GP SADA")</f>
        <v/>
      </c>
      <c r="C2406" t="inlineStr">
        <is>
          <t>Panchayati Raj Department||Secretary and Commissioner||CEO- JAISALMER||BDO-SANKARA</t>
        </is>
      </c>
      <c r="D2406" t="inlineStr">
        <is>
          <t>26-May-2025 06:00 PM</t>
        </is>
      </c>
      <c r="E2406" t="inlineStr">
        <is>
          <t>50,00,000</t>
        </is>
      </c>
      <c r="F2406" t="inlineStr">
        <is>
          <t>MATERIAL TENDER 2025-26 GP SADA</t>
        </is>
      </c>
      <c r="G2406" t="inlineStr">
        <is>
          <t>GRAMPANCHAYAT SADA</t>
        </is>
      </c>
    </row>
    <row r="2407">
      <c r="A2407" s="1" t="n">
        <v>2405</v>
      </c>
      <c r="B2407">
        <f>HYPERLINK("https://eproc.rajasthan.gov.in/nicgep/app?component=%24DirectLink&amp;page=FrontEndViewTender&amp;service=direct&amp;session=T&amp;sp=Scw4e8FMECd9j6XdC0keEHQ%3D%3D", "MPLAD Work tender")</f>
        <v/>
      </c>
      <c r="C2407" t="inlineStr">
        <is>
          <t>Panchayati Raj Department||Secretary and Commissioner||CEO- JAISALMER||BDO-SANKARA</t>
        </is>
      </c>
      <c r="D2407" t="inlineStr">
        <is>
          <t>21-May-2025 06:00 PM</t>
        </is>
      </c>
      <c r="E2407" t="inlineStr">
        <is>
          <t>15,00,000</t>
        </is>
      </c>
      <c r="F2407" t="inlineStr">
        <is>
          <t>sarvajanik meghwal samaj hall nirman karya pokaran</t>
        </is>
      </c>
      <c r="G2407" t="inlineStr">
        <is>
          <t>gram panchayat barath ka gaon</t>
        </is>
      </c>
    </row>
    <row r="2408">
      <c r="A2408" s="1" t="n">
        <v>2406</v>
      </c>
      <c r="B2408">
        <f>HYPERLINK("https://eproc.rajasthan.gov.in/nicgep/app?component=%24DirectLink&amp;page=FrontEndViewTender&amp;service=direct&amp;session=T&amp;sp=S4kCbFaASa0WarAZynPFf2Q%3D%3D", "Work including door to door garbage collection and separation, road and drain cleaning and cleaning of community sanitation complexes in all the villages of Gram Panchayat Mawanda RS")</f>
        <v/>
      </c>
      <c r="C2408" t="inlineStr">
        <is>
          <t>Panchayati Raj Department||Secretary and Commissioner||CEO-SIKAR||BDO-NEEMKATHANA</t>
        </is>
      </c>
      <c r="D2408" t="inlineStr">
        <is>
          <t>19-May-2025 06:00 PM</t>
        </is>
      </c>
      <c r="E2408" t="inlineStr">
        <is>
          <t>3,84,000</t>
        </is>
      </c>
      <c r="F2408" t="inlineStr">
        <is>
          <t>Work including door to door garbage collection and separation, road and drain cleaning and cleaning of community sanitation complexes in all the villages of Gram Panchayat Mawanda RS</t>
        </is>
      </c>
      <c r="G2408" t="inlineStr">
        <is>
          <t>GP MAWANDA RS</t>
        </is>
      </c>
    </row>
    <row r="2409">
      <c r="A2409" s="1" t="n">
        <v>2407</v>
      </c>
      <c r="B2409">
        <f>HYPERLINK("https://eproc.rajasthan.gov.in/nicgep/app?component=%24DirectLink&amp;page=FrontEndViewTender&amp;service=direct&amp;session=T&amp;sp=Sl3AyYfBtFvCLzAJkj8dEEQ%3D%3D", "Work including door to door garbage collection and separation, road and drain cleaning and cleaning of community sanitation complexes in all the villages of Gram Panchayat Mawanda Khurd")</f>
        <v/>
      </c>
      <c r="C2409" t="inlineStr">
        <is>
          <t>Panchayati Raj Department||Secretary and Commissioner||CEO-SIKAR||BDO-NEEMKATHANA</t>
        </is>
      </c>
      <c r="D2409" t="inlineStr">
        <is>
          <t>19-May-2025 06:00 PM</t>
        </is>
      </c>
      <c r="E2409" t="inlineStr">
        <is>
          <t>7,00,000</t>
        </is>
      </c>
      <c r="F2409" t="inlineStr">
        <is>
          <t>Work including door to door garbage collection and separation, road and drain cleaning and cleaning of community sanitation complexes in all the villages of Gram Panchayat Mawanda Khurd</t>
        </is>
      </c>
      <c r="G2409" t="inlineStr">
        <is>
          <t>GP MAWANDA KHURD</t>
        </is>
      </c>
    </row>
    <row r="2410">
      <c r="A2410" s="1" t="n">
        <v>2408</v>
      </c>
      <c r="B2410">
        <f>HYPERLINK("https://eproc.rajasthan.gov.in/nicgep/app?component=%24DirectLink&amp;page=FrontEndViewTender&amp;service=direct&amp;session=T&amp;sp=SBcR1xuWkr%2FPx17gnmQnMKA%3D%3D", "Work including door to door garbage collection and separation, road and drain cleaning and cleaning of community sanitation complexes in all the villages of Gram Panchayat Sirohi")</f>
        <v/>
      </c>
      <c r="C2410" t="inlineStr">
        <is>
          <t>Panchayati Raj Department||Secretary and Commissioner||CEO-SIKAR||BDO-NEEMKATHANA</t>
        </is>
      </c>
      <c r="D2410" t="inlineStr">
        <is>
          <t>19-May-2025 06:00 PM</t>
        </is>
      </c>
      <c r="E2410" t="inlineStr">
        <is>
          <t>10,00,000</t>
        </is>
      </c>
      <c r="F2410" t="inlineStr">
        <is>
          <t>Work including door to door garbage collection and separation, road and drain cleaning and cleaning of community sanitation complexes in all the villages of Gram Panchayat Sirohi</t>
        </is>
      </c>
      <c r="G2410" t="inlineStr">
        <is>
          <t>GP SIROHI</t>
        </is>
      </c>
    </row>
    <row r="2411">
      <c r="A2411" s="1" t="n">
        <v>2409</v>
      </c>
      <c r="B2411">
        <f>HYPERLINK("https://eproc.rajasthan.gov.in/nicgep/app?component=%24DirectLink&amp;page=FrontEndViewTender&amp;service=direct&amp;session=T&amp;sp=SLaPo49Q%2BHaQ5ObSlndT9PA%3D%3D", "Work including door to door garbage collection and separation, road and drain cleaning and cleaning of community sanitation complexes in all the villages of Gram Panchayat Khadra")</f>
        <v/>
      </c>
      <c r="C2411" t="inlineStr">
        <is>
          <t>Panchayati Raj Department||Secretary and Commissioner||CEO-SIKAR||BDO-NEEMKATHANA</t>
        </is>
      </c>
      <c r="D2411" t="inlineStr">
        <is>
          <t>19-May-2025 06:00 PM</t>
        </is>
      </c>
      <c r="E2411" t="inlineStr">
        <is>
          <t>5,15,000</t>
        </is>
      </c>
      <c r="F2411" t="inlineStr">
        <is>
          <t>Work including door to door garbage collection and separation, road and drain cleaning and cleaning of community sanitation complexes in all the villages of Gram Panchayat Khadra</t>
        </is>
      </c>
      <c r="G2411" t="inlineStr">
        <is>
          <t>GP KHADRA</t>
        </is>
      </c>
    </row>
    <row r="2412">
      <c r="A2412" s="1" t="n">
        <v>2410</v>
      </c>
      <c r="B2412">
        <f>HYPERLINK("https://eproc.rajasthan.gov.in/nicgep/app?component=%24DirectLink&amp;page=FrontEndViewTender&amp;service=direct&amp;session=T&amp;sp=SuABWOoH0RBxOXVnYEI%2Fk4A%3D%3D", "Work including door to door garbage collection and separation, road and drain cleaning and cleaning of community sanitation complexes in all the villages of Gram Panchayat Kotda")</f>
        <v/>
      </c>
      <c r="C2412" t="inlineStr">
        <is>
          <t>Panchayati Raj Department||Secretary and Commissioner||CEO-SIKAR||BDO-NEEMKATHANA</t>
        </is>
      </c>
      <c r="D2412" t="inlineStr">
        <is>
          <t>19-May-2025 06:00 PM</t>
        </is>
      </c>
      <c r="E2412" t="inlineStr">
        <is>
          <t>6,18,000</t>
        </is>
      </c>
      <c r="F2412" t="inlineStr">
        <is>
          <t>Work including door to door garbage collection and separation, road and drain cleaning and cleaning of community sanitation complexes in all the villages of Gram Panchayat Kotda</t>
        </is>
      </c>
      <c r="G2412" t="inlineStr">
        <is>
          <t>GP KOTDA</t>
        </is>
      </c>
    </row>
    <row r="2413">
      <c r="A2413" s="1" t="n">
        <v>2411</v>
      </c>
      <c r="B2413">
        <f>HYPERLINK("https://eproc.rajasthan.gov.in/nicgep/app?component=%24DirectLink&amp;page=FrontEndViewTender&amp;service=direct&amp;session=T&amp;sp=S62eDli8YqOlTvp%2BSMrlDoA%3D%3D", "Work including door to door garbage collection and separation, road and drain cleaning and cleaning of community sanitation complexes in all the villages of Gram Panchayat Mawanda Kala")</f>
        <v/>
      </c>
      <c r="C2413" t="inlineStr">
        <is>
          <t>Panchayati Raj Department||Secretary and Commissioner||CEO-SIKAR||BDO-NEEMKATHANA</t>
        </is>
      </c>
      <c r="D2413" t="inlineStr">
        <is>
          <t>19-May-2025 06:00 PM</t>
        </is>
      </c>
      <c r="E2413" t="inlineStr">
        <is>
          <t>6,35,000</t>
        </is>
      </c>
      <c r="F2413" t="inlineStr">
        <is>
          <t>Work including door to door garbage collection and separation, road and drain cleaning and cleaning of community sanitation complexes in all the villages of Gram Panchayat Mawanda Kala</t>
        </is>
      </c>
      <c r="G2413" t="inlineStr">
        <is>
          <t>GP MAWANDA KALA</t>
        </is>
      </c>
    </row>
    <row r="2414">
      <c r="A2414" s="1" t="n">
        <v>2412</v>
      </c>
      <c r="B2414">
        <f>HYPERLINK("https://eproc.rajasthan.gov.in/nicgep/app?component=%24DirectLink&amp;page=FrontEndViewTender&amp;service=direct&amp;session=T&amp;sp=SDJqdn3B0dXYojAv77JoHXg%3D%3D", "Work including door to door garbage collection and separation, road and drain cleaning and cleaning of community sanitation complexes in all the villages of Gram Panchayat Narsinghpuri")</f>
        <v/>
      </c>
      <c r="C2414" t="inlineStr">
        <is>
          <t>Panchayati Raj Department||Secretary and Commissioner||CEO-SIKAR||BDO-NEEMKATHANA</t>
        </is>
      </c>
      <c r="D2414" t="inlineStr">
        <is>
          <t>19-May-2025 06:00 PM</t>
        </is>
      </c>
      <c r="E2414" t="inlineStr">
        <is>
          <t>7,20,000</t>
        </is>
      </c>
      <c r="F2414" t="inlineStr">
        <is>
          <t>Work including door to door garbage collection and separation, road and drain cleaning and cleaning of community sanitation complexes in all the villages of Gram Panchayat Narsinghpuri</t>
        </is>
      </c>
      <c r="G2414" t="inlineStr">
        <is>
          <t>GP NARSINGHPURI</t>
        </is>
      </c>
    </row>
    <row r="2415">
      <c r="A2415" s="1" t="n">
        <v>2413</v>
      </c>
      <c r="B2415">
        <f>HYPERLINK("https://eproc.rajasthan.gov.in/nicgep/app?component=%24DirectLink&amp;page=FrontEndViewTender&amp;service=direct&amp;session=T&amp;sp=S38MLGQLHrOjiTa1efXxKdQ%3D%3D", "Work including door to door garbage collection and separation, road and drain cleaning and cleaning of community sanitation complexes in all the villages of Gram Panchayat Theekariya")</f>
        <v/>
      </c>
      <c r="C2415" t="inlineStr">
        <is>
          <t>Panchayati Raj Department||Secretary and Commissioner||CEO-SIKAR||BDO-NEEMKATHANA</t>
        </is>
      </c>
      <c r="D2415" t="inlineStr">
        <is>
          <t>19-May-2025 06:00 PM</t>
        </is>
      </c>
      <c r="E2415" t="inlineStr">
        <is>
          <t>4,10,000</t>
        </is>
      </c>
      <c r="F2415" t="inlineStr">
        <is>
          <t>Work including door to door garbage collection and separation, road and drain cleaning and cleaning of community sanitation complexes in all the villages of Gram Panchayat Theekariya</t>
        </is>
      </c>
      <c r="G2415" t="inlineStr">
        <is>
          <t>GP THEEKARIYA</t>
        </is>
      </c>
    </row>
    <row r="2416">
      <c r="A2416" s="1" t="n">
        <v>2414</v>
      </c>
      <c r="B2416">
        <f>HYPERLINK("https://eproc.rajasthan.gov.in/nicgep/app?component=%24DirectLink&amp;page=FrontEndViewTender&amp;service=direct&amp;session=T&amp;sp=SvRVc4RlebyZo0gDdWyY7%2BA%3D%3D", "Work including door to door garbage collection and separation, road and drain cleaning and cleaning of community sanitation complexes in all the villages of Gram Panchayat Harjanpura")</f>
        <v/>
      </c>
      <c r="C2416" t="inlineStr">
        <is>
          <t>Panchayati Raj Department||Secretary and Commissioner||CEO-SIKAR||BDO-NEEMKATHANA</t>
        </is>
      </c>
      <c r="D2416" t="inlineStr">
        <is>
          <t>19-May-2025 06:00 PM</t>
        </is>
      </c>
      <c r="E2416" t="inlineStr">
        <is>
          <t>5,15,000</t>
        </is>
      </c>
      <c r="F2416" t="inlineStr">
        <is>
          <t>Work including door to door garbage collection and separation, road and drain cleaning and cleaning of community sanitation complexes in all the villages of Gram Panchayat Harjanpura</t>
        </is>
      </c>
      <c r="G2416" t="inlineStr">
        <is>
          <t>GP HARJANPURA</t>
        </is>
      </c>
    </row>
    <row r="2417">
      <c r="A2417" s="1" t="n">
        <v>2415</v>
      </c>
      <c r="B2417">
        <f>HYPERLINK("https://eproc.rajasthan.gov.in/nicgep/app?component=%24DirectLink&amp;page=FrontEndViewTender&amp;service=direct&amp;session=T&amp;sp=SGkf4Xh2fln88j6uMHQJzKQ%3D%3D", "Work including door to door garbage collection and separation, road and drain cleaning and cleaning of community sanitation complexes in all the villages of Gram Panchayat Ganwari")</f>
        <v/>
      </c>
      <c r="C2417" t="inlineStr">
        <is>
          <t>Panchayati Raj Department||Secretary and Commissioner||CEO-SIKAR||BDO-NEEMKATHANA</t>
        </is>
      </c>
      <c r="D2417" t="inlineStr">
        <is>
          <t>19-May-2025 06:00 PM</t>
        </is>
      </c>
      <c r="E2417" t="inlineStr">
        <is>
          <t>9,00,000</t>
        </is>
      </c>
      <c r="F2417" t="inlineStr">
        <is>
          <t>Work including door to door garbage collection and separation, road and drain cleaning and cleaning of community sanitation complexes in all the villages of Gram Panchayat Ganwari</t>
        </is>
      </c>
      <c r="G2417" t="inlineStr">
        <is>
          <t>GP GANWADI</t>
        </is>
      </c>
    </row>
    <row r="2418">
      <c r="A2418" s="1" t="n">
        <v>2416</v>
      </c>
      <c r="B2418">
        <f>HYPERLINK("https://eproc.rajasthan.gov.in/nicgep/app?component=%24DirectLink&amp;page=FrontEndViewTender&amp;service=direct&amp;session=T&amp;sp=SqVFtlcKdWyE8%2BLlBj%2BX7Vw%3D%3D", "Work including door to door garbage collection and separation, road and drain cleaning and cleaning of community sanitation complexes in all the villages of Gram Panchayat Nayabas")</f>
        <v/>
      </c>
      <c r="C2418" t="inlineStr">
        <is>
          <t>Panchayati Raj Department||Secretary and Commissioner||CEO-SIKAR||BDO-NEEMKATHANA</t>
        </is>
      </c>
      <c r="D2418" t="inlineStr">
        <is>
          <t>19-May-2025 06:00 PM</t>
        </is>
      </c>
      <c r="E2418" t="inlineStr">
        <is>
          <t>5,00,000</t>
        </is>
      </c>
      <c r="F2418" t="inlineStr">
        <is>
          <t>Work including door to door garbage collection and separation, road and drain cleaning and cleaning of community sanitation complexes in all the villages of Gram Panchayat Nayabas</t>
        </is>
      </c>
      <c r="G2418" t="inlineStr">
        <is>
          <t>GP NAYABAS</t>
        </is>
      </c>
    </row>
    <row r="2419">
      <c r="A2419" s="1" t="n">
        <v>2417</v>
      </c>
      <c r="B2419">
        <f>HYPERLINK("https://eproc.rajasthan.gov.in/nicgep/app?component=%24DirectLink&amp;page=FrontEndViewTender&amp;service=direct&amp;session=T&amp;sp=S8hMgxpD8aD2ylYdOl4OfcQ%3D%3D", "Work including door to door garbage collection and separation, road and drain cleaning and cleaning of community sanitation complexes in all the villages of Gram Panchayat Dehra Johadi")</f>
        <v/>
      </c>
      <c r="C2419" t="inlineStr">
        <is>
          <t>Panchayati Raj Department||Secretary and Commissioner||CEO-SIKAR||BDO-NEEMKATHANA</t>
        </is>
      </c>
      <c r="D2419" t="inlineStr">
        <is>
          <t>19-May-2025 06:00 PM</t>
        </is>
      </c>
      <c r="E2419" t="inlineStr">
        <is>
          <t>6,94,000</t>
        </is>
      </c>
      <c r="F2419" t="inlineStr">
        <is>
          <t>Work including door to door garbage collection and separation, road and drain cleaning and cleaning of community sanitation complexes in all the villages of Gram Panchayat Dehra Johadi</t>
        </is>
      </c>
      <c r="G2419" t="inlineStr">
        <is>
          <t>GP DEHARA JOHADI</t>
        </is>
      </c>
    </row>
    <row r="2420">
      <c r="A2420" s="1" t="n">
        <v>2418</v>
      </c>
      <c r="B2420">
        <f>HYPERLINK("https://eproc.rajasthan.gov.in/nicgep/app?component=%24DirectLink&amp;page=FrontEndViewTender&amp;service=direct&amp;session=T&amp;sp=SyISNwUYnrCCEtyzH1smo2A%3D%3D", "Work including door to door garbage collection and separation, road and drain cleaning and cleaning of community sanitation complexes in all the villages of Gram Panchayat Mahawa")</f>
        <v/>
      </c>
      <c r="C2420" t="inlineStr">
        <is>
          <t>Panchayati Raj Department||Secretary and Commissioner||CEO-SIKAR||BDO-NEEMKATHANA</t>
        </is>
      </c>
      <c r="D2420" t="inlineStr">
        <is>
          <t>19-May-2025 06:00 PM</t>
        </is>
      </c>
      <c r="E2420" t="inlineStr">
        <is>
          <t>5,40,000</t>
        </is>
      </c>
      <c r="F2420" t="inlineStr">
        <is>
          <t>Work including door to door garbage collection and separation, road and drain cleaning and cleaning of community sanitation complexes in all the villages of Gram Panchayat Mahawa</t>
        </is>
      </c>
      <c r="G2420" t="inlineStr">
        <is>
          <t>GP MAHAWA</t>
        </is>
      </c>
    </row>
    <row r="2421">
      <c r="A2421" s="1" t="n">
        <v>2419</v>
      </c>
      <c r="B2421">
        <f>HYPERLINK("https://eproc.rajasthan.gov.in/nicgep/app?component=%24DirectLink&amp;page=FrontEndViewTender&amp;service=direct&amp;session=T&amp;sp=SrQioPcsgBLZFjmW3yzkc9w%3D%3D", "Work including door to door garbage collection and separation, road and drain cleaning and cleaning of community sanitation complexes in all the villages of Gram Panchayat Guhala")</f>
        <v/>
      </c>
      <c r="C2421" t="inlineStr">
        <is>
          <t>Panchayati Raj Department||Secretary and Commissioner||CEO-SIKAR||BDO-NEEMKATHANA</t>
        </is>
      </c>
      <c r="D2421" t="inlineStr">
        <is>
          <t>19-May-2025 06:00 PM</t>
        </is>
      </c>
      <c r="E2421" t="inlineStr">
        <is>
          <t>7,22,000</t>
        </is>
      </c>
      <c r="F2421" t="inlineStr">
        <is>
          <t>Work including door to door garbage collection and separation, road and drain cleaning and cleaning of community sanitation complexes in all the villages of Gram Panchayat Guhala</t>
        </is>
      </c>
      <c r="G2421" t="inlineStr">
        <is>
          <t>GP GUHALA</t>
        </is>
      </c>
    </row>
    <row r="2422">
      <c r="A2422" s="1" t="n">
        <v>2420</v>
      </c>
      <c r="B2422">
        <f>HYPERLINK("https://eproc.rajasthan.gov.in/nicgep/app?component=%24DirectLink&amp;page=FrontEndViewTender&amp;service=direct&amp;session=T&amp;sp=SUxn3UNyEUfMP4cZCMPDxVQ%3D%3D", "Work including door to door garbage collection and separation, road and drain cleaning and cleaning of community sanitation complexes in all the villages of Gram Panchayat Basadi Khurd")</f>
        <v/>
      </c>
      <c r="C2422" t="inlineStr">
        <is>
          <t>Panchayati Raj Department||Secretary and Commissioner||CEO-SIKAR||BDO-NEEMKATHANA</t>
        </is>
      </c>
      <c r="D2422" t="inlineStr">
        <is>
          <t>19-May-2025 06:00 PM</t>
        </is>
      </c>
      <c r="E2422" t="inlineStr">
        <is>
          <t>4,64,000</t>
        </is>
      </c>
      <c r="F2422" t="inlineStr">
        <is>
          <t>Work including door to door garbage collection and separation, road and drain cleaning and cleaning of community sanitation complexes in all the villages of Gram Panchayat Basadi Khurd</t>
        </is>
      </c>
      <c r="G2422" t="inlineStr">
        <is>
          <t>GP BASADI KHURD</t>
        </is>
      </c>
    </row>
    <row r="2423">
      <c r="A2423" s="1" t="n">
        <v>2421</v>
      </c>
      <c r="B2423">
        <f>HYPERLINK("https://eproc.rajasthan.gov.in/nicgep/app?component=%24DirectLink&amp;page=FrontEndViewTender&amp;service=direct&amp;session=T&amp;sp=SG7TS%2F7uv60wGApK4T7nrSw%3D%3D", "MATERIAL SUPPLY IN G.P.ADOLI")</f>
        <v/>
      </c>
      <c r="C2423" t="inlineStr">
        <is>
          <t>Panchayati Raj Department||Secretary and Commissioner||CEO-ALWAR||BDO-KATHUMBAR</t>
        </is>
      </c>
      <c r="D2423" t="inlineStr">
        <is>
          <t>21-May-2025 06:00 PM</t>
        </is>
      </c>
      <c r="E2423" t="inlineStr">
        <is>
          <t>30,00,000</t>
        </is>
      </c>
      <c r="F2423" t="inlineStr">
        <is>
          <t>MATERIAL SUPPLY IN G.P.ADOLI</t>
        </is>
      </c>
      <c r="G2423" t="inlineStr">
        <is>
          <t>G.P. ADOLI</t>
        </is>
      </c>
    </row>
    <row r="2424">
      <c r="A2424" s="1" t="n">
        <v>2422</v>
      </c>
      <c r="B2424">
        <f>HYPERLINK("https://eproc.rajasthan.gov.in/nicgep/app?component=%24DirectLink&amp;page=FrontEndViewTender&amp;service=direct&amp;session=T&amp;sp=SWgGV6voy1Rktj5xFkN4uIg%3D%3D", "MATERIAL SUPPLY IN G.P.ARRUWA")</f>
        <v/>
      </c>
      <c r="C2424" t="inlineStr">
        <is>
          <t>Panchayati Raj Department||Secretary and Commissioner||CEO-ALWAR||BDO-KATHUMBAR</t>
        </is>
      </c>
      <c r="D2424" t="inlineStr">
        <is>
          <t>21-May-2025 06:00 PM</t>
        </is>
      </c>
      <c r="E2424" t="inlineStr">
        <is>
          <t>30,00,000</t>
        </is>
      </c>
      <c r="F2424" t="inlineStr">
        <is>
          <t>MATERIAL SUPPLY IN G.P.ARRUWA</t>
        </is>
      </c>
      <c r="G2424" t="inlineStr">
        <is>
          <t>ARRUWA</t>
        </is>
      </c>
    </row>
    <row r="2425">
      <c r="A2425" s="1" t="n">
        <v>2423</v>
      </c>
      <c r="B2425">
        <f>HYPERLINK("https://eproc.rajasthan.gov.in/nicgep/app?component=%24DirectLink&amp;page=FrontEndViewTender&amp;service=direct&amp;session=T&amp;sp=S%2BTPL%2Flx3NipNFd7zFH5Amw%3D%3D", "Material Supply In G.P. Kalwadi")</f>
        <v/>
      </c>
      <c r="C2425" t="inlineStr">
        <is>
          <t>Panchayati Raj Department||Secretary and Commissioner||CEO-ALWAR||BDO-KATHUMBAR</t>
        </is>
      </c>
      <c r="D2425" t="inlineStr">
        <is>
          <t>21-May-2025 06:00 PM</t>
        </is>
      </c>
      <c r="E2425" t="inlineStr">
        <is>
          <t>30,00,000</t>
        </is>
      </c>
      <c r="F2425" t="inlineStr">
        <is>
          <t>Material Supply In G.P. Kalwadi</t>
        </is>
      </c>
      <c r="G2425" t="inlineStr">
        <is>
          <t>kalwadi</t>
        </is>
      </c>
    </row>
    <row r="2426">
      <c r="A2426" s="1" t="n">
        <v>2424</v>
      </c>
      <c r="B2426">
        <f>HYPERLINK("https://eproc.rajasthan.gov.in/nicgep/app?component=%24DirectLink&amp;page=FrontEndViewTender&amp;service=direct&amp;session=T&amp;sp=SyNFQGPxiJihstSAVIl%2BJuw%3D%3D", "Material Supply In G.P. Kherli Rel")</f>
        <v/>
      </c>
      <c r="C2426" t="inlineStr">
        <is>
          <t>Panchayati Raj Department||Secretary and Commissioner||CEO-ALWAR||BDO-KATHUMBAR</t>
        </is>
      </c>
      <c r="D2426" t="inlineStr">
        <is>
          <t>21-May-2025 06:00 PM</t>
        </is>
      </c>
      <c r="E2426" t="inlineStr">
        <is>
          <t>30,00,000</t>
        </is>
      </c>
      <c r="F2426" t="inlineStr">
        <is>
          <t>Material Supply In G.P. Kherli Rel</t>
        </is>
      </c>
      <c r="G2426" t="inlineStr">
        <is>
          <t>KHERLI REL</t>
        </is>
      </c>
    </row>
    <row r="2427">
      <c r="A2427" s="1" t="n">
        <v>2425</v>
      </c>
      <c r="B2427">
        <f>HYPERLINK("https://eproc.rajasthan.gov.in/nicgep/app?component=%24DirectLink&amp;page=FrontEndViewTender&amp;service=direct&amp;session=T&amp;sp=S%2B3R4xYgbkMYxNnXMUDG9wQ%3D%3D", "Material Supply In G.P. KHEDAMAIDA")</f>
        <v/>
      </c>
      <c r="C2427" t="inlineStr">
        <is>
          <t>Panchayati Raj Department||Secretary and Commissioner||CEO-ALWAR||BDO-KATHUMBAR</t>
        </is>
      </c>
      <c r="D2427" t="inlineStr">
        <is>
          <t>21-May-2025 06:00 PM</t>
        </is>
      </c>
      <c r="E2427" t="inlineStr">
        <is>
          <t>30,00,000</t>
        </is>
      </c>
      <c r="F2427" t="inlineStr">
        <is>
          <t>Material Supply In G.P. KHEDAMAIDA</t>
        </is>
      </c>
      <c r="G2427" t="inlineStr">
        <is>
          <t>KHEDAMAIDA</t>
        </is>
      </c>
    </row>
    <row r="2428">
      <c r="A2428" s="1" t="n">
        <v>2426</v>
      </c>
      <c r="B2428">
        <f>HYPERLINK("https://eproc.rajasthan.gov.in/nicgep/app?component=%24DirectLink&amp;page=FrontEndViewTender&amp;service=direct&amp;session=T&amp;sp=SL1KXijWJOv1x6qUPntdlAw%3D%3D", "Material Supply In G.P. KHEDA KALYANPUR")</f>
        <v/>
      </c>
      <c r="C2428" t="inlineStr">
        <is>
          <t>Panchayati Raj Department||Secretary and Commissioner||CEO-ALWAR||BDO-KATHUMBAR</t>
        </is>
      </c>
      <c r="D2428" t="inlineStr">
        <is>
          <t>21-May-2025 06:00 PM</t>
        </is>
      </c>
      <c r="E2428" t="inlineStr">
        <is>
          <t>30,00,000</t>
        </is>
      </c>
      <c r="F2428" t="inlineStr">
        <is>
          <t>Material Supply In G.P. KHEDA KALYANPUR</t>
        </is>
      </c>
      <c r="G2428" t="inlineStr">
        <is>
          <t>KHEDA KALYANPUR</t>
        </is>
      </c>
    </row>
    <row r="2429">
      <c r="A2429" s="1" t="n">
        <v>2427</v>
      </c>
      <c r="B2429">
        <f>HYPERLINK("https://eproc.rajasthan.gov.in/nicgep/app?component=%24DirectLink&amp;page=FrontEndViewTender&amp;service=direct&amp;session=T&amp;sp=SkSv%2Fof5B4v3LruwvY7ZwKw%3D%3D", "Material Supply In G.P. Kuttin Sabdas")</f>
        <v/>
      </c>
      <c r="C2429" t="inlineStr">
        <is>
          <t>Panchayati Raj Department||Secretary and Commissioner||CEO-ALWAR||BDO-KATHUMBAR</t>
        </is>
      </c>
      <c r="D2429" t="inlineStr">
        <is>
          <t>21-May-2025 06:00 PM</t>
        </is>
      </c>
      <c r="E2429" t="inlineStr">
        <is>
          <t>30,00,000</t>
        </is>
      </c>
      <c r="F2429" t="inlineStr">
        <is>
          <t>Material Supply In G.P. Kuttin Sabdas</t>
        </is>
      </c>
      <c r="G2429" t="inlineStr">
        <is>
          <t>KUTTIN SABDAS</t>
        </is>
      </c>
    </row>
    <row r="2430">
      <c r="A2430" s="1" t="n">
        <v>2428</v>
      </c>
      <c r="B2430">
        <f>HYPERLINK("https://eproc.rajasthan.gov.in/nicgep/app?component=%24DirectLink&amp;page=FrontEndViewTender&amp;service=direct&amp;session=T&amp;sp=SSOb1MhUK02yzMi3OIYyLyw%3D%3D", "Material Supply In G.P. MASARI")</f>
        <v/>
      </c>
      <c r="C2430" t="inlineStr">
        <is>
          <t>Panchayati Raj Department||Secretary and Commissioner||CEO-ALWAR||BDO-KATHUMBAR</t>
        </is>
      </c>
      <c r="D2430" t="inlineStr">
        <is>
          <t>21-May-2025 06:00 PM</t>
        </is>
      </c>
      <c r="E2430" t="inlineStr">
        <is>
          <t>30,00,000</t>
        </is>
      </c>
      <c r="F2430" t="inlineStr">
        <is>
          <t>Material Supply In G.P. MASARI</t>
        </is>
      </c>
      <c r="G2430" t="inlineStr">
        <is>
          <t>MASARI</t>
        </is>
      </c>
    </row>
    <row r="2431">
      <c r="A2431" s="1" t="n">
        <v>2429</v>
      </c>
      <c r="B2431">
        <f>HYPERLINK("https://eproc.rajasthan.gov.in/nicgep/app?component=%24DirectLink&amp;page=FrontEndViewTender&amp;service=direct&amp;session=T&amp;sp=SR%2BjwmZMDYKezOrBLnqPHLg%3D%3D", "Work including door to door garbage collection and separation, road and drain cleaning and cleaning of community sanitation complexes in all the villages of Gram Panchayat Natha Ki Nangal")</f>
        <v/>
      </c>
      <c r="C2431" t="inlineStr">
        <is>
          <t>Panchayati Raj Department||Secretary and Commissioner||CEO-SIKAR||BDO-NEEMKATHANA</t>
        </is>
      </c>
      <c r="D2431" t="inlineStr">
        <is>
          <t>19-May-2025 06:00 PM</t>
        </is>
      </c>
      <c r="E2431" t="inlineStr">
        <is>
          <t>9,47,000</t>
        </is>
      </c>
      <c r="F2431" t="inlineStr">
        <is>
          <t>Work including door to door garbage collection and separation, road and drain cleaning and cleaning of community sanitation complexes in all the villages of Gram Panchayat Natha Ki Nangal</t>
        </is>
      </c>
      <c r="G2431" t="inlineStr">
        <is>
          <t>GP NATHA KI NANGAL</t>
        </is>
      </c>
    </row>
    <row r="2432">
      <c r="A2432" s="1" t="n">
        <v>2430</v>
      </c>
      <c r="B2432">
        <f>HYPERLINK("https://eproc.rajasthan.gov.in/nicgep/app?component=%24DirectLink&amp;page=FrontEndViewTender&amp;service=direct&amp;session=T&amp;sp=SY7Q%2BmnQyqyY2lRkNhm7xIw%3D%3D", "Gram Panchayat CHHOKARWARA All village, Home to Home Garbage collection and segregation from(residential and commercial)areas, street and drain cleaning and community sanitation,premises cleaning work,GP CHHOKARWADA PS SIKANDARA")</f>
        <v/>
      </c>
      <c r="C2432" t="inlineStr">
        <is>
          <t>Panchayati Raj Department||Secretary and Commissioner||CEO-DAUSA||BDO-SIKARAI</t>
        </is>
      </c>
      <c r="D2432" t="inlineStr">
        <is>
          <t>21-May-2025 06:00 PM</t>
        </is>
      </c>
      <c r="E2432" t="inlineStr">
        <is>
          <t>9,23,005</t>
        </is>
      </c>
      <c r="F2432" t="inlineStr">
        <is>
          <t>Gram Panchayat CHHOKARWARA All village, Home to Home Garbage collection and segregation from(residential and commercial)areas, street and drain cleaning and community sanitation,premises cleaning work,GP CHHOKARWADA PS SIKANDARA</t>
        </is>
      </c>
      <c r="G2432" t="inlineStr">
        <is>
          <t>Gram Panchayat CHHOKARWARA All village, Home to Ho</t>
        </is>
      </c>
    </row>
    <row r="2433">
      <c r="A2433" s="1" t="n">
        <v>2431</v>
      </c>
      <c r="B2433">
        <f>HYPERLINK("https://eproc.rajasthan.gov.in/nicgep/app?component=%24DirectLink&amp;page=FrontEndViewTender&amp;service=direct&amp;session=T&amp;sp=SreYR605LWQHsP6BW22wdEg%3D%3D", "Gram Panchayat RANOLI All village, Home to Home Garbage collection and segregation from(residential and commercial)areas, street and drain cleaning and community sanitation,premises cleaning work,GP RANOLI PS SIKANDARA")</f>
        <v/>
      </c>
      <c r="C2433" t="inlineStr">
        <is>
          <t>Panchayati Raj Department||Secretary and Commissioner||CEO-DAUSA||BDO-SIKARAI</t>
        </is>
      </c>
      <c r="D2433" t="inlineStr">
        <is>
          <t>21-May-2025 01:00 PM</t>
        </is>
      </c>
      <c r="E2433" t="inlineStr">
        <is>
          <t>9,05,312</t>
        </is>
      </c>
      <c r="F2433" t="inlineStr">
        <is>
          <t>Gram Panchayat RANOLI All village, Home to Home Garbage collection and segregation from(residential and commercial)areas, street and drain cleaning and community sanitation,premises cleaning work,GP RANOLI PS SIKANDARA</t>
        </is>
      </c>
      <c r="G2433" t="inlineStr">
        <is>
          <t>GRAM PACNHAYAT RANOLI</t>
        </is>
      </c>
    </row>
    <row r="2434">
      <c r="A2434" s="1" t="n">
        <v>2432</v>
      </c>
      <c r="B2434">
        <f>HYPERLINK("https://eproc.rajasthan.gov.in/nicgep/app?component=%24DirectLink&amp;page=FrontEndViewTender&amp;service=direct&amp;session=T&amp;sp=SNVZ%2FojWoKvM2rMpGyeB9HA%3D%3D", "Gram Panchayat RANOLI All village, Home to Home Garbage collection and segregation from(residential and commercial)areas, street and drain cleaning and community sanitation,premises cleaning work,GP RANOLI PS SIKANDARA")</f>
        <v/>
      </c>
      <c r="C2434" t="inlineStr">
        <is>
          <t>Panchayati Raj Department||Secretary and Commissioner||CEO-DAUSA||BDO-SIKARAI</t>
        </is>
      </c>
      <c r="D2434" t="inlineStr">
        <is>
          <t>21-May-2025 05:00 PM</t>
        </is>
      </c>
      <c r="E2434" t="inlineStr">
        <is>
          <t>9,05,312</t>
        </is>
      </c>
      <c r="F2434" t="inlineStr">
        <is>
          <t>Gram Panchayat RANOLI All village, Home to Home Garbage collection and segregation from(residential and commercial)areas, street and drain cleaning and community sanitation,premises cleaning work,GP RANOLI PS SIKANDARA</t>
        </is>
      </c>
      <c r="G2434" t="inlineStr">
        <is>
          <t>GRAM PACNHAYAT RANOLI</t>
        </is>
      </c>
    </row>
    <row r="2435">
      <c r="A2435" s="1" t="n">
        <v>2433</v>
      </c>
      <c r="B2435">
        <f>HYPERLINK("https://eproc.rajasthan.gov.in/nicgep/app?component=%24DirectLink&amp;page=FrontEndViewTender&amp;service=direct&amp;session=T&amp;sp=SzJzugPnGL%2FrPp8KIqIXftg%3D%3D", "Gram Panchayat Mariyada All village, Home to Home Garbage collection and segregation from(residential and commercial)areas, street and drain cleaning and community sanitation,premises cleaning work,GP Mariyada PS SIKANDARA")</f>
        <v/>
      </c>
      <c r="C2435" t="inlineStr">
        <is>
          <t>Panchayati Raj Department||Secretary and Commissioner||CEO-DAUSA||BDO-SIKARAI</t>
        </is>
      </c>
      <c r="D2435" t="inlineStr">
        <is>
          <t>21-May-2025 05:00 PM</t>
        </is>
      </c>
      <c r="E2435" t="inlineStr">
        <is>
          <t>9,79,308</t>
        </is>
      </c>
      <c r="F2435" t="inlineStr">
        <is>
          <t>Gram Panchayat Mariyada All village, Home to Home Garbage collection and segregation from(residential and commercial)areas, street and drain cleaning and community sanitation,premises cleaning work,GP Mariyada PS SIKANDARA</t>
        </is>
      </c>
      <c r="G2435" t="inlineStr">
        <is>
          <t>GRAM PACNHAYAT MARIYADA</t>
        </is>
      </c>
    </row>
    <row r="2436">
      <c r="A2436" s="1" t="n">
        <v>2434</v>
      </c>
      <c r="B2436">
        <f>HYPERLINK("https://eproc.rajasthan.gov.in/nicgep/app?component=%24DirectLink&amp;page=FrontEndViewTender&amp;service=direct&amp;session=T&amp;sp=SuqxhQ7S%2FJP%2Fr%2BQ5SCwMvsg%3D%3D", "Cleaning and Sanitary Services in Gram Panchayat GP Bhukha Bhagat Singh PS Sindhari")</f>
        <v/>
      </c>
      <c r="C2436" t="inlineStr">
        <is>
          <t>Panchayati Raj Department||Secretary and Commissioner||CEO-BADMER||BDO-SINDHARI</t>
        </is>
      </c>
      <c r="D2436" t="inlineStr">
        <is>
          <t>26-May-2025 05:00 PM</t>
        </is>
      </c>
      <c r="E2436" t="inlineStr">
        <is>
          <t>19,94,269</t>
        </is>
      </c>
      <c r="F2436" t="inlineStr">
        <is>
          <t>Cleaning and Sanitary Services in Gram Panchayat GP Bhukha Bhagat Singh PS Sindhari As Per Attach Tender Documents</t>
        </is>
      </c>
      <c r="G2436" t="inlineStr">
        <is>
          <t>GP Bhukha Bhagat Singh</t>
        </is>
      </c>
    </row>
    <row r="2437">
      <c r="A2437" s="1" t="n">
        <v>2435</v>
      </c>
      <c r="B2437">
        <f>HYPERLINK("https://eproc.rajasthan.gov.in/nicgep/app?component=%24DirectLink&amp;page=FrontEndViewTender&amp;service=direct&amp;session=T&amp;sp=SRHwUIA%2F93thpZ0pu1brZUQ%3D%3D", "Cleaning and Sanitary Services in Gram Panchayat GP Bhata PS Sindhari")</f>
        <v/>
      </c>
      <c r="C2437" t="inlineStr">
        <is>
          <t>Panchayati Raj Department||Secretary and Commissioner||CEO-BADMER||BDO-SINDHARI</t>
        </is>
      </c>
      <c r="D2437" t="inlineStr">
        <is>
          <t>26-May-2025 05:00 PM</t>
        </is>
      </c>
      <c r="E2437" t="inlineStr">
        <is>
          <t>6,39,115</t>
        </is>
      </c>
      <c r="F2437" t="inlineStr">
        <is>
          <t>Cleaning and Sanitary Services in Gram Panchayat GP Bhata PS Sindhari As Per Attach Tender Documents</t>
        </is>
      </c>
      <c r="G2437" t="inlineStr">
        <is>
          <t>GP Bhata</t>
        </is>
      </c>
    </row>
    <row r="2438">
      <c r="A2438" s="1" t="n">
        <v>2436</v>
      </c>
      <c r="B2438">
        <f>HYPERLINK("https://eproc.rajasthan.gov.in/nicgep/app?component=%24DirectLink&amp;page=FrontEndViewTender&amp;service=direct&amp;session=T&amp;sp=S6Zziy6RDMj9H%2F2%2FARn6%2BTA%3D%3D", "Rate contract For Supply of Construction Material and Providing Equipments for MGNREGA and Rural Development and Panchayati Raj departments various schemes at Gram Panchayat Gol Panchayat Samiti LALSOT Dist Dausa For FY 2025-26")</f>
        <v/>
      </c>
      <c r="C2438" t="inlineStr">
        <is>
          <t>Panchayati Raj Department||Secretary and Commissioner||CEO-DAUSA||BDO-LALSOT</t>
        </is>
      </c>
      <c r="D2438" t="inlineStr">
        <is>
          <t>21-May-2025 06:00 PM</t>
        </is>
      </c>
      <c r="E2438" t="inlineStr">
        <is>
          <t>50,00,000</t>
        </is>
      </c>
      <c r="F2438" t="inlineStr">
        <is>
          <t>Rate contract For Supply of Construction Material and Providing Equipments for MGNREGA and Rural Development and Panchayati Raj departments various schemes at Gram Panchayat Gol Panchayat Samiti LALSOT Dist Dausa For FY 2025-26</t>
        </is>
      </c>
      <c r="G2438" t="inlineStr">
        <is>
          <t>Gram Panchayat Gol Panchayat</t>
        </is>
      </c>
    </row>
    <row r="2439">
      <c r="A2439" s="1" t="n">
        <v>2437</v>
      </c>
      <c r="B2439">
        <f>HYPERLINK("https://eproc.rajasthan.gov.in/nicgep/app?component=%24DirectLink&amp;page=FrontEndViewTender&amp;service=direct&amp;session=T&amp;sp=S8js8kfD17nUYiAE8h%2FuCKA%3D%3D", "Cleaning and Sanitary Services in Gram Panchayat GP Ariniyali Mahechan PS Sindhari")</f>
        <v/>
      </c>
      <c r="C2439" t="inlineStr">
        <is>
          <t>Panchayati Raj Department||Secretary and Commissioner||CEO-BADMER||BDO-SINDHARI</t>
        </is>
      </c>
      <c r="D2439" t="inlineStr">
        <is>
          <t>26-May-2025 05:00 PM</t>
        </is>
      </c>
      <c r="E2439" t="inlineStr">
        <is>
          <t>14,97,222</t>
        </is>
      </c>
      <c r="F2439" t="inlineStr">
        <is>
          <t>Cleaning and Sanitary Services in Gram Panchayat GP Ariniyali Mahechan PS Sindhari As Per Attach Tender Documents</t>
        </is>
      </c>
      <c r="G2439" t="inlineStr">
        <is>
          <t>GP Ariniyali Mahechan</t>
        </is>
      </c>
    </row>
    <row r="2440">
      <c r="A2440" s="1" t="n">
        <v>2438</v>
      </c>
      <c r="B2440">
        <f>HYPERLINK("https://eproc.rajasthan.gov.in/nicgep/app?component=%24DirectLink&amp;page=FrontEndViewTender&amp;service=direct&amp;session=T&amp;sp=SyUWycIw%2B0I8imfNWNBEeZw%3D%3D", "MATERIAL SUPPLY IN G.P. DARODA")</f>
        <v/>
      </c>
      <c r="C2440" t="inlineStr">
        <is>
          <t>Panchayati Raj Department||Secretary and Commissioner||CEO-ALWAR||BDO-KATHUMBAR</t>
        </is>
      </c>
      <c r="D2440" t="inlineStr">
        <is>
          <t>21-May-2025 06:00 PM</t>
        </is>
      </c>
      <c r="E2440" t="inlineStr">
        <is>
          <t>30,00,000</t>
        </is>
      </c>
      <c r="F2440" t="inlineStr">
        <is>
          <t>MATERIAL SUPPLY IN G.P. DARODA</t>
        </is>
      </c>
      <c r="G2440" t="inlineStr">
        <is>
          <t>DARODA</t>
        </is>
      </c>
    </row>
    <row r="2441">
      <c r="A2441" s="1" t="n">
        <v>2439</v>
      </c>
      <c r="B2441">
        <f>HYPERLINK("https://eproc.rajasthan.gov.in/nicgep/app?component=%24DirectLink&amp;page=FrontEndViewTender&amp;service=direct&amp;session=T&amp;sp=SZlxvIvFdDD2CMp6lGJoGRQ%3D%3D", "Cleaning and Sanitary Services in Gram Panchayat GP Bamani PS Sindhari")</f>
        <v/>
      </c>
      <c r="C2441" t="inlineStr">
        <is>
          <t>Panchayati Raj Department||Secretary and Commissioner||CEO-BADMER||BDO-SINDHARI</t>
        </is>
      </c>
      <c r="D2441" t="inlineStr">
        <is>
          <t>26-May-2025 05:00 PM</t>
        </is>
      </c>
      <c r="E2441" t="inlineStr">
        <is>
          <t>3,19,141</t>
        </is>
      </c>
      <c r="F2441" t="inlineStr">
        <is>
          <t>Cleaning and Sanitary Services in Gram Panchayat GP Bamani PS Sindhari As Per Attach Tender Documents</t>
        </is>
      </c>
      <c r="G2441" t="inlineStr">
        <is>
          <t>GP Bamani</t>
        </is>
      </c>
    </row>
    <row r="2442">
      <c r="A2442" s="1" t="n">
        <v>2440</v>
      </c>
      <c r="B2442">
        <f>HYPERLINK("https://eproc.rajasthan.gov.in/nicgep/app?component=%24DirectLink&amp;page=FrontEndViewTender&amp;service=direct&amp;session=T&amp;sp=SyzlfJgy6oBnIB1o8rJlIWw%3D%3D", "Tin shed construction work near Bhagwati Ashram Asada")</f>
        <v/>
      </c>
      <c r="C2442" t="inlineStr">
        <is>
          <t>Panchayati Raj Department||Secretary and Commissioner||CEO-BADMER||BDO-BALOTRA</t>
        </is>
      </c>
      <c r="D2442" t="inlineStr">
        <is>
          <t>21-May-2025 05:00 PM</t>
        </is>
      </c>
      <c r="E2442" t="inlineStr">
        <is>
          <t>11,00,000</t>
        </is>
      </c>
      <c r="F2442" t="inlineStr">
        <is>
          <t>civil work</t>
        </is>
      </c>
      <c r="G2442" t="inlineStr">
        <is>
          <t>Asada</t>
        </is>
      </c>
    </row>
    <row r="2443">
      <c r="A2443" s="1" t="n">
        <v>2441</v>
      </c>
      <c r="B2443">
        <f>HYPERLINK("https://eproc.rajasthan.gov.in/nicgep/app?component=%24DirectLink&amp;page=FrontEndViewTender&amp;service=direct&amp;session=T&amp;sp=SrU8iffqaAf1pbLI17lYTqg%3D%3D", "Material and Equipment Supply for Gram panchayat Paliyash In Narega scheme")</f>
        <v/>
      </c>
      <c r="C2443" t="inlineStr">
        <is>
          <t>Panchayati Raj Department||Secretary and Commissioner||CEO-NAGORE||BDO-DEGANA</t>
        </is>
      </c>
      <c r="D2443" t="inlineStr">
        <is>
          <t>21-May-2025 06:00 PM</t>
        </is>
      </c>
      <c r="E2443" t="inlineStr">
        <is>
          <t>1,00,00,000</t>
        </is>
      </c>
      <c r="F2443" t="inlineStr">
        <is>
          <t>Material and Equipment Supply for Gram panchayat Paliyash In Narega scheme</t>
        </is>
      </c>
      <c r="G2443" t="inlineStr">
        <is>
          <t>GP PALIYASH</t>
        </is>
      </c>
    </row>
    <row r="2444">
      <c r="A2444" s="1" t="n">
        <v>2442</v>
      </c>
      <c r="B2444">
        <f>HYPERLINK("https://eproc.rajasthan.gov.in/nicgep/app?component=%24DirectLink&amp;page=FrontEndViewTender&amp;service=direct&amp;session=T&amp;sp=Sr7gt6hkQ3917OxBrQ0rCdA%3D%3D", "Material and Equipment Supply for Gram panchayat Daboli Meethi In Narega scheme")</f>
        <v/>
      </c>
      <c r="C2444" t="inlineStr">
        <is>
          <t>Panchayati Raj Department||Secretary and Commissioner||CEO-NAGORE||BDO-DEGANA</t>
        </is>
      </c>
      <c r="D2444" t="inlineStr">
        <is>
          <t>21-May-2025 06:00 PM</t>
        </is>
      </c>
      <c r="E2444" t="inlineStr">
        <is>
          <t>1,00,00,000</t>
        </is>
      </c>
      <c r="F2444" t="inlineStr">
        <is>
          <t>Material and Equipment Supply for Gram panchayat Daboli Meethi In Narega scheme</t>
        </is>
      </c>
      <c r="G2444" t="inlineStr">
        <is>
          <t>GP DABOLI MEETHI</t>
        </is>
      </c>
    </row>
    <row r="2445">
      <c r="A2445" s="1" t="n">
        <v>2443</v>
      </c>
      <c r="B2445">
        <f>HYPERLINK("https://eproc.rajasthan.gov.in/nicgep/app?component=%24DirectLink&amp;page=FrontEndViewTender&amp;service=direct&amp;session=T&amp;sp=SacUCGdLi3qyjZis4b4BB3g%3D%3D", "Cleaning and Sanitary Services in Gram Panchayat GP Bandanada PS Sindhari")</f>
        <v/>
      </c>
      <c r="C2445" t="inlineStr">
        <is>
          <t>Panchayati Raj Department||Secretary and Commissioner||CEO-BADMER||BDO-SINDHARI</t>
        </is>
      </c>
      <c r="D2445" t="inlineStr">
        <is>
          <t>26-May-2025 05:00 PM</t>
        </is>
      </c>
      <c r="E2445" t="inlineStr">
        <is>
          <t>7,23,444</t>
        </is>
      </c>
      <c r="F2445" t="inlineStr">
        <is>
          <t>Cleaning and Sanitary Services in Gram Panchayat GP Bandanada PS Sindhari As Per Attach Tender Documents</t>
        </is>
      </c>
      <c r="G2445" t="inlineStr">
        <is>
          <t>GP Bandanada</t>
        </is>
      </c>
    </row>
    <row r="2446">
      <c r="A2446" s="1" t="n">
        <v>2444</v>
      </c>
      <c r="B2446">
        <f>HYPERLINK("https://eproc.rajasthan.gov.in/nicgep/app?component=%24DirectLink&amp;page=FrontEndViewTender&amp;service=direct&amp;session=T&amp;sp=ShHffLyKHTrCM3pNyI3mG4g%3D%3D", "MATERIAL TENDER 2025-26 GP RAMDEVRA")</f>
        <v/>
      </c>
      <c r="C2446" t="inlineStr">
        <is>
          <t>Panchayati Raj Department||Secretary and Commissioner||CEO- JAISALMER||BDO-SANKARA</t>
        </is>
      </c>
      <c r="D2446" t="inlineStr">
        <is>
          <t>26-May-2025 06:00 PM</t>
        </is>
      </c>
      <c r="E2446" t="inlineStr">
        <is>
          <t>3,00,00,000</t>
        </is>
      </c>
      <c r="F2446" t="inlineStr">
        <is>
          <t>MATERIAL TENDER 2025-26 GP RAMDEVRA</t>
        </is>
      </c>
      <c r="G2446" t="inlineStr">
        <is>
          <t>GRAMPANCHAYAT RAMDEVRA</t>
        </is>
      </c>
    </row>
    <row r="2447">
      <c r="A2447" s="1" t="n">
        <v>2445</v>
      </c>
      <c r="B2447">
        <f>HYPERLINK("https://eproc.rajasthan.gov.in/nicgep/app?component=%24DirectLink&amp;page=FrontEndViewTender&amp;service=direct&amp;session=T&amp;sp=ScmhmfAtNUFAS7mo38dTbrg%3D%3D", "MATERIAL TENDER 2025-26 GP NEDAN")</f>
        <v/>
      </c>
      <c r="C2447" t="inlineStr">
        <is>
          <t>Panchayati Raj Department||Secretary and Commissioner||CEO- JAISALMER||BDO-SANKARA</t>
        </is>
      </c>
      <c r="D2447" t="inlineStr">
        <is>
          <t>26-May-2025 06:00 PM</t>
        </is>
      </c>
      <c r="E2447" t="inlineStr">
        <is>
          <t>1,00,00,000</t>
        </is>
      </c>
      <c r="F2447" t="inlineStr">
        <is>
          <t>MATERIAL TENDER 2025-26 GP NEDAN</t>
        </is>
      </c>
      <c r="G2447" t="inlineStr">
        <is>
          <t>GRAMPANCHAYAT NEDAN</t>
        </is>
      </c>
    </row>
    <row r="2448">
      <c r="A2448" s="1" t="n">
        <v>2446</v>
      </c>
      <c r="B2448">
        <f>HYPERLINK("https://eproc.rajasthan.gov.in/nicgep/app?component=%24DirectLink&amp;page=FrontEndViewTender&amp;service=direct&amp;session=T&amp;sp=S6vxOPpRdZbzY0FK5cylyJA%3D%3D", "Work including door to door garbage collection and separation, road and drain cleaning and cleaning of community sanitation complexes in all the villages of Gram Panchayat Ganeshwar")</f>
        <v/>
      </c>
      <c r="C2448" t="inlineStr">
        <is>
          <t>Panchayati Raj Department||Secretary and Commissioner||CEO-SIKAR||BDO-NEEMKATHANA</t>
        </is>
      </c>
      <c r="D2448" t="inlineStr">
        <is>
          <t>19-May-2025 06:00 PM</t>
        </is>
      </c>
      <c r="E2448" t="inlineStr">
        <is>
          <t>9,98,000</t>
        </is>
      </c>
      <c r="F2448" t="inlineStr">
        <is>
          <t>Work including door to door garbage collection and separation, road and drain cleaning and cleaning of community sanitation complexes in all the villages of Gram Panchayat Ganeshwar</t>
        </is>
      </c>
      <c r="G2448" t="inlineStr">
        <is>
          <t>GP GANESHWAR</t>
        </is>
      </c>
    </row>
    <row r="2449">
      <c r="A2449" s="1" t="n">
        <v>2447</v>
      </c>
      <c r="B2449">
        <f>HYPERLINK("https://eproc.rajasthan.gov.in/nicgep/app?component=%24DirectLink&amp;page=FrontEndViewTender&amp;service=direct&amp;session=T&amp;sp=SGPekOkcjXW9GuRVLC1LTCA%3D%3D", "MATERIAL TENDER 2025-26 GP JHALARIYA")</f>
        <v/>
      </c>
      <c r="C2449" t="inlineStr">
        <is>
          <t>Panchayati Raj Department||Secretary and Commissioner||CEO- JAISALMER||BDO-SANKARA</t>
        </is>
      </c>
      <c r="D2449" t="inlineStr">
        <is>
          <t>26-May-2025 06:00 PM</t>
        </is>
      </c>
      <c r="E2449" t="inlineStr">
        <is>
          <t>1,00,00,000</t>
        </is>
      </c>
      <c r="F2449" t="inlineStr">
        <is>
          <t>MATERIAL TENDER 2025-26 GP JHALARIYA</t>
        </is>
      </c>
      <c r="G2449" t="inlineStr">
        <is>
          <t>GRAMPANCHAYAT JHALARIYA</t>
        </is>
      </c>
    </row>
    <row r="2450">
      <c r="A2450" s="1" t="n">
        <v>2448</v>
      </c>
      <c r="B2450">
        <f>HYPERLINK("https://eproc.rajasthan.gov.in/nicgep/app?component=%24DirectLink&amp;page=FrontEndViewTender&amp;service=direct&amp;session=T&amp;sp=SS82b%2FGVtQ61PuBmtyB0GNg%3D%3D", "MATERIAL TENDER 2025-26 GP MODARDI")</f>
        <v/>
      </c>
      <c r="C2450" t="inlineStr">
        <is>
          <t>Panchayati Raj Department||Secretary and Commissioner||CEO- JAISALMER||BDO-SANKARA</t>
        </is>
      </c>
      <c r="D2450" t="inlineStr">
        <is>
          <t>26-May-2025 06:00 PM</t>
        </is>
      </c>
      <c r="E2450" t="inlineStr">
        <is>
          <t>1,00,00,000</t>
        </is>
      </c>
      <c r="F2450" t="inlineStr">
        <is>
          <t>MATERIAL TENDER 2025-26 GP MODARDI</t>
        </is>
      </c>
      <c r="G2450" t="inlineStr">
        <is>
          <t>GRAMPANCHAYAT MODARDI</t>
        </is>
      </c>
    </row>
    <row r="2451">
      <c r="A2451" s="1" t="n">
        <v>2449</v>
      </c>
      <c r="B2451">
        <f>HYPERLINK("https://eproc.rajasthan.gov.in/nicgep/app?component=%24DirectLink&amp;page=FrontEndViewTender&amp;service=direct&amp;session=T&amp;sp=SIckA20ZYnNR73zhJnWbVeg%3D%3D", "MATERIAL SUPPLY IN G.P. DANTIYA")</f>
        <v/>
      </c>
      <c r="C2451" t="inlineStr">
        <is>
          <t>Panchayati Raj Department||Secretary and Commissioner||CEO-ALWAR||BDO-KATHUMBAR</t>
        </is>
      </c>
      <c r="D2451" t="inlineStr">
        <is>
          <t>21-May-2025 06:00 PM</t>
        </is>
      </c>
      <c r="E2451" t="inlineStr">
        <is>
          <t>30,00,000</t>
        </is>
      </c>
      <c r="F2451" t="inlineStr">
        <is>
          <t>MATERIAL SUPPLY IN G.P. DANTIYA</t>
        </is>
      </c>
      <c r="G2451" t="inlineStr">
        <is>
          <t>DANTIYA</t>
        </is>
      </c>
    </row>
    <row r="2452">
      <c r="A2452" s="1" t="n">
        <v>2450</v>
      </c>
      <c r="B2452">
        <f>HYPERLINK("https://eproc.rajasthan.gov.in/nicgep/app?component=%24DirectLink&amp;page=FrontEndViewTender&amp;service=direct&amp;session=T&amp;sp=SonUB%2Flvb6TB%2F%2B810l6UVgg%3D%3D", "MATERIAL SUPPLY IN G.P. NOORPUR")</f>
        <v/>
      </c>
      <c r="C2452" t="inlineStr">
        <is>
          <t>Panchayati Raj Department||Secretary and Commissioner||CEO-ALWAR||BDO-KATHUMBAR</t>
        </is>
      </c>
      <c r="D2452" t="inlineStr">
        <is>
          <t>21-May-2025 06:00 PM</t>
        </is>
      </c>
      <c r="E2452" t="inlineStr">
        <is>
          <t>30,00,000</t>
        </is>
      </c>
      <c r="F2452" t="inlineStr">
        <is>
          <t>MATERIAL SUPPLY IN G.P. NOORPUR</t>
        </is>
      </c>
      <c r="G2452" t="inlineStr">
        <is>
          <t>NOORPUR</t>
        </is>
      </c>
    </row>
    <row r="2453">
      <c r="A2453" s="1" t="n">
        <v>2451</v>
      </c>
      <c r="B2453">
        <f>HYPERLINK("https://eproc.rajasthan.gov.in/nicgep/app?component=%24DirectLink&amp;page=FrontEndViewTender&amp;service=direct&amp;session=T&amp;sp=ShaP0%2FVrGQDAKTX8fhbmkww%3D%3D", "Work including door to door garbage collection and separation, road and drain cleaning and cleaning of community sanitation complexes in all the villages of Gram Panchayat Aagari")</f>
        <v/>
      </c>
      <c r="C2453" t="inlineStr">
        <is>
          <t>Panchayati Raj Department||Secretary and Commissioner||CEO-SIKAR||BDO-NEEMKATHANA</t>
        </is>
      </c>
      <c r="D2453" t="inlineStr">
        <is>
          <t>19-May-2025 06:00 PM</t>
        </is>
      </c>
      <c r="E2453" t="inlineStr">
        <is>
          <t>3,15,000</t>
        </is>
      </c>
      <c r="F2453" t="inlineStr">
        <is>
          <t>Work including door to door garbage collection and separation, road and drain cleaning and cleaning of community sanitation complexes in all the villages of Gram Panchayat Aagari</t>
        </is>
      </c>
      <c r="G2453" t="inlineStr">
        <is>
          <t>GP AAGARI</t>
        </is>
      </c>
    </row>
    <row r="2454">
      <c r="A2454" s="1" t="n">
        <v>2452</v>
      </c>
      <c r="B2454">
        <f>HYPERLINK("https://eproc.rajasthan.gov.in/nicgep/app?component=%24DirectLink&amp;page=FrontEndViewTender&amp;service=direct&amp;session=T&amp;sp=S%2B5aFUm39hRCnI4XM5PdPFQ%3D%3D", "MATERIAL SUPPLY IN G.P. BAHATUKALA")</f>
        <v/>
      </c>
      <c r="C2454" t="inlineStr">
        <is>
          <t>Panchayati Raj Department||Secretary and Commissioner||CEO-ALWAR||BDO-KATHUMBAR</t>
        </is>
      </c>
      <c r="D2454" t="inlineStr">
        <is>
          <t>21-May-2025 06:00 PM</t>
        </is>
      </c>
      <c r="E2454" t="inlineStr">
        <is>
          <t>30,00,000</t>
        </is>
      </c>
      <c r="F2454" t="inlineStr">
        <is>
          <t>MATERIAL SUPPLY IN G.P. BAHATUKALA</t>
        </is>
      </c>
      <c r="G2454" t="inlineStr">
        <is>
          <t>BAHATUKALA</t>
        </is>
      </c>
    </row>
    <row r="2455">
      <c r="A2455" s="1" t="n">
        <v>2453</v>
      </c>
      <c r="B2455">
        <f>HYPERLINK("https://eproc.rajasthan.gov.in/nicgep/app?component=%24DirectLink&amp;page=FrontEndViewTender&amp;service=direct&amp;session=T&amp;sp=SyK6bqJKJ1ajafjMmxtxU1w%3D%3D", "Material Supply In G.P. TIKARI")</f>
        <v/>
      </c>
      <c r="C2455" t="inlineStr">
        <is>
          <t>Panchayati Raj Department||Secretary and Commissioner||CEO-ALWAR||BDO-KATHUMBAR</t>
        </is>
      </c>
      <c r="D2455" t="inlineStr">
        <is>
          <t>21-May-2025 06:00 PM</t>
        </is>
      </c>
      <c r="E2455" t="inlineStr">
        <is>
          <t>30,00,000</t>
        </is>
      </c>
      <c r="F2455" t="inlineStr">
        <is>
          <t>Material Supply In G.P. TIGARIYAMaterial Supply In G.P. TIKARI</t>
        </is>
      </c>
      <c r="G2455" t="inlineStr">
        <is>
          <t>TIGARIYA</t>
        </is>
      </c>
    </row>
    <row r="2456">
      <c r="A2456" s="1" t="n">
        <v>2454</v>
      </c>
      <c r="B2456">
        <f>HYPERLINK("https://eproc.rajasthan.gov.in/nicgep/app?component=%24DirectLink&amp;page=FrontEndViewTender&amp;service=direct&amp;session=T&amp;sp=SBWmShS8ixh1kk1hltXa5Sg%3D%3D", "MATERIAL SUPPLY IN G.P. MANGOLAKI")</f>
        <v/>
      </c>
      <c r="C2456" t="inlineStr">
        <is>
          <t>Panchayati Raj Department||Secretary and Commissioner||CEO-ALWAR||BDO-KATHUMBAR</t>
        </is>
      </c>
      <c r="D2456" t="inlineStr">
        <is>
          <t>21-May-2025 06:00 PM</t>
        </is>
      </c>
      <c r="E2456" t="inlineStr">
        <is>
          <t>30,00,000</t>
        </is>
      </c>
      <c r="F2456" t="inlineStr">
        <is>
          <t>MATERIAL SUPPLY IN G.P. MANGOLAKI</t>
        </is>
      </c>
      <c r="G2456" t="inlineStr">
        <is>
          <t>MANGOLAKI</t>
        </is>
      </c>
    </row>
    <row r="2457">
      <c r="A2457" s="1" t="n">
        <v>2455</v>
      </c>
      <c r="B2457">
        <f>HYPERLINK("https://eproc.rajasthan.gov.in/nicgep/app?component=%24DirectLink&amp;page=FrontEndViewTender&amp;service=direct&amp;session=T&amp;sp=So%2F9xfiX2hYMxW5l7HxnZ3w%3D%3D", "MATERIAL SUPPLY IN G.P. BERKA")</f>
        <v/>
      </c>
      <c r="C2457" t="inlineStr">
        <is>
          <t>Panchayati Raj Department||Secretary and Commissioner||CEO-ALWAR||BDO-KATHUMBAR</t>
        </is>
      </c>
      <c r="D2457" t="inlineStr">
        <is>
          <t>21-May-2025 06:00 PM</t>
        </is>
      </c>
      <c r="E2457" t="inlineStr">
        <is>
          <t>30,00,000</t>
        </is>
      </c>
      <c r="F2457" t="inlineStr">
        <is>
          <t>MATERIAL SUPPLY IN G.P. BERKA</t>
        </is>
      </c>
      <c r="G2457" t="inlineStr">
        <is>
          <t>BERKA</t>
        </is>
      </c>
    </row>
    <row r="2458">
      <c r="A2458" s="1" t="n">
        <v>2456</v>
      </c>
      <c r="B2458">
        <f>HYPERLINK("https://eproc.rajasthan.gov.in/nicgep/app?component=%24DirectLink&amp;page=FrontEndViewTender&amp;service=direct&amp;session=T&amp;sp=S%2B%2F11QIfPUiC5Xz6hbulRZw%3D%3D", "MATERIAL TENDER 2025-26 GP JAIMLA")</f>
        <v/>
      </c>
      <c r="C2458" t="inlineStr">
        <is>
          <t>Panchayati Raj Department||Secretary and Commissioner||CEO- JAISALMER||BDO-SANKARA</t>
        </is>
      </c>
      <c r="D2458" t="inlineStr">
        <is>
          <t>26-May-2025 06:00 PM</t>
        </is>
      </c>
      <c r="E2458" t="inlineStr">
        <is>
          <t>2,00,00,000</t>
        </is>
      </c>
      <c r="F2458" t="inlineStr">
        <is>
          <t>MATERIAL TENDER 2025-26 GP JAIMLA</t>
        </is>
      </c>
      <c r="G2458" t="inlineStr">
        <is>
          <t>GRAMPANCHAYAT JAIMLA</t>
        </is>
      </c>
    </row>
    <row r="2459">
      <c r="A2459" s="1" t="n">
        <v>2457</v>
      </c>
      <c r="B2459">
        <f>HYPERLINK("https://eproc.rajasthan.gov.in/nicgep/app?component=%24DirectLink&amp;page=FrontEndViewTender&amp;service=direct&amp;session=T&amp;sp=SzIGJT3v%2F3XT%2B4TpLvsPO1Q%3D%3D", "Work including door to door garbage collection and separation, road and drain cleaning and cleaning of community sanitation complexes in all the villages of Gram Panchayat Chala")</f>
        <v/>
      </c>
      <c r="C2459" t="inlineStr">
        <is>
          <t>Panchayati Raj Department||Secretary and Commissioner||CEO-SIKAR||BDO-NEEMKATHANA</t>
        </is>
      </c>
      <c r="D2459" t="inlineStr">
        <is>
          <t>19-May-2025 06:00 PM</t>
        </is>
      </c>
      <c r="E2459" t="inlineStr">
        <is>
          <t>8,00,000</t>
        </is>
      </c>
      <c r="F2459" t="inlineStr">
        <is>
          <t>Work including door to door garbage collection and separation, road and drain cleaning and cleaning of community sanitation complexes in all the villages of Gram Panchayat Chala</t>
        </is>
      </c>
      <c r="G2459" t="inlineStr">
        <is>
          <t>GP CHALA</t>
        </is>
      </c>
    </row>
    <row r="2460">
      <c r="A2460" s="1" t="n">
        <v>2458</v>
      </c>
      <c r="B2460">
        <f>HYPERLINK("https://eproc.rajasthan.gov.in/nicgep/app?component=%24DirectLink&amp;page=FrontEndViewTender&amp;service=direct&amp;session=T&amp;sp=SF0pxW824Klqd2mVhcQ6BZA%3D%3D", "MATERIAL TENDER 2025-26 GP GOMAT")</f>
        <v/>
      </c>
      <c r="C2460" t="inlineStr">
        <is>
          <t>Panchayati Raj Department||Secretary and Commissioner||CEO- JAISALMER||BDO-SANKARA</t>
        </is>
      </c>
      <c r="D2460" t="inlineStr">
        <is>
          <t>26-May-2025 06:00 PM</t>
        </is>
      </c>
      <c r="E2460" t="inlineStr">
        <is>
          <t>1,00,00,000</t>
        </is>
      </c>
      <c r="F2460" t="inlineStr">
        <is>
          <t>MATERIAL TENDER 2025-26 GP GOMAT</t>
        </is>
      </c>
      <c r="G2460" t="inlineStr">
        <is>
          <t>GRAMPANCHAYAT GOMAT</t>
        </is>
      </c>
    </row>
    <row r="2461">
      <c r="A2461" s="1" t="n">
        <v>2459</v>
      </c>
      <c r="B2461">
        <f>HYPERLINK("https://eproc.rajasthan.gov.in/nicgep/app?component=%24DirectLink&amp;page=FrontEndViewTender&amp;service=direct&amp;session=T&amp;sp=S9uc04AbNgjRFaTcD65lmSg%3D%3D", "MATERIAL TENDER 2025-26 GP MORANI")</f>
        <v/>
      </c>
      <c r="C2461" t="inlineStr">
        <is>
          <t>Panchayati Raj Department||Secretary and Commissioner||CEO- JAISALMER||BDO-SANKARA</t>
        </is>
      </c>
      <c r="D2461" t="inlineStr">
        <is>
          <t>26-May-2025 06:00 PM</t>
        </is>
      </c>
      <c r="E2461" t="inlineStr">
        <is>
          <t>1,00,00,000</t>
        </is>
      </c>
      <c r="F2461" t="inlineStr">
        <is>
          <t>MATERIAL TENDER 2025-26 GP MORANI</t>
        </is>
      </c>
      <c r="G2461" t="inlineStr">
        <is>
          <t>GRAMPANCHAYAT MORANI</t>
        </is>
      </c>
    </row>
    <row r="2462">
      <c r="A2462" s="1" t="n">
        <v>2460</v>
      </c>
      <c r="B2462">
        <f>HYPERLINK("https://eproc.rajasthan.gov.in/nicgep/app?component=%24DirectLink&amp;page=FrontEndViewTender&amp;service=direct&amp;session=T&amp;sp=SrJvYUx3s2f04PGJW5brKBg%3D%3D", "MATERIAL TENDER 2025-26 GP DIDANIYA")</f>
        <v/>
      </c>
      <c r="C2462" t="inlineStr">
        <is>
          <t>Panchayati Raj Department||Secretary and Commissioner||CEO- JAISALMER||BDO-SANKARA</t>
        </is>
      </c>
      <c r="D2462" t="inlineStr">
        <is>
          <t>26-May-2025 06:00 PM</t>
        </is>
      </c>
      <c r="E2462" t="inlineStr">
        <is>
          <t>1,00,00,000</t>
        </is>
      </c>
      <c r="F2462" t="inlineStr">
        <is>
          <t>MATERIAL TENDER 2025-26 GP DIDANIYA</t>
        </is>
      </c>
      <c r="G2462" t="inlineStr">
        <is>
          <t>GRAMPANCHAYAT DIDANIYA</t>
        </is>
      </c>
    </row>
    <row r="2463">
      <c r="A2463" s="1" t="n">
        <v>2461</v>
      </c>
      <c r="B2463">
        <f>HYPERLINK("https://eproc.rajasthan.gov.in/nicgep/app?component=%24DirectLink&amp;page=FrontEndViewTender&amp;service=direct&amp;session=T&amp;sp=Spy1CQkm12Um4WoPn17PPKw%3D%3D", "MATERIAL TENDER 2025-26 GP DHOLIYA")</f>
        <v/>
      </c>
      <c r="C2463" t="inlineStr">
        <is>
          <t>Panchayati Raj Department||Secretary and Commissioner||CEO- JAISALMER||BDO-SANKARA</t>
        </is>
      </c>
      <c r="D2463" t="inlineStr">
        <is>
          <t>26-May-2025 06:00 PM</t>
        </is>
      </c>
      <c r="E2463" t="inlineStr">
        <is>
          <t>1,00,00,000</t>
        </is>
      </c>
      <c r="F2463" t="inlineStr">
        <is>
          <t>MATERIAL TENDER 2025-26 GP DHOLIYA</t>
        </is>
      </c>
      <c r="G2463" t="inlineStr">
        <is>
          <t>GRAMPANCHAYAT DHOLIYA</t>
        </is>
      </c>
    </row>
    <row r="2464">
      <c r="A2464" s="1" t="n">
        <v>2462</v>
      </c>
      <c r="B2464">
        <f>HYPERLINK("https://eproc.rajasthan.gov.in/nicgep/app?component=%24DirectLink&amp;page=FrontEndViewTender&amp;service=direct&amp;session=T&amp;sp=SdJkI3ZGJ0DCu1fmYaHmhQQ%3D%3D", "MATERIAL TENDER 2025-26 GP DALPATPURA")</f>
        <v/>
      </c>
      <c r="C2464" t="inlineStr">
        <is>
          <t>Panchayati Raj Department||Secretary and Commissioner||CEO- JAISALMER||BDO-SANKARA</t>
        </is>
      </c>
      <c r="D2464" t="inlineStr">
        <is>
          <t>26-May-2025 06:00 PM</t>
        </is>
      </c>
      <c r="E2464" t="inlineStr">
        <is>
          <t>1,00,00,000</t>
        </is>
      </c>
      <c r="F2464" t="inlineStr">
        <is>
          <t>MATERIAL TENDER 2025-26 GP DALPATPURA</t>
        </is>
      </c>
      <c r="G2464" t="inlineStr">
        <is>
          <t>GRAMPANCHAYAT DALPATPURA</t>
        </is>
      </c>
    </row>
    <row r="2465">
      <c r="A2465" s="1" t="n">
        <v>2463</v>
      </c>
      <c r="B2465">
        <f>HYPERLINK("https://eproc.rajasthan.gov.in/nicgep/app?component=%24DirectLink&amp;page=FrontEndViewTender&amp;service=direct&amp;session=T&amp;sp=SiuBktsY9HirYv5A3fBPRdg%3D%3D", "Material Supply In G.P. Rampura Patan")</f>
        <v/>
      </c>
      <c r="C2465" t="inlineStr">
        <is>
          <t>Panchayati Raj Department||Secretary and Commissioner||CEO-ALWAR||BDO-KATHUMBAR</t>
        </is>
      </c>
      <c r="D2465" t="inlineStr">
        <is>
          <t>21-May-2025 06:00 PM</t>
        </is>
      </c>
      <c r="E2465" t="inlineStr">
        <is>
          <t>30,00,000</t>
        </is>
      </c>
      <c r="F2465" t="inlineStr">
        <is>
          <t>Material Supply In G.P. Rampura Patan</t>
        </is>
      </c>
      <c r="G2465" t="inlineStr">
        <is>
          <t>RAMPURA PATAN</t>
        </is>
      </c>
    </row>
    <row r="2466">
      <c r="A2466" s="1" t="n">
        <v>2464</v>
      </c>
      <c r="B2466">
        <f>HYPERLINK("https://eproc.rajasthan.gov.in/nicgep/app?component=%24DirectLink&amp;page=FrontEndViewTender&amp;service=direct&amp;session=T&amp;sp=SnsEVhUYQ8KeeJ80ASlQKqQ%3D%3D", "MATERIAL TENDER 2025-26 GP CHOWK")</f>
        <v/>
      </c>
      <c r="C2466" t="inlineStr">
        <is>
          <t>Panchayati Raj Department||Secretary and Commissioner||CEO- JAISALMER||BDO-SANKARA</t>
        </is>
      </c>
      <c r="D2466" t="inlineStr">
        <is>
          <t>26-May-2025 06:00 PM</t>
        </is>
      </c>
      <c r="E2466" t="inlineStr">
        <is>
          <t>1,00,00,000</t>
        </is>
      </c>
      <c r="F2466" t="inlineStr">
        <is>
          <t>MATERIAL TENDER 2025-26 GP CHOWK</t>
        </is>
      </c>
      <c r="G2466" t="inlineStr">
        <is>
          <t>GRAMPANCHAYAT CHOWK</t>
        </is>
      </c>
    </row>
    <row r="2467">
      <c r="A2467" s="1" t="n">
        <v>2465</v>
      </c>
      <c r="B2467">
        <f>HYPERLINK("https://eproc.rajasthan.gov.in/nicgep/app?component=%24DirectLink&amp;page=FrontEndViewTender&amp;service=direct&amp;session=T&amp;sp=S6gbjyRGcy1m3SFbTFzIWWg%3D%3D", "MATERIAL TENDER 2025-26 GP KHETOLAI")</f>
        <v/>
      </c>
      <c r="C2467" t="inlineStr">
        <is>
          <t>Panchayati Raj Department||Secretary and Commissioner||CEO- JAISALMER||BDO-SANKARA</t>
        </is>
      </c>
      <c r="D2467" t="inlineStr">
        <is>
          <t>26-May-2025 06:00 PM</t>
        </is>
      </c>
      <c r="E2467" t="inlineStr">
        <is>
          <t>1,00,00,000</t>
        </is>
      </c>
      <c r="F2467" t="inlineStr">
        <is>
          <t>MATERIAL TENDER 2025-26 GP KHETOLAI</t>
        </is>
      </c>
      <c r="G2467" t="inlineStr">
        <is>
          <t>GRAMPANCHAYAT KHETOLAI</t>
        </is>
      </c>
    </row>
    <row r="2468">
      <c r="A2468" s="1" t="n">
        <v>2466</v>
      </c>
      <c r="B2468">
        <f>HYPERLINK("https://eproc.rajasthan.gov.in/nicgep/app?component=%24DirectLink&amp;page=FrontEndViewTender&amp;service=direct&amp;session=T&amp;sp=SZHa4fqYV0236Oh3K3rKNdg%3D%3D", "Material Supply In G.P. JADLA")</f>
        <v/>
      </c>
      <c r="C2468" t="inlineStr">
        <is>
          <t>Panchayati Raj Department||Secretary and Commissioner||CEO-ALWAR||BDO-KATHUMBAR</t>
        </is>
      </c>
      <c r="D2468" t="inlineStr">
        <is>
          <t>21-May-2025 06:00 PM</t>
        </is>
      </c>
      <c r="E2468" t="inlineStr">
        <is>
          <t>30,00,000</t>
        </is>
      </c>
      <c r="F2468" t="inlineStr">
        <is>
          <t>Material Supply In G.P. JADLA</t>
        </is>
      </c>
      <c r="G2468" t="inlineStr">
        <is>
          <t>JADLA</t>
        </is>
      </c>
    </row>
    <row r="2469">
      <c r="A2469" s="1" t="n">
        <v>2467</v>
      </c>
      <c r="B2469">
        <f>HYPERLINK("https://eproc.rajasthan.gov.in/nicgep/app?component=%24DirectLink&amp;page=FrontEndViewTender&amp;service=direct&amp;session=T&amp;sp=S53moo854s9FrgR81Z0vw7Q%3D%3D", "MATERIAL TENDER 2025-26 GP BHADARIYA")</f>
        <v/>
      </c>
      <c r="C2469" t="inlineStr">
        <is>
          <t>Panchayati Raj Department||Secretary and Commissioner||CEO- JAISALMER||BDO-SANKARA</t>
        </is>
      </c>
      <c r="D2469" t="inlineStr">
        <is>
          <t>26-May-2025 06:00 PM</t>
        </is>
      </c>
      <c r="E2469" t="inlineStr">
        <is>
          <t>1,00,00,000</t>
        </is>
      </c>
      <c r="F2469" t="inlineStr">
        <is>
          <t>MATERIAL TENDER 2025-26 GP BHADARIYA</t>
        </is>
      </c>
      <c r="G2469" t="inlineStr">
        <is>
          <t>GRAMPANCHAYAT BHADARIYA</t>
        </is>
      </c>
    </row>
    <row r="2470">
      <c r="A2470" s="1" t="n">
        <v>2468</v>
      </c>
      <c r="B2470">
        <f>HYPERLINK("https://eproc.rajasthan.gov.in/nicgep/app?component=%24DirectLink&amp;page=FrontEndViewTender&amp;service=direct&amp;session=T&amp;sp=Soh%2FKjwy9BotHQ78%2BKu4SWA%3D%3D", "MATERIAL TENDER 2025-26 GP BADLINATHUSAR")</f>
        <v/>
      </c>
      <c r="C2470" t="inlineStr">
        <is>
          <t>Panchayati Raj Department||Secretary and Commissioner||CEO- JAISALMER||BDO-SANKARA</t>
        </is>
      </c>
      <c r="D2470" t="inlineStr">
        <is>
          <t>26-May-2025 06:00 PM</t>
        </is>
      </c>
      <c r="E2470" t="inlineStr">
        <is>
          <t>1,00,00,000</t>
        </is>
      </c>
      <c r="F2470" t="inlineStr">
        <is>
          <t>MATERIAL TENDER 2025-26 GP BADLINATHUSAR</t>
        </is>
      </c>
      <c r="G2470" t="inlineStr">
        <is>
          <t>GRAMPANCHAYAT BADLINATHUSAR</t>
        </is>
      </c>
    </row>
    <row r="2471">
      <c r="A2471" s="1" t="n">
        <v>2469</v>
      </c>
      <c r="B2471">
        <f>HYPERLINK("https://eproc.rajasthan.gov.in/nicgep/app?component=%24DirectLink&amp;page=FrontEndViewTender&amp;service=direct&amp;session=T&amp;sp=SbMfFXtBLBkjdpJX8bSxMgQ%3D%3D", "MATERIAL SUPPLY IN G.P. GARU")</f>
        <v/>
      </c>
      <c r="C2471" t="inlineStr">
        <is>
          <t>Panchayati Raj Department||Secretary and Commissioner||CEO-ALWAR||BDO-KATHUMBAR</t>
        </is>
      </c>
      <c r="D2471" t="inlineStr">
        <is>
          <t>21-May-2025 06:00 PM</t>
        </is>
      </c>
      <c r="E2471" t="inlineStr">
        <is>
          <t>30,00,000</t>
        </is>
      </c>
      <c r="F2471" t="inlineStr">
        <is>
          <t>MATERIAL SUPPLY IN G.P. GARU</t>
        </is>
      </c>
      <c r="G2471" t="inlineStr">
        <is>
          <t>GARU</t>
        </is>
      </c>
    </row>
    <row r="2472">
      <c r="A2472" s="1" t="n">
        <v>2470</v>
      </c>
      <c r="B2472">
        <f>HYPERLINK("https://eproc.rajasthan.gov.in/nicgep/app?component=%24DirectLink&amp;page=FrontEndViewTender&amp;service=direct&amp;session=T&amp;sp=SQwr%2F13bgktyDBfHjp%2FSWWw%3D%3D", "MATERIAL SUPPLY IN G.P. DOROLI")</f>
        <v/>
      </c>
      <c r="C2472" t="inlineStr">
        <is>
          <t>Panchayati Raj Department||Secretary and Commissioner||CEO-ALWAR||BDO-KATHUMBAR</t>
        </is>
      </c>
      <c r="D2472" t="inlineStr">
        <is>
          <t>21-May-2025 06:00 PM</t>
        </is>
      </c>
      <c r="E2472" t="inlineStr">
        <is>
          <t>30,00,000</t>
        </is>
      </c>
      <c r="F2472" t="inlineStr">
        <is>
          <t>MATERIAL SUPPLY IN G.P. DOROLI</t>
        </is>
      </c>
      <c r="G2472" t="inlineStr">
        <is>
          <t>DOROLI</t>
        </is>
      </c>
    </row>
    <row r="2473">
      <c r="A2473" s="1" t="n">
        <v>2471</v>
      </c>
      <c r="B2473">
        <f>HYPERLINK("https://eproc.rajasthan.gov.in/nicgep/app?component=%24DirectLink&amp;page=FrontEndViewTender&amp;service=direct&amp;session=T&amp;sp=Sm9kNo%2FWdmbuIv96aztBbvw%3D%3D", "MATERIAL SUPPLY IN G.P. BHANOKHAR")</f>
        <v/>
      </c>
      <c r="C2473" t="inlineStr">
        <is>
          <t>Panchayati Raj Department||Secretary and Commissioner||CEO-ALWAR||BDO-KATHUMBAR</t>
        </is>
      </c>
      <c r="D2473" t="inlineStr">
        <is>
          <t>21-May-2025 06:00 PM</t>
        </is>
      </c>
      <c r="E2473" t="inlineStr">
        <is>
          <t>30,00,000</t>
        </is>
      </c>
      <c r="F2473" t="inlineStr">
        <is>
          <t>MATERIAL SUPPLY IN G.P. BHANOKHAR</t>
        </is>
      </c>
      <c r="G2473" t="inlineStr">
        <is>
          <t>BHANOKHAR</t>
        </is>
      </c>
    </row>
    <row r="2474">
      <c r="A2474" s="1" t="n">
        <v>2472</v>
      </c>
      <c r="B2474">
        <f>HYPERLINK("https://eproc.rajasthan.gov.in/nicgep/app?component=%24DirectLink&amp;page=FrontEndViewTender&amp;service=direct&amp;session=T&amp;sp=SWp0T6dxv8c4AqEtql%2BeG8Q%3D%3D", "Construction of Two Class Room in Govt. S.S. School Pipla Gram Panchayat Pipla Block Kotra under DMFT Fund")</f>
        <v/>
      </c>
      <c r="C2474" t="inlineStr">
        <is>
          <t>Panchayati Raj Department||Secretary and Commissioner||CEO-UDAIPUR||BDO-KHERWARA</t>
        </is>
      </c>
      <c r="D2474" t="inlineStr">
        <is>
          <t>19-May-2025 06:00 PM</t>
        </is>
      </c>
      <c r="E2474" t="inlineStr">
        <is>
          <t>24,86,000</t>
        </is>
      </c>
      <c r="F2474" t="inlineStr">
        <is>
          <t>Construction of Two Class Room in Govt. S.S. School Pipla Gram Panchayat Pipla Block Kotra under DMFT Fund</t>
        </is>
      </c>
      <c r="G2474" t="inlineStr">
        <is>
          <t>Gram Panchayat Pipla</t>
        </is>
      </c>
    </row>
    <row r="2475">
      <c r="A2475" s="1" t="n">
        <v>2473</v>
      </c>
      <c r="B2475">
        <f>HYPERLINK("https://eproc.rajasthan.gov.in/nicgep/app?component=%24DirectLink&amp;page=FrontEndViewTender&amp;service=direct&amp;session=T&amp;sp=Sj67OH95etBI9ERZ3Uyo0zA%3D%3D", "construction work interlocking road maye naali nirman kary charan bairwa ke ghar se bachhu ke ghar ki aur nogaav")</f>
        <v/>
      </c>
      <c r="C2475" t="inlineStr">
        <is>
          <t>Panchayati Raj Department||Secretary and Commissioner||CEO-S.MADHOPUR||BDO-GANGAPUR</t>
        </is>
      </c>
      <c r="D2475" t="inlineStr">
        <is>
          <t>19-May-2025 05:00 PM</t>
        </is>
      </c>
      <c r="E2475" t="inlineStr">
        <is>
          <t>10,00,000</t>
        </is>
      </c>
      <c r="F2475" t="inlineStr">
        <is>
          <t>construction work interlocking road maye naali nirman kary charan bairwa ke ghar se bachhu ke ghar ki aur nogaav</t>
        </is>
      </c>
      <c r="G2475" t="inlineStr">
        <is>
          <t>GRAM PANCHAYT NOGAV</t>
        </is>
      </c>
    </row>
    <row r="2476">
      <c r="A2476" s="1" t="n">
        <v>2474</v>
      </c>
      <c r="B2476">
        <f>HYPERLINK("https://eproc.rajasthan.gov.in/nicgep/app?component=%24DirectLink&amp;page=FrontEndViewTender&amp;service=direct&amp;session=T&amp;sp=S7ijrk%2FGSGqbaIXxjjMRmIw%3D%3D", "Supply of Construction Material with POI Driver in Scheme MNREGA, SFC , FFC and other scheme for Financial Year 2025-26 in Gram Panchyat NOGAV PS Gangapur city")</f>
        <v/>
      </c>
      <c r="C2476" t="inlineStr">
        <is>
          <t>Panchayati Raj Department||Secretary and Commissioner||CEO-S.MADHOPUR||BDO-GANGAPUR</t>
        </is>
      </c>
      <c r="D2476" t="inlineStr">
        <is>
          <t>19-May-2025 05:00 PM</t>
        </is>
      </c>
      <c r="E2476" t="inlineStr">
        <is>
          <t>50,00,000</t>
        </is>
      </c>
      <c r="F2476" t="inlineStr">
        <is>
          <t>Supply of Construction Material with POI Driver in Scheme MNREGA, SFC , FFC and other scheme for Financial Year 2025-26 in Gram Panchyat NOGAV PS Gangapur city</t>
        </is>
      </c>
      <c r="G2476" t="inlineStr">
        <is>
          <t>GRAM PANCHAYT NOGAV</t>
        </is>
      </c>
    </row>
    <row r="2477">
      <c r="A2477" s="1" t="n">
        <v>2475</v>
      </c>
      <c r="B2477">
        <f>HYPERLINK("https://eproc.rajasthan.gov.in/nicgep/app?component=%24DirectLink&amp;page=FrontEndViewTender&amp;service=direct&amp;session=T&amp;sp=S1F7n2Xql3Aiez4CLVcu%2FgQ%3D%3D", "Construction work of two additional class rooms in Government Higher Secondary School VIJAY BAVADI")</f>
        <v/>
      </c>
      <c r="C2477" t="inlineStr">
        <is>
          <t>Panchayati Raj Department||Secretary and Commissioner||CEO-UDAIPUR||BDO-GOGUNDA</t>
        </is>
      </c>
      <c r="D2477" t="inlineStr">
        <is>
          <t>21-May-2025 12:00 PM</t>
        </is>
      </c>
      <c r="E2477" t="inlineStr">
        <is>
          <t>25,00,000</t>
        </is>
      </c>
      <c r="F2477" t="inlineStr">
        <is>
          <t>Construction work of two additional class rooms in Government Higher Secondary School VIJAY BAVADI</t>
        </is>
      </c>
      <c r="G2477" t="inlineStr">
        <is>
          <t>Government Higher Secondary School VIJAY BAVADI</t>
        </is>
      </c>
    </row>
    <row r="2478">
      <c r="A2478" s="1" t="n">
        <v>2476</v>
      </c>
      <c r="B2478">
        <f>HYPERLINK("https://eproc.rajasthan.gov.in/nicgep/app?component=%24DirectLink&amp;page=FrontEndViewTender&amp;service=direct&amp;session=T&amp;sp=S%2BQLSi1Q4K4I9Udgnf0oj9Q%3D%3D", "Construction work of two additional class rooms in Government Higher Secondary School MDARADA")</f>
        <v/>
      </c>
      <c r="C2478" t="inlineStr">
        <is>
          <t>Panchayati Raj Department||Secretary and Commissioner||CEO-UDAIPUR||BDO-GOGUNDA</t>
        </is>
      </c>
      <c r="D2478" t="inlineStr">
        <is>
          <t>21-May-2025 12:00 PM</t>
        </is>
      </c>
      <c r="E2478" t="inlineStr">
        <is>
          <t>25,00,000</t>
        </is>
      </c>
      <c r="F2478" t="inlineStr">
        <is>
          <t>Construction work of two additional class rooms in Government Higher Secondary School MDARADA</t>
        </is>
      </c>
      <c r="G2478" t="inlineStr">
        <is>
          <t>Government Higher Secondary School MDARADA</t>
        </is>
      </c>
    </row>
    <row r="2479">
      <c r="A2479" s="1" t="n">
        <v>2477</v>
      </c>
      <c r="B2479">
        <f>HYPERLINK("https://eproc.rajasthan.gov.in/nicgep/app?component=%24DirectLink&amp;page=FrontEndViewTender&amp;service=direct&amp;session=T&amp;sp=Sdn4LhQHLwszPlcnaR7q%2FbA%3D%3D", "Construction work of two additional class rooms in Government Higher Secondary School NAYAGUDA")</f>
        <v/>
      </c>
      <c r="C2479" t="inlineStr">
        <is>
          <t>Panchayati Raj Department||Secretary and Commissioner||CEO-UDAIPUR||BDO-GOGUNDA</t>
        </is>
      </c>
      <c r="D2479" t="inlineStr">
        <is>
          <t>21-May-2025 12:00 PM</t>
        </is>
      </c>
      <c r="E2479" t="inlineStr">
        <is>
          <t>25,00,000</t>
        </is>
      </c>
      <c r="F2479" t="inlineStr">
        <is>
          <t>Construction work of two additional class rooms in Government Higher Secondary School NAYAGUDA</t>
        </is>
      </c>
      <c r="G2479" t="inlineStr">
        <is>
          <t>Government Higher Secondary School NAYAGUDA</t>
        </is>
      </c>
    </row>
    <row r="2480">
      <c r="A2480" s="1" t="n">
        <v>2478</v>
      </c>
      <c r="B2480">
        <f>HYPERLINK("https://eproc.rajasthan.gov.in/nicgep/app?component=%24DirectLink&amp;page=FrontEndViewTender&amp;service=direct&amp;session=T&amp;sp=Shb1w3mJxvzi3gAjsiLpSFA%3D%3D", "Construction work of two class rooms in Government Primary School SAGADI KA GUDA")</f>
        <v/>
      </c>
      <c r="C2480" t="inlineStr">
        <is>
          <t>Panchayati Raj Department||Secretary and Commissioner||CEO-UDAIPUR||BDO-GOGUNDA</t>
        </is>
      </c>
      <c r="D2480" t="inlineStr">
        <is>
          <t>21-May-2025 12:00 PM</t>
        </is>
      </c>
      <c r="E2480" t="inlineStr">
        <is>
          <t>19,00,000</t>
        </is>
      </c>
      <c r="F2480" t="inlineStr">
        <is>
          <t>Construction work of two class rooms in Government Primary School SAGADI KA GUDA</t>
        </is>
      </c>
      <c r="G2480" t="inlineStr">
        <is>
          <t>Government Primary School SAGADI KA GUDA</t>
        </is>
      </c>
    </row>
    <row r="2481">
      <c r="A2481" s="1" t="n">
        <v>2479</v>
      </c>
      <c r="B2481">
        <f>HYPERLINK("https://eproc.rajasthan.gov.in/nicgep/app?component=%24DirectLink&amp;page=FrontEndViewTender&amp;service=direct&amp;session=T&amp;sp=SG7joHIsQvavfpevVxN9snQ%3D%3D", "Construction work of additional class rooms in Government Higher Secondary School BHADVIGUDA")</f>
        <v/>
      </c>
      <c r="C2481" t="inlineStr">
        <is>
          <t>Panchayati Raj Department||Secretary and Commissioner||CEO-UDAIPUR||BDO-GOGUNDA</t>
        </is>
      </c>
      <c r="D2481" t="inlineStr">
        <is>
          <t>21-May-2025 12:00 PM</t>
        </is>
      </c>
      <c r="E2481" t="inlineStr">
        <is>
          <t>25,00,000</t>
        </is>
      </c>
      <c r="F2481" t="inlineStr">
        <is>
          <t>Construction work of additional class rooms in Government Higher Secondary School BHADVIGUDA</t>
        </is>
      </c>
      <c r="G2481" t="inlineStr">
        <is>
          <t>Government Higher Secondary School BHADVIGUDA</t>
        </is>
      </c>
    </row>
    <row r="2482">
      <c r="A2482" s="1" t="n">
        <v>2480</v>
      </c>
      <c r="B2482">
        <f>HYPERLINK("https://eproc.rajasthan.gov.in/nicgep/app?component=%24DirectLink&amp;page=FrontEndViewTender&amp;service=direct&amp;session=T&amp;sp=Sq7QOJlPOGj%2F7wjYJDoM%2B6Q%3D%3D", "Construction work of two rooms in Government Higher Secondary School SAMEEJA")</f>
        <v/>
      </c>
      <c r="C2482" t="inlineStr">
        <is>
          <t>Panchayati Raj Department||Secretary and Commissioner||CEO-UDAIPUR||BDO-GOGUNDA</t>
        </is>
      </c>
      <c r="D2482" t="inlineStr">
        <is>
          <t>21-May-2025 12:00 PM</t>
        </is>
      </c>
      <c r="E2482" t="inlineStr">
        <is>
          <t>25,00,000</t>
        </is>
      </c>
      <c r="F2482" t="inlineStr">
        <is>
          <t>Construction work of two rooms in Government Higher Secondary School SAMEEJA</t>
        </is>
      </c>
      <c r="G2482" t="inlineStr">
        <is>
          <t>Government Higher Secondary School SAMEEJA</t>
        </is>
      </c>
    </row>
    <row r="2483">
      <c r="A2483" s="1" t="n">
        <v>2481</v>
      </c>
      <c r="B2483">
        <f>HYPERLINK("https://eproc.rajasthan.gov.in/nicgep/app?component=%24DirectLink&amp;page=FrontEndViewTender&amp;service=direct&amp;session=T&amp;sp=SgQD%2FMj0DRRHcsXecznWrBw%3D%3D", "Construction work of two rooms in Government Higher Secondary School VEERPURA")</f>
        <v/>
      </c>
      <c r="C2483" t="inlineStr">
        <is>
          <t>Panchayati Raj Department||Secretary and Commissioner||CEO-UDAIPUR||BDO-GOGUNDA</t>
        </is>
      </c>
      <c r="D2483" t="inlineStr">
        <is>
          <t>21-May-2025 12:00 PM</t>
        </is>
      </c>
      <c r="E2483" t="inlineStr">
        <is>
          <t>25,00,000</t>
        </is>
      </c>
      <c r="F2483" t="inlineStr">
        <is>
          <t>Construction work of two rooms in Government Higher Secondary School VEERPURA</t>
        </is>
      </c>
      <c r="G2483" t="inlineStr">
        <is>
          <t>Government Higher Secondary School VEERPURA</t>
        </is>
      </c>
    </row>
    <row r="2484">
      <c r="A2484" s="1" t="n">
        <v>2482</v>
      </c>
      <c r="B2484">
        <f>HYPERLINK("https://eproc.rajasthan.gov.in/nicgep/app?component=%24DirectLink&amp;page=FrontEndViewTender&amp;service=direct&amp;session=T&amp;sp=SELpbVjCNepLo7l0drY%2FjaA%3D%3D", "Construction work of two rooms in Government Higher Secondary School JASAVANT GARDH")</f>
        <v/>
      </c>
      <c r="C2484" t="inlineStr">
        <is>
          <t>Panchayati Raj Department||Secretary and Commissioner||CEO-UDAIPUR||BDO-GOGUNDA</t>
        </is>
      </c>
      <c r="D2484" t="inlineStr">
        <is>
          <t>21-May-2025 12:00 PM</t>
        </is>
      </c>
      <c r="E2484" t="inlineStr">
        <is>
          <t>25,00,000</t>
        </is>
      </c>
      <c r="F2484" t="inlineStr">
        <is>
          <t>Construction work of two rooms in Government Higher Secondary School JASAVANT GARDH</t>
        </is>
      </c>
      <c r="G2484" t="inlineStr">
        <is>
          <t>Government Higher Secondary School JASAVANT GARDH</t>
        </is>
      </c>
    </row>
    <row r="2485">
      <c r="A2485" s="1" t="n">
        <v>2483</v>
      </c>
      <c r="B2485">
        <f>HYPERLINK("https://eproc.rajasthan.gov.in/nicgep/app?component=%24DirectLink&amp;page=FrontEndViewTender&amp;service=direct&amp;session=T&amp;sp=SJ%2BsfPqBAdJE2xnstMDvH%2Bw%3D%3D", "Construction work of two rooms in Government Higher Secondary School DADIYA")</f>
        <v/>
      </c>
      <c r="C2485" t="inlineStr">
        <is>
          <t>Panchayati Raj Department||Secretary and Commissioner||CEO-UDAIPUR||BDO-GOGUNDA</t>
        </is>
      </c>
      <c r="D2485" t="inlineStr">
        <is>
          <t>21-May-2025 12:00 PM</t>
        </is>
      </c>
      <c r="E2485" t="inlineStr">
        <is>
          <t>25,00,000</t>
        </is>
      </c>
      <c r="F2485" t="inlineStr">
        <is>
          <t>Construction work of two rooms in Government Higher Secondary School DADIYA</t>
        </is>
      </c>
      <c r="G2485" t="inlineStr">
        <is>
          <t>Government Higher Secondary School DADIYA</t>
        </is>
      </c>
    </row>
    <row r="2486">
      <c r="A2486" s="1" t="n">
        <v>2484</v>
      </c>
      <c r="B2486">
        <f>HYPERLINK("https://eproc.rajasthan.gov.in/nicgep/app?component=%24DirectLink&amp;page=FrontEndViewTender&amp;service=direct&amp;session=T&amp;sp=SdWPyZ2XRZY%2FdTrZ3S2qq4w%3D%3D", "Construction work of two rooms in Government Higher Secondary School MADADA")</f>
        <v/>
      </c>
      <c r="C2486" t="inlineStr">
        <is>
          <t>Panchayati Raj Department||Secretary and Commissioner||CEO-UDAIPUR||BDO-GOGUNDA</t>
        </is>
      </c>
      <c r="D2486" t="inlineStr">
        <is>
          <t>21-May-2025 12:00 PM</t>
        </is>
      </c>
      <c r="E2486" t="inlineStr">
        <is>
          <t>25,00,000</t>
        </is>
      </c>
      <c r="F2486" t="inlineStr">
        <is>
          <t>Construction work of two rooms in Government Higher Secondary School MADADA</t>
        </is>
      </c>
      <c r="G2486" t="inlineStr">
        <is>
          <t>Government Higher Secondary School MADADA</t>
        </is>
      </c>
    </row>
    <row r="2487">
      <c r="A2487" s="1" t="n">
        <v>2485</v>
      </c>
      <c r="B2487">
        <f>HYPERLINK("https://eproc.rajasthan.gov.in/nicgep/app?component=%24DirectLink&amp;page=FrontEndViewTender&amp;service=direct&amp;session=T&amp;sp=S00XDHcSmWdAMGdMrX4usKA%3D%3D", "Construction work of two rooms in Government Higher Secondary School PADAWALI KALLA")</f>
        <v/>
      </c>
      <c r="C2487" t="inlineStr">
        <is>
          <t>Panchayati Raj Department||Secretary and Commissioner||CEO-UDAIPUR||BDO-GOGUNDA</t>
        </is>
      </c>
      <c r="D2487" t="inlineStr">
        <is>
          <t>21-May-2025 12:00 PM</t>
        </is>
      </c>
      <c r="E2487" t="inlineStr">
        <is>
          <t>25,00,000</t>
        </is>
      </c>
      <c r="F2487" t="inlineStr">
        <is>
          <t>Construction work of two rooms in Government Higher Secondary School PADAWALI KALLA</t>
        </is>
      </c>
      <c r="G2487" t="inlineStr">
        <is>
          <t>Government Higher Secondary School PADAWALI KALLA</t>
        </is>
      </c>
    </row>
    <row r="2488">
      <c r="A2488" s="1" t="n">
        <v>2486</v>
      </c>
      <c r="B2488">
        <f>HYPERLINK("https://eproc.rajasthan.gov.in/nicgep/app?component=%24DirectLink&amp;page=FrontEndViewTender&amp;service=direct&amp;session=T&amp;sp=S6%2FCBndG%2BEutrFFgkmOx%2Biw%3D%3D", "Construction work of two rooms in Government Higher Secondary School JHADOLI")</f>
        <v/>
      </c>
      <c r="C2488" t="inlineStr">
        <is>
          <t>Panchayati Raj Department||Secretary and Commissioner||CEO-UDAIPUR||BDO-GOGUNDA</t>
        </is>
      </c>
      <c r="D2488" t="inlineStr">
        <is>
          <t>21-May-2025 12:00 PM</t>
        </is>
      </c>
      <c r="E2488" t="inlineStr">
        <is>
          <t>25,00,000</t>
        </is>
      </c>
      <c r="F2488" t="inlineStr">
        <is>
          <t>Construction work of two rooms in Government Higher Secondary School JHADOLI</t>
        </is>
      </c>
      <c r="G2488" t="inlineStr">
        <is>
          <t>Government Higher Secondary School JHADOLI</t>
        </is>
      </c>
    </row>
    <row r="2489">
      <c r="A2489" s="1" t="n">
        <v>2487</v>
      </c>
      <c r="B2489">
        <f>HYPERLINK("https://eproc.rajasthan.gov.in/nicgep/app?component=%24DirectLink&amp;page=FrontEndViewTender&amp;service=direct&amp;session=T&amp;sp=SWh%2Fla%2FgdMLkaoYXvyaPliw%3D%3D", "Construction work of two rooms in Government Higher Secondary School SURAJGARDH")</f>
        <v/>
      </c>
      <c r="C2489" t="inlineStr">
        <is>
          <t>Panchayati Raj Department||Secretary and Commissioner||CEO-UDAIPUR||BDO-GOGUNDA</t>
        </is>
      </c>
      <c r="D2489" t="inlineStr">
        <is>
          <t>21-May-2025 12:00 PM</t>
        </is>
      </c>
      <c r="E2489" t="inlineStr">
        <is>
          <t>25,00,000</t>
        </is>
      </c>
      <c r="F2489" t="inlineStr">
        <is>
          <t>Construction work of two rooms in Government Higher Secondary School SURAJGARDH</t>
        </is>
      </c>
      <c r="G2489" t="inlineStr">
        <is>
          <t>Government Higher Secondary School SURAJGARDH</t>
        </is>
      </c>
    </row>
    <row r="2490">
      <c r="A2490" s="1" t="n">
        <v>2488</v>
      </c>
      <c r="B2490">
        <f>HYPERLINK("https://eproc.rajasthan.gov.in/nicgep/app?component=%24DirectLink&amp;page=FrontEndViewTender&amp;service=direct&amp;session=T&amp;sp=Se93vM2KI4Th7RBtlrik1hA%3D%3D", "Construction work of two rooms in Government Higher Secondary School MADA")</f>
        <v/>
      </c>
      <c r="C2490" t="inlineStr">
        <is>
          <t>Panchayati Raj Department||Secretary and Commissioner||CEO-UDAIPUR||BDO-GOGUNDA</t>
        </is>
      </c>
      <c r="D2490" t="inlineStr">
        <is>
          <t>21-May-2025 12:00 PM</t>
        </is>
      </c>
      <c r="E2490" t="inlineStr">
        <is>
          <t>25,00,000</t>
        </is>
      </c>
      <c r="F2490" t="inlineStr">
        <is>
          <t>Construction work of two rooms in Government Higher Secondary School MADA</t>
        </is>
      </c>
      <c r="G2490" t="inlineStr">
        <is>
          <t>Government Higher Secondary School MADA</t>
        </is>
      </c>
    </row>
    <row r="2491">
      <c r="A2491" s="1" t="n">
        <v>2489</v>
      </c>
      <c r="B2491">
        <f>HYPERLINK("https://eproc.rajasthan.gov.in/nicgep/app?component=%24DirectLink&amp;page=FrontEndViewTender&amp;service=direct&amp;session=T&amp;sp=SXogPhgXf0rZP9A%2BXuoHbNw%3D%3D", "Construction work of two rooms in Government Higher Secondary School PADAWALI KHURD")</f>
        <v/>
      </c>
      <c r="C2491" t="inlineStr">
        <is>
          <t>Panchayati Raj Department||Secretary and Commissioner||CEO-UDAIPUR||BDO-GOGUNDA</t>
        </is>
      </c>
      <c r="D2491" t="inlineStr">
        <is>
          <t>21-May-2025 12:00 PM</t>
        </is>
      </c>
      <c r="E2491" t="inlineStr">
        <is>
          <t>25,00,000</t>
        </is>
      </c>
      <c r="F2491" t="inlineStr">
        <is>
          <t>Construction work of two rooms in Government Higher Secondary School PADAWALI KHURD</t>
        </is>
      </c>
      <c r="G2491" t="inlineStr">
        <is>
          <t>Government Higher Secondary School PADAWALI KHURD</t>
        </is>
      </c>
    </row>
    <row r="2492">
      <c r="A2492" s="1" t="n">
        <v>2490</v>
      </c>
      <c r="B2492">
        <f>HYPERLINK("https://eproc.rajasthan.gov.in/nicgep/app?component=%24DirectLink&amp;page=FrontEndViewTender&amp;service=direct&amp;session=T&amp;sp=SdRxZT%2FRie3rpw0r4NWY6wg%3D%3D", "Construction work of two rooms in Government Higher Secondary School RAVALIYA KHURD")</f>
        <v/>
      </c>
      <c r="C2492" t="inlineStr">
        <is>
          <t>Panchayati Raj Department||Secretary and Commissioner||CEO-UDAIPUR||BDO-GOGUNDA</t>
        </is>
      </c>
      <c r="D2492" t="inlineStr">
        <is>
          <t>21-May-2025 12:00 PM</t>
        </is>
      </c>
      <c r="E2492" t="inlineStr">
        <is>
          <t>25,00,000</t>
        </is>
      </c>
      <c r="F2492" t="inlineStr">
        <is>
          <t>Construction work of two rooms in Government Higher Secondary School RAVALIYA KHURD</t>
        </is>
      </c>
      <c r="G2492" t="inlineStr">
        <is>
          <t>Government Higher Secondary School RAVALIYA KHURD</t>
        </is>
      </c>
    </row>
    <row r="2493">
      <c r="A2493" s="1" t="n">
        <v>2491</v>
      </c>
      <c r="B2493">
        <f>HYPERLINK("https://eproc.rajasthan.gov.in/nicgep/app?component=%24DirectLink&amp;page=FrontEndViewTender&amp;service=direct&amp;session=T&amp;sp=S2%2F1MLQKlhiNLt7bg4HLxQA%3D%3D", "Construction work of two rooms in Government Higher Secondary School CHHALI")</f>
        <v/>
      </c>
      <c r="C2493" t="inlineStr">
        <is>
          <t>Panchayati Raj Department||Secretary and Commissioner||CEO-UDAIPUR||BDO-GOGUNDA</t>
        </is>
      </c>
      <c r="D2493" t="inlineStr">
        <is>
          <t>21-May-2025 12:00 PM</t>
        </is>
      </c>
      <c r="E2493" t="inlineStr">
        <is>
          <t>25,00,000</t>
        </is>
      </c>
      <c r="F2493" t="inlineStr">
        <is>
          <t>Construction work of two rooms in Government Higher Secondary School CHHALI</t>
        </is>
      </c>
      <c r="G2493" t="inlineStr">
        <is>
          <t>Government Higher Secondary School CHHALI</t>
        </is>
      </c>
    </row>
    <row r="2494">
      <c r="A2494" s="1" t="n">
        <v>2492</v>
      </c>
      <c r="B2494">
        <f>HYPERLINK("https://eproc.rajasthan.gov.in/nicgep/app?component=%24DirectLink&amp;page=FrontEndViewTender&amp;service=direct&amp;session=T&amp;sp=SBgqAaY2aJ5pKMmGjCj7spA%3D%3D", "Construction work of two rooms in Government Higher Secondary School SHIVDIYA")</f>
        <v/>
      </c>
      <c r="C2494" t="inlineStr">
        <is>
          <t>Panchayati Raj Department||Secretary and Commissioner||CEO-UDAIPUR||BDO-GOGUNDA</t>
        </is>
      </c>
      <c r="D2494" t="inlineStr">
        <is>
          <t>21-May-2025 12:00 PM</t>
        </is>
      </c>
      <c r="E2494" t="inlineStr">
        <is>
          <t>25,00,000</t>
        </is>
      </c>
      <c r="F2494" t="inlineStr">
        <is>
          <t>Construction work of two rooms in Government Higher Secondary School SHIVDIYA</t>
        </is>
      </c>
      <c r="G2494" t="inlineStr">
        <is>
          <t>Government Higher Secondary School SHIVDIYA</t>
        </is>
      </c>
    </row>
    <row r="2495">
      <c r="A2495" s="1" t="n">
        <v>2493</v>
      </c>
      <c r="B2495">
        <f>HYPERLINK("https://eproc.rajasthan.gov.in/nicgep/app?component=%24DirectLink&amp;page=FrontEndViewTender&amp;service=direct&amp;session=T&amp;sp=Sl4YpPDHeq2STY9cEv0SwXg%3D%3D", "Construction work of two rooms in Mahatma Gandhi Government School English Medium KACHHABA")</f>
        <v/>
      </c>
      <c r="C2495" t="inlineStr">
        <is>
          <t>Panchayati Raj Department||Secretary and Commissioner||CEO-UDAIPUR||BDO-GOGUNDA</t>
        </is>
      </c>
      <c r="D2495" t="inlineStr">
        <is>
          <t>21-May-2025 12:00 PM</t>
        </is>
      </c>
      <c r="E2495" t="inlineStr">
        <is>
          <t>25,00,000</t>
        </is>
      </c>
      <c r="F2495" t="inlineStr">
        <is>
          <t>Construction work of two rooms in Mahatma Gandhi Government School English Medium KACHHABA</t>
        </is>
      </c>
      <c r="G2495" t="inlineStr">
        <is>
          <t>Mahatma Gandhi Government School English Medium KA</t>
        </is>
      </c>
    </row>
    <row r="2496">
      <c r="A2496" s="1" t="n">
        <v>2494</v>
      </c>
      <c r="B2496">
        <f>HYPERLINK("https://eproc.rajasthan.gov.in/nicgep/app?component=%24DirectLink&amp;page=FrontEndViewTender&amp;service=direct&amp;session=T&amp;sp=SS04BpHomvnLWvOJ%2FT8tcGw%3D%3D", "Construction work of two rooms in Government Higher Secondary School NAL")</f>
        <v/>
      </c>
      <c r="C2496" t="inlineStr">
        <is>
          <t>Panchayati Raj Department||Secretary and Commissioner||CEO-UDAIPUR||BDO-GOGUNDA</t>
        </is>
      </c>
      <c r="D2496" t="inlineStr">
        <is>
          <t>21-May-2025 12:00 PM</t>
        </is>
      </c>
      <c r="E2496" t="inlineStr">
        <is>
          <t>25,00,000</t>
        </is>
      </c>
      <c r="F2496" t="inlineStr">
        <is>
          <t>Construction work of two rooms in Government Higher Secondary School NAL</t>
        </is>
      </c>
      <c r="G2496" t="inlineStr">
        <is>
          <t>Government Higher Secondary School NAL</t>
        </is>
      </c>
    </row>
    <row r="2497">
      <c r="A2497" s="1" t="n">
        <v>2495</v>
      </c>
      <c r="B2497">
        <f>HYPERLINK("https://eproc.rajasthan.gov.in/nicgep/app?component=%24DirectLink&amp;page=FrontEndViewTender&amp;service=direct&amp;session=T&amp;sp=SJtdtvc5HCT0N6MubS9bO%2Bg%3D%3D", "Construction work of two rooms in Government Higher Secondary School SEMTAL")</f>
        <v/>
      </c>
      <c r="C2497" t="inlineStr">
        <is>
          <t>Panchayati Raj Department||Secretary and Commissioner||CEO-UDAIPUR||BDO-GOGUNDA</t>
        </is>
      </c>
      <c r="D2497" t="inlineStr">
        <is>
          <t>21-May-2025 12:00 PM</t>
        </is>
      </c>
      <c r="E2497" t="inlineStr">
        <is>
          <t>25,00,000</t>
        </is>
      </c>
      <c r="F2497" t="inlineStr">
        <is>
          <t>Construction work of two rooms in Government Higher Secondary School SEMTAL</t>
        </is>
      </c>
      <c r="G2497" t="inlineStr">
        <is>
          <t>Government Higher Secondary School SEMTAL</t>
        </is>
      </c>
    </row>
    <row r="2498">
      <c r="A2498" s="1" t="n">
        <v>2496</v>
      </c>
      <c r="B2498">
        <f>HYPERLINK("https://eproc.rajasthan.gov.in/nicgep/app?component=%24DirectLink&amp;page=FrontEndViewTender&amp;service=direct&amp;session=T&amp;sp=SMpWrV2COusdtqp546DOeWg%3D%3D", "Construction work of two rooms in Government Higher Secondary School WAS")</f>
        <v/>
      </c>
      <c r="C2498" t="inlineStr">
        <is>
          <t>Panchayati Raj Department||Secretary and Commissioner||CEO-UDAIPUR||BDO-GOGUNDA</t>
        </is>
      </c>
      <c r="D2498" t="inlineStr">
        <is>
          <t>21-May-2025 12:00 PM</t>
        </is>
      </c>
      <c r="E2498" t="inlineStr">
        <is>
          <t>25,00,000</t>
        </is>
      </c>
      <c r="F2498" t="inlineStr">
        <is>
          <t>Construction work of two rooms in Government Higher Secondary School WAS</t>
        </is>
      </c>
      <c r="G2498" t="inlineStr">
        <is>
          <t>Government Higher Secondary School WAS</t>
        </is>
      </c>
    </row>
    <row r="2499">
      <c r="A2499" s="1" t="n">
        <v>2497</v>
      </c>
      <c r="B2499">
        <f>HYPERLINK("https://eproc.rajasthan.gov.in/nicgep/app?component=%24DirectLink&amp;page=FrontEndViewTender&amp;service=direct&amp;session=T&amp;sp=Sc5R2wD7zc47kzBdYr9afwg%3D%3D", "Construction work of two rooms in Government Higher Secondary School RAV MADADA")</f>
        <v/>
      </c>
      <c r="C2499" t="inlineStr">
        <is>
          <t>Panchayati Raj Department||Secretary and Commissioner||CEO-UDAIPUR||BDO-GOGUNDA</t>
        </is>
      </c>
      <c r="D2499" t="inlineStr">
        <is>
          <t>21-May-2025 12:00 PM</t>
        </is>
      </c>
      <c r="E2499" t="inlineStr">
        <is>
          <t>25,00,000</t>
        </is>
      </c>
      <c r="F2499" t="inlineStr">
        <is>
          <t>Construction work of two rooms in Government Higher Secondary School RAV MADADA</t>
        </is>
      </c>
      <c r="G2499" t="inlineStr">
        <is>
          <t>Government Higher Secondary School RAV MADADA</t>
        </is>
      </c>
    </row>
    <row r="2500">
      <c r="A2500" s="1" t="n">
        <v>2498</v>
      </c>
      <c r="B2500">
        <f>HYPERLINK("https://eproc.rajasthan.gov.in/nicgep/app?component=%24DirectLink&amp;page=FrontEndViewTender&amp;service=direct&amp;session=T&amp;sp=SMPxy5ThVuCXcSYgmIUsJKw%3D%3D", "Construction work of two rooms in Government Higher Secondary School CHATIYA KHEDI")</f>
        <v/>
      </c>
      <c r="C2500" t="inlineStr">
        <is>
          <t>Panchayati Raj Department||Secretary and Commissioner||CEO-UDAIPUR||BDO-GOGUNDA</t>
        </is>
      </c>
      <c r="D2500" t="inlineStr">
        <is>
          <t>21-May-2025 12:00 PM</t>
        </is>
      </c>
      <c r="E2500" t="inlineStr">
        <is>
          <t>25,00,000</t>
        </is>
      </c>
      <c r="F2500" t="inlineStr">
        <is>
          <t>Construction work of two rooms in Government Higher Secondary School CHATIYA KHEDI</t>
        </is>
      </c>
      <c r="G2500" t="inlineStr">
        <is>
          <t>Government Higher Secondary School CHATIYA KHEDI</t>
        </is>
      </c>
    </row>
    <row r="2501">
      <c r="A2501" s="1" t="n">
        <v>2499</v>
      </c>
      <c r="B2501">
        <f>HYPERLINK("https://eproc.rajasthan.gov.in/nicgep/app?component=%24DirectLink&amp;page=FrontEndViewTender&amp;service=direct&amp;session=T&amp;sp=SvhsllTkk8AsrtUZmXtRg%2Bg%3D%3D", "Construction work of two rooms in Government Higher Secondary School PATIYA")</f>
        <v/>
      </c>
      <c r="C2501" t="inlineStr">
        <is>
          <t>Panchayati Raj Department||Secretary and Commissioner||CEO-UDAIPUR||BDO-GOGUNDA</t>
        </is>
      </c>
      <c r="D2501" t="inlineStr">
        <is>
          <t>21-May-2025 12:00 PM</t>
        </is>
      </c>
      <c r="E2501" t="inlineStr">
        <is>
          <t>25,00,000</t>
        </is>
      </c>
      <c r="F2501" t="inlineStr">
        <is>
          <t>Construction work of two rooms in Government Higher Secondary School PATIYA</t>
        </is>
      </c>
      <c r="G2501" t="inlineStr">
        <is>
          <t>Government Higher Secondary School PATIYA</t>
        </is>
      </c>
    </row>
    <row r="2502">
      <c r="A2502" s="1" t="n">
        <v>2500</v>
      </c>
      <c r="B2502">
        <f>HYPERLINK("https://eproc.rajasthan.gov.in/nicgep/app?component=%24DirectLink&amp;page=FrontEndViewTender&amp;service=direct&amp;session=T&amp;sp=SDdU4ykDi5NOA3IU0jhZK6A%3D%3D", "Construction work of two rooms in Government Higher Secondary School AMBAVA")</f>
        <v/>
      </c>
      <c r="C2502" t="inlineStr">
        <is>
          <t>Panchayati Raj Department||Secretary and Commissioner||CEO-UDAIPUR||BDO-GOGUNDA</t>
        </is>
      </c>
      <c r="D2502" t="inlineStr">
        <is>
          <t>21-May-2025 12:00 PM</t>
        </is>
      </c>
      <c r="E2502" t="inlineStr">
        <is>
          <t>25,00,000</t>
        </is>
      </c>
      <c r="F2502" t="inlineStr">
        <is>
          <t>Construction work of two rooms in Government Higher Secondary School AMBAVA</t>
        </is>
      </c>
      <c r="G2502" t="inlineStr">
        <is>
          <t>Government Higher Secondary School AMBAVA</t>
        </is>
      </c>
    </row>
    <row r="2503">
      <c r="A2503" s="1" t="n">
        <v>2501</v>
      </c>
      <c r="B2503">
        <f>HYPERLINK("https://eproc.rajasthan.gov.in/nicgep/app?component=%24DirectLink&amp;page=FrontEndViewTender&amp;service=direct&amp;session=T&amp;sp=SD7BcwieMP%2BziWncu%2FZpLow%3D%3D", "Boundry wall construction work in GSS School kaya")</f>
        <v/>
      </c>
      <c r="C2503" t="inlineStr">
        <is>
          <t>Panchayati Raj Department||Secretary and Commissioner||CEO-UDAIPUR||BDO-GIRVA</t>
        </is>
      </c>
      <c r="D2503" t="inlineStr">
        <is>
          <t>19-May-2025 10:00 AM</t>
        </is>
      </c>
      <c r="E2503" t="inlineStr">
        <is>
          <t>6,00,000</t>
        </is>
      </c>
      <c r="F2503" t="inlineStr">
        <is>
          <t>Boundry wall construction work in GSS School kaya</t>
        </is>
      </c>
      <c r="G2503" t="inlineStr">
        <is>
          <t>GSS School kaya</t>
        </is>
      </c>
    </row>
    <row r="2504">
      <c r="A2504" s="1" t="n">
        <v>2502</v>
      </c>
      <c r="B2504">
        <f>HYPERLINK("https://eproc.rajasthan.gov.in/nicgep/app?component=%24DirectLink&amp;page=FrontEndViewTender&amp;service=direct&amp;session=T&amp;sp=SfLpg0EfffLfnDRRdX%2FoBQQ%3D%3D", "Civil Work (S.No 02)")</f>
        <v/>
      </c>
      <c r="C2504" t="inlineStr">
        <is>
          <t>Panchayati Raj Department||Secretary and Commissioner||CEO-CHURU||BDO-CHURU</t>
        </is>
      </c>
      <c r="D2504" t="inlineStr">
        <is>
          <t>19-May-2025 11:00 AM</t>
        </is>
      </c>
      <c r="E2504" t="inlineStr">
        <is>
          <t>10,40,000</t>
        </is>
      </c>
      <c r="F2504" t="inlineStr">
        <is>
          <t>Civil Work (S.No 02)</t>
        </is>
      </c>
      <c r="G2504" t="inlineStr">
        <is>
          <t>GP</t>
        </is>
      </c>
    </row>
    <row r="2505">
      <c r="A2505" s="1" t="n">
        <v>2503</v>
      </c>
      <c r="B2505">
        <f>HYPERLINK("https://eproc.rajasthan.gov.in/nicgep/app?component=%24DirectLink&amp;page=FrontEndViewTender&amp;service=direct&amp;session=T&amp;sp=S%2F%2FDgkD4ao4Ef2AEmABjXrQ%3D%3D", "Two room with varamdah contraction work in GUPS Garada")</f>
        <v/>
      </c>
      <c r="C2505" t="inlineStr">
        <is>
          <t>Panchayati Raj Department||Secretary and Commissioner||CEO-UDAIPUR||BDO-GIRVA</t>
        </is>
      </c>
      <c r="D2505" t="inlineStr">
        <is>
          <t>20-May-2025 05:00 PM</t>
        </is>
      </c>
      <c r="E2505" t="inlineStr">
        <is>
          <t>18,74,672</t>
        </is>
      </c>
      <c r="F2505" t="inlineStr">
        <is>
          <t>Two room with varamdah contraction work in GUPS Garada, Amarpura</t>
        </is>
      </c>
      <c r="G2505" t="inlineStr">
        <is>
          <t>GUPS Garada amarpura</t>
        </is>
      </c>
    </row>
    <row r="2506">
      <c r="A2506" s="1" t="n">
        <v>2504</v>
      </c>
      <c r="B2506">
        <f>HYPERLINK("https://eproc.rajasthan.gov.in/nicgep/app?component=%24DirectLink&amp;page=FrontEndViewTender&amp;service=direct&amp;session=T&amp;sp=SM0xk1FG6ZlSZ5fQvl2YKZQ%3D%3D", "Civil Work (S.No 01)")</f>
        <v/>
      </c>
      <c r="C2506" t="inlineStr">
        <is>
          <t>Panchayati Raj Department||Secretary and Commissioner||CEO-CHURU||BDO-CHURU</t>
        </is>
      </c>
      <c r="D2506" t="inlineStr">
        <is>
          <t>19-May-2025 11:00 AM</t>
        </is>
      </c>
      <c r="E2506" t="inlineStr">
        <is>
          <t>7,02,000</t>
        </is>
      </c>
      <c r="F2506" t="inlineStr">
        <is>
          <t>Civil Work (S.No 01)</t>
        </is>
      </c>
      <c r="G2506" t="inlineStr">
        <is>
          <t>GP</t>
        </is>
      </c>
    </row>
    <row r="2507">
      <c r="A2507" s="1" t="n">
        <v>2505</v>
      </c>
      <c r="B2507">
        <f>HYPERLINK("https://eproc.rajasthan.gov.in/nicgep/app?component=%24DirectLink&amp;page=FrontEndViewTender&amp;service=direct&amp;session=T&amp;sp=SblzsYsTwE%2BRHAeSY34%2BmZQ%3D%3D", "Civil Work (S.No 03)")</f>
        <v/>
      </c>
      <c r="C2507" t="inlineStr">
        <is>
          <t>Panchayati Raj Department||Secretary and Commissioner||CEO-CHURU||BDO-CHURU</t>
        </is>
      </c>
      <c r="D2507" t="inlineStr">
        <is>
          <t>19-May-2025 11:00 AM</t>
        </is>
      </c>
      <c r="E2507" t="inlineStr">
        <is>
          <t>13,50,000</t>
        </is>
      </c>
      <c r="F2507" t="inlineStr">
        <is>
          <t>Civil Work (S.No 03)</t>
        </is>
      </c>
      <c r="G2507" t="inlineStr">
        <is>
          <t>GP</t>
        </is>
      </c>
    </row>
    <row r="2508">
      <c r="A2508" s="1" t="n">
        <v>2506</v>
      </c>
      <c r="B2508">
        <f>HYPERLINK("https://eproc.rajasthan.gov.in/nicgep/app?component=%24DirectLink&amp;page=FrontEndViewTender&amp;service=direct&amp;session=T&amp;sp=SsdPbJWHqOZ5l8VwvdWZXsw%3D%3D", "Civil Work (S.No 04)")</f>
        <v/>
      </c>
      <c r="C2508" t="inlineStr">
        <is>
          <t>Panchayati Raj Department||Secretary and Commissioner||CEO-CHURU||BDO-CHURU</t>
        </is>
      </c>
      <c r="D2508" t="inlineStr">
        <is>
          <t>19-May-2025 11:00 AM</t>
        </is>
      </c>
      <c r="E2508" t="inlineStr">
        <is>
          <t>12,36,000</t>
        </is>
      </c>
      <c r="F2508" t="inlineStr">
        <is>
          <t>Civil Work (S.No 04)</t>
        </is>
      </c>
      <c r="G2508" t="inlineStr">
        <is>
          <t>GP</t>
        </is>
      </c>
    </row>
    <row r="2509">
      <c r="A2509" s="1" t="n">
        <v>2507</v>
      </c>
      <c r="B2509">
        <f>HYPERLINK("https://eproc.rajasthan.gov.in/nicgep/app?component=%24DirectLink&amp;page=FrontEndViewTender&amp;service=direct&amp;session=T&amp;sp=SxxRSubd%2BeRJOR9quFlAYkQ%3D%3D", "2 room With varamdah constraction work in GUPS BORAGODA")</f>
        <v/>
      </c>
      <c r="C2509" t="inlineStr">
        <is>
          <t>Panchayati Raj Department||Secretary and Commissioner||CEO-UDAIPUR||BDO-GIRVA</t>
        </is>
      </c>
      <c r="D2509" t="inlineStr">
        <is>
          <t>20-May-2025 05:00 PM</t>
        </is>
      </c>
      <c r="E2509" t="inlineStr">
        <is>
          <t>18,74,672</t>
        </is>
      </c>
      <c r="F2509" t="inlineStr">
        <is>
          <t>2 room With varamdah constraction work in GUPS BORAGODA</t>
        </is>
      </c>
      <c r="G2509" t="inlineStr">
        <is>
          <t>GPUS BORAGOD, AMARPURA</t>
        </is>
      </c>
    </row>
    <row r="2510">
      <c r="A2510" s="1" t="n">
        <v>2508</v>
      </c>
      <c r="B2510">
        <f>HYPERLINK("https://eproc.rajasthan.gov.in/nicgep/app?component=%24DirectLink&amp;page=FrontEndViewTender&amp;service=direct&amp;session=T&amp;sp=SldCgyBDSurgxgkm1NBFVxQ%3D%3D", "2 class room constraction work in Govt. se. sec. school Amarpura")</f>
        <v/>
      </c>
      <c r="C2510" t="inlineStr">
        <is>
          <t>Panchayati Raj Department||Secretary and Commissioner||CEO-UDAIPUR||BDO-GIRVA</t>
        </is>
      </c>
      <c r="D2510" t="inlineStr">
        <is>
          <t>21-May-2025 05:00 PM</t>
        </is>
      </c>
      <c r="E2510" t="inlineStr">
        <is>
          <t>24,84,000</t>
        </is>
      </c>
      <c r="F2510" t="inlineStr">
        <is>
          <t>2 class room constraction work in Govt. se. sec. school Amarpura</t>
        </is>
      </c>
      <c r="G2510" t="inlineStr">
        <is>
          <t>Govt. se. sec. school</t>
        </is>
      </c>
    </row>
    <row r="2511">
      <c r="A2511" s="1" t="n">
        <v>2509</v>
      </c>
      <c r="B2511">
        <f>HYPERLINK("https://eproc.rajasthan.gov.in/nicgep/app?component=%24DirectLink&amp;page=FrontEndViewTender&amp;service=direct&amp;session=T&amp;sp=SVrVzYvAxB5%2FAqkC5QhpHGw%3D%3D", "MATERIAL SUPPLY FOR MGNREGA WORKS IN GP KHANODA PS PATODI DISTRICT BALOTRA")</f>
        <v/>
      </c>
      <c r="C2511" t="inlineStr">
        <is>
          <t>Panchayati Raj Department||Secretary and Commissioner||CEO-BADMER||BDO-BALOTRA</t>
        </is>
      </c>
      <c r="D2511" t="inlineStr">
        <is>
          <t>20-May-2025 06:00 PM</t>
        </is>
      </c>
      <c r="E2511" t="inlineStr">
        <is>
          <t>75,00,000</t>
        </is>
      </c>
      <c r="F2511" t="inlineStr">
        <is>
          <t>MATERIAL SUPPLY FOR MGNREGA WORKS IN GP KHANODA PS PATODI DISTRICT BALOTRA</t>
        </is>
      </c>
      <c r="G2511" t="inlineStr">
        <is>
          <t>GP KHANODA</t>
        </is>
      </c>
    </row>
    <row r="2512">
      <c r="A2512" s="1" t="n">
        <v>2510</v>
      </c>
      <c r="B2512">
        <f>HYPERLINK("https://eproc.rajasthan.gov.in/nicgep/app?component=%24DirectLink&amp;page=FrontEndViewTender&amp;service=direct&amp;session=T&amp;sp=SALX4JeJKygEhdUlm1m3CTw%3D%3D", "GRAM PANCHAYAT JUGALPURA ME SAAF SAFAI WORK FOR YEAR 2025-26")</f>
        <v/>
      </c>
      <c r="C2512" t="inlineStr">
        <is>
          <t>Panchayati Raj Department||Secretary and Commissioner||CEO-SIKAR||BDO-KHANDELA</t>
        </is>
      </c>
      <c r="D2512" t="inlineStr">
        <is>
          <t>19-May-2025 06:00 PM</t>
        </is>
      </c>
      <c r="E2512" t="inlineStr">
        <is>
          <t>9,00,000</t>
        </is>
      </c>
      <c r="F2512" t="inlineStr">
        <is>
          <t>GRAM PANCHAYAT JUGALPURA ME SAAF SAFAI WORK FOR YEAR 2025-26</t>
        </is>
      </c>
      <c r="G2512" t="inlineStr">
        <is>
          <t>GP JUGALPURA</t>
        </is>
      </c>
    </row>
    <row r="2513">
      <c r="A2513" s="1" t="n">
        <v>2511</v>
      </c>
      <c r="B2513">
        <f>HYPERLINK("https://eproc.rajasthan.gov.in/nicgep/app?component=%24DirectLink&amp;page=FrontEndViewTender&amp;service=direct&amp;session=T&amp;sp=SBD9QiDX0SQ7zjZmD%2FJ3EZg%3D%3D", "Rate Contract for Supply of Construction Material and equipment in Gram Panchayat JUGALPURA FOR YEAR 2025-26")</f>
        <v/>
      </c>
      <c r="C2513" t="inlineStr">
        <is>
          <t>Panchayati Raj Department||Secretary and Commissioner||CEO-SIKAR||BDO-KHANDELA</t>
        </is>
      </c>
      <c r="D2513" t="inlineStr">
        <is>
          <t>19-May-2025 06:00 PM</t>
        </is>
      </c>
      <c r="E2513" t="inlineStr">
        <is>
          <t>50,00,000</t>
        </is>
      </c>
      <c r="F2513" t="inlineStr">
        <is>
          <t>Rate Contract for Supply of Construction Material and equipment in Gram Panchayat JUGALPURA FOR YEAR 2025-26</t>
        </is>
      </c>
      <c r="G2513" t="inlineStr">
        <is>
          <t>GP JUGALPURA</t>
        </is>
      </c>
    </row>
    <row r="2514">
      <c r="A2514" s="1" t="n">
        <v>2512</v>
      </c>
      <c r="B2514">
        <f>HYPERLINK("https://eproc.rajasthan.gov.in/nicgep/app?component=%24DirectLink&amp;page=FrontEndViewTender&amp;service=direct&amp;session=T&amp;sp=SUIOG5nFR7lXuOsDozqmVhQ%3D%3D", "Rate Contract for Supply of Construction Material and equipment in Gram Panchayat CHOMU PUROHITAN FOR YEAR 2025-26")</f>
        <v/>
      </c>
      <c r="C2514" t="inlineStr">
        <is>
          <t>Panchayati Raj Department||Secretary and Commissioner||CEO-SIKAR||BDO-KHANDELA</t>
        </is>
      </c>
      <c r="D2514" t="inlineStr">
        <is>
          <t>19-May-2025 06:40 PM</t>
        </is>
      </c>
      <c r="E2514" t="inlineStr">
        <is>
          <t>40,00,000</t>
        </is>
      </c>
      <c r="F2514" t="inlineStr">
        <is>
          <t>Rate Contract for Supply of Construction Material and equipment in Gram Panchayat CHOMU PUROHITAN FOR YEAR 2025-26</t>
        </is>
      </c>
      <c r="G2514" t="inlineStr">
        <is>
          <t>GP CHOMU PUROHITAN</t>
        </is>
      </c>
    </row>
    <row r="2515">
      <c r="A2515" s="1" t="n">
        <v>2513</v>
      </c>
      <c r="B2515">
        <f>HYPERLINK("https://eproc.rajasthan.gov.in/nicgep/app?component=%24DirectLink&amp;page=FrontEndViewTender&amp;service=direct&amp;session=T&amp;sp=SVNhQeuZCUS0L5U2JWzDydw%3D%3D", "Rate contract for Work Including Garbage Collection and Separation from Households and Commercial Establishments, Road and Drain cleaning, Cleaning of CSCs in all villages of Gram Panchayat Nimod Panchayat Samiti Malarna Doongar")</f>
        <v/>
      </c>
      <c r="C2515" t="inlineStr">
        <is>
          <t>Panchayati Raj Department||Secretary and Commissioner||CEO-S.MADHOPUR||BDO-MALARANA DUNGAR</t>
        </is>
      </c>
      <c r="D2515" t="inlineStr">
        <is>
          <t>18-May-2025 06:00 PM</t>
        </is>
      </c>
      <c r="E2515" t="inlineStr">
        <is>
          <t>5,51,847</t>
        </is>
      </c>
      <c r="F2515" t="inlineStr">
        <is>
          <t>Rate contract for Work Including Garbage Collection and Separation from Households and Commercial Establishments, Road and Drain cleaning, Cleaning of CSCs in all villages of Gram Panchayat Nimod Panchayat Samiti Malarna Doongar</t>
        </is>
      </c>
      <c r="G2515" t="inlineStr">
        <is>
          <t>GRAM PANCHAYAT NIMOD</t>
        </is>
      </c>
    </row>
    <row r="2516">
      <c r="A2516" s="1" t="n">
        <v>2514</v>
      </c>
      <c r="B2516">
        <f>HYPERLINK("https://eproc.rajasthan.gov.in/nicgep/app?component=%24DirectLink&amp;page=FrontEndViewTender&amp;service=direct&amp;session=T&amp;sp=Sa7mbbDUUw5bbVWlXYkxZ%2BQ%3D%3D", "Rate contract for Work Including Garbage Collection and Separation from Households and Commercial Establishments, Road and Drain cleaning, Cleaning of CSCs in all villages of Gram Panchayat Jolanda Panchayat Samiti Malarna Doongar")</f>
        <v/>
      </c>
      <c r="C2516" t="inlineStr">
        <is>
          <t>Panchayati Raj Department||Secretary and Commissioner||CEO-S.MADHOPUR||BDO-MALARANA DUNGAR</t>
        </is>
      </c>
      <c r="D2516" t="inlineStr">
        <is>
          <t>18-May-2025 06:00 PM</t>
        </is>
      </c>
      <c r="E2516" t="inlineStr">
        <is>
          <t>5,37,937</t>
        </is>
      </c>
      <c r="F2516" t="inlineStr">
        <is>
          <t>Rate contract for Work Including Garbage Collection and Separation from Households and Commercial Establishments, Road and Drain cleaning, Cleaning of CSCs in all villages of Gram Panchayat Jolanda Panchayat Samiti Malarna Doongar</t>
        </is>
      </c>
      <c r="G2516" t="inlineStr">
        <is>
          <t>GRAM PANCHAYAT JOLANDA</t>
        </is>
      </c>
    </row>
    <row r="2517">
      <c r="A2517" s="1" t="n">
        <v>2515</v>
      </c>
      <c r="B2517">
        <f>HYPERLINK("https://eproc.rajasthan.gov.in/nicgep/app?component=%24DirectLink&amp;page=FrontEndViewTender&amp;service=direct&amp;session=T&amp;sp=SkcKUdYtd4Rffh%2Fc%2FyH0ReQ%3D%3D", "GROUP B Material supply and equipment supply for Construction work in G.P. BEDSA")</f>
        <v/>
      </c>
      <c r="C2517" t="inlineStr">
        <is>
          <t>Panchayati Raj Department||Secretary and Commissioner||CEO- DUNGARPUR||BDO-JHOTHARI</t>
        </is>
      </c>
      <c r="D2517" t="inlineStr">
        <is>
          <t>19-May-2025 06:00 PM</t>
        </is>
      </c>
      <c r="E2517" t="inlineStr">
        <is>
          <t>25,00,000</t>
        </is>
      </c>
      <c r="F2517" t="inlineStr">
        <is>
          <t>GROUP B Material supply and equipment supply for Construction work in G.P. BEDSA</t>
        </is>
      </c>
      <c r="G2517" t="inlineStr">
        <is>
          <t>BEDSA</t>
        </is>
      </c>
    </row>
    <row r="2518">
      <c r="A2518" s="1" t="n">
        <v>2516</v>
      </c>
      <c r="B2518">
        <f>HYPERLINK("https://eproc.rajasthan.gov.in/nicgep/app?component=%24DirectLink&amp;page=FrontEndViewTender&amp;service=direct&amp;session=T&amp;sp=S88%2BT9e9SC8n1wydmtCzvZw%3D%3D", "Rate Contract for Supply of Construction Material and equipment in Gram Panchayat")</f>
        <v/>
      </c>
      <c r="C2518" t="inlineStr">
        <is>
          <t>Panchayati Raj Department||Secretary and Commissioner||CEO-SIKAR||BDO-KHANDELA</t>
        </is>
      </c>
      <c r="D2518" t="inlineStr">
        <is>
          <t>19-May-2025 10:00 AM</t>
        </is>
      </c>
      <c r="E2518" t="inlineStr">
        <is>
          <t>30,00,000</t>
        </is>
      </c>
      <c r="F2518" t="inlineStr">
        <is>
          <t>Rate Contract for Supply of Construction Material and equipment in Gram Panchayat</t>
        </is>
      </c>
      <c r="G2518" t="inlineStr">
        <is>
          <t>GP GARH BHOPJI</t>
        </is>
      </c>
    </row>
    <row r="2519">
      <c r="A2519" s="1" t="n">
        <v>2517</v>
      </c>
      <c r="B2519">
        <f>HYPERLINK("https://eproc.rajasthan.gov.in/nicgep/app?component=%24DirectLink&amp;page=FrontEndViewTender&amp;service=direct&amp;session=T&amp;sp=SvwbQuvQprvTmbecyDCLZFQ%3D%3D", "MATERIAL SUPPLY TENDER GP SHERANIABAD")</f>
        <v/>
      </c>
      <c r="C2519" t="inlineStr">
        <is>
          <t>Panchayati Raj Department||Secretary and Commissioner||CEO-NAGORE||BDO-DIDWANA</t>
        </is>
      </c>
      <c r="D2519" t="inlineStr">
        <is>
          <t>20-May-2025 06:00 PM</t>
        </is>
      </c>
      <c r="E2519" t="inlineStr">
        <is>
          <t>1,00,00,000</t>
        </is>
      </c>
      <c r="F2519" t="inlineStr">
        <is>
          <t>Material and Equipment supply under MGNREGA RD and PRD Schemes in GP SHERANIABAD</t>
        </is>
      </c>
      <c r="G2519" t="inlineStr">
        <is>
          <t>GP SHERANIABAD</t>
        </is>
      </c>
    </row>
    <row r="2520">
      <c r="A2520" s="1" t="n">
        <v>2518</v>
      </c>
      <c r="B2520">
        <f>HYPERLINK("https://eproc.rajasthan.gov.in/nicgep/app?component=%24DirectLink&amp;page=FrontEndViewTender&amp;service=direct&amp;session=T&amp;sp=Sieq%2FbK35a78%2BqP9xCQsyzQ%3D%3D", "F Y 2025-26 Rate Contract Supply of All Item of Building Material and Equipement in Gram Panchayat Tus Dangiyan Panchayat Samiti Vallabhnagar Distt Udaipur")</f>
        <v/>
      </c>
      <c r="C2520" t="inlineStr">
        <is>
          <t>Panchayati Raj Department||Secretary and Commissioner||CEO-UDAIPUR||BDO-VALLABH NAGAR</t>
        </is>
      </c>
      <c r="D2520" t="inlineStr">
        <is>
          <t>23-May-2025 06:00 PM</t>
        </is>
      </c>
      <c r="E2520" t="inlineStr">
        <is>
          <t>30,00,000</t>
        </is>
      </c>
      <c r="F2520" t="inlineStr">
        <is>
          <t>F Y 2025-26 Rate Contract Supply of All Item of Building Material and Equipement in Gram Panchayat Tus Dangiyan Panchayat Samiti Vallabhnagar Distt Udaipur</t>
        </is>
      </c>
      <c r="G2520" t="inlineStr">
        <is>
          <t>Gram Panchayat Tus Dangiyan</t>
        </is>
      </c>
    </row>
    <row r="2521">
      <c r="A2521" s="1" t="n">
        <v>2519</v>
      </c>
      <c r="B2521">
        <f>HYPERLINK("https://eproc.rajasthan.gov.in/nicgep/app?component=%24DirectLink&amp;page=FrontEndViewTender&amp;service=direct&amp;session=T&amp;sp=S8pNe52ospG%2Fi%2FGj0DI2SvQ%3D%3D", "Material Supply For Nrega And Other Scheme Year 2025-26 In Gp Sandwa")</f>
        <v/>
      </c>
      <c r="C2521" t="inlineStr">
        <is>
          <t>Panchayati Raj Department||Secretary and Commissioner||CEO-CHURU||BDO-BIDASAR</t>
        </is>
      </c>
      <c r="D2521" t="inlineStr">
        <is>
          <t>26-May-2025 12:00 PM</t>
        </is>
      </c>
      <c r="E2521" t="inlineStr">
        <is>
          <t>80,00,000</t>
        </is>
      </c>
      <c r="F2521" t="inlineStr">
        <is>
          <t>Material Supply For Nrega And Other Scheme Year 2025-26 In Gp Sandwa</t>
        </is>
      </c>
      <c r="G2521" t="inlineStr">
        <is>
          <t>Gram Panchyat Sandwa</t>
        </is>
      </c>
    </row>
    <row r="2522">
      <c r="A2522" s="1" t="n">
        <v>2520</v>
      </c>
      <c r="B2522">
        <f>HYPERLINK("https://eproc.rajasthan.gov.in/nicgep/app?component=%24DirectLink&amp;page=FrontEndViewTender&amp;service=direct&amp;session=T&amp;sp=S5TSD6R0K4qg25EcXcMz84w%3D%3D", "ALL KIND OF MATERIAL SUPPLY FOR GRAM PANCHAYAT MUNGRA MGNREGA AND ALL SCHEME CIVIL CONSTRUCTION FOR FY 2025-26")</f>
        <v/>
      </c>
      <c r="C2522" t="inlineStr">
        <is>
          <t>Panchayati Raj Department||Secretary and Commissioner||CEO-BADMER||BDO-BALOTRA</t>
        </is>
      </c>
      <c r="D2522" t="inlineStr">
        <is>
          <t>21-May-2025 05:00 PM</t>
        </is>
      </c>
      <c r="E2522" t="inlineStr">
        <is>
          <t>70,00,000</t>
        </is>
      </c>
      <c r="F2522" t="inlineStr">
        <is>
          <t>supply work</t>
        </is>
      </c>
      <c r="G2522" t="inlineStr">
        <is>
          <t>gram panchayat mungra</t>
        </is>
      </c>
    </row>
    <row r="2523">
      <c r="A2523" s="1" t="n">
        <v>2521</v>
      </c>
      <c r="B2523">
        <f>HYPERLINK("https://eproc.rajasthan.gov.in/nicgep/app?component=%24DirectLink&amp;page=FrontEndViewTender&amp;service=direct&amp;session=T&amp;sp=SxzjOAcG7bGxsqDK2nsCs1g%3D%3D", "GROUP A Material supply and equipment supply for Construction work in G.P. BEDSA")</f>
        <v/>
      </c>
      <c r="C2523" t="inlineStr">
        <is>
          <t>Panchayati Raj Department||Secretary and Commissioner||CEO- DUNGARPUR||BDO-JHOTHARI</t>
        </is>
      </c>
      <c r="D2523" t="inlineStr">
        <is>
          <t>19-May-2025 06:00 PM</t>
        </is>
      </c>
      <c r="E2523" t="inlineStr">
        <is>
          <t>25,00,000</t>
        </is>
      </c>
      <c r="F2523" t="inlineStr">
        <is>
          <t>GROUP A Material supply and equipment supply for Construction work in G.P. BEDSA</t>
        </is>
      </c>
      <c r="G2523" t="inlineStr">
        <is>
          <t>BEDSA</t>
        </is>
      </c>
    </row>
    <row r="2524">
      <c r="A2524" s="1" t="n">
        <v>2522</v>
      </c>
      <c r="B2524">
        <f>HYPERLINK("https://eproc.rajasthan.gov.in/nicgep/app?component=%24DirectLink&amp;page=FrontEndViewTender&amp;service=direct&amp;session=T&amp;sp=ShsUCiINQ%2Fy%2FhjoP5O8MBtQ%3D%3D", "GROUP C Material supply and equipment supply for Construction work in G.P. BEDSA")</f>
        <v/>
      </c>
      <c r="C2524" t="inlineStr">
        <is>
          <t>Panchayati Raj Department||Secretary and Commissioner||CEO- DUNGARPUR||BDO-JHOTHARI</t>
        </is>
      </c>
      <c r="D2524" t="inlineStr">
        <is>
          <t>19-May-2025 06:00 PM</t>
        </is>
      </c>
      <c r="E2524" t="inlineStr">
        <is>
          <t>8,00,000</t>
        </is>
      </c>
      <c r="F2524" t="inlineStr">
        <is>
          <t>GROUP C Material supply and equipment supply for Construction work in G.P. BEDSA</t>
        </is>
      </c>
      <c r="G2524" t="inlineStr">
        <is>
          <t>BEDSA</t>
        </is>
      </c>
    </row>
    <row r="2525">
      <c r="A2525" s="1" t="n">
        <v>2523</v>
      </c>
      <c r="B2525">
        <f>HYPERLINK("https://eproc.rajasthan.gov.in/nicgep/app?component=%24DirectLink&amp;page=FrontEndViewTender&amp;service=direct&amp;session=T&amp;sp=Sw711G5J3mYuKiTUzL1By2w%3D%3D", "F Y 2025-26 Rate Contract Supply of All Item of Building Material and Equipement in Gram Panchayat Nandvel Panchayat Samiti Vallabhnagar Distt Udaipur")</f>
        <v/>
      </c>
      <c r="C2525" t="inlineStr">
        <is>
          <t>Panchayati Raj Department||Secretary and Commissioner||CEO-UDAIPUR||BDO-VALLABH NAGAR</t>
        </is>
      </c>
      <c r="D2525" t="inlineStr">
        <is>
          <t>23-May-2025 06:00 PM</t>
        </is>
      </c>
      <c r="E2525" t="inlineStr">
        <is>
          <t>50,00,000</t>
        </is>
      </c>
      <c r="F2525" t="inlineStr">
        <is>
          <t>F Y 2025-26 Rate Contract Supply of All Item of Building Material and Equipement in Gram Panchayat Nandvel Panchayat Samiti Vallabhnagar Distt Udaipur</t>
        </is>
      </c>
      <c r="G2525" t="inlineStr">
        <is>
          <t>Gram Panchayat Nandvel</t>
        </is>
      </c>
    </row>
    <row r="2526">
      <c r="A2526" s="1" t="n">
        <v>2524</v>
      </c>
      <c r="B2526">
        <f>HYPERLINK("https://eproc.rajasthan.gov.in/nicgep/app?component=%24DirectLink&amp;page=FrontEndViewTender&amp;service=direct&amp;session=T&amp;sp=SucZYRr9%2BVa7%2F0ZSNlEAYMg%3D%3D", "GROUP D WALL PAINTING WORK IN G.P. BEDSA")</f>
        <v/>
      </c>
      <c r="C2526" t="inlineStr">
        <is>
          <t>Panchayati Raj Department||Secretary and Commissioner||CEO- DUNGARPUR||BDO-JHOTHARI</t>
        </is>
      </c>
      <c r="D2526" t="inlineStr">
        <is>
          <t>19-May-2025 06:00 PM</t>
        </is>
      </c>
      <c r="E2526" t="inlineStr">
        <is>
          <t>2,00,000</t>
        </is>
      </c>
      <c r="F2526" t="inlineStr">
        <is>
          <t>GROUP D WALL PAINTING WORK IN G.P. BEDSA</t>
        </is>
      </c>
      <c r="G2526" t="inlineStr">
        <is>
          <t>BEDSA</t>
        </is>
      </c>
    </row>
    <row r="2527">
      <c r="A2527" s="1" t="n">
        <v>2525</v>
      </c>
      <c r="B2527">
        <f>HYPERLINK("https://eproc.rajasthan.gov.in/nicgep/app?component=%24DirectLink&amp;page=FrontEndViewTender&amp;service=direct&amp;session=T&amp;sp=Sep0CpyA8261ZUDdH9C2AlQ%3D%3D", "F Y 2025-26 Rate Contract Supply of All Item of Building Material and Equipement in Gram Panchayat Navaniya Panchayat Samiti Vallabhnagar Distt Udaipur")</f>
        <v/>
      </c>
      <c r="C2527" t="inlineStr">
        <is>
          <t>Panchayati Raj Department||Secretary and Commissioner||CEO-UDAIPUR||BDO-VALLABH NAGAR</t>
        </is>
      </c>
      <c r="D2527" t="inlineStr">
        <is>
          <t>23-May-2025 06:00 PM</t>
        </is>
      </c>
      <c r="E2527" t="inlineStr">
        <is>
          <t>50,00,000</t>
        </is>
      </c>
      <c r="F2527" t="inlineStr">
        <is>
          <t>F Y 2025-26 Rate Contract Supply of All Item of Building Material and Equipement in Gram Panchayat Navaniya Panchayat Samiti Vallabhnagar Distt Udaipur</t>
        </is>
      </c>
      <c r="G2527" t="inlineStr">
        <is>
          <t>Gram Panchayat Navaniya</t>
        </is>
      </c>
    </row>
    <row r="2528">
      <c r="A2528" s="1" t="n">
        <v>2526</v>
      </c>
      <c r="B2528">
        <f>HYPERLINK("https://eproc.rajasthan.gov.in/nicgep/app?component=%24DirectLink&amp;page=FrontEndViewTender&amp;service=direct&amp;session=T&amp;sp=S6WpM72GxOW5Evkp3MikWCQ%3D%3D", "F Y 2025-26 Rate Contract Supply of All Item of Building Material and Equipement in Gram Panchayat Modi Panchayat Samiti Vallabhnagar Distt Udaipur")</f>
        <v/>
      </c>
      <c r="C2528" t="inlineStr">
        <is>
          <t>Panchayati Raj Department||Secretary and Commissioner||CEO-UDAIPUR||BDO-VALLABH NAGAR</t>
        </is>
      </c>
      <c r="D2528" t="inlineStr">
        <is>
          <t>23-May-2025 06:00 PM</t>
        </is>
      </c>
      <c r="E2528" t="inlineStr">
        <is>
          <t>45,00,000</t>
        </is>
      </c>
      <c r="F2528" t="inlineStr">
        <is>
          <t>F Y 2025-26 Rate Contract Supply of All Item of Building Material and Equipement in Gram Panchayat Modi Panchayat Samiti Vallabhnagar Distt Udaipur</t>
        </is>
      </c>
      <c r="G2528" t="inlineStr">
        <is>
          <t>Gram Panchayat Modi Panchayat Samiti</t>
        </is>
      </c>
    </row>
    <row r="2529">
      <c r="A2529" s="1" t="n">
        <v>2527</v>
      </c>
      <c r="B2529">
        <f>HYPERLINK("https://eproc.rajasthan.gov.in/nicgep/app?component=%24DirectLink&amp;page=FrontEndViewTender&amp;service=direct&amp;session=T&amp;sp=Sw0O%2BsQ1mLVdFFYz%2FOFKN2g%3D%3D", "GRAM PANCHAYAT DADIYA RAMPURA ME SAAF SAFAI WORK FOR YEAR 2025-26")</f>
        <v/>
      </c>
      <c r="C2529" t="inlineStr">
        <is>
          <t>Panchayati Raj Department||Secretary and Commissioner||CEO-SIKAR||BDO-KHANDELA</t>
        </is>
      </c>
      <c r="D2529" t="inlineStr">
        <is>
          <t>19-May-2025 06:00 PM</t>
        </is>
      </c>
      <c r="E2529" t="inlineStr">
        <is>
          <t>7,84,000</t>
        </is>
      </c>
      <c r="F2529" t="inlineStr">
        <is>
          <t>GRAM PANCHAYAT DADIYA RAMPURA ME SAAF SAFAI WORK FOR YEAR 2025-26</t>
        </is>
      </c>
      <c r="G2529" t="inlineStr">
        <is>
          <t>GP DADIYA RAMPURA</t>
        </is>
      </c>
    </row>
    <row r="2530">
      <c r="A2530" s="1" t="n">
        <v>2528</v>
      </c>
      <c r="B2530">
        <f>HYPERLINK("https://eproc.rajasthan.gov.in/nicgep/app?component=%24DirectLink&amp;page=FrontEndViewTender&amp;service=direct&amp;session=T&amp;sp=S8BAFn7qdengFreEfJi1i8A%3D%3D", "Material Supply Gram Panchayat Zaflikala")</f>
        <v/>
      </c>
      <c r="C2530" t="inlineStr">
        <is>
          <t>Panchayati Raj Department||Secretary and Commissioner||CEO-BADMER||BDO-SHIV</t>
        </is>
      </c>
      <c r="D2530" t="inlineStr">
        <is>
          <t>19-May-2025 06:55 PM</t>
        </is>
      </c>
      <c r="E2530" t="inlineStr">
        <is>
          <t>70,00,000</t>
        </is>
      </c>
      <c r="F2530" t="inlineStr">
        <is>
          <t>Construction Material Supply And Providing Equipment for Construction Works under MGNREGA And other Scheme in Gram Panchayat</t>
        </is>
      </c>
      <c r="G2530" t="inlineStr">
        <is>
          <t>Gram panchayat Zaflikala</t>
        </is>
      </c>
    </row>
    <row r="2531">
      <c r="A2531" s="1" t="n">
        <v>2529</v>
      </c>
      <c r="B2531">
        <f>HYPERLINK("https://eproc.rajasthan.gov.in/nicgep/app?component=%24DirectLink&amp;page=FrontEndViewTender&amp;service=direct&amp;session=T&amp;sp=SDtVL23FSYAbQtOsEJisZYQ%3D%3D", "Gram Panchayat NAMNER All village, Home to Home Garbage collection and segregation from(residential and commercial)areas, street and drain cleaning and community sanitation,premises cleaning work,GP NAMNER 01/2025-26_NAMNER")</f>
        <v/>
      </c>
      <c r="C2531" t="inlineStr">
        <is>
          <t>Panchayati Raj Department||Secretary and Commissioner||CEO-DAUSA||BDO-SIKARAI</t>
        </is>
      </c>
      <c r="D2531" t="inlineStr">
        <is>
          <t>19-May-2025 06:00 PM</t>
        </is>
      </c>
      <c r="E2531" t="inlineStr">
        <is>
          <t>7,29,524</t>
        </is>
      </c>
      <c r="F2531" t="inlineStr">
        <is>
          <t>Gram Panchayat NAMNER All village, Home to Home Garbage collection and segregation from(residential and commercial)areas, street and drain cleaning and community sanitation,premises cleaning work,GP NAMNER 01/2025-26_NAMNER</t>
        </is>
      </c>
      <c r="G2531" t="inlineStr">
        <is>
          <t>Gram Panchayat NAMNER All village, Home to Home Ga</t>
        </is>
      </c>
    </row>
    <row r="2532">
      <c r="A2532" s="1" t="n">
        <v>2530</v>
      </c>
      <c r="B2532">
        <f>HYPERLINK("https://eproc.rajasthan.gov.in/nicgep/app?component=%24DirectLink&amp;page=FrontEndViewTender&amp;service=direct&amp;session=T&amp;sp=SFALanPVMrjQe4stSmPAhpA%3D%3D", "RATE CONTRACT FOR SUPPLY OF CONSTRUCTION MATERIAL IN GRAM PANCHAYAT JUGRAJPURA")</f>
        <v/>
      </c>
      <c r="C2532" t="inlineStr">
        <is>
          <t>Panchayati Raj Department||Secretary and Commissioner||CEO-SIKAR||BDO-AJEET GARH</t>
        </is>
      </c>
      <c r="D2532" t="inlineStr">
        <is>
          <t>20-May-2025 06:00 PM</t>
        </is>
      </c>
      <c r="E2532" t="inlineStr">
        <is>
          <t>50,00,000</t>
        </is>
      </c>
      <c r="F2532" t="inlineStr">
        <is>
          <t>RATE CONTRACT FOR SUPPLY OF CONSTRUCTION MATERIAL IN GRAM PANCHAYAT JUGRAJPURA</t>
        </is>
      </c>
      <c r="G2532" t="inlineStr">
        <is>
          <t>GP JUGRAJPURA</t>
        </is>
      </c>
    </row>
    <row r="2533">
      <c r="A2533" s="1" t="n">
        <v>2531</v>
      </c>
      <c r="B2533">
        <f>HYPERLINK("https://eproc.rajasthan.gov.in/nicgep/app?component=%24DirectLink&amp;page=FrontEndViewTender&amp;service=direct&amp;session=T&amp;sp=S%2F61Q4Xth9O7wNJeQR%2FCANA%3D%3D", "SARPANCH GRAM PANCHAYAT KALAKHO AMBADI")</f>
        <v/>
      </c>
      <c r="C2533" t="inlineStr">
        <is>
          <t>Panchayati Raj Department||Secretary and Commissioner||CEO-DAUSA||BDO-SIKARAI</t>
        </is>
      </c>
      <c r="D2533" t="inlineStr">
        <is>
          <t>22-May-2025 01:00 PM</t>
        </is>
      </c>
      <c r="E2533" t="inlineStr">
        <is>
          <t>18,69,000</t>
        </is>
      </c>
      <c r="F2533" t="inlineStr">
        <is>
          <t>SARPANCH GRAM PANCHAYAT KALAKHO AMBADI</t>
        </is>
      </c>
      <c r="G2533" t="inlineStr">
        <is>
          <t>SARPANCH GRAM PANCHAYAT KALAKHO AMBADI</t>
        </is>
      </c>
    </row>
    <row r="2534">
      <c r="A2534" s="1" t="n">
        <v>2532</v>
      </c>
      <c r="B2534">
        <f>HYPERLINK("https://eproc.rajasthan.gov.in/nicgep/app?component=%24DirectLink&amp;page=FrontEndViewTender&amp;service=direct&amp;session=T&amp;sp=SexBQ1hZd1j5Fw4xjyzwBqQ%3D%3D", "rajkiy uchh madhymik vidhyalay sagtada me 02 kaksha kaksh nirman")</f>
        <v/>
      </c>
      <c r="C2534" t="inlineStr">
        <is>
          <t>Panchayati Raj Department||Secretary and Commissioner||CEO-UDAIPUR||BDO-SARADA</t>
        </is>
      </c>
      <c r="D2534" t="inlineStr">
        <is>
          <t>20-May-2025 06:00 PM</t>
        </is>
      </c>
      <c r="E2534" t="inlineStr">
        <is>
          <t>23,17,000</t>
        </is>
      </c>
      <c r="F2534" t="inlineStr">
        <is>
          <t>rajkiy uchh madhymik vidhyalay sagtada me 02 kaksha kaksh nirman</t>
        </is>
      </c>
      <c r="G2534" t="inlineStr">
        <is>
          <t>sagtada</t>
        </is>
      </c>
    </row>
    <row r="2535">
      <c r="A2535" s="1" t="n">
        <v>2533</v>
      </c>
      <c r="B2535">
        <f>HYPERLINK("https://eproc.rajasthan.gov.in/nicgep/app?component=%24DirectLink&amp;page=FrontEndViewTender&amp;service=direct&amp;session=T&amp;sp=SKM%2F%2B8eldxnZTrJ79RpHdDA%3D%3D", "Gram Panchayat MANPUR1 All village, Home to Home Garbage collection and segregation from(residential and commercial)areas, street and drain cleaning and community sanitation,premises cleaning work,GP MANPUR1 01/2025-26_MANPUR1")</f>
        <v/>
      </c>
      <c r="C2535" t="inlineStr">
        <is>
          <t>Panchayati Raj Department||Secretary and Commissioner||CEO-DAUSA||BDO-SIKARAI</t>
        </is>
      </c>
      <c r="D2535" t="inlineStr">
        <is>
          <t>19-May-2025 06:00 PM</t>
        </is>
      </c>
      <c r="E2535" t="inlineStr">
        <is>
          <t>8,00,335</t>
        </is>
      </c>
      <c r="F2535" t="inlineStr">
        <is>
          <t>Gram Panchayat MANPUR1 All village, Home to Home Garbage collection and segregation from(residential and commercial)areas, street and drain cleaning and community sanitation,premises cleaning work,GP MANPUR1 01/2025-26_MANPUR116-21/2025-26_</t>
        </is>
      </c>
      <c r="G2535" t="inlineStr">
        <is>
          <t>Gram Panchayat MANPUR1 All village, Home to Home G</t>
        </is>
      </c>
    </row>
    <row r="2536">
      <c r="A2536" s="1" t="n">
        <v>2534</v>
      </c>
      <c r="B2536">
        <f>HYPERLINK("https://eproc.rajasthan.gov.in/nicgep/app?component=%24DirectLink&amp;page=FrontEndViewTender&amp;service=direct&amp;session=T&amp;sp=SFDsfbt4emPqAhNjI1Cl%2FjA%3D%3D", "Gram Panchayat MANPUR2 All village, Home to Home Garbage collection and segregation from(residential and commercial)areas, street and drain cleaning and community sanitation,premises cleaning work,GP MANPUR2 02/2025-26_MANPUR2")</f>
        <v/>
      </c>
      <c r="C2536" t="inlineStr">
        <is>
          <t>Panchayati Raj Department||Secretary and Commissioner||CEO-DAUSA||BDO-SIKARAI</t>
        </is>
      </c>
      <c r="D2536" t="inlineStr">
        <is>
          <t>19-May-2025 06:00 PM</t>
        </is>
      </c>
      <c r="E2536" t="inlineStr">
        <is>
          <t>6,99,401</t>
        </is>
      </c>
      <c r="F2536" t="inlineStr">
        <is>
          <t>Gram Panchayat MANPUR2 All village, Home to Home Garbage collection and segregation from(residential and commercial)areas, street and drain cleaning and community sanitation,premises cleaning work,GP MANPUR2 02/2025-26_MANPUR2</t>
        </is>
      </c>
      <c r="G2536" t="inlineStr">
        <is>
          <t>Gram Panchayat MANPUR2 All village, Home to Home G</t>
        </is>
      </c>
    </row>
    <row r="2537">
      <c r="A2537" s="1" t="n">
        <v>2535</v>
      </c>
      <c r="B2537">
        <f>HYPERLINK("https://eproc.rajasthan.gov.in/nicgep/app?component=%24DirectLink&amp;page=FrontEndViewTender&amp;service=direct&amp;session=T&amp;sp=SPPB5d3VvLkdEalveTBrcVQ%3D%3D", "F Y 2025-26 Rate Contract Supply of All Item of Building Material and Equipement in Gram Panchayat Mal ki Tus Panchayat Samiti Vallabhnagar Distt Udaipur")</f>
        <v/>
      </c>
      <c r="C2537" t="inlineStr">
        <is>
          <t>Panchayati Raj Department||Secretary and Commissioner||CEO-UDAIPUR||BDO-VALLABH NAGAR</t>
        </is>
      </c>
      <c r="D2537" t="inlineStr">
        <is>
          <t>23-May-2025 06:00 PM</t>
        </is>
      </c>
      <c r="E2537" t="inlineStr">
        <is>
          <t>50,00,000</t>
        </is>
      </c>
      <c r="F2537" t="inlineStr">
        <is>
          <t>F Y 2025-26 Rate Contract Supply of All Item of Building Material and Equipement in Gram Panchayat Mal ki Tus Panchayat Samiti Vallabhnagar Distt Udaipur</t>
        </is>
      </c>
      <c r="G2537" t="inlineStr">
        <is>
          <t>Gram Panchayat Mal ki Tus</t>
        </is>
      </c>
    </row>
    <row r="2538">
      <c r="A2538" s="1" t="n">
        <v>2536</v>
      </c>
      <c r="B2538">
        <f>HYPERLINK("https://eproc.rajasthan.gov.in/nicgep/app?component=%24DirectLink&amp;page=FrontEndViewTender&amp;service=direct&amp;session=T&amp;sp=SprEd0qgFVGCFGFtlA5r80Q%3D%3D", "Gram Panchayat PADLI All village, Home to Home Garbage collection and segregation from(residential and commercial)areas, street and drain cleaning and community sanitation,premises cleaning work,GP PADLI 01/2025-26_PADLI")</f>
        <v/>
      </c>
      <c r="C2538" t="inlineStr">
        <is>
          <t>Panchayati Raj Department||Secretary and Commissioner||CEO-DAUSA||BDO-SIKARAI</t>
        </is>
      </c>
      <c r="D2538" t="inlineStr">
        <is>
          <t>23-May-2025 06:00 PM</t>
        </is>
      </c>
      <c r="E2538" t="inlineStr">
        <is>
          <t>5,94,748</t>
        </is>
      </c>
      <c r="F2538" t="inlineStr">
        <is>
          <t>Gram Panchayat PADLI All village, Home to Home Garbage collection and segregation from(residential and commercial)areas, street and drain cleaning and community sanitation,premises cleaning work,GP PADLI 01/2025-26_PADLI</t>
        </is>
      </c>
      <c r="G2538" t="inlineStr">
        <is>
          <t>GRAM PANCHAYAT PADLI</t>
        </is>
      </c>
    </row>
    <row r="2539">
      <c r="A2539" s="1" t="n">
        <v>2537</v>
      </c>
      <c r="B2539">
        <f>HYPERLINK("https://eproc.rajasthan.gov.in/nicgep/app?component=%24DirectLink&amp;page=FrontEndViewTender&amp;service=direct&amp;session=T&amp;sp=SHLLO2NHLa8YiH87xrRJOeA%3D%3D", "F Y 2025-26 Rate Contract Supply of All Item of Building Material and Equipement in Gram Panchayat Majawda Panchayat Samiti Vallabhnagar Distt Udaipur")</f>
        <v/>
      </c>
      <c r="C2539" t="inlineStr">
        <is>
          <t>Panchayati Raj Department||Secretary and Commissioner||CEO-UDAIPUR||BDO-VALLABH NAGAR</t>
        </is>
      </c>
      <c r="D2539" t="inlineStr">
        <is>
          <t>23-May-2025 06:00 PM</t>
        </is>
      </c>
      <c r="E2539" t="inlineStr">
        <is>
          <t>30,00,000</t>
        </is>
      </c>
      <c r="F2539" t="inlineStr">
        <is>
          <t>F Y 2025-26 Rate Contract Supply of All Item of Building Material and Equipement in Gram Panchayat Majawda Panchayat Samiti Vallabhnagar Distt Udaipur</t>
        </is>
      </c>
      <c r="G2539" t="inlineStr">
        <is>
          <t>Gram Panchayat Majawda</t>
        </is>
      </c>
    </row>
    <row r="2540">
      <c r="A2540" s="1" t="n">
        <v>2538</v>
      </c>
      <c r="B2540">
        <f>HYPERLINK("https://eproc.rajasthan.gov.in/nicgep/app?component=%24DirectLink&amp;page=FrontEndViewTender&amp;service=direct&amp;session=T&amp;sp=Sbe4I2uSEFWWjCRFbGfQorg%3D%3D", "RATE CONTRACT FOR SUPPLY OF CONSTRUCTION MATERIAL IN GRAM PANCHAYAT HATHORA")</f>
        <v/>
      </c>
      <c r="C2540" t="inlineStr">
        <is>
          <t>Panchayati Raj Department||Secretary and Commissioner||CEO-SIKAR||BDO-AJEET GARH</t>
        </is>
      </c>
      <c r="D2540" t="inlineStr">
        <is>
          <t>20-May-2025 06:00 PM</t>
        </is>
      </c>
      <c r="E2540" t="inlineStr">
        <is>
          <t>60,00,000</t>
        </is>
      </c>
      <c r="F2540" t="inlineStr">
        <is>
          <t>RATE CONTRACT FOR SUPPLY OF CONSTRUCTION MATERIAL IN GRAM PANCHAYAT HATHORA</t>
        </is>
      </c>
      <c r="G2540" t="inlineStr">
        <is>
          <t>GP HATHORA</t>
        </is>
      </c>
    </row>
    <row r="2541">
      <c r="A2541" s="1" t="n">
        <v>2539</v>
      </c>
      <c r="B2541">
        <f>HYPERLINK("https://eproc.rajasthan.gov.in/nicgep/app?component=%24DirectLink&amp;page=FrontEndViewTender&amp;service=direct&amp;session=T&amp;sp=SEFqAo79Cb4tcmw%2BaHQQVXQ%3D%3D", "RATE CONTRACT FOR SUPPLY OF CONSTRUCTION MATERIAL IN GRAM PANCHAYAT ASPURA")</f>
        <v/>
      </c>
      <c r="C2541" t="inlineStr">
        <is>
          <t>Panchayati Raj Department||Secretary and Commissioner||CEO-SIKAR||BDO-AJEET GARH</t>
        </is>
      </c>
      <c r="D2541" t="inlineStr">
        <is>
          <t>26-May-2025 06:00 PM</t>
        </is>
      </c>
      <c r="E2541" t="inlineStr">
        <is>
          <t>1,00,00,000</t>
        </is>
      </c>
      <c r="F2541" t="inlineStr">
        <is>
          <t>RATE CONTRACT FOR SUPPLY OF CONSTRUCTION MATERIAL IN GRAM PANCHAYAT ASPURA</t>
        </is>
      </c>
      <c r="G2541" t="inlineStr">
        <is>
          <t>GP ASPURA</t>
        </is>
      </c>
    </row>
    <row r="2542">
      <c r="A2542" s="1" t="n">
        <v>2540</v>
      </c>
      <c r="B2542">
        <f>HYPERLINK("https://eproc.rajasthan.gov.in/nicgep/app?component=%24DirectLink&amp;page=FrontEndViewTender&amp;service=direct&amp;session=T&amp;sp=S4rHAc6eeH4Hn0G9GYlrELA%3D%3D", "Gram Panchayat KALAKHO AMBADI All village, Home to Home Garbage collection and segregation from(residential and commercial)areas, street and drain cleaning and community sanitation,premises cleaning work,GP KALAKHO AMBADI 01/2025-26_KALAKHO AMBADI")</f>
        <v/>
      </c>
      <c r="C2542" t="inlineStr">
        <is>
          <t>Panchayati Raj Department||Secretary and Commissioner||CEO-DAUSA||BDO-SIKARAI</t>
        </is>
      </c>
      <c r="D2542" t="inlineStr">
        <is>
          <t>19-May-2025 06:00 PM</t>
        </is>
      </c>
      <c r="E2542" t="inlineStr">
        <is>
          <t>8,85,392</t>
        </is>
      </c>
      <c r="F2542" t="inlineStr">
        <is>
          <t>Gram Panchayat KALAKHO AMBADI All village, Home to Home Garbage collection and segregation from(residential and commercial)areas, street and drain cleaning and community sanitation,premises cleaning work,GP KALAKHO AMBADI 01/2025-26_KALAKHO AMBADI</t>
        </is>
      </c>
      <c r="G2542" t="inlineStr">
        <is>
          <t>GRAM PANCHAYAT KALAKHO AMBADI</t>
        </is>
      </c>
    </row>
    <row r="2543">
      <c r="A2543" s="1" t="n">
        <v>2541</v>
      </c>
      <c r="B2543">
        <f>HYPERLINK("https://eproc.rajasthan.gov.in/nicgep/app?component=%24DirectLink&amp;page=FrontEndViewTender&amp;service=direct&amp;session=T&amp;sp=S8DYXvwyrRHlZG15JhZfyCw%3D%3D", "F Y 2025-26 Rate Contract Supply of All Item of Building Material and Equipement in Gram Panchayat Kikawas Panchayat Samiti Vallabhnagar Distt Udaipur")</f>
        <v/>
      </c>
      <c r="C2543" t="inlineStr">
        <is>
          <t>Panchayati Raj Department||Secretary and Commissioner||CEO-UDAIPUR||BDO-VALLABH NAGAR</t>
        </is>
      </c>
      <c r="D2543" t="inlineStr">
        <is>
          <t>23-May-2025 06:00 PM</t>
        </is>
      </c>
      <c r="E2543" t="inlineStr">
        <is>
          <t>50,00,000</t>
        </is>
      </c>
      <c r="F2543" t="inlineStr">
        <is>
          <t>F Y 2025-26 Rate Contract Supply of All Item of Building Material and Equipement in Gram Panchayat Kikawas Panchayat Samiti Vallabhnagar Distt Udaipur</t>
        </is>
      </c>
      <c r="G2543" t="inlineStr">
        <is>
          <t>Gram Panchayat Kikawas</t>
        </is>
      </c>
    </row>
    <row r="2544">
      <c r="A2544" s="1" t="n">
        <v>2542</v>
      </c>
      <c r="B2544">
        <f>HYPERLINK("https://eproc.rajasthan.gov.in/nicgep/app?component=%24DirectLink&amp;page=FrontEndViewTender&amp;service=direct&amp;session=T&amp;sp=SPGgFZk9qO9pwHZ4hGGby6w%3D%3D", "Rate contract for Work Including Garbage Collection and Separation from Households and Commercial Establishments, Road and Drain cleaning, Cleaning of CSCs in all villages of Gram Panchayat Shyamoli Panchayat Samiti Malarna Doongar")</f>
        <v/>
      </c>
      <c r="C2544" t="inlineStr">
        <is>
          <t>Panchayati Raj Department||Secretary and Commissioner||CEO-S.MADHOPUR||BDO-MALARANA DUNGAR</t>
        </is>
      </c>
      <c r="D2544" t="inlineStr">
        <is>
          <t>18-May-2025 11:00 AM</t>
        </is>
      </c>
      <c r="E2544" t="inlineStr">
        <is>
          <t>6,02,409</t>
        </is>
      </c>
      <c r="F2544" t="inlineStr">
        <is>
          <t>Rate contract for Work Including Garbage Collection and Separation from Households and Commercial Establishments, Road and Drain cleaning, Cleaning of CSCs in all villages of Gram Panchayat Shyamoli Panchayat Samiti Malarna Doongar</t>
        </is>
      </c>
      <c r="G2544" t="inlineStr">
        <is>
          <t>GRAM PANCHAYAT shyamoli</t>
        </is>
      </c>
    </row>
    <row r="2545">
      <c r="A2545" s="1" t="n">
        <v>2543</v>
      </c>
      <c r="B2545">
        <f>HYPERLINK("https://eproc.rajasthan.gov.in/nicgep/app?component=%24DirectLink&amp;page=FrontEndViewTender&amp;service=direct&amp;session=T&amp;sp=SBrIh%2BYbpAK2vWruSnIpM5g%3D%3D", "Rate contract For Supply of Construction Material and Providing Equipments for MGNREGA and Rural Development and Panchayati Raj departments various schemes at Gram Panchayat Ralawata Panchayat Samiti Bandikui Dist Dausa For FY 2025-26")</f>
        <v/>
      </c>
      <c r="C2545" t="inlineStr">
        <is>
          <t>Panchayati Raj Department||Secretary and Commissioner||CEO-DAUSA||BDO-BANDIKUI</t>
        </is>
      </c>
      <c r="D2545" t="inlineStr">
        <is>
          <t>19-May-2025 05:00 PM</t>
        </is>
      </c>
      <c r="E2545" t="inlineStr">
        <is>
          <t>50,00,000</t>
        </is>
      </c>
      <c r="F2545" t="inlineStr">
        <is>
          <t>Rate contract For Supply of Construction Material and Providing Equipments for MGNREGA and Rural Development and Panchayati Raj departments various schemes at Gram Panchayat Ralawata Panchayat Samiti Bandikui Dist Dausa For FY 2025-26</t>
        </is>
      </c>
      <c r="G2545" t="inlineStr">
        <is>
          <t>GRAM PANCHYAT RALAWATA</t>
        </is>
      </c>
    </row>
    <row r="2546">
      <c r="A2546" s="1" t="n">
        <v>2544</v>
      </c>
      <c r="B2546">
        <f>HYPERLINK("https://eproc.rajasthan.gov.in/nicgep/app?component=%24DirectLink&amp;page=FrontEndViewTender&amp;service=direct&amp;session=T&amp;sp=SURFRHuq2rvkq%2FaPbz7yJgg%3D%3D", "Construction work of public passenger rest house near Nageshi Mata Temple in Tapra")</f>
        <v/>
      </c>
      <c r="C2546" t="inlineStr">
        <is>
          <t>Panchayati Raj Department||Secretary and Commissioner||CEO-BADMER||BDO-BALOTRA</t>
        </is>
      </c>
      <c r="D2546" t="inlineStr">
        <is>
          <t>19-May-2025 05:00 PM</t>
        </is>
      </c>
      <c r="E2546" t="inlineStr">
        <is>
          <t>10,00,000</t>
        </is>
      </c>
      <c r="F2546" t="inlineStr">
        <is>
          <t>civil work</t>
        </is>
      </c>
      <c r="G2546" t="inlineStr">
        <is>
          <t>gram panchayat tapra</t>
        </is>
      </c>
    </row>
    <row r="2547">
      <c r="A2547" s="1" t="n">
        <v>2545</v>
      </c>
      <c r="B2547">
        <f>HYPERLINK("https://eproc.rajasthan.gov.in/nicgep/app?component=%24DirectLink&amp;page=FrontEndViewTender&amp;service=direct&amp;session=T&amp;sp=Sop98HD5iOf%2FfKkd4r%2BOiUg%3D%3D", "WORK IN GP TARAGARH")</f>
        <v/>
      </c>
      <c r="C2547" t="inlineStr">
        <is>
          <t>Panchayati Raj Department||Secretary and Commissioner||CEO-AJMER||BDO-JAWAJA</t>
        </is>
      </c>
      <c r="D2547" t="inlineStr">
        <is>
          <t>19-May-2025 05:00 PM</t>
        </is>
      </c>
      <c r="E2547" t="inlineStr">
        <is>
          <t>10,00,000</t>
        </is>
      </c>
      <c r="F2547" t="inlineStr">
        <is>
          <t>PANI KI TANKI SE GAON HOTE HUE SHAMSHAN GHAT MAL KA CHAUDA ME C C BLOCK SADAK MYE NALI NIRMAN KARYE RUDHANA</t>
        </is>
      </c>
      <c r="G2547" t="inlineStr">
        <is>
          <t>GP TARAGARH</t>
        </is>
      </c>
    </row>
    <row r="2548">
      <c r="A2548" s="1" t="n">
        <v>2546</v>
      </c>
      <c r="B2548">
        <f>HYPERLINK("https://eproc.rajasthan.gov.in/nicgep/app?component=%24DirectLink&amp;page=FrontEndViewTender&amp;service=direct&amp;session=T&amp;sp=S98ECcbHufY8K9TIK2HoWiw%3D%3D", "F Y 2025-26 Rate Contract Supply of All Item of Building Material and Equipement in Gram Panchayat Gupdi Panchayat Samiti Vallabhnagar Distt Udaipur")</f>
        <v/>
      </c>
      <c r="C2548" t="inlineStr">
        <is>
          <t>Panchayati Raj Department||Secretary and Commissioner||CEO-UDAIPUR||BDO-VALLABH NAGAR</t>
        </is>
      </c>
      <c r="D2548" t="inlineStr">
        <is>
          <t>23-May-2025 06:00 PM</t>
        </is>
      </c>
      <c r="E2548" t="inlineStr">
        <is>
          <t>30,00,000</t>
        </is>
      </c>
      <c r="F2548" t="inlineStr">
        <is>
          <t>F Y 2025-26 Rate Contract Supply of All Item of Building Material and Equipement in Gram Panchayat Gupdi Panchayat Samiti Vallabhnagar Distt Udaipur</t>
        </is>
      </c>
      <c r="G2548" t="inlineStr">
        <is>
          <t>Gram Panchayat Gupdi</t>
        </is>
      </c>
    </row>
    <row r="2549">
      <c r="A2549" s="1" t="n">
        <v>2547</v>
      </c>
      <c r="B2549">
        <f>HYPERLINK("https://eproc.rajasthan.gov.in/nicgep/app?component=%24DirectLink&amp;page=FrontEndViewTender&amp;service=direct&amp;session=T&amp;sp=SwFSCeo3G1l%2BCmEc38lUMig%3D%3D", "F Y 2025-26 Rate Contract Supply of All Item of Building Material and Equipement in Gram Panchayat Dhava Panchayat Samiti Vallabhnagar Distt Udaipur")</f>
        <v/>
      </c>
      <c r="C2549" t="inlineStr">
        <is>
          <t>Panchayati Raj Department||Secretary and Commissioner||CEO-UDAIPUR||BDO-VALLABH NAGAR</t>
        </is>
      </c>
      <c r="D2549" t="inlineStr">
        <is>
          <t>23-May-2025 06:00 PM</t>
        </is>
      </c>
      <c r="E2549" t="inlineStr">
        <is>
          <t>40,00,000</t>
        </is>
      </c>
      <c r="F2549" t="inlineStr">
        <is>
          <t>F Y 2025-26 Rate Contract Supply of All Item of Building Material and Equipement in Gram Panchayat Dhava Panchayat Samiti Vallabhnagar Distt Udaipur</t>
        </is>
      </c>
      <c r="G2549" t="inlineStr">
        <is>
          <t>Gram Panchayat Dhava</t>
        </is>
      </c>
    </row>
    <row r="2550">
      <c r="A2550" s="1" t="n">
        <v>2548</v>
      </c>
      <c r="B2550">
        <f>HYPERLINK("https://eproc.rajasthan.gov.in/nicgep/app?component=%24DirectLink&amp;page=FrontEndViewTender&amp;service=direct&amp;session=T&amp;sp=SFLgpwuFsOVtEq%2FzuAuYtVQ%3D%3D", "F Y 2025-26 Rate Contract Supply of All Item of Building Material and Equipement in Gram Panchayat Bathera Kla Panchayat Samiti Vallabhnagar Distt Udaipur")</f>
        <v/>
      </c>
      <c r="C2550" t="inlineStr">
        <is>
          <t>Panchayati Raj Department||Secretary and Commissioner||CEO-UDAIPUR||BDO-VALLABH NAGAR</t>
        </is>
      </c>
      <c r="D2550" t="inlineStr">
        <is>
          <t>23-May-2025 06:00 PM</t>
        </is>
      </c>
      <c r="E2550" t="inlineStr">
        <is>
          <t>40,00,000</t>
        </is>
      </c>
      <c r="F2550" t="inlineStr">
        <is>
          <t>F Y 2025-26 Rate Contract Supply of All Item of Building Material and Equipement in Gram Panchayat Bathera Kla Panchayat Samiti Vallabhnagar Distt Udaipur</t>
        </is>
      </c>
      <c r="G2550" t="inlineStr">
        <is>
          <t>Gram Panchayat Bathera Kla</t>
        </is>
      </c>
    </row>
    <row r="2551">
      <c r="A2551" s="1" t="n">
        <v>2549</v>
      </c>
      <c r="B2551">
        <f>HYPERLINK("https://eproc.rajasthan.gov.in/nicgep/app?component=%24DirectLink&amp;page=FrontEndViewTender&amp;service=direct&amp;session=T&amp;sp=SAiCachxhNfTn8cBE1b5j4A%3D%3D", "security service")</f>
        <v/>
      </c>
      <c r="C2551" t="inlineStr">
        <is>
          <t>Panchayati Raj Department||Secretary and Commissioner||CEO-S.MADHOPUR||BDO-BAMANWAS</t>
        </is>
      </c>
      <c r="D2551" t="inlineStr">
        <is>
          <t>19-May-2025 05:00 PM</t>
        </is>
      </c>
      <c r="E2551" t="inlineStr">
        <is>
          <t>NA</t>
        </is>
      </c>
      <c r="F2551" t="inlineStr">
        <is>
          <t>security service</t>
        </is>
      </c>
      <c r="G2551" t="inlineStr">
        <is>
          <t>BAMANWAS</t>
        </is>
      </c>
    </row>
    <row r="2552">
      <c r="A2552" s="1" t="n">
        <v>2550</v>
      </c>
      <c r="B2552">
        <f>HYPERLINK("https://eproc.rajasthan.gov.in/nicgep/app?component=%24DirectLink&amp;page=FrontEndViewTender&amp;service=direct&amp;session=T&amp;sp=S1QXjdWSSoZiBpVOLFGrCxA%3D%3D", "rajkiya uch maadymik vidhyaly mahanandpur dyoda se yusuf ki bhag ki aur interlocking sadak nirman kary")</f>
        <v/>
      </c>
      <c r="C2552" t="inlineStr">
        <is>
          <t>Panchayati Raj Department||Secretary and Commissioner||CEO-S.MADHOPUR||BDO-GANGAPUR</t>
        </is>
      </c>
      <c r="D2552" t="inlineStr">
        <is>
          <t>19-May-2025 04:00 PM</t>
        </is>
      </c>
      <c r="E2552" t="inlineStr">
        <is>
          <t>10,00,000</t>
        </is>
      </c>
      <c r="F2552" t="inlineStr">
        <is>
          <t>rajkiya uch maadymik vidhyaly mahanandpur dyoda se yusuf ki bhag ki aur interlocking sadak nirman kary</t>
        </is>
      </c>
      <c r="G2552" t="inlineStr">
        <is>
          <t>GRAM PANCHAYT MAHANANDPUR DYODA</t>
        </is>
      </c>
    </row>
    <row r="2553">
      <c r="A2553" s="1" t="n">
        <v>2551</v>
      </c>
      <c r="B2553">
        <f>HYPERLINK("https://eproc.rajasthan.gov.in/nicgep/app?component=%24DirectLink&amp;page=FrontEndViewTender&amp;service=direct&amp;session=T&amp;sp=S3JZNdA8kbxnxajwCUp%2FRWg%3D%3D", "rajkiy balika ucch madhymik vidhyalay parsad 02 kaksha kaksh nirman")</f>
        <v/>
      </c>
      <c r="C2553" t="inlineStr">
        <is>
          <t>Panchayati Raj Department||Secretary and Commissioner||CEO-UDAIPUR||BDO-SARADA</t>
        </is>
      </c>
      <c r="D2553" t="inlineStr">
        <is>
          <t>21-May-2025 06:00 PM</t>
        </is>
      </c>
      <c r="E2553" t="inlineStr">
        <is>
          <t>20,33,000</t>
        </is>
      </c>
      <c r="F2553" t="inlineStr">
        <is>
          <t>parsad</t>
        </is>
      </c>
      <c r="G2553" t="inlineStr">
        <is>
          <t>parsad</t>
        </is>
      </c>
    </row>
    <row r="2554">
      <c r="A2554" s="1" t="n">
        <v>2552</v>
      </c>
      <c r="B2554">
        <f>HYPERLINK("https://eproc.rajasthan.gov.in/nicgep/app?component=%24DirectLink&amp;page=FrontEndViewTender&amp;service=direct&amp;session=T&amp;sp=SGnqYKEEev%2Bt28%2Fp7mNJW9w%3D%3D", "Construction of Meeting Room in Govt. Sr. Sec. School, Gram Panchayat Gotipa PS Vallabhnagar")</f>
        <v/>
      </c>
      <c r="C2554" t="inlineStr">
        <is>
          <t>Panchayati Raj Department||Secretary and Commissioner||CEO-UDAIPUR||BDO-VALLABH NAGAR</t>
        </is>
      </c>
      <c r="D2554" t="inlineStr">
        <is>
          <t>21-May-2025 06:00 PM</t>
        </is>
      </c>
      <c r="E2554" t="inlineStr">
        <is>
          <t>20,00,000</t>
        </is>
      </c>
      <c r="F2554" t="inlineStr">
        <is>
          <t>Construction of Meeting Room in Govt. Sr. Sec. School, Gram Panchayat Gotipa PS Vallabhnagar</t>
        </is>
      </c>
      <c r="G2554" t="inlineStr">
        <is>
          <t>Gram Panchayat Gotipa</t>
        </is>
      </c>
    </row>
    <row r="2555">
      <c r="A2555" s="1" t="n">
        <v>2553</v>
      </c>
      <c r="B2555">
        <f>HYPERLINK("https://eproc.rajasthan.gov.in/nicgep/app?component=%24DirectLink&amp;page=FrontEndViewTender&amp;service=direct&amp;session=T&amp;sp=SfeLnHT62ibReKUTZ1M%2Fbhw%3D%3D", "aantrik bhag kamalpur me interlocking sadak nirman kary")</f>
        <v/>
      </c>
      <c r="C2555" t="inlineStr">
        <is>
          <t>Panchayati Raj Department||Secretary and Commissioner||CEO-S.MADHOPUR||BDO-GANGAPUR</t>
        </is>
      </c>
      <c r="D2555" t="inlineStr">
        <is>
          <t>19-May-2025 04:00 PM</t>
        </is>
      </c>
      <c r="E2555" t="inlineStr">
        <is>
          <t>10,00,000</t>
        </is>
      </c>
      <c r="F2555" t="inlineStr">
        <is>
          <t>gram panchayt mahanandpur dyoda me MLALAD Yojna Anargat aantrik bhag kamalpur me interlocking sadak nirman kary</t>
        </is>
      </c>
      <c r="G2555" t="inlineStr">
        <is>
          <t>GRAM PANCHAYT MAHANANDPUR DYODA</t>
        </is>
      </c>
    </row>
    <row r="2556">
      <c r="A2556" s="1" t="n">
        <v>2554</v>
      </c>
      <c r="B2556">
        <f>HYPERLINK("https://eproc.rajasthan.gov.in/nicgep/app?component=%24DirectLink&amp;page=FrontEndViewTender&amp;service=direct&amp;session=T&amp;sp=SJozLiE%2FzPsSBACRphgnQnA%3D%3D", "ROOPNAGAR ARNALI SHAMSHAN GHAT ME VISHRAM/BETHANE HETU TEEN SHED NIRMAN KARYE")</f>
        <v/>
      </c>
      <c r="C2556" t="inlineStr">
        <is>
          <t>Panchayati Raj Department||Secretary and Commissioner||CEO-AJMER||BDO-JAWAJA</t>
        </is>
      </c>
      <c r="D2556" t="inlineStr">
        <is>
          <t>19-May-2025 05:00 PM</t>
        </is>
      </c>
      <c r="E2556" t="inlineStr">
        <is>
          <t>10,00,000</t>
        </is>
      </c>
      <c r="F2556" t="inlineStr">
        <is>
          <t>ROOPNAGAR ARNALI SHAMSHAN GHAT ME VISHRAM/BETHANE HETU TEEN SHED NIRMAN KARYE</t>
        </is>
      </c>
      <c r="G2556" t="inlineStr">
        <is>
          <t>GP BADAKHERA</t>
        </is>
      </c>
    </row>
    <row r="2557">
      <c r="A2557" s="1" t="n">
        <v>2555</v>
      </c>
      <c r="B2557">
        <f>HYPERLINK("https://eproc.rajasthan.gov.in/nicgep/app?component=%24DirectLink&amp;page=FrontEndViewTender&amp;service=direct&amp;session=T&amp;sp=SN3JheKOWEd8LpEK6DhBjOw%3D%3D", "GHAR GHAR EVM VYAVSAYIK PRATISTANO SE KACHRA SANGRAHAN EVM PRATHAKAKRAN GAANVO KI SADAK V NALI SAFAI KARYE TATHA SAMUDAYIK SVATCHTA PARISAR KI SAFAI KARYE SAMAST GP KSHETRA ME")</f>
        <v/>
      </c>
      <c r="C2557" t="inlineStr">
        <is>
          <t>Panchayati Raj Department||Secretary and Commissioner||CEO-ALWAR||BDO-BEHROR</t>
        </is>
      </c>
      <c r="D2557" t="inlineStr">
        <is>
          <t>22-May-2025 12:00 PM</t>
        </is>
      </c>
      <c r="E2557" t="inlineStr">
        <is>
          <t>9,98,000</t>
        </is>
      </c>
      <c r="F2557" t="inlineStr">
        <is>
          <t>GHAR GHAR EVM VYAVSAYIK PRATISTANO SE KACHRA SANGRAHAN EVM PRATHAKAKRAN GAANVO KI SADAK V NALI SAFAI KARYE TATHA SAMUDAYIK SVATCHTA PARISAR KI SAFAI KARYE SAMAST GP KSHETRA ME</t>
        </is>
      </c>
      <c r="G2557" t="inlineStr">
        <is>
          <t>BHAGWADI KHURD</t>
        </is>
      </c>
    </row>
    <row r="2558">
      <c r="A2558" s="1" t="n">
        <v>2556</v>
      </c>
      <c r="B2558">
        <f>HYPERLINK("https://eproc.rajasthan.gov.in/nicgep/app?component=%24DirectLink&amp;page=FrontEndViewTender&amp;service=direct&amp;session=T&amp;sp=SoE%2FWf44z5iAyrQY0TFtoUQ%3D%3D", "GHAR GHAR EVM VYAVSAYIK PRATISTANO SE KACHRA SANGRAHAN EVM PRATHAKAKRAN GAANVO KI SADAK V NALI SAFAI KARYE TATHA SAMUDAYIK SVATCHTA PARISAR KI SAFAI KARYE SAMAST GP KSHETRA ME")</f>
        <v/>
      </c>
      <c r="C2558" t="inlineStr">
        <is>
          <t>Panchayati Raj Department||Secretary and Commissioner||CEO-ALWAR||BDO-BEHROR</t>
        </is>
      </c>
      <c r="D2558" t="inlineStr">
        <is>
          <t>22-May-2025 12:00 PM</t>
        </is>
      </c>
      <c r="E2558" t="inlineStr">
        <is>
          <t>9,81,000</t>
        </is>
      </c>
      <c r="F2558" t="inlineStr">
        <is>
          <t>GHAR GHAR EVM VYAVSAYIK PRATISTANO SE KACHRA SANGRAHAN EVM PRATHAKAKRAN GAANVO KI SADAK V NALI SAFAI KARYE TATHA SAMUDAYIK SVATCHTA PARISAR KI SAFAI KARYE SAMAST GP KSHETRA ME</t>
        </is>
      </c>
      <c r="G2558" t="inlineStr">
        <is>
          <t>JATGAVDA</t>
        </is>
      </c>
    </row>
    <row r="2559">
      <c r="A2559" s="1" t="n">
        <v>2557</v>
      </c>
      <c r="B2559">
        <f>HYPERLINK("https://eproc.rajasthan.gov.in/nicgep/app?component=%24DirectLink&amp;page=FrontEndViewTender&amp;service=direct&amp;session=T&amp;sp=SZEr2Cb59hjBIVovGfOFnRQ%3D%3D", "F Y 2025-26 Rate Contract Supply of All Item of Building Material and Equipement in Gram Panchayat Adinda Panchayat Samiti Vallabhnagar Distt Udaipur")</f>
        <v/>
      </c>
      <c r="C2559" t="inlineStr">
        <is>
          <t>Panchayati Raj Department||Secretary and Commissioner||CEO-UDAIPUR||BDO-VALLABH NAGAR</t>
        </is>
      </c>
      <c r="D2559" t="inlineStr">
        <is>
          <t>25-May-2025 06:00 PM</t>
        </is>
      </c>
      <c r="E2559" t="inlineStr">
        <is>
          <t>30,00,000</t>
        </is>
      </c>
      <c r="F2559" t="inlineStr">
        <is>
          <t>F Y 2025-26 Rate Contract Supply of All Item of Building Material and Equipement in Gram Panchayat Adinda Panchayat Samiti Vallabhnagar Distt Udaipur</t>
        </is>
      </c>
      <c r="G2559" t="inlineStr">
        <is>
          <t>Gram Panchayat Adinda</t>
        </is>
      </c>
    </row>
    <row r="2560">
      <c r="A2560" s="1" t="n">
        <v>2558</v>
      </c>
      <c r="B2560">
        <f>HYPERLINK("https://eproc.rajasthan.gov.in/nicgep/app?component=%24DirectLink&amp;page=FrontEndViewTender&amp;service=direct&amp;session=T&amp;sp=SeCZueON6IsnKyx7Xbe2WJQ%3D%3D", "GHAR GHAR EVM VYAVSAYIK PRATISTANO SE KACHRA SANGRAHAN EVM PRATHAKAKRAN GAANVO KI SADAK V NALI SAFAI KARYE TATHA SAMUDAYIK SVATCHTA PARISAR KI SAFAI KARYE SAMAST GP KSHETRA ME")</f>
        <v/>
      </c>
      <c r="C2560" t="inlineStr">
        <is>
          <t>Panchayati Raj Department||Secretary and Commissioner||CEO-ALWAR||BDO-BEHROR</t>
        </is>
      </c>
      <c r="D2560" t="inlineStr">
        <is>
          <t>22-May-2025 12:00 PM</t>
        </is>
      </c>
      <c r="E2560" t="inlineStr">
        <is>
          <t>8,20,000</t>
        </is>
      </c>
      <c r="F2560" t="inlineStr">
        <is>
          <t>GHAR GHAR EVM VYAVSAYIK PRATISTANO SE KACHRA SANGRAHAN EVM PRATHAKAKRAN GAANVO KI SADAK V NALI SAFAI KARYE TATHA SAMUDAYIK SVATCHTA PARISAR KI SAFAI KARYE SAMAST GP KSHETRA ME</t>
        </is>
      </c>
      <c r="G2560" t="inlineStr">
        <is>
          <t>BASAI</t>
        </is>
      </c>
    </row>
    <row r="2561">
      <c r="A2561" s="1" t="n">
        <v>2559</v>
      </c>
      <c r="B2561">
        <f>HYPERLINK("https://eproc.rajasthan.gov.in/nicgep/app?component=%24DirectLink&amp;page=FrontEndViewTender&amp;service=direct&amp;session=T&amp;sp=SewkCCEIBbxUnfAb2LGLB2A%3D%3D", "GHAR GHAR EVM VYAVSAYIK PRATISTANO SE KACHRA SANGRAHAN EVM PRATHAKAKRAN GAANVO KI SADAK V NALI SAFAI KARYE TATHA SAMUDAYIK SVATCHTA PARISAR KI SAFAI KARYE SAMAST GP KSHETRA ME")</f>
        <v/>
      </c>
      <c r="C2561" t="inlineStr">
        <is>
          <t>Panchayati Raj Department||Secretary and Commissioner||CEO-ALWAR||BDO-BEHROR</t>
        </is>
      </c>
      <c r="D2561" t="inlineStr">
        <is>
          <t>22-May-2025 12:00 PM</t>
        </is>
      </c>
      <c r="E2561" t="inlineStr">
        <is>
          <t>10,09,000</t>
        </is>
      </c>
      <c r="F2561" t="inlineStr">
        <is>
          <t>GHAR GHAR EVM VYAVSAYIK PRATISTANO SE KACHRA SANGRAHAN EVM PRATHAKAKRAN GAANVO KI SADAK V NALI SAFAI KARYE TATHA SAMUDAYIK SVATCHTA PARISAR KI SAFAI KARYE SAMAST GP KSHETRA ME</t>
        </is>
      </c>
      <c r="G2561" t="inlineStr">
        <is>
          <t>ANANTPURA</t>
        </is>
      </c>
    </row>
    <row r="2562">
      <c r="A2562" s="1" t="n">
        <v>2560</v>
      </c>
      <c r="B2562">
        <f>HYPERLINK("https://eproc.rajasthan.gov.in/nicgep/app?component=%24DirectLink&amp;page=FrontEndViewTender&amp;service=direct&amp;session=T&amp;sp=SDjyxb6Eizf%2BV2w6Q8RyGRQ%3D%3D", "GHAR GHAR EVM VYAVSAYIK PRATISTANO SE KACHRA SANGRAHAN EVM PRATHAKAKRAN GAANVO KI SADAK V NALI SAFAI KARYE TATHA SAMUDAYIK SVATCHTA PARISAR KI SAFAI KARYE SAMAST GP KSHETRA ME")</f>
        <v/>
      </c>
      <c r="C2562" t="inlineStr">
        <is>
          <t>Panchayati Raj Department||Secretary and Commissioner||CEO-ALWAR||BDO-BEHROR</t>
        </is>
      </c>
      <c r="D2562" t="inlineStr">
        <is>
          <t>22-May-2025 12:00 PM</t>
        </is>
      </c>
      <c r="E2562" t="inlineStr">
        <is>
          <t>9,39,000</t>
        </is>
      </c>
      <c r="F2562" t="inlineStr">
        <is>
          <t>GHAR GHAR EVM VYAVSAYIK PRATISTANO SE KACHRA SANGRAHAN EVM PRATHAKAKRAN GAANVO KI SADAK V NALI SAFAI KARYE TATHA SAMUDAYIK SVATCHTA PARISAR KI SAFAI KARYE SAMAST GP KSHETRA ME</t>
        </is>
      </c>
      <c r="G2562" t="inlineStr">
        <is>
          <t>UNTOLI</t>
        </is>
      </c>
    </row>
    <row r="2563">
      <c r="A2563" s="1" t="n">
        <v>2561</v>
      </c>
      <c r="B2563">
        <f>HYPERLINK("https://eproc.rajasthan.gov.in/nicgep/app?component=%24DirectLink&amp;page=FrontEndViewTender&amp;service=direct&amp;session=T&amp;sp=SQtQTp2A1DmrJO12A71m0Og%3D%3D", "GHAR GHAR EVM VYAVSAYIK PRATISTANO SE KACHRA SANGRAHAN EVM PRATHAKAKRAN GAANVO KI SADAK V NALI SAFAI KARYE TATHA SAMUDAYIK SVATCHTA PARISAR KI SAFAI KARYE SAMAST GP KSHETRA ME")</f>
        <v/>
      </c>
      <c r="C2563" t="inlineStr">
        <is>
          <t>Panchayati Raj Department||Secretary and Commissioner||CEO-ALWAR||BDO-BEHROR</t>
        </is>
      </c>
      <c r="D2563" t="inlineStr">
        <is>
          <t>22-May-2025 12:00 PM</t>
        </is>
      </c>
      <c r="E2563" t="inlineStr">
        <is>
          <t>9,73,000</t>
        </is>
      </c>
      <c r="F2563" t="inlineStr">
        <is>
          <t>GHAR GHAR EVM VYAVSAYIK PRATISTANO SE KACHRA SANGRAHAN EVM PRATHAKAKRAN GAANVO KI SADAK V NALI SAFAI KARYE TATHA SAMUDAYIK SVATCHTA PARISAR KI SAFAI KARYE SAMAST GP KSHETRA ME</t>
        </is>
      </c>
      <c r="G2563" t="inlineStr">
        <is>
          <t>bhoodwal</t>
        </is>
      </c>
    </row>
    <row r="2564">
      <c r="A2564" s="1" t="n">
        <v>2562</v>
      </c>
      <c r="B2564">
        <f>HYPERLINK("https://eproc.rajasthan.gov.in/nicgep/app?component=%24DirectLink&amp;page=FrontEndViewTender&amp;service=direct&amp;session=T&amp;sp=Sj3dOddOrWEucMUiqNt%2BLrw%3D%3D", "GHAR GHAR EVM VYAVSAYIK PRATISTANO SE KACHRA SANGRAHAN EVM PRATHAKAKRAN GAANVO KI SADAK V NALI SAFAI KARYE TATHA SAMUDAYIK SVATCHTA PARISAR KI SAFAI KARYE SAMAST GP KSHETRA ME")</f>
        <v/>
      </c>
      <c r="C2564" t="inlineStr">
        <is>
          <t>Panchayati Raj Department||Secretary and Commissioner||CEO-ALWAR||BDO-BEHROR</t>
        </is>
      </c>
      <c r="D2564" t="inlineStr">
        <is>
          <t>22-May-2025 12:00 PM</t>
        </is>
      </c>
      <c r="E2564" t="inlineStr">
        <is>
          <t>10,55,000</t>
        </is>
      </c>
      <c r="F2564" t="inlineStr">
        <is>
          <t>GHAR GHAR EVM VYAVSAYIK PRATISTANO SE KACHRA SANGRAHAN EVM PRATHAKAKRAN GAANVO KI SADAK V NALI SAFAI KARYE TATHA SAMUDAYIK SVATCHTA PARISAR KI SAFAI KARYE SAMAST GP KSHETRA ME</t>
        </is>
      </c>
      <c r="G2564" t="inlineStr">
        <is>
          <t>KOHRANA</t>
        </is>
      </c>
    </row>
    <row r="2565">
      <c r="A2565" s="1" t="n">
        <v>2563</v>
      </c>
      <c r="B2565">
        <f>HYPERLINK("https://eproc.rajasthan.gov.in/nicgep/app?component=%24DirectLink&amp;page=FrontEndViewTender&amp;service=direct&amp;session=T&amp;sp=SizMjV2flUdh5XkbxgksuQw%3D%3D", "GHAR GHAR EVM VYAVSAYIK PRATISTANO SE KACHRA SANGRAHAN EVM PRATHAKAKRAN GAANVO KI SADAK V NALI SAFAI KARYE TATHA SAMUDAYIK SVATCHTA PARISAR KI SAFAI KARYE SAMAST GP KSHETRA ME")</f>
        <v/>
      </c>
      <c r="C2565" t="inlineStr">
        <is>
          <t>Panchayati Raj Department||Secretary and Commissioner||CEO-ALWAR||BDO-BEHROR</t>
        </is>
      </c>
      <c r="D2565" t="inlineStr">
        <is>
          <t>22-May-2025 12:00 PM</t>
        </is>
      </c>
      <c r="E2565" t="inlineStr">
        <is>
          <t>8,03,000</t>
        </is>
      </c>
      <c r="F2565" t="inlineStr">
        <is>
          <t>GHAR GHAR EVM VYAVSAYIK PRATISTANO SE KACHRA SANGRAHAN EVM PRATHAKAKRAN GAANVO KI SADAK V NALI SAFAI KARYE TATHA SAMUDAYIK SVATCHTA PARISAR KI SAFAI KARYE SAMAST GP KSHETRA ME</t>
        </is>
      </c>
      <c r="G2565" t="inlineStr">
        <is>
          <t>TASING</t>
        </is>
      </c>
    </row>
    <row r="2566">
      <c r="A2566" s="1" t="n">
        <v>2564</v>
      </c>
      <c r="B2566">
        <f>HYPERLINK("https://eproc.rajasthan.gov.in/nicgep/app?component=%24DirectLink&amp;page=FrontEndViewTender&amp;service=direct&amp;session=T&amp;sp=SOz3dxCxIgCPFr%2FG5bEfsVQ%3D%3D", "rajkiy ucch madhymik vidhyalay sepur me 02 kaksha kaksh nirman")</f>
        <v/>
      </c>
      <c r="C2566" t="inlineStr">
        <is>
          <t>Panchayati Raj Department||Secretary and Commissioner||CEO-UDAIPUR||BDO-SARADA</t>
        </is>
      </c>
      <c r="D2566" t="inlineStr">
        <is>
          <t>21-May-2025 06:00 PM</t>
        </is>
      </c>
      <c r="E2566" t="inlineStr">
        <is>
          <t>23,17,000</t>
        </is>
      </c>
      <c r="F2566" t="inlineStr">
        <is>
          <t>sepur</t>
        </is>
      </c>
      <c r="G2566" t="inlineStr">
        <is>
          <t>sepur</t>
        </is>
      </c>
    </row>
    <row r="2567">
      <c r="A2567" s="1" t="n">
        <v>2565</v>
      </c>
      <c r="B2567">
        <f>HYPERLINK("https://eproc.rajasthan.gov.in/nicgep/app?component=%24DirectLink&amp;page=FrontEndViewTender&amp;service=direct&amp;session=T&amp;sp=So37FvhH3AULgVFW5JhKPYA%3D%3D", "GHAR GHAR EVM VYAVSAYIK PRATISTANO SE KACHRA SANGRAHAN EVM PRATHAKAKRAN GAANVO KI SADAK V NALI SAFAI KARYE TATHA SAMUDAYIK SVATCHTA PARISAR KI SAFAI KARYE SAMAST GP KSHETRA ME")</f>
        <v/>
      </c>
      <c r="C2567" t="inlineStr">
        <is>
          <t>Panchayati Raj Department||Secretary and Commissioner||CEO-ALWAR||BDO-BEHROR</t>
        </is>
      </c>
      <c r="D2567" t="inlineStr">
        <is>
          <t>22-May-2025 12:00 PM</t>
        </is>
      </c>
      <c r="E2567" t="inlineStr">
        <is>
          <t>9,91,000</t>
        </is>
      </c>
      <c r="F2567" t="inlineStr">
        <is>
          <t>GHAR GHAR EVM VYAVSAYIK PRATISTANO SE KACHRA SANGRAHAN EVM PRATHAKAKRAN GAANVO KI SADAK V NALI SAFAI KARYE TATHA SAMUDAYIK SVATCHTA PARISAR KI SAFAI KARYE SAMAST GP KSHETRA ME</t>
        </is>
      </c>
      <c r="G2567" t="inlineStr">
        <is>
          <t>JAKHRANA</t>
        </is>
      </c>
    </row>
    <row r="2568">
      <c r="A2568" s="1" t="n">
        <v>2566</v>
      </c>
      <c r="B2568">
        <f>HYPERLINK("https://eproc.rajasthan.gov.in/nicgep/app?component=%24DirectLink&amp;page=FrontEndViewTender&amp;service=direct&amp;session=T&amp;sp=SkNDFZjyCbgE25FP0gYxBOw%3D%3D", "rajkiy ucch madhymik vidhyalay katanwada me 02 kaksha kaksh nirman")</f>
        <v/>
      </c>
      <c r="C2568" t="inlineStr">
        <is>
          <t>Panchayati Raj Department||Secretary and Commissioner||CEO-UDAIPUR||BDO-SARADA</t>
        </is>
      </c>
      <c r="D2568" t="inlineStr">
        <is>
          <t>21-May-2025 06:00 PM</t>
        </is>
      </c>
      <c r="E2568" t="inlineStr">
        <is>
          <t>23,17,000</t>
        </is>
      </c>
      <c r="F2568" t="inlineStr">
        <is>
          <t>katanwada</t>
        </is>
      </c>
      <c r="G2568" t="inlineStr">
        <is>
          <t>katanwada</t>
        </is>
      </c>
    </row>
    <row r="2569">
      <c r="A2569" s="1" t="n">
        <v>2567</v>
      </c>
      <c r="B2569">
        <f>HYPERLINK("https://eproc.rajasthan.gov.in/nicgep/app?component=%24DirectLink&amp;page=FrontEndViewTender&amp;service=direct&amp;session=T&amp;sp=SLblIirJVFyewapHxhRJuCg%3D%3D", "GHAR GHAR EVM VYAVSAYIK PRATISTANO SE KACHRA SANGRAHAN EVM PRATHAKAKRAN GAANVO KI SADAK V NALI SAFAI KARYE TATHA SAMUDAYIK SVATCHTA PARISAR KI SAFAI KARYE SAMAST GP KSHETRA ME")</f>
        <v/>
      </c>
      <c r="C2569" t="inlineStr">
        <is>
          <t>Panchayati Raj Department||Secretary and Commissioner||CEO-ALWAR||BDO-BEHROR</t>
        </is>
      </c>
      <c r="D2569" t="inlineStr">
        <is>
          <t>22-May-2025 12:00 PM</t>
        </is>
      </c>
      <c r="E2569" t="inlineStr">
        <is>
          <t>9,99,000</t>
        </is>
      </c>
      <c r="F2569" t="inlineStr">
        <is>
          <t>GHAR GHAR EVM VYAVSAYIK PRATISTANO SE KACHRA SANGRAHAN EVM PRATHAKAKRAN GAANVO KI SADAK V NALI SAFAI KARYE TATHA SAMUDAYIK SVATCHTA PARISAR KI SAFAI KARYE SAMAST GP KSHETRA ME</t>
        </is>
      </c>
      <c r="G2569" t="inlineStr">
        <is>
          <t>GADHOJ</t>
        </is>
      </c>
    </row>
    <row r="2570">
      <c r="A2570" s="1" t="n">
        <v>2568</v>
      </c>
      <c r="B2570">
        <f>HYPERLINK("https://eproc.rajasthan.gov.in/nicgep/app?component=%24DirectLink&amp;page=FrontEndViewTender&amp;service=direct&amp;session=T&amp;sp=Sz7oaYuJsVLJkO3hcwvkCOQ%3D%3D", "GHAR GHAR EVM VYAVSAYIK PRATISTANO SE KACHRA SANGRAHAN EVM PRATHAKAKRAN GAANVO KI SADAK V NALI SAFAI KARYE TATHA SAMUDAYIK SVATCHTA PARISAR KI SAFAI KARYE SAMAST GP KSHETRA ME")</f>
        <v/>
      </c>
      <c r="C2570" t="inlineStr">
        <is>
          <t>Panchayati Raj Department||Secretary and Commissioner||CEO-ALWAR||BDO-BEHROR</t>
        </is>
      </c>
      <c r="D2570" t="inlineStr">
        <is>
          <t>22-May-2025 12:00 PM</t>
        </is>
      </c>
      <c r="E2570" t="inlineStr">
        <is>
          <t>9,33,000</t>
        </is>
      </c>
      <c r="F2570" t="inlineStr">
        <is>
          <t>GHAR GHAR EVM VYAVSAYIK PRATISTANO SE KACHRA SANGRAHAN EVM PRATHAKAKRAN GAANVO KI SADAK V NALI SAFAI KARYE TATHA SAMUDAYIK SVATCHTA PARISAR KI SAFAI KARYE SAMAST GP KSHETRA ME</t>
        </is>
      </c>
      <c r="G2570" t="inlineStr">
        <is>
          <t>MAHARAJAWAS</t>
        </is>
      </c>
    </row>
    <row r="2571">
      <c r="A2571" s="1" t="n">
        <v>2569</v>
      </c>
      <c r="B2571">
        <f>HYPERLINK("https://eproc.rajasthan.gov.in/nicgep/app?component=%24DirectLink&amp;page=FrontEndViewTender&amp;service=direct&amp;session=T&amp;sp=S5%2F60hEX9mTtmto12Mmp4dA%3D%3D", "Supply of Various Material at Gram Panchayat UPREDA Panchayat Samiti Banera 2025-26 (Yearly Rate Contract)")</f>
        <v/>
      </c>
      <c r="C2571" t="inlineStr">
        <is>
          <t>Panchayati Raj Department||Secretary and Commissioner||CEO-BHILWARA||BDO-BANEDA</t>
        </is>
      </c>
      <c r="D2571" t="inlineStr">
        <is>
          <t>20-May-2025 06:00 PM</t>
        </is>
      </c>
      <c r="E2571" t="inlineStr">
        <is>
          <t>45,00,000</t>
        </is>
      </c>
      <c r="F2571" t="inlineStr">
        <is>
          <t>Supply of Various Material at Gram Panchayat UPREDA Panchayat Samiti Banera 2025-26 (Yearly Rate Contract)</t>
        </is>
      </c>
      <c r="G2571" t="inlineStr">
        <is>
          <t>GP UPREDA PS BANERA</t>
        </is>
      </c>
    </row>
    <row r="2572">
      <c r="A2572" s="1" t="n">
        <v>2570</v>
      </c>
      <c r="B2572">
        <f>HYPERLINK("https://eproc.rajasthan.gov.in/nicgep/app?component=%24DirectLink&amp;page=FrontEndViewTender&amp;service=direct&amp;session=T&amp;sp=SQA84WmVhYMLz7gXpfOvKVA%3D%3D", "bairwa daani ramsingpura me interlocking sadak nirman kary")</f>
        <v/>
      </c>
      <c r="C2572" t="inlineStr">
        <is>
          <t>Panchayati Raj Department||Secretary and Commissioner||CEO-S.MADHOPUR||BDO-GANGAPUR</t>
        </is>
      </c>
      <c r="D2572" t="inlineStr">
        <is>
          <t>19-May-2025 04:00 PM</t>
        </is>
      </c>
      <c r="E2572" t="inlineStr">
        <is>
          <t>10,00,000</t>
        </is>
      </c>
      <c r="F2572" t="inlineStr">
        <is>
          <t>bairwa daani ramsingpura me interlocking sadak nirman kary</t>
        </is>
      </c>
      <c r="G2572" t="inlineStr">
        <is>
          <t>GRAM PANCHAYT MAHANANDPUR DYODA</t>
        </is>
      </c>
    </row>
    <row r="2573">
      <c r="A2573" s="1" t="n">
        <v>2571</v>
      </c>
      <c r="B2573">
        <f>HYPERLINK("https://eproc.rajasthan.gov.in/nicgep/app?component=%24DirectLink&amp;page=FrontEndViewTender&amp;service=direct&amp;session=T&amp;sp=SFjeCP8zsSNYtqD%2F%2BX8D37Q%3D%3D", "BISALPUR PUMPHOUSE SE SHAMSHAN GHAT KI AUR C C BLOCK SADAK MAY NALI NIRMAN KARYE")</f>
        <v/>
      </c>
      <c r="C2573" t="inlineStr">
        <is>
          <t>Panchayati Raj Department||Secretary and Commissioner||CEO-AJMER||BDO-JAWAJA</t>
        </is>
      </c>
      <c r="D2573" t="inlineStr">
        <is>
          <t>19-May-2025 05:00 PM</t>
        </is>
      </c>
      <c r="E2573" t="inlineStr">
        <is>
          <t>10,00,000</t>
        </is>
      </c>
      <c r="F2573" t="inlineStr">
        <is>
          <t>BISALPUR PUMPHOUSE SE SHAMSHAN GHAT KI AUR C C BLOCK SADAK MAY NALI NIRMAN KARYE</t>
        </is>
      </c>
      <c r="G2573" t="inlineStr">
        <is>
          <t>GP BADAKHERA</t>
        </is>
      </c>
    </row>
    <row r="2574">
      <c r="A2574" s="1" t="n">
        <v>2572</v>
      </c>
      <c r="B2574">
        <f>HYPERLINK("https://eproc.rajasthan.gov.in/nicgep/app?component=%24DirectLink&amp;page=FrontEndViewTender&amp;service=direct&amp;session=T&amp;sp=Sv42jRzu6x2z58ZWDdDGrLw%3D%3D", "GHAR GHAR EVM VYAVSAYIK PRATISTANO SE KACHRA SANGRAHAN EVM PRATHAKAKRAN GAANVO KI SADAK V NALI SAFAI KARYE TATHA SAMUDAYIK SVATCHTA PARISAR KI SAFAI KARYE SAMAST GP KSHETRA ME")</f>
        <v/>
      </c>
      <c r="C2574" t="inlineStr">
        <is>
          <t>Panchayati Raj Department||Secretary and Commissioner||CEO-ALWAR||BDO-BEHROR</t>
        </is>
      </c>
      <c r="D2574" t="inlineStr">
        <is>
          <t>22-May-2025 12:00 PM</t>
        </is>
      </c>
      <c r="E2574" t="inlineStr">
        <is>
          <t>10,34,000</t>
        </is>
      </c>
      <c r="F2574" t="inlineStr">
        <is>
          <t>GHAR GHAR EVM VYAVSAYIK PRATISTANO SE KACHRA SANGRAHAN EVM PRATHAKAKRAN GAANVO KI SADAK V NALI SAFAI KARYE TATHA SAMUDAYIK SVATCHTA PARISAR KI SAFAI KARYE SAMAST GP KSHETRA ME</t>
        </is>
      </c>
      <c r="G2574" t="inlineStr">
        <is>
          <t>JAINPURWAS</t>
        </is>
      </c>
    </row>
    <row r="2575">
      <c r="A2575" s="1" t="n">
        <v>2573</v>
      </c>
      <c r="B2575">
        <f>HYPERLINK("https://eproc.rajasthan.gov.in/nicgep/app?component=%24DirectLink&amp;page=FrontEndViewTender&amp;service=direct&amp;session=T&amp;sp=S5lXmEA77%2B3%2FnmG%2FYDwCqTQ%3D%3D", "GHAR GHAR EVM VYAVSAYIK PRATISTANO SE KACHRA SANGRAHAN EVM PRATHAKAKRAN GAANVO KI SADAK V NALI SAFAI KARYE TATHA SAMUDAYIK SVATCHTA PARISAR KI SAFAI KARYE SAMAST GP KSHETRA ME")</f>
        <v/>
      </c>
      <c r="C2575" t="inlineStr">
        <is>
          <t>Panchayati Raj Department||Secretary and Commissioner||CEO-ALWAR||BDO-BEHROR</t>
        </is>
      </c>
      <c r="D2575" t="inlineStr">
        <is>
          <t>22-May-2025 12:00 PM</t>
        </is>
      </c>
      <c r="E2575" t="inlineStr">
        <is>
          <t>10,58,000</t>
        </is>
      </c>
      <c r="F2575" t="inlineStr">
        <is>
          <t>GHAR GHAR EVM VYAVSAYIK PRATISTANO SE KACHRA SANGRAHAN EVM PRATHAKAKRAN GAANVO KI SADAK V NALI SAFAI KARYE TATHA SAMUDAYIK SVATCHTA PARISAR KI SAFAI KARYE SAMAST GP KSHETRA ME</t>
        </is>
      </c>
      <c r="G2575" t="inlineStr">
        <is>
          <t>DHUNDARIYA</t>
        </is>
      </c>
    </row>
    <row r="2576">
      <c r="A2576" s="1" t="n">
        <v>2574</v>
      </c>
      <c r="B2576">
        <f>HYPERLINK("https://eproc.rajasthan.gov.in/nicgep/app?component=%24DirectLink&amp;page=FrontEndViewTender&amp;service=direct&amp;session=T&amp;sp=SPp%2BuMT%2BDnNyL4bcFhY6wgA%3D%3D", "GHAR GHAR EVM VYAVSAYIK PRATISTANO SE KACHRA SANGRAHAN EVM PRATHAKAKRAN GAANVO KI SADAK V NALI SAFAI KARYE TATHA SAMUDAYIK SVATCHTA PARISAR KI SAFAI KARYE SAMAST GP KSHETRA ME")</f>
        <v/>
      </c>
      <c r="C2576" t="inlineStr">
        <is>
          <t>Panchayati Raj Department||Secretary and Commissioner||CEO-ALWAR||BDO-BEHROR</t>
        </is>
      </c>
      <c r="D2576" t="inlineStr">
        <is>
          <t>22-May-2025 12:00 PM</t>
        </is>
      </c>
      <c r="E2576" t="inlineStr">
        <is>
          <t>8,86,000</t>
        </is>
      </c>
      <c r="F2576" t="inlineStr">
        <is>
          <t>GHAR GHAR EVM VYAVSAYIK PRATISTANO SE KACHRA SANGRAHAN EVM PRATHAKAKRAN GAANVO KI SADAK V NALI SAFAI KARYE TATHA SAMUDAYIK SVATCHTA PARISAR KI SAFAI KARYE SAMAST GP KSHETRA ME</t>
        </is>
      </c>
      <c r="G2576" t="inlineStr">
        <is>
          <t>KHOHAR</t>
        </is>
      </c>
    </row>
    <row r="2577">
      <c r="A2577" s="1" t="n">
        <v>2575</v>
      </c>
      <c r="B2577">
        <f>HYPERLINK("https://eproc.rajasthan.gov.in/nicgep/app?component=%24DirectLink&amp;page=FrontEndViewTender&amp;service=direct&amp;session=T&amp;sp=SULjDVn7pRPWO%2BIuiyHEG9w%3D%3D", "GHAR GHAR EVM VYAVSAYIK PRATISTANO SE KACHRA SANGRAHAN EVM PRATHAKAKRAN GAANVO KI SADAK V NALI SAFAI KARYE TATHA SAMUDAYIK SVATCHTA PARISAR KI SAFAI KARYE SAMAST GP KSHETRA ME")</f>
        <v/>
      </c>
      <c r="C2577" t="inlineStr">
        <is>
          <t>Panchayati Raj Department||Secretary and Commissioner||CEO-ALWAR||BDO-BEHROR</t>
        </is>
      </c>
      <c r="D2577" t="inlineStr">
        <is>
          <t>22-May-2025 12:00 PM</t>
        </is>
      </c>
      <c r="E2577" t="inlineStr">
        <is>
          <t>10,83,000</t>
        </is>
      </c>
      <c r="F2577" t="inlineStr">
        <is>
          <t>GHAR GHAR EVM VYAVSAYIK PRATISTANO SE KACHRA SANGRAHAN EVM PRATHAKAKRAN GAANVO KI SADAK V NALI SAFAI KARYE TATHA SAMUDAYIK SVATCHTA PARISAR KI SAFAI KARYE SAMAST GP KSHETRA ME</t>
        </is>
      </c>
      <c r="G2577" t="inlineStr">
        <is>
          <t>GUJARWAS</t>
        </is>
      </c>
    </row>
    <row r="2578">
      <c r="A2578" s="1" t="n">
        <v>2576</v>
      </c>
      <c r="B2578">
        <f>HYPERLINK("https://eproc.rajasthan.gov.in/nicgep/app?component=%24DirectLink&amp;page=FrontEndViewTender&amp;service=direct&amp;session=T&amp;sp=Sb4fdc%2FVm%2F9pbATnPJp%2FR8g%3D%3D", "GHAR GHAR EVM VYAVSAYIK PRATISTANO SE KACHRA SANGRAHAN EVM PRATHAKAKRAN GAANVO KI SADAK V NALI SAFAI KARYE TATHA SAMUDAYIK SVATCHTA PARISAR KI SAFAI KARYE SAMAST GP KSHETRA ME")</f>
        <v/>
      </c>
      <c r="C2578" t="inlineStr">
        <is>
          <t>Panchayati Raj Department||Secretary and Commissioner||CEO-ALWAR||BDO-BEHROR</t>
        </is>
      </c>
      <c r="D2578" t="inlineStr">
        <is>
          <t>22-May-2025 12:00 PM</t>
        </is>
      </c>
      <c r="E2578" t="inlineStr">
        <is>
          <t>10,96,000</t>
        </is>
      </c>
      <c r="F2578" t="inlineStr">
        <is>
          <t>GHAR GHAR EVM VYAVSAYIK PRATISTANO SE KACHRA SANGRAHAN EVM PRATHAKAKRAN GAANVO KI SADAK V NALI SAFAI KARYE TATHA SAMUDAYIK SVATCHTA PARISAR KI SAFAI KARYE SAMAST GP KSHETRA ME</t>
        </is>
      </c>
      <c r="G2578" t="inlineStr">
        <is>
          <t>gandala</t>
        </is>
      </c>
    </row>
    <row r="2579">
      <c r="A2579" s="1" t="n">
        <v>2577</v>
      </c>
      <c r="B2579">
        <f>HYPERLINK("https://eproc.rajasthan.gov.in/nicgep/app?component=%24DirectLink&amp;page=FrontEndViewTender&amp;service=direct&amp;session=T&amp;sp=SQ8j29X9LowOz0Wcw2dYbMg%3D%3D", "GHAR GHAR EVM VYAVSAYIK PRATISTANO SE KACHRA SANGRAHAN EVM PRATHAKAKRAN GAANVO KI SADAK V NALI SAFAI KARYE TATHA SAMUDAYIK SVATCHTA PARISAR KI SAFAI KARYE SAMAST GP KSHETRA ME")</f>
        <v/>
      </c>
      <c r="C2579" t="inlineStr">
        <is>
          <t>Panchayati Raj Department||Secretary and Commissioner||CEO-ALWAR||BDO-BEHROR</t>
        </is>
      </c>
      <c r="D2579" t="inlineStr">
        <is>
          <t>22-May-2025 12:00 PM</t>
        </is>
      </c>
      <c r="E2579" t="inlineStr">
        <is>
          <t>7,70,000</t>
        </is>
      </c>
      <c r="F2579" t="inlineStr">
        <is>
          <t>GHAR GHAR EVM VYAVSAYIK PRATISTANO SE KACHRA SANGRAHAN EVM PRATHAKAKRAN GAANVO KI SADAK V NALI SAFAI KARYE TATHA SAMUDAYIK SVATCHTA PARISAR KI SAFAI KARYE SAMAST GP KSHETRA ME</t>
        </is>
      </c>
      <c r="G2579" t="inlineStr">
        <is>
          <t>MOHAMMADPUR</t>
        </is>
      </c>
    </row>
    <row r="2580">
      <c r="A2580" s="1" t="n">
        <v>2578</v>
      </c>
      <c r="B2580">
        <f>HYPERLINK("https://eproc.rajasthan.gov.in/nicgep/app?component=%24DirectLink&amp;page=FrontEndViewTender&amp;service=direct&amp;session=T&amp;sp=SFCEBSX7gQwLi0c%2Btk2OMSQ%3D%3D", "GHAR GHAR EVM VYAVSAYIK PRATISTANO SE KACHRA SANGRAHAN EVM PRATHAKAKRAN GAANVO KI SADAK V NALI SAFAI KARYE TATHA SAMUDAYIK SVATCHTA PARISAR KI SAFAI KARYE SAMAST GP KSHETRA ME")</f>
        <v/>
      </c>
      <c r="C2580" t="inlineStr">
        <is>
          <t>Panchayati Raj Department||Secretary and Commissioner||CEO-ALWAR||BDO-BEHROR</t>
        </is>
      </c>
      <c r="D2580" t="inlineStr">
        <is>
          <t>22-May-2025 12:00 PM</t>
        </is>
      </c>
      <c r="E2580" t="inlineStr">
        <is>
          <t>10,99,000</t>
        </is>
      </c>
      <c r="F2580" t="inlineStr">
        <is>
          <t>GHAR GHAR EVM VYAVSAYIK PRATISTANO SE KACHRA SANGRAHAN EVM PRATHAKAKRAN GAANVO KI SADAK V NALI SAFAI KARYE TATHA SAMUDAYIK SVATCHTA PARISAR KI SAFAI KARYE SAMAST GP KSHETRA ME</t>
        </is>
      </c>
      <c r="G2580" t="inlineStr">
        <is>
          <t>KARODA</t>
        </is>
      </c>
    </row>
    <row r="2581">
      <c r="A2581" s="1" t="n">
        <v>2579</v>
      </c>
      <c r="B2581">
        <f>HYPERLINK("https://eproc.rajasthan.gov.in/nicgep/app?component=%24DirectLink&amp;page=FrontEndViewTender&amp;service=direct&amp;session=T&amp;sp=SleCY3jpKpAPQM97s6cyxlA%3D%3D", "GHAR GHAR EVM VYAVSAYIK PRATISTANO SE KACHRA SANGRAHAN EVM PRATHAKAKRAN GAANVO KI SADAK V NALI SAFAI KARYE TATHA SAMUDAYIK SVATCHTA PARISAR KI SAFAI KARYE SAMAST GP KSHETRA ME")</f>
        <v/>
      </c>
      <c r="C2581" t="inlineStr">
        <is>
          <t>Panchayati Raj Department||Secretary and Commissioner||CEO-ALWAR||BDO-BEHROR</t>
        </is>
      </c>
      <c r="D2581" t="inlineStr">
        <is>
          <t>22-May-2025 12:00 PM</t>
        </is>
      </c>
      <c r="E2581" t="inlineStr">
        <is>
          <t>7,81,000</t>
        </is>
      </c>
      <c r="F2581" t="inlineStr">
        <is>
          <t>GHAR GHAR EVM VYAVSAYIK PRATISTANO SE KACHRA SANGRAHAN EVM PRATHAKAKRAN GAANVO KI SADAK V NALI SAFAI KARYE TATHA SAMUDAYIK SVATCHTA PARISAR KI SAFAI KARYE SAMAST GP KSHETRA ME</t>
        </is>
      </c>
      <c r="G2581" t="inlineStr">
        <is>
          <t>PAHADI</t>
        </is>
      </c>
    </row>
    <row r="2582">
      <c r="A2582" s="1" t="n">
        <v>2580</v>
      </c>
      <c r="B2582">
        <f>HYPERLINK("https://eproc.rajasthan.gov.in/nicgep/app?component=%24DirectLink&amp;page=FrontEndViewTender&amp;service=direct&amp;session=T&amp;sp=SanMmW%2Fx%2BThruvwpmvpIxUw%3D%3D", "MATERIAL SUPPLY TENDER GP NIMBI KHURD")</f>
        <v/>
      </c>
      <c r="C2582" t="inlineStr">
        <is>
          <t>Panchayati Raj Department||Secretary and Commissioner||CEO-NAGORE||BDO-DIDWANA</t>
        </is>
      </c>
      <c r="D2582" t="inlineStr">
        <is>
          <t>20-May-2025 06:00 PM</t>
        </is>
      </c>
      <c r="E2582" t="inlineStr">
        <is>
          <t>1,00,00,000</t>
        </is>
      </c>
      <c r="F2582" t="inlineStr">
        <is>
          <t>Material and Equipment supply under MGNREGA RD and PRD Schemes in GP NIMBI KHURD</t>
        </is>
      </c>
      <c r="G2582" t="inlineStr">
        <is>
          <t>GP NIMBI KHURD</t>
        </is>
      </c>
    </row>
    <row r="2583">
      <c r="A2583" s="1" t="n">
        <v>2581</v>
      </c>
      <c r="B2583">
        <f>HYPERLINK("https://eproc.rajasthan.gov.in/nicgep/app?component=%24DirectLink&amp;page=FrontEndViewTender&amp;service=direct&amp;session=T&amp;sp=SP5NpCRmpM1AqCjraCb5XTQ%3D%3D", "MATERIAL SUPPLY TENDER GP KHARWALIYA")</f>
        <v/>
      </c>
      <c r="C2583" t="inlineStr">
        <is>
          <t>Panchayati Raj Department||Secretary and Commissioner||CEO-NAGORE||BDO-DIDWANA</t>
        </is>
      </c>
      <c r="D2583" t="inlineStr">
        <is>
          <t>20-May-2025 06:00 PM</t>
        </is>
      </c>
      <c r="E2583" t="inlineStr">
        <is>
          <t>1,00,00,000</t>
        </is>
      </c>
      <c r="F2583" t="inlineStr">
        <is>
          <t>Material and Equipment supply under MGNREGA RD and PRD Schemes in GP KHARWALIYA</t>
        </is>
      </c>
      <c r="G2583" t="inlineStr">
        <is>
          <t>GP KHARWALIYA</t>
        </is>
      </c>
    </row>
    <row r="2584">
      <c r="A2584" s="1" t="n">
        <v>2582</v>
      </c>
      <c r="B2584">
        <f>HYPERLINK("https://eproc.rajasthan.gov.in/nicgep/app?component=%24DirectLink&amp;page=FrontEndViewTender&amp;service=direct&amp;session=T&amp;sp=SJiWrsiCdVAUX38J3d5VEqg%3D%3D", "Narega and other scheme material supply fy 2025-26 gp rajpura")</f>
        <v/>
      </c>
      <c r="C2584" t="inlineStr">
        <is>
          <t>Panchayati Raj Department||Secretary and Commissioner||CEO-SIKAR||BDO-PATAN</t>
        </is>
      </c>
      <c r="D2584" t="inlineStr">
        <is>
          <t>19-May-2025 06:00 PM</t>
        </is>
      </c>
      <c r="E2584" t="inlineStr">
        <is>
          <t>25,00,000</t>
        </is>
      </c>
      <c r="F2584" t="inlineStr">
        <is>
          <t>Narega and other scheme material supply fy 2025-26 gp rajpura</t>
        </is>
      </c>
      <c r="G2584" t="inlineStr">
        <is>
          <t>GP RAJPURA</t>
        </is>
      </c>
    </row>
    <row r="2585">
      <c r="A2585" s="1" t="n">
        <v>2583</v>
      </c>
      <c r="B2585">
        <f>HYPERLINK("https://eproc.rajasthan.gov.in/nicgep/app?component=%24DirectLink&amp;page=FrontEndViewTender&amp;service=direct&amp;session=T&amp;sp=SPmBCl6zco4XYu6YfOyjz0Q%3D%3D", "Saf safai work")</f>
        <v/>
      </c>
      <c r="C2585" t="inlineStr">
        <is>
          <t>Panchayati Raj Department||Secretary and Commissioner||CEO-SIKAR||BDO-PATAN</t>
        </is>
      </c>
      <c r="D2585" t="inlineStr">
        <is>
          <t>19-May-2025 06:00 PM</t>
        </is>
      </c>
      <c r="E2585" t="inlineStr">
        <is>
          <t>7,00,000</t>
        </is>
      </c>
      <c r="F2585" t="inlineStr">
        <is>
          <t>GP KE SAMAST GAVO ME GHAR GHAR SE KACHRA SANGRAHAN EVAM PRATHKKARAN, SADAK EVAM NALI SAFAI AND CSC KI SAFAI SAHIT KARY</t>
        </is>
      </c>
      <c r="G2585" t="inlineStr">
        <is>
          <t>GP RAJPURA</t>
        </is>
      </c>
    </row>
    <row r="2586">
      <c r="A2586" s="1" t="n">
        <v>2584</v>
      </c>
      <c r="B2586">
        <f>HYPERLINK("https://eproc.rajasthan.gov.in/nicgep/app?component=%24DirectLink&amp;page=FrontEndViewTender&amp;service=direct&amp;session=T&amp;sp=SfqtNGVKGGvhc%2FuhORzjC8A%3D%3D", "Rate contract For Supply of Construction Material and Providing Equipments for MGNREGA and Rural Development and Panchayati Raj departments various schemes at Gram Panchayat CHANDERA Panchayat Samiti Baswa Dist Dausa For FY 2025-26")</f>
        <v/>
      </c>
      <c r="C2586" t="inlineStr">
        <is>
          <t>Panchayati Raj Department||Secretary and Commissioner||CEO-DAUSA||BDO-BASWA</t>
        </is>
      </c>
      <c r="D2586" t="inlineStr">
        <is>
          <t>19-May-2025 05:00 PM</t>
        </is>
      </c>
      <c r="E2586" t="inlineStr">
        <is>
          <t>50,00,000</t>
        </is>
      </c>
      <c r="F2586" t="inlineStr">
        <is>
          <t>Rate contract For Supply of Construction Material and Providing Equipments for MGNREGA and Rural Development and Panchayati Raj departments various schemes at Gram Panchayat CHANDERA Panchayat Samiti Baswa Dist Dausa For FY 2025-26</t>
        </is>
      </c>
      <c r="G2586" t="inlineStr">
        <is>
          <t>GRAM PANCHYAT CHANDERA</t>
        </is>
      </c>
    </row>
    <row r="2587">
      <c r="A2587" s="1" t="n">
        <v>2585</v>
      </c>
      <c r="B2587">
        <f>HYPERLINK("https://eproc.rajasthan.gov.in/nicgep/app?component=%24DirectLink&amp;page=FrontEndViewTender&amp;service=direct&amp;session=T&amp;sp=SAON0EHnb%2BF6FU4cnv4dFIg%3D%3D", "Door to Door residential or community Garbedge collection, street and drain cleaning and community sanitation including street cleaning are carried out in all the villages of panchayat samiti JHALRAPATAN GRAM PANCHAYAT PANWASA")</f>
        <v/>
      </c>
      <c r="C2587" t="inlineStr">
        <is>
          <t>Panchayati Raj Department||Secretary and Commissioner||CEO- JHALAWAR||BDO-JHALRAPATAN</t>
        </is>
      </c>
      <c r="D2587" t="inlineStr">
        <is>
          <t>19-May-2025 05:00 PM</t>
        </is>
      </c>
      <c r="E2587" t="inlineStr">
        <is>
          <t>7,50,000</t>
        </is>
      </c>
      <c r="F2587" t="inlineStr">
        <is>
          <t>Door to Door residential or community Garbedge collection, street and drain cleaning and community sanitation including street cleaning are carried out in all the villages of panchayat samiti JHALRAPATAN GRAM PANCHAYAT PANWASA</t>
        </is>
      </c>
      <c r="G2587" t="inlineStr">
        <is>
          <t>JHALRAPATAN</t>
        </is>
      </c>
    </row>
    <row r="2588">
      <c r="A2588" s="1" t="n">
        <v>2586</v>
      </c>
      <c r="B2588">
        <f>HYPERLINK("https://eproc.rajasthan.gov.in/nicgep/app?component=%24DirectLink&amp;page=FrontEndViewTender&amp;service=direct&amp;session=T&amp;sp=StdYKqWSvAg3KUZOGl2LQuA%3D%3D", "Gram Panchayat Chhatra me Niyamit Saf Safai avam Swachhta Karye Gram Panchayat Bapi")</f>
        <v/>
      </c>
      <c r="C2588" t="inlineStr">
        <is>
          <t>Panchayati Raj Department||Secretary and Commissioner||CEO-DAUSA||BDO-DAUSA</t>
        </is>
      </c>
      <c r="D2588" t="inlineStr">
        <is>
          <t>19-May-2025 02:00 PM</t>
        </is>
      </c>
      <c r="E2588" t="inlineStr">
        <is>
          <t>6,00,000</t>
        </is>
      </c>
      <c r="F2588" t="inlineStr">
        <is>
          <t>Gram Panchayat Chhatra me Niyamit Saf Safai avam Swachhta Karye Gram Panchayat Bapi</t>
        </is>
      </c>
      <c r="G2588" t="inlineStr">
        <is>
          <t>Bapi</t>
        </is>
      </c>
    </row>
    <row r="2589">
      <c r="A2589" s="1" t="n">
        <v>2587</v>
      </c>
      <c r="B2589">
        <f>HYPERLINK("https://eproc.rajasthan.gov.in/nicgep/app?component=%24DirectLink&amp;page=FrontEndViewTender&amp;service=direct&amp;session=T&amp;sp=SI5JjG32kCMJHVN9ELJrdeg%3D%3D", "Supply of Various Material at Gram Panchayat LESWA, Panchayat Samiti Mandal 2025-26 (Yearly Rate Contract)")</f>
        <v/>
      </c>
      <c r="C2589" t="inlineStr">
        <is>
          <t>Panchayati Raj Department||Secretary and Commissioner||CEO-BHILWARA||BDO-MANDAL</t>
        </is>
      </c>
      <c r="D2589" t="inlineStr">
        <is>
          <t>23-May-2025 06:00 PM</t>
        </is>
      </c>
      <c r="E2589" t="inlineStr">
        <is>
          <t>60,00,000</t>
        </is>
      </c>
      <c r="F2589" t="inlineStr">
        <is>
          <t>Supply of Various Material at Gram Panchayat LESWA, Panchayat Samiti Mandal 2025-26 (Yearly Rate Contract)</t>
        </is>
      </c>
      <c r="G2589" t="inlineStr">
        <is>
          <t>GP LESWA PS MANDAL</t>
        </is>
      </c>
    </row>
    <row r="2590">
      <c r="A2590" s="1" t="n">
        <v>2588</v>
      </c>
      <c r="B2590">
        <f>HYPERLINK("https://eproc.rajasthan.gov.in/nicgep/app?component=%24DirectLink&amp;page=FrontEndViewTender&amp;service=direct&amp;session=T&amp;sp=SGvufC2kVt1JXhJcNl1Q1IQ%3D%3D", "Gram Panchayat Chhatra me Niyamit Saf Safai avam Swachhta Sambandhit Karye, Haripura or Modapatti ko Chhodkar, Gram Panchayat Haripura")</f>
        <v/>
      </c>
      <c r="C2590" t="inlineStr">
        <is>
          <t>Panchayati Raj Department||Secretary and Commissioner||CEO-DAUSA||BDO-DAUSA</t>
        </is>
      </c>
      <c r="D2590" t="inlineStr">
        <is>
          <t>19-May-2025 02:00 PM</t>
        </is>
      </c>
      <c r="E2590" t="inlineStr">
        <is>
          <t>3,00,000</t>
        </is>
      </c>
      <c r="F2590" t="inlineStr">
        <is>
          <t>Gram Panchayat Chhatra me Niyamit Saf Safai avam Swachhta Sambandhit Karye, Haripura or Modapatti ko Chhodkar, Gram Panchayat Haripura</t>
        </is>
      </c>
      <c r="G2590" t="inlineStr">
        <is>
          <t>Haripura</t>
        </is>
      </c>
    </row>
    <row r="2591">
      <c r="A2591" s="1" t="n">
        <v>2589</v>
      </c>
      <c r="B2591">
        <f>HYPERLINK("https://eproc.rajasthan.gov.in/nicgep/app?component=%24DirectLink&amp;page=FrontEndViewTender&amp;service=direct&amp;session=T&amp;sp=Sne4vwCdPVNe9Kcd%2BIrCIKg%3D%3D", "Supply of Various Material at Gram Panchayat KERIYA, Panchayat Samiti Mandal 2025-26 (Yearly Rate Contract)")</f>
        <v/>
      </c>
      <c r="C2591" t="inlineStr">
        <is>
          <t>Panchayati Raj Department||Secretary and Commissioner||CEO-BHILWARA||BDO-MANDAL</t>
        </is>
      </c>
      <c r="D2591" t="inlineStr">
        <is>
          <t>19-May-2025 06:00 PM</t>
        </is>
      </c>
      <c r="E2591" t="inlineStr">
        <is>
          <t>80,00,000</t>
        </is>
      </c>
      <c r="F2591" t="inlineStr">
        <is>
          <t>Supply of Various Material at Gram Panchayat KERIYA, Panchayat Samiti Mandal 2025-26 (Yearly Rate Contract)</t>
        </is>
      </c>
      <c r="G2591" t="inlineStr">
        <is>
          <t>GP KERIYA PS MANDAL</t>
        </is>
      </c>
    </row>
    <row r="2592">
      <c r="A2592" s="1" t="n">
        <v>2590</v>
      </c>
      <c r="B2592">
        <f>HYPERLINK("https://eproc.rajasthan.gov.in/nicgep/app?component=%24DirectLink&amp;page=FrontEndViewTender&amp;service=direct&amp;session=T&amp;sp=SecZ8fpTY0tCyVDNDo%2FtT2A%3D%3D", "Supply of Various Material at Gram Panchayat UDLIYAS, Panchayat Samiti Kotri 2025-26 (Yearly Rate Contract)")</f>
        <v/>
      </c>
      <c r="C2592" t="inlineStr">
        <is>
          <t>Panchayati Raj Department||Secretary and Commissioner||CEO-PRATAPGARH||BDO-PIPALKHOONT</t>
        </is>
      </c>
      <c r="D2592" t="inlineStr">
        <is>
          <t>18-May-2025 06:00 PM</t>
        </is>
      </c>
      <c r="E2592" t="inlineStr">
        <is>
          <t>1,00,00,000</t>
        </is>
      </c>
      <c r="F2592" t="inlineStr">
        <is>
          <t>Supply of Various Material at Gram Panchayat UDLIYAS, Panchayat Samiti Kotri 2025-26 (Yearly Rate Contract)</t>
        </is>
      </c>
      <c r="G2592" t="inlineStr">
        <is>
          <t>GP UDLIYAS PS KOTRI</t>
        </is>
      </c>
    </row>
    <row r="2593">
      <c r="A2593" s="1" t="n">
        <v>2591</v>
      </c>
      <c r="B2593">
        <f>HYPERLINK("https://eproc.rajasthan.gov.in/nicgep/app?component=%24DirectLink&amp;page=FrontEndViewTender&amp;service=direct&amp;session=T&amp;sp=Swv4Qov5jwjN9mzATMPZv5w%3D%3D", "Supply of Various Material at Gram Panchayat GEGA KA KHEDA, Panchayat Samiti Kotri 2025-26 (Yearly Rate Contract)")</f>
        <v/>
      </c>
      <c r="C2593" t="inlineStr">
        <is>
          <t>Panchayati Raj Department||Secretary and Commissioner||CEO-PRATAPGARH||BDO-PIPALKHOONT</t>
        </is>
      </c>
      <c r="D2593" t="inlineStr">
        <is>
          <t>18-May-2025 06:00 PM</t>
        </is>
      </c>
      <c r="E2593" t="inlineStr">
        <is>
          <t>1,00,00,000</t>
        </is>
      </c>
      <c r="F2593" t="inlineStr">
        <is>
          <t>Supply of Various Material at Gram Panchayat GEGA KA KHEDA, Panchayat Samiti Kotri 2025-26 (Yearly Rate Contract)</t>
        </is>
      </c>
      <c r="G2593" t="inlineStr">
        <is>
          <t>GP GEGA KA KHEDA PS KOTRI</t>
        </is>
      </c>
    </row>
    <row r="2594">
      <c r="A2594" s="1" t="n">
        <v>2592</v>
      </c>
      <c r="B2594">
        <f>HYPERLINK("https://eproc.rajasthan.gov.in/nicgep/app?component=%24DirectLink&amp;page=FrontEndViewTender&amp;service=direct&amp;session=T&amp;sp=SRpnT7eS2SrFDP%2FSxwlDHiA%3D%3D", "Supply of Various Material at Gram Panchayat KAKROLIYA GHATI, Panchayat Samiti Kotri 2025-26 (Yearly Rate Contract)")</f>
        <v/>
      </c>
      <c r="C2594" t="inlineStr">
        <is>
          <t>Panchayati Raj Department||Secretary and Commissioner||CEO-PRATAPGARH||BDO-PIPALKHOONT</t>
        </is>
      </c>
      <c r="D2594" t="inlineStr">
        <is>
          <t>18-May-2025 06:00 PM</t>
        </is>
      </c>
      <c r="E2594" t="inlineStr">
        <is>
          <t>1,00,00,000</t>
        </is>
      </c>
      <c r="F2594" t="inlineStr">
        <is>
          <t>Supply of Various Material at Gram Panchayat KAKROLIYA GHATI, Panchayat Samiti Kotri 2025-26 (Yearly Rate Contract)</t>
        </is>
      </c>
      <c r="G2594" t="inlineStr">
        <is>
          <t>GP KAKROLIYA GHATI PS KOTRI</t>
        </is>
      </c>
    </row>
    <row r="2595">
      <c r="A2595" s="1" t="n">
        <v>2593</v>
      </c>
      <c r="B2595">
        <f>HYPERLINK("https://eproc.rajasthan.gov.in/nicgep/app?component=%24DirectLink&amp;page=FrontEndViewTender&amp;service=direct&amp;session=T&amp;sp=SMcx9dSTUArOXKEU7eGMFeA%3D%3D", "Supply of Various Material at Gram Panchayat GANHULI, Panchayat Samiti Kotri 2025-26 (Yearly Rate Contract)")</f>
        <v/>
      </c>
      <c r="C2595" t="inlineStr">
        <is>
          <t>Panchayati Raj Department||Secretary and Commissioner||CEO-PRATAPGARH||BDO-PIPALKHOONT</t>
        </is>
      </c>
      <c r="D2595" t="inlineStr">
        <is>
          <t>18-May-2025 06:00 PM</t>
        </is>
      </c>
      <c r="E2595" t="inlineStr">
        <is>
          <t>1,00,00,000</t>
        </is>
      </c>
      <c r="F2595" t="inlineStr">
        <is>
          <t>Supply of Various Material at Gram Panchayat GANHULI, Panchayat Samiti Kotri 2025-26 (Yearly Rate Contract)</t>
        </is>
      </c>
      <c r="G2595" t="inlineStr">
        <is>
          <t>GP GANHULI PS KOTRI</t>
        </is>
      </c>
    </row>
    <row r="2596">
      <c r="A2596" s="1" t="n">
        <v>2594</v>
      </c>
      <c r="B2596">
        <f>HYPERLINK("https://eproc.rajasthan.gov.in/nicgep/app?component=%24DirectLink&amp;page=FrontEndViewTender&amp;service=direct&amp;session=T&amp;sp=S8VxMnyuce54P5MngSF72Fw%3D%3D", "Rate contract for Work Including Garbage Collection and Separation from Households and Commercial Establishments, Road and Drain cleaning, Cleaning of CSCs in all villages of Gram Panchayat Akshaygarh Panchayat Samiti Khandar")</f>
        <v/>
      </c>
      <c r="C2596" t="inlineStr">
        <is>
          <t>Panchayati Raj Department||Secretary and Commissioner||CEO-S.MADHOPUR||BDO-KHANDAR</t>
        </is>
      </c>
      <c r="D2596" t="inlineStr">
        <is>
          <t>18-May-2025 06:00 PM</t>
        </is>
      </c>
      <c r="E2596" t="inlineStr">
        <is>
          <t>19,49,000</t>
        </is>
      </c>
      <c r="F2596" t="inlineStr">
        <is>
          <t>Rate contract for Work Including Garbage Collection and Separation from Households and Commercial Establishments, Road and Drain cleaning, Cleaning of CSCs in all villages of Gram Panchayat Akshaygarh Panchayat Samiti Khandar</t>
        </is>
      </c>
      <c r="G2596" t="inlineStr">
        <is>
          <t>GRAM PANCHAYAT AKSHAYGARH</t>
        </is>
      </c>
    </row>
    <row r="2597">
      <c r="A2597" s="1" t="n">
        <v>2595</v>
      </c>
      <c r="B2597">
        <f>HYPERLINK("https://eproc.rajasthan.gov.in/nicgep/app?component=%24DirectLink&amp;page=FrontEndViewTender&amp;service=direct&amp;session=T&amp;sp=Sac0CpTT2ChDoTvVhvoBK4A%3D%3D", "Supply of Various Material at Gram Panchayat SUTHEPA, Panchayat Samiti Kotri 2025-26 (Yearly Rate Contract)")</f>
        <v/>
      </c>
      <c r="C2597" t="inlineStr">
        <is>
          <t>Panchayati Raj Department||Secretary and Commissioner||CEO-PRATAPGARH||BDO-PIPALKHOONT</t>
        </is>
      </c>
      <c r="D2597" t="inlineStr">
        <is>
          <t>18-May-2025 06:00 PM</t>
        </is>
      </c>
      <c r="E2597" t="inlineStr">
        <is>
          <t>1,00,00,000</t>
        </is>
      </c>
      <c r="F2597" t="inlineStr">
        <is>
          <t>Supply of Various Material at Gram Panchayat SUTHEPA, Panchayat Samiti Kotri 2025-26 (Yearly Rate Contract)</t>
        </is>
      </c>
      <c r="G2597" t="inlineStr">
        <is>
          <t>GP SUTHEPA PS KOTRI</t>
        </is>
      </c>
    </row>
    <row r="2598">
      <c r="A2598" s="1" t="n">
        <v>2596</v>
      </c>
      <c r="B2598">
        <f>HYPERLINK("https://eproc.rajasthan.gov.in/nicgep/app?component=%24DirectLink&amp;page=FrontEndViewTender&amp;service=direct&amp;session=T&amp;sp=SzP%2F61hlIcHBZN4lUECXu8A%3D%3D", "GRAM PANCHAYAT KHEDA NIHALPURA ME FY 2025-26 KE LIYE NAREGA YOJNA ME NIRMAN SAMGRI SUPPLY HETU RATE CONTRACT")</f>
        <v/>
      </c>
      <c r="C2598" t="inlineStr">
        <is>
          <t>Panchayati Raj Department||Secretary and Commissioner||CEO- JAIPUR||BDO-KOTPUTALI</t>
        </is>
      </c>
      <c r="D2598" t="inlineStr">
        <is>
          <t>20-May-2025 11:00 AM</t>
        </is>
      </c>
      <c r="E2598" t="inlineStr">
        <is>
          <t>30,00,000</t>
        </is>
      </c>
      <c r="F2598" t="inlineStr">
        <is>
          <t>GRAM PANCHAYAT KHEDA NIHALPURA ME FY 2025-26 KE LIYE NAREGA YOJNA ME NIRMAN SAMGRI SUPPLY HETU RATE CONTRACT</t>
        </is>
      </c>
      <c r="G2598" t="inlineStr">
        <is>
          <t>KHEDA NIHALPURA</t>
        </is>
      </c>
    </row>
    <row r="2599">
      <c r="A2599" s="1" t="n">
        <v>2597</v>
      </c>
      <c r="B2599">
        <f>HYPERLINK("https://eproc.rajasthan.gov.in/nicgep/app?component=%24DirectLink&amp;page=FrontEndViewTender&amp;service=direct&amp;session=T&amp;sp=ShvEiN6Ke0GjdGpxo4g9tFg%3D%3D", "GRAM PANCHAYAT NARHEDA ME FY 2025-26 KE LIYE NAREGA YOJNA ME NIRMAN SAMGRI SUPPLY HETU RATE CONTRACT")</f>
        <v/>
      </c>
      <c r="C2599" t="inlineStr">
        <is>
          <t>Panchayati Raj Department||Secretary and Commissioner||CEO- JAIPUR||BDO-KOTPUTALI</t>
        </is>
      </c>
      <c r="D2599" t="inlineStr">
        <is>
          <t>20-May-2025 11:00 AM</t>
        </is>
      </c>
      <c r="E2599" t="inlineStr">
        <is>
          <t>30,00,000</t>
        </is>
      </c>
      <c r="F2599" t="inlineStr">
        <is>
          <t>GRAM PANCHAYAT NARHEDA ME FY 2025-26 KE LIYE NAREGA YOJNA ME NIRMAN SAMGRI SUPPLY HETU RATE CONTRACT</t>
        </is>
      </c>
      <c r="G2599" t="inlineStr">
        <is>
          <t>NARHEDA</t>
        </is>
      </c>
    </row>
    <row r="2600">
      <c r="A2600" s="1" t="n">
        <v>2598</v>
      </c>
      <c r="B2600">
        <f>HYPERLINK("https://eproc.rajasthan.gov.in/nicgep/app?component=%24DirectLink&amp;page=FrontEndViewTender&amp;service=direct&amp;session=T&amp;sp=SJ1d1PNv3HrfC4UnGwld8Sw%3D%3D", "Supply of Various Material at Gram Panchayat AAKOLA, Panchayat Samiti Kotri 2025-26 (Yearly Rate Contract)")</f>
        <v/>
      </c>
      <c r="C2600" t="inlineStr">
        <is>
          <t>Panchayati Raj Department||Secretary and Commissioner||CEO-PRATAPGARH||BDO-PIPALKHOONT</t>
        </is>
      </c>
      <c r="D2600" t="inlineStr">
        <is>
          <t>18-May-2025 06:00 PM</t>
        </is>
      </c>
      <c r="E2600" t="inlineStr">
        <is>
          <t>1,00,00,000</t>
        </is>
      </c>
      <c r="F2600" t="inlineStr">
        <is>
          <t>Supply of Various Material at Gram Panchayat AAKOLA, Panchayat Samiti Kotri 2025-26 (Yearly Rate Contract)</t>
        </is>
      </c>
      <c r="G2600" t="inlineStr">
        <is>
          <t>GP AAKOLA PS KOTRI</t>
        </is>
      </c>
    </row>
    <row r="2601">
      <c r="A2601" s="1" t="n">
        <v>2599</v>
      </c>
      <c r="B2601">
        <f>HYPERLINK("https://eproc.rajasthan.gov.in/nicgep/app?component=%24DirectLink&amp;page=FrontEndViewTender&amp;service=direct&amp;session=T&amp;sp=SgX%2BZ51NOl6C9V5e%2Fod02lg%3D%3D", "supply of construction metarial and providing equipment in NREGA and other RDPR scheme at G.P DEVIKOT P S FATEHGARH Financial year 2025-26")</f>
        <v/>
      </c>
      <c r="C2601" t="inlineStr">
        <is>
          <t>Panchayati Raj Department||Secretary and Commissioner||CEO- JAISALMER||BDO-FATEH GARH</t>
        </is>
      </c>
      <c r="D2601" t="inlineStr">
        <is>
          <t>20-May-2025 11:00 AM</t>
        </is>
      </c>
      <c r="E2601" t="inlineStr">
        <is>
          <t>1,00,00,000</t>
        </is>
      </c>
      <c r="F2601" t="inlineStr">
        <is>
          <t>supply of construction metarial and providing equipment in NREGA and other RDPR scheme at G.P DEVIKOT P S FATEHGARH Financial year 2025-26</t>
        </is>
      </c>
      <c r="G2601" t="inlineStr">
        <is>
          <t>SARPANCH GRAM PANCHAYAT DEVIKOT P S FATEHGARH</t>
        </is>
      </c>
    </row>
    <row r="2602">
      <c r="A2602" s="1" t="n">
        <v>2600</v>
      </c>
      <c r="B2602">
        <f>HYPERLINK("https://eproc.rajasthan.gov.in/nicgep/app?component=%24DirectLink&amp;page=FrontEndViewTender&amp;service=direct&amp;session=T&amp;sp=STjSioZgDFgV10Tp4pfySzw%3D%3D", "Supply of Construction Material in Gram Panchayat Phalsawta In Panchayat Samiti Malarna Doongar under MNREGA and RD and Various Scheme for the Year 2025-26")</f>
        <v/>
      </c>
      <c r="C2602" t="inlineStr">
        <is>
          <t>Panchayati Raj Department||Secretary and Commissioner||CEO-S.MADHOPUR||BDO-MALARANA DUNGAR</t>
        </is>
      </c>
      <c r="D2602" t="inlineStr">
        <is>
          <t>26-May-2025 06:00 PM</t>
        </is>
      </c>
      <c r="E2602" t="inlineStr">
        <is>
          <t>50,00,000</t>
        </is>
      </c>
      <c r="F2602" t="inlineStr">
        <is>
          <t>Supply of Construction Material in Gram Panchayat Phalsawta In Panchayat Samiti Malarna Doongar under MNREGA and RD and Various Scheme for the Year 2025-26</t>
        </is>
      </c>
      <c r="G2602" t="inlineStr">
        <is>
          <t>GRAM PANCHAYT PHALSAWTA</t>
        </is>
      </c>
    </row>
    <row r="2603">
      <c r="A2603" s="1" t="n">
        <v>2601</v>
      </c>
      <c r="B2603">
        <f>HYPERLINK("https://eproc.rajasthan.gov.in/nicgep/app?component=%24DirectLink&amp;page=FrontEndViewTender&amp;service=direct&amp;session=T&amp;sp=ScJtbGJ7J%2B7dftktz1dsXdg%3D%3D", "GRAM PANCHAYAT KANWARPURA ME FY 2025-26 KE LIYE NAREGA YOJNA ME NIRMAN SAMGRI SUPPLY HETU RATE CONTRACT")</f>
        <v/>
      </c>
      <c r="C2603" t="inlineStr">
        <is>
          <t>Panchayati Raj Department||Secretary and Commissioner||CEO- JAIPUR||BDO-KOTPUTALI</t>
        </is>
      </c>
      <c r="D2603" t="inlineStr">
        <is>
          <t>20-May-2025 11:00 AM</t>
        </is>
      </c>
      <c r="E2603" t="inlineStr">
        <is>
          <t>20,00,000</t>
        </is>
      </c>
      <c r="F2603" t="inlineStr">
        <is>
          <t>GRAM PANCHAYAT KANWARPURA ME FY 2025-26 KE LIYE NAREGA YOJNA ME NIRMAN SAMGRI SUPPLY HETU RATE CONTRACT</t>
        </is>
      </c>
      <c r="G2603" t="inlineStr">
        <is>
          <t>KANWARPURA</t>
        </is>
      </c>
    </row>
    <row r="2604">
      <c r="A2604" s="1" t="n">
        <v>2602</v>
      </c>
      <c r="B2604">
        <f>HYPERLINK("https://eproc.rajasthan.gov.in/nicgep/app?component=%24DirectLink&amp;page=FrontEndViewTender&amp;service=direct&amp;session=T&amp;sp=SIt%2BewG9KisaFRk3zXPmYhw%3D%3D", "GRAM PANCHAYAT GORDHANPURA ME FY 2025-26 KE LIYE NAREGA YOJNA ME NIRMAN SAMGRI SUPPLY HETU RATE CONTRACT")</f>
        <v/>
      </c>
      <c r="C2604" t="inlineStr">
        <is>
          <t>Panchayati Raj Department||Secretary and Commissioner||CEO- JAIPUR||BDO-KOTPUTALI</t>
        </is>
      </c>
      <c r="D2604" t="inlineStr">
        <is>
          <t>20-May-2025 11:00 AM</t>
        </is>
      </c>
      <c r="E2604" t="inlineStr">
        <is>
          <t>30,00,000</t>
        </is>
      </c>
      <c r="F2604" t="inlineStr">
        <is>
          <t>GRAM PANCHAYAT GORDHANPURA ME FY 2025-26 KE LIYE NAREGA YOJNA ME NIRMAN SAMGRI SUPPLY HETU RATE CONTRACT</t>
        </is>
      </c>
      <c r="G2604" t="inlineStr">
        <is>
          <t>GORDHANPURA</t>
        </is>
      </c>
    </row>
    <row r="2605">
      <c r="A2605" s="1" t="n">
        <v>2603</v>
      </c>
      <c r="B2605">
        <f>HYPERLINK("https://eproc.rajasthan.gov.in/nicgep/app?component=%24DirectLink&amp;page=FrontEndViewTender&amp;service=direct&amp;session=T&amp;sp=Ssfo0w0tEYY%2B230qlJxkHTQ%3D%3D", "GRAM PANCHAYAT KESHWANA RAJPUT ME FY 2025-26 KE LIYE NAREGA YOJNA ME NIRMAN SAMGRI SUPPLY HETU RATE CONTRACT")</f>
        <v/>
      </c>
      <c r="C2605" t="inlineStr">
        <is>
          <t>Panchayati Raj Department||Secretary and Commissioner||CEO- JAIPUR||BDO-KOTPUTALI</t>
        </is>
      </c>
      <c r="D2605" t="inlineStr">
        <is>
          <t>20-May-2025 11:00 AM</t>
        </is>
      </c>
      <c r="E2605" t="inlineStr">
        <is>
          <t>30,00,000</t>
        </is>
      </c>
      <c r="F2605" t="inlineStr">
        <is>
          <t>GRAM PANCHAYAT KESHWANA RAJPUT ME FY 2025-26 KE LIYE NAREGA YOJNA ME NIRMAN SAMGRI SUPPLY HETU RATE CONTRACT</t>
        </is>
      </c>
      <c r="G2605" t="inlineStr">
        <is>
          <t>KESHWANA RAJPUT</t>
        </is>
      </c>
    </row>
    <row r="2606">
      <c r="A2606" s="1" t="n">
        <v>2604</v>
      </c>
      <c r="B2606">
        <f>HYPERLINK("https://eproc.rajasthan.gov.in/nicgep/app?component=%24DirectLink&amp;page=FrontEndViewTender&amp;service=direct&amp;session=T&amp;sp=SjUIKnsfLlTS%2BBTs4barrig%3D%3D", "GRAM PANCHAYAT BANETHI ME FY 2025-26 KE LIYE NAREGA YOJNA ME NIRMAN SAMGRI SUPPLY HETU RATE CONTRACT")</f>
        <v/>
      </c>
      <c r="C2606" t="inlineStr">
        <is>
          <t>Panchayati Raj Department||Secretary and Commissioner||CEO- JAIPUR||BDO-KOTPUTALI</t>
        </is>
      </c>
      <c r="D2606" t="inlineStr">
        <is>
          <t>20-May-2025 11:00 AM</t>
        </is>
      </c>
      <c r="E2606" t="inlineStr">
        <is>
          <t>30,00,000</t>
        </is>
      </c>
      <c r="F2606" t="inlineStr">
        <is>
          <t>GRAM PANCHAYAT BANETHI ME FY 2025-26 KE LIYE NAREGA YOJNA ME NIRMAN SAMGRI SUPPLY HETU RATE CONTRACT</t>
        </is>
      </c>
      <c r="G2606" t="inlineStr">
        <is>
          <t>BANETHI</t>
        </is>
      </c>
    </row>
    <row r="2607">
      <c r="A2607" s="1" t="n">
        <v>2605</v>
      </c>
      <c r="B2607">
        <f>HYPERLINK("https://eproc.rajasthan.gov.in/nicgep/app?component=%24DirectLink&amp;page=FrontEndViewTender&amp;service=direct&amp;session=T&amp;sp=Snr32ZaO4EKiGxgkvlTWXkg%3D%3D", "GRAM PANCHAYAT BAKHRANA ME FY 2025-26 KE LIYE NAREGA YOJNA ME NIRMAN SAMGRI SUPPLY HETU RATE CONTRACT")</f>
        <v/>
      </c>
      <c r="C2607" t="inlineStr">
        <is>
          <t>Panchayati Raj Department||Secretary and Commissioner||CEO- JAIPUR||BDO-KOTPUTALI</t>
        </is>
      </c>
      <c r="D2607" t="inlineStr">
        <is>
          <t>20-May-2025 11:00 AM</t>
        </is>
      </c>
      <c r="E2607" t="inlineStr">
        <is>
          <t>30,00,000</t>
        </is>
      </c>
      <c r="F2607" t="inlineStr">
        <is>
          <t>GRAM PANCHAYAT BAKHRANA ME FY 2025-26 KE LIYE NAREGA YOJNA ME NIRMAN SAMGRI SUPPLY HETU RATE CONTRACT</t>
        </is>
      </c>
      <c r="G2607" t="inlineStr">
        <is>
          <t>BAKHARANA</t>
        </is>
      </c>
    </row>
    <row r="2608">
      <c r="A2608" s="1" t="n">
        <v>2606</v>
      </c>
      <c r="B2608">
        <f>HYPERLINK("https://eproc.rajasthan.gov.in/nicgep/app?component=%24DirectLink&amp;page=FrontEndViewTender&amp;service=direct&amp;session=T&amp;sp=SCzHww%2B3JTNqtDz3KLFrAvQ%3D%3D", "GRAM PANCHAYAT BHALOJI ME FY 2025-26 KE LIYE NAREGA YOJNA ME NIRMAN SAMGRI SUPPLY HETU RATE CONTRACT")</f>
        <v/>
      </c>
      <c r="C2608" t="inlineStr">
        <is>
          <t>Panchayati Raj Department||Secretary and Commissioner||CEO- JAIPUR||BDO-KOTPUTALI</t>
        </is>
      </c>
      <c r="D2608" t="inlineStr">
        <is>
          <t>20-May-2025 11:00 AM</t>
        </is>
      </c>
      <c r="E2608" t="inlineStr">
        <is>
          <t>30,00,000</t>
        </is>
      </c>
      <c r="F2608" t="inlineStr">
        <is>
          <t>GRAM PANCHAYAT BHALOJI ME FY 2025-26 KE LIYE NAREGA YOJNA ME NIRMAN SAMGRI SUPPLY HETU RATE CONTRACT</t>
        </is>
      </c>
      <c r="G2608" t="inlineStr">
        <is>
          <t>BHALOJI</t>
        </is>
      </c>
    </row>
    <row r="2609">
      <c r="A2609" s="1" t="n">
        <v>2607</v>
      </c>
      <c r="B2609">
        <f>HYPERLINK("https://eproc.rajasthan.gov.in/nicgep/app?component=%24DirectLink&amp;page=FrontEndViewTender&amp;service=direct&amp;session=T&amp;sp=ShQ3kbLk0cdWiGT0%2Bx8IZeQ%3D%3D", "GRAM PANCHAYAT BANAR ME FY 2025-26 KE LIYE NAREGA YOJNA ME NIRMAN SAMGRI SUPPLY HETU RATE CONTRACT")</f>
        <v/>
      </c>
      <c r="C2609" t="inlineStr">
        <is>
          <t>Panchayati Raj Department||Secretary and Commissioner||CEO- JAIPUR||BDO-KOTPUTALI</t>
        </is>
      </c>
      <c r="D2609" t="inlineStr">
        <is>
          <t>20-May-2025 11:00 AM</t>
        </is>
      </c>
      <c r="E2609" t="inlineStr">
        <is>
          <t>30,00,000</t>
        </is>
      </c>
      <c r="F2609" t="inlineStr">
        <is>
          <t>GRAM PANCHAYAT BANAR ME FY 2025-26 KE LIYE NAREGA YOJNA ME NIRMAN SAMGRI SUPPLY HETU RATE CONTRACT</t>
        </is>
      </c>
      <c r="G2609" t="inlineStr">
        <is>
          <t>BANAR</t>
        </is>
      </c>
    </row>
    <row r="2610">
      <c r="A2610" s="1" t="n">
        <v>2608</v>
      </c>
      <c r="B2610">
        <f>HYPERLINK("https://eproc.rajasthan.gov.in/nicgep/app?component=%24DirectLink&amp;page=FrontEndViewTender&amp;service=direct&amp;session=T&amp;sp=S%2BjUh%2F5WlcfStgJAHmmP2yQ%3D%3D", "Open Competitive e-Bids are Invited for Cleaning and Sanitation Services at Gram Panchayat Raipur")</f>
        <v/>
      </c>
      <c r="C2610" t="inlineStr">
        <is>
          <t>Panchayati Raj Department||Secretary and Commissioner||CEO-SIROHI||BDO-REVDAR</t>
        </is>
      </c>
      <c r="D2610" t="inlineStr">
        <is>
          <t>19-May-2025 06:00 PM</t>
        </is>
      </c>
      <c r="E2610" t="inlineStr">
        <is>
          <t>12,27,312</t>
        </is>
      </c>
      <c r="F2610" t="inlineStr">
        <is>
          <t>Open Competitive e-Bids are Invited for Cleaning and Sanitation Services at Gram Panchayat Raipur</t>
        </is>
      </c>
      <c r="G2610" t="inlineStr">
        <is>
          <t>Gram Panchayat Raipur</t>
        </is>
      </c>
    </row>
    <row r="2611">
      <c r="A2611" s="1" t="n">
        <v>2609</v>
      </c>
      <c r="B2611">
        <f>HYPERLINK("https://eproc.rajasthan.gov.in/nicgep/app?component=%24DirectLink&amp;page=FrontEndViewTender&amp;service=direct&amp;session=T&amp;sp=SJQdaVbMc009MWV211BgFrw%3D%3D", "Open Competitive e-Bids are Invited for Cleaning and Sanitation Services at Gram Panchayat Udwariya")</f>
        <v/>
      </c>
      <c r="C2611" t="inlineStr">
        <is>
          <t>Panchayati Raj Department||Secretary and Commissioner||CEO-SIROHI||BDO-REVDAR</t>
        </is>
      </c>
      <c r="D2611" t="inlineStr">
        <is>
          <t>19-May-2025 06:00 PM</t>
        </is>
      </c>
      <c r="E2611" t="inlineStr">
        <is>
          <t>13,51,076</t>
        </is>
      </c>
      <c r="F2611" t="inlineStr">
        <is>
          <t>Open Competitive e-Bids are Invited for Cleaning and Sanitation Services at Gram Panchayat Udwariya</t>
        </is>
      </c>
      <c r="G2611" t="inlineStr">
        <is>
          <t>Gram Panchayat Udwariya</t>
        </is>
      </c>
    </row>
    <row r="2612">
      <c r="A2612" s="1" t="n">
        <v>2610</v>
      </c>
      <c r="B2612">
        <f>HYPERLINK("https://eproc.rajasthan.gov.in/nicgep/app?component=%24DirectLink&amp;page=FrontEndViewTender&amp;service=direct&amp;session=T&amp;sp=SfmqprMKjG1Q3qi0D5eynNQ%3D%3D", "Open Competitive e-Bids are Invited for Cleaning and Sanitation Services at Gram Panchayat Marol")</f>
        <v/>
      </c>
      <c r="C2612" t="inlineStr">
        <is>
          <t>Panchayati Raj Department||Secretary and Commissioner||CEO-SIROHI||BDO-REVDAR</t>
        </is>
      </c>
      <c r="D2612" t="inlineStr">
        <is>
          <t>19-May-2025 06:00 PM</t>
        </is>
      </c>
      <c r="E2612" t="inlineStr">
        <is>
          <t>15,96,398</t>
        </is>
      </c>
      <c r="F2612" t="inlineStr">
        <is>
          <t>Open Competitive e-Bids are Invited for Cleaning and Sanitation Services at Gram Panchayat Marol</t>
        </is>
      </c>
      <c r="G2612" t="inlineStr">
        <is>
          <t>Gram Panchayat Marol</t>
        </is>
      </c>
    </row>
    <row r="2613">
      <c r="A2613" s="1" t="n">
        <v>2611</v>
      </c>
      <c r="B2613">
        <f>HYPERLINK("https://eproc.rajasthan.gov.in/nicgep/app?component=%24DirectLink&amp;page=FrontEndViewTender&amp;service=direct&amp;session=T&amp;sp=SzqiLxVsqeYzcEtfZIr18rA%3D%3D", "Open Competitive e-Bids are Invited for Cleaning and Sanitation Services at Gram Panchayat Harni Amrapura")</f>
        <v/>
      </c>
      <c r="C2613" t="inlineStr">
        <is>
          <t>Panchayati Raj Department||Secretary and Commissioner||CEO-SIROHI||BDO-REVDAR</t>
        </is>
      </c>
      <c r="D2613" t="inlineStr">
        <is>
          <t>19-May-2025 06:00 PM</t>
        </is>
      </c>
      <c r="E2613" t="inlineStr">
        <is>
          <t>12,87,212</t>
        </is>
      </c>
      <c r="F2613" t="inlineStr">
        <is>
          <t>Open Competitive e-Bids are Invited for Cleaning and Sanitation Services at Gram Panchayat Harni Amrapura</t>
        </is>
      </c>
      <c r="G2613" t="inlineStr">
        <is>
          <t>Gram Panchayat Harni Amrapura</t>
        </is>
      </c>
    </row>
    <row r="2614">
      <c r="A2614" s="1" t="n">
        <v>2612</v>
      </c>
      <c r="B2614">
        <f>HYPERLINK("https://eproc.rajasthan.gov.in/nicgep/app?component=%24DirectLink&amp;page=FrontEndViewTender&amp;service=direct&amp;session=T&amp;sp=SmhfuaXfviFFvajqxRKwd3Q%3D%3D", "Open Competitive e-Bids are Invited for Cleaning and Sanitation Services at Gram Panchayat Dantrai")</f>
        <v/>
      </c>
      <c r="C2614" t="inlineStr">
        <is>
          <t>Panchayati Raj Department||Secretary and Commissioner||CEO-SIROHI||BDO-REVDAR</t>
        </is>
      </c>
      <c r="D2614" t="inlineStr">
        <is>
          <t>19-May-2025 06:00 PM</t>
        </is>
      </c>
      <c r="E2614" t="inlineStr">
        <is>
          <t>15,01,974</t>
        </is>
      </c>
      <c r="F2614" t="inlineStr">
        <is>
          <t>Open Competitive e-Bids are Invited for Cleaning and Sanitation Services at Gram Panchayat Dantrai</t>
        </is>
      </c>
      <c r="G2614" t="inlineStr">
        <is>
          <t>Gram Panchayat Dantrai</t>
        </is>
      </c>
    </row>
    <row r="2615">
      <c r="A2615" s="1" t="n">
        <v>2613</v>
      </c>
      <c r="B2615">
        <f>HYPERLINK("https://eproc.rajasthan.gov.in/nicgep/app?component=%24DirectLink&amp;page=FrontEndViewTender&amp;service=direct&amp;session=T&amp;sp=SLd2ROOVjTfVOQJnacFGGag%3D%3D", "Open Competitive e-Bids are Invited for Cleaning and Sanitation Services at Gram Panchayat Bherugrh")</f>
        <v/>
      </c>
      <c r="C2615" t="inlineStr">
        <is>
          <t>Panchayati Raj Department||Secretary and Commissioner||CEO-SIROHI||BDO-REVDAR</t>
        </is>
      </c>
      <c r="D2615" t="inlineStr">
        <is>
          <t>19-May-2025 06:00 PM</t>
        </is>
      </c>
      <c r="E2615" t="inlineStr">
        <is>
          <t>15,32,606</t>
        </is>
      </c>
      <c r="F2615" t="inlineStr">
        <is>
          <t>Open Competitive e-Bids are Invited for Cleaning and Sanitation Services at Gram Panchayat Bherugrh</t>
        </is>
      </c>
      <c r="G2615" t="inlineStr">
        <is>
          <t>Gram Panchayat Bherugrh</t>
        </is>
      </c>
    </row>
    <row r="2616">
      <c r="A2616" s="1" t="n">
        <v>2614</v>
      </c>
      <c r="B2616">
        <f>HYPERLINK("https://eproc.rajasthan.gov.in/nicgep/app?component=%24DirectLink&amp;page=FrontEndViewTender&amp;service=direct&amp;session=T&amp;sp=SMB7V9TZOjBTuiu52ZyaV7g%3D%3D", "Open Competitive e-Bids are Invited for Cleaning and Sanitation Services at Gram Panchayat Dolpura")</f>
        <v/>
      </c>
      <c r="C2616" t="inlineStr">
        <is>
          <t>Panchayati Raj Department||Secretary and Commissioner||CEO-SIROHI||BDO-REVDAR</t>
        </is>
      </c>
      <c r="D2616" t="inlineStr">
        <is>
          <t>19-May-2025 06:00 PM</t>
        </is>
      </c>
      <c r="E2616" t="inlineStr">
        <is>
          <t>12,80,279</t>
        </is>
      </c>
      <c r="F2616" t="inlineStr">
        <is>
          <t>Open Competitive e-Bids are Invited for Cleaning and Sanitation Services at Gram Panchayat Dolpura</t>
        </is>
      </c>
      <c r="G2616" t="inlineStr">
        <is>
          <t>Gram Panchayat Dolpura</t>
        </is>
      </c>
    </row>
    <row r="2617">
      <c r="A2617" s="1" t="n">
        <v>2615</v>
      </c>
      <c r="B2617">
        <f>HYPERLINK("https://eproc.rajasthan.gov.in/nicgep/app?component=%24DirectLink&amp;page=FrontEndViewTender&amp;service=direct&amp;session=T&amp;sp=SjCqyWO9JbscgR2UKBkBm1w%3D%3D", "Open Competitive e-Bids are Invited for Cleaning and Sanitation Services at Gram Panchayat Lunol")</f>
        <v/>
      </c>
      <c r="C2617" t="inlineStr">
        <is>
          <t>Panchayati Raj Department||Secretary and Commissioner||CEO-SIROHI||BDO-REVDAR</t>
        </is>
      </c>
      <c r="D2617" t="inlineStr">
        <is>
          <t>19-May-2025 06:00 PM</t>
        </is>
      </c>
      <c r="E2617" t="inlineStr">
        <is>
          <t>15,97,208</t>
        </is>
      </c>
      <c r="F2617" t="inlineStr">
        <is>
          <t>Open Competitive e-Bids are Invited for Cleaning and Sanitation Services at Gram Panchayat Lunol</t>
        </is>
      </c>
      <c r="G2617" t="inlineStr">
        <is>
          <t>Gram Panchayat Lunol</t>
        </is>
      </c>
    </row>
    <row r="2618">
      <c r="A2618" s="1" t="n">
        <v>2616</v>
      </c>
      <c r="B2618">
        <f>HYPERLINK("https://eproc.rajasthan.gov.in/nicgep/app?component=%24DirectLink&amp;page=FrontEndViewTender&amp;service=direct&amp;session=T&amp;sp=SJbKX1XH6kb8gUddNnxEGiQ%3D%3D", "Open Competitive e-Bids are Invited for Cleaning and Sanitation Services at Gram Panchayat Jolpur")</f>
        <v/>
      </c>
      <c r="C2618" t="inlineStr">
        <is>
          <t>Panchayati Raj Department||Secretary and Commissioner||CEO-SIROHI||BDO-REVDAR</t>
        </is>
      </c>
      <c r="D2618" t="inlineStr">
        <is>
          <t>19-May-2025 06:00 PM</t>
        </is>
      </c>
      <c r="E2618" t="inlineStr">
        <is>
          <t>15,45,044</t>
        </is>
      </c>
      <c r="F2618" t="inlineStr">
        <is>
          <t>Open Competitive e-Bids are Invited for Cleaning and Sanitation Services at Gram Panchayat Jolpur</t>
        </is>
      </c>
      <c r="G2618" t="inlineStr">
        <is>
          <t>Gram Panchayat Jolpur</t>
        </is>
      </c>
    </row>
    <row r="2619">
      <c r="A2619" s="1" t="n">
        <v>2617</v>
      </c>
      <c r="B2619">
        <f>HYPERLINK("https://eproc.rajasthan.gov.in/nicgep/app?component=%24DirectLink&amp;page=FrontEndViewTender&amp;service=direct&amp;session=T&amp;sp=S1GUIBhoHCuwIfraEKZGQ%2Bw%3D%3D", "Open Competitive e-Bids are Invited for Cleaning and Sanitation Services at Gram Panchayat Positara")</f>
        <v/>
      </c>
      <c r="C2619" t="inlineStr">
        <is>
          <t>Panchayati Raj Department||Secretary and Commissioner||CEO-SIROHI||BDO-REVDAR</t>
        </is>
      </c>
      <c r="D2619" t="inlineStr">
        <is>
          <t>19-May-2025 06:00 PM</t>
        </is>
      </c>
      <c r="E2619" t="inlineStr">
        <is>
          <t>16,84,087</t>
        </is>
      </c>
      <c r="F2619" t="inlineStr">
        <is>
          <t>Open Competitive e-Bids are Invited for Cleaning and Sanitation Services at Gram Panchayat Positara</t>
        </is>
      </c>
      <c r="G2619" t="inlineStr">
        <is>
          <t>Gram Panchayat Positara</t>
        </is>
      </c>
    </row>
    <row r="2620">
      <c r="A2620" s="1" t="n">
        <v>2618</v>
      </c>
      <c r="B2620">
        <f>HYPERLINK("https://eproc.rajasthan.gov.in/nicgep/app?component=%24DirectLink&amp;page=FrontEndViewTender&amp;service=direct&amp;session=T&amp;sp=S4CXnkQM982vxLvbH8dYXhA%3D%3D", "Open Competitive e-Bids are Invited for Cleaning and Sanitation Services at Gram Panchayat Gulabganj")</f>
        <v/>
      </c>
      <c r="C2620" t="inlineStr">
        <is>
          <t>Panchayati Raj Department||Secretary and Commissioner||CEO-SIROHI||BDO-REVDAR</t>
        </is>
      </c>
      <c r="D2620" t="inlineStr">
        <is>
          <t>19-May-2025 06:00 PM</t>
        </is>
      </c>
      <c r="E2620" t="inlineStr">
        <is>
          <t>15,32,819</t>
        </is>
      </c>
      <c r="F2620" t="inlineStr">
        <is>
          <t>Open Competitive e-Bids are Invited for Cleaning and Sanitation Services at Gram Panchayat Gulabganj</t>
        </is>
      </c>
      <c r="G2620" t="inlineStr">
        <is>
          <t>Gram Panchayat Gulabganj</t>
        </is>
      </c>
    </row>
    <row r="2621">
      <c r="A2621" s="1" t="n">
        <v>2619</v>
      </c>
      <c r="B2621">
        <f>HYPERLINK("https://eproc.rajasthan.gov.in/nicgep/app?component=%24DirectLink&amp;page=FrontEndViewTender&amp;service=direct&amp;session=T&amp;sp=SZHunlimbL%2FFIDfdAJL59mA%3D%3D", "Open Competitive e-Bids are Invited for Cleaning and Sanitation Services at Gram Panchayat Gundwara")</f>
        <v/>
      </c>
      <c r="C2621" t="inlineStr">
        <is>
          <t>Panchayati Raj Department||Secretary and Commissioner||CEO-SIROHI||BDO-REVDAR</t>
        </is>
      </c>
      <c r="D2621" t="inlineStr">
        <is>
          <t>19-May-2025 06:00 PM</t>
        </is>
      </c>
      <c r="E2621" t="inlineStr">
        <is>
          <t>11,98,782</t>
        </is>
      </c>
      <c r="F2621" t="inlineStr">
        <is>
          <t>Open Competitive e-Bids are Invited for Cleaning and Sanitation Services at Gram Panchayat Gundwara</t>
        </is>
      </c>
      <c r="G2621" t="inlineStr">
        <is>
          <t>Gram Panchayat Gundwara</t>
        </is>
      </c>
    </row>
    <row r="2622">
      <c r="A2622" s="1" t="n">
        <v>2620</v>
      </c>
      <c r="B2622">
        <f>HYPERLINK("https://eproc.rajasthan.gov.in/nicgep/app?component=%24DirectLink&amp;page=FrontEndViewTender&amp;service=direct&amp;session=T&amp;sp=S6ewUlZJjuz2wlIHkGR0ovQ%3D%3D", "Open Competitive e-Bids are Invited for Cleaning and Sanitation Services at Gram Panchayat Nimbaj")</f>
        <v/>
      </c>
      <c r="C2622" t="inlineStr">
        <is>
          <t>Panchayati Raj Department||Secretary and Commissioner||CEO-SIROHI||BDO-REVDAR</t>
        </is>
      </c>
      <c r="D2622" t="inlineStr">
        <is>
          <t>19-May-2025 06:00 PM</t>
        </is>
      </c>
      <c r="E2622" t="inlineStr">
        <is>
          <t>13,05,543</t>
        </is>
      </c>
      <c r="F2622" t="inlineStr">
        <is>
          <t>Open Competitive e-Bids are Invited for Cleaning and Sanitation Services at Gram Panchayat Nimbaj</t>
        </is>
      </c>
      <c r="G2622" t="inlineStr">
        <is>
          <t>Gram Panchayat Nimbaj</t>
        </is>
      </c>
    </row>
    <row r="2623">
      <c r="A2623" s="1" t="n">
        <v>2621</v>
      </c>
      <c r="B2623">
        <f>HYPERLINK("https://eproc.rajasthan.gov.in/nicgep/app?component=%24DirectLink&amp;page=FrontEndViewTender&amp;service=direct&amp;session=T&amp;sp=SVqiY5hdrYABzKf9PSiJuCg%3D%3D", "Open Competitive e-Bids are Invited for Cleaning and Sanitation Services at Gram Panchayat Jirawal")</f>
        <v/>
      </c>
      <c r="C2623" t="inlineStr">
        <is>
          <t>Panchayati Raj Department||Secretary and Commissioner||CEO-SIROHI||BDO-REVDAR</t>
        </is>
      </c>
      <c r="D2623" t="inlineStr">
        <is>
          <t>19-May-2025 06:00 PM</t>
        </is>
      </c>
      <c r="E2623" t="inlineStr">
        <is>
          <t>12,06,515</t>
        </is>
      </c>
      <c r="F2623" t="inlineStr">
        <is>
          <t>Open Competitive e-Bids are Invited for Cleaning and Sanitation Services at Gram Panchayat Jirawal</t>
        </is>
      </c>
      <c r="G2623" t="inlineStr">
        <is>
          <t>Gram Panchayat Jirawal</t>
        </is>
      </c>
    </row>
    <row r="2624">
      <c r="A2624" s="1" t="n">
        <v>2622</v>
      </c>
      <c r="B2624">
        <f>HYPERLINK("https://eproc.rajasthan.gov.in/nicgep/app?component=%24DirectLink&amp;page=FrontEndViewTender&amp;service=direct&amp;session=T&amp;sp=S%2BPODjfNWSmm5btCN%2FCfgmQ%3D%3D", "Open Competitive e-Bids are Invited for Cleaning and Sanitation Services at Gram Panchayat Nagani")</f>
        <v/>
      </c>
      <c r="C2624" t="inlineStr">
        <is>
          <t>Panchayati Raj Department||Secretary and Commissioner||CEO-SIROHI||BDO-REVDAR</t>
        </is>
      </c>
      <c r="D2624" t="inlineStr">
        <is>
          <t>19-May-2025 06:00 PM</t>
        </is>
      </c>
      <c r="E2624" t="inlineStr">
        <is>
          <t>12,54,834</t>
        </is>
      </c>
      <c r="F2624" t="inlineStr">
        <is>
          <t>Open Competitive e-Bids are Invited for Cleaning and Sanitation Services at Gram Panchayat Nagani</t>
        </is>
      </c>
      <c r="G2624" t="inlineStr">
        <is>
          <t>Gram Panchayat Nagani</t>
        </is>
      </c>
    </row>
    <row r="2625">
      <c r="A2625" s="1" t="n">
        <v>2623</v>
      </c>
      <c r="B2625">
        <f>HYPERLINK("https://eproc.rajasthan.gov.in/nicgep/app?component=%24DirectLink&amp;page=FrontEndViewTender&amp;service=direct&amp;session=T&amp;sp=SqX%2FMhbQdAGYBZgHRd%2FEY6g%3D%3D", "Open Competitive e-Bids are Invited for Cleaning and Sanitation Services at Gram Panchayat Reodar")</f>
        <v/>
      </c>
      <c r="C2625" t="inlineStr">
        <is>
          <t>Panchayati Raj Department||Secretary and Commissioner||CEO-SIROHI||BDO-REVDAR</t>
        </is>
      </c>
      <c r="D2625" t="inlineStr">
        <is>
          <t>19-May-2025 06:00 PM</t>
        </is>
      </c>
      <c r="E2625" t="inlineStr">
        <is>
          <t>36,86,238</t>
        </is>
      </c>
      <c r="F2625" t="inlineStr">
        <is>
          <t>Open Competitive e-Bids are Invited for Cleaning and Sanitation Services at Gram Panchayat Reodar</t>
        </is>
      </c>
      <c r="G2625" t="inlineStr">
        <is>
          <t>Gram Panchayat Reodar</t>
        </is>
      </c>
    </row>
    <row r="2626">
      <c r="A2626" s="1" t="n">
        <v>2624</v>
      </c>
      <c r="B2626">
        <f>HYPERLINK("https://eproc.rajasthan.gov.in/nicgep/app?component=%24DirectLink&amp;page=FrontEndViewTender&amp;service=direct&amp;session=T&amp;sp=S6pUp2KW9yycMVzLXPvRAHQ%3D%3D", "Open Competitive e-Bids are Invited for Cleaning and Sanitation Services at Gram Panchayat Pithapura")</f>
        <v/>
      </c>
      <c r="C2626" t="inlineStr">
        <is>
          <t>Panchayati Raj Department||Secretary and Commissioner||CEO-SIROHI||BDO-REVDAR</t>
        </is>
      </c>
      <c r="D2626" t="inlineStr">
        <is>
          <t>19-May-2025 06:00 PM</t>
        </is>
      </c>
      <c r="E2626" t="inlineStr">
        <is>
          <t>10,04,922</t>
        </is>
      </c>
      <c r="F2626" t="inlineStr">
        <is>
          <t>Open Competitive e-Bids are Invited for Cleaning and Sanitation Services at Gram Panchayat Pithapura</t>
        </is>
      </c>
      <c r="G2626" t="inlineStr">
        <is>
          <t>Gram Panchyat Pithapura</t>
        </is>
      </c>
    </row>
    <row r="2627">
      <c r="A2627" s="1" t="n">
        <v>2625</v>
      </c>
      <c r="B2627">
        <f>HYPERLINK("https://eproc.rajasthan.gov.in/nicgep/app?component=%24DirectLink&amp;page=FrontEndViewTender&amp;service=direct&amp;session=T&amp;sp=SP6muVB%2FBcgoOTg99Wg%2FoOw%3D%3D", "Open Competitive e-Bids are Invited for Cleaning and Sanitation Services at Gram Panchayat Magariwara")</f>
        <v/>
      </c>
      <c r="C2627" t="inlineStr">
        <is>
          <t>Panchayati Raj Department||Secretary and Commissioner||CEO-SIROHI||BDO-REVDAR</t>
        </is>
      </c>
      <c r="D2627" t="inlineStr">
        <is>
          <t>19-May-2025 06:00 PM</t>
        </is>
      </c>
      <c r="E2627" t="inlineStr">
        <is>
          <t>14,16,028</t>
        </is>
      </c>
      <c r="F2627" t="inlineStr">
        <is>
          <t>Open Competitive e-Bids are Invited for Cleaning and Sanitation Services at Gram Panchayat Magariwara</t>
        </is>
      </c>
      <c r="G2627" t="inlineStr">
        <is>
          <t>Gram Panchayat Magariwara</t>
        </is>
      </c>
    </row>
    <row r="2628">
      <c r="A2628" s="1" t="n">
        <v>2626</v>
      </c>
      <c r="B2628">
        <f>HYPERLINK("https://eproc.rajasthan.gov.in/nicgep/app?component=%24DirectLink&amp;page=FrontEndViewTender&amp;service=direct&amp;session=T&amp;sp=SxZzHk59GQ1kO4%2B9X86UgWw%3D%3D", "Door to Door Solid and waste collection work GP Badagaon")</f>
        <v/>
      </c>
      <c r="C2628" t="inlineStr">
        <is>
          <t>Panchayati Raj Department||Secretary and Commissioner||CEO-DAUSA||BDO-LAWAN</t>
        </is>
      </c>
      <c r="D2628" t="inlineStr">
        <is>
          <t>19-May-2025 05:00 PM</t>
        </is>
      </c>
      <c r="E2628" t="inlineStr">
        <is>
          <t>6,54,000</t>
        </is>
      </c>
      <c r="F2628" t="inlineStr">
        <is>
          <t>Door to Door Solid and waste collection work GP Badagaon</t>
        </is>
      </c>
      <c r="G2628" t="inlineStr">
        <is>
          <t>Badagaon</t>
        </is>
      </c>
    </row>
    <row r="2629">
      <c r="A2629" s="1" t="n">
        <v>2627</v>
      </c>
      <c r="B2629">
        <f>HYPERLINK("https://eproc.rajasthan.gov.in/nicgep/app?component=%24DirectLink&amp;page=FrontEndViewTender&amp;service=direct&amp;session=T&amp;sp=SKHNirm%2Bi%2FsE3JgLNo7s91A%3D%3D", "Open Competitive e-Bids are Invited for Cleaning and Sanitation Services at Gram Panchayat Padar")</f>
        <v/>
      </c>
      <c r="C2629" t="inlineStr">
        <is>
          <t>Panchayati Raj Department||Secretary and Commissioner||CEO-SIROHI||BDO-REVDAR</t>
        </is>
      </c>
      <c r="D2629" t="inlineStr">
        <is>
          <t>19-May-2025 06:00 PM</t>
        </is>
      </c>
      <c r="E2629" t="inlineStr">
        <is>
          <t>12,03,624</t>
        </is>
      </c>
      <c r="F2629" t="inlineStr">
        <is>
          <t>Open Competitive e-Bids are Invited for Cleaning and Sanitation Services at Gram Panchayat Padar</t>
        </is>
      </c>
      <c r="G2629" t="inlineStr">
        <is>
          <t>Gram Panchayat Padar</t>
        </is>
      </c>
    </row>
    <row r="2630">
      <c r="A2630" s="1" t="n">
        <v>2628</v>
      </c>
      <c r="B2630">
        <f>HYPERLINK("https://eproc.rajasthan.gov.in/nicgep/app?component=%24DirectLink&amp;page=FrontEndViewTender&amp;service=direct&amp;session=T&amp;sp=Sp%2F6ug3Fl8lJY%2B8gCIT6KVA%3D%3D", "Open Competitive e-Bids are Invited for Cleaning and Sanitation Services at Gram Panchayat DAK")</f>
        <v/>
      </c>
      <c r="C2630" t="inlineStr">
        <is>
          <t>Panchayati Raj Department||Secretary and Commissioner||CEO-SIROHI||BDO-REVDAR</t>
        </is>
      </c>
      <c r="D2630" t="inlineStr">
        <is>
          <t>19-May-2025 06:00 PM</t>
        </is>
      </c>
      <c r="E2630" t="inlineStr">
        <is>
          <t>12,33,821</t>
        </is>
      </c>
      <c r="F2630" t="inlineStr">
        <is>
          <t>Open Competitive e-Bids are Invited for Cleaning and Sanitation Services at Gram Panchayat DAK</t>
        </is>
      </c>
      <c r="G2630" t="inlineStr">
        <is>
          <t>Gram Panchayat Dak</t>
        </is>
      </c>
    </row>
    <row r="2631">
      <c r="A2631" s="1" t="n">
        <v>2629</v>
      </c>
      <c r="B2631">
        <f>HYPERLINK("https://eproc.rajasthan.gov.in/nicgep/app?component=%24DirectLink&amp;page=FrontEndViewTender&amp;service=direct&amp;session=T&amp;sp=SF2QyRbUCeCXK7sW4kaO8hg%3D%3D", "Open Competitive e-Bids are Invited for Cleaning and Sanitation Services at Gram Panchayat Jetawara")</f>
        <v/>
      </c>
      <c r="C2631" t="inlineStr">
        <is>
          <t>Panchayati Raj Department||Secretary and Commissioner||CEO-SIROHI||BDO-REVDAR</t>
        </is>
      </c>
      <c r="D2631" t="inlineStr">
        <is>
          <t>19-May-2025 06:00 PM</t>
        </is>
      </c>
      <c r="E2631" t="inlineStr">
        <is>
          <t>12,07,832</t>
        </is>
      </c>
      <c r="F2631" t="inlineStr">
        <is>
          <t>Open Competitive e-Bids are Invited for Cleaning and Sanitation Services at Gram Panchayat Jetawara</t>
        </is>
      </c>
      <c r="G2631" t="inlineStr">
        <is>
          <t>Gram Panchayat Jetawara</t>
        </is>
      </c>
    </row>
    <row r="2632">
      <c r="A2632" s="1" t="n">
        <v>2630</v>
      </c>
      <c r="B2632">
        <f>HYPERLINK("https://eproc.rajasthan.gov.in/nicgep/app?component=%24DirectLink&amp;page=FrontEndViewTender&amp;service=direct&amp;session=T&amp;sp=SKqrUrDXJN7oC3ZZ4Asekfg%3D%3D", "Rate contract tender invite for meterial and equpment supply for mgnrega and other panchayatiraj scheme GP Ratariya")</f>
        <v/>
      </c>
      <c r="C2632" t="inlineStr">
        <is>
          <t>Panchayati Raj Department||Secretary and Commissioner||CEO- JAISALMER||BDO-BHANIYANA</t>
        </is>
      </c>
      <c r="D2632" t="inlineStr">
        <is>
          <t>28-May-2025 06:00 PM</t>
        </is>
      </c>
      <c r="E2632" t="inlineStr">
        <is>
          <t>1,00,00,000</t>
        </is>
      </c>
      <c r="F2632" t="inlineStr">
        <is>
          <t>Rate contract tender invite for meterial and equpment supply for mgnrega and other panchayatiraj scheme GP Ratariya</t>
        </is>
      </c>
      <c r="G2632" t="inlineStr">
        <is>
          <t>Gram panchyat Bhaniyana Jaisalmer</t>
        </is>
      </c>
    </row>
    <row r="2633">
      <c r="A2633" s="1" t="n">
        <v>2631</v>
      </c>
      <c r="B2633">
        <f>HYPERLINK("https://eproc.rajasthan.gov.in/nicgep/app?component=%24DirectLink&amp;page=FrontEndViewTender&amp;service=direct&amp;session=T&amp;sp=Sxe%2BUQ0jvIh1Bv6QS70Kd9w%3D%3D", "Open Competitive e-Bids are Invited for Cleaning and Sanitation Services at Gram Panchayat Varman")</f>
        <v/>
      </c>
      <c r="C2633" t="inlineStr">
        <is>
          <t>Panchayati Raj Department||Secretary and Commissioner||CEO-SIROHI||BDO-REVDAR</t>
        </is>
      </c>
      <c r="D2633" t="inlineStr">
        <is>
          <t>19-May-2025 06:00 PM</t>
        </is>
      </c>
      <c r="E2633" t="inlineStr">
        <is>
          <t>14,86,905</t>
        </is>
      </c>
      <c r="F2633" t="inlineStr">
        <is>
          <t>Open Competitive e-Bids are Invited for Cleaning and Sanitation Services at Gram Panchayat Varman</t>
        </is>
      </c>
      <c r="G2633" t="inlineStr">
        <is>
          <t>Gram Panchayat Varman</t>
        </is>
      </c>
    </row>
    <row r="2634">
      <c r="A2634" s="1" t="n">
        <v>2632</v>
      </c>
      <c r="B2634">
        <f>HYPERLINK("https://eproc.rajasthan.gov.in/nicgep/app?component=%24DirectLink&amp;page=FrontEndViewTender&amp;service=direct&amp;session=T&amp;sp=S9adYVPFVky1oESknrLroiQ%3D%3D", "Open Competitive e-Bids are Invited for Cleaning and Sanitation Services at Gram Panchayat Makawal")</f>
        <v/>
      </c>
      <c r="C2634" t="inlineStr">
        <is>
          <t>Panchayati Raj Department||Secretary and Commissioner||CEO-SIROHI||BDO-REVDAR</t>
        </is>
      </c>
      <c r="D2634" t="inlineStr">
        <is>
          <t>19-May-2025 06:00 PM</t>
        </is>
      </c>
      <c r="E2634" t="inlineStr">
        <is>
          <t>15,41,408</t>
        </is>
      </c>
      <c r="F2634" t="inlineStr">
        <is>
          <t>Open Competitive e-Bids are Invited for Cleaning and Sanitation Services at Gram Panchayat Makawal</t>
        </is>
      </c>
      <c r="G2634" t="inlineStr">
        <is>
          <t>Gram Pachayat Makawal</t>
        </is>
      </c>
    </row>
    <row r="2635">
      <c r="A2635" s="1" t="n">
        <v>2633</v>
      </c>
      <c r="B2635">
        <f>HYPERLINK("https://eproc.rajasthan.gov.in/nicgep/app?component=%24DirectLink&amp;page=FrontEndViewTender&amp;service=direct&amp;session=T&amp;sp=SgdKh3xYYXzqPMY6bt3970g%3D%3D", "Open Competitive e-Bids are Invited for Cleaning and Sanitation Services at Gram Panchayat Sorda")</f>
        <v/>
      </c>
      <c r="C2635" t="inlineStr">
        <is>
          <t>Panchayati Raj Department||Secretary and Commissioner||CEO-SIROHI||BDO-REVDAR</t>
        </is>
      </c>
      <c r="D2635" t="inlineStr">
        <is>
          <t>19-May-2025 06:00 PM</t>
        </is>
      </c>
      <c r="E2635" t="inlineStr">
        <is>
          <t>10,62,579</t>
        </is>
      </c>
      <c r="F2635" t="inlineStr">
        <is>
          <t>Open Competitive e-Bids are Invited for Cleaning and Sanitation Services at Gram Panchayat Sorda</t>
        </is>
      </c>
      <c r="G2635" t="inlineStr">
        <is>
          <t>Gram Panchayat Sorda</t>
        </is>
      </c>
    </row>
    <row r="2636">
      <c r="A2636" s="1" t="n">
        <v>2634</v>
      </c>
      <c r="B2636">
        <f>HYPERLINK("https://eproc.rajasthan.gov.in/nicgep/app?component=%24DirectLink&amp;page=FrontEndViewTender&amp;service=direct&amp;session=T&amp;sp=SRw%2FFm7%2FTQuNk1eKxAiFLVQ%3D%3D", "Open Competitive e-Bids are Invited for Cleaning and Sanitation Services at Gram Panchayat Pamera")</f>
        <v/>
      </c>
      <c r="C2636" t="inlineStr">
        <is>
          <t>Panchayati Raj Department||Secretary and Commissioner||CEO-SIROHI||BDO-REVDAR</t>
        </is>
      </c>
      <c r="D2636" t="inlineStr">
        <is>
          <t>19-May-2025 06:00 PM</t>
        </is>
      </c>
      <c r="E2636" t="inlineStr">
        <is>
          <t>10,80,327</t>
        </is>
      </c>
      <c r="F2636" t="inlineStr">
        <is>
          <t>Open Competitive e-Bids are Invited for Cleaning and Sanitation Services at Gram Panchayat Pamera</t>
        </is>
      </c>
      <c r="G2636" t="inlineStr">
        <is>
          <t>Gram Panchayat Pamera</t>
        </is>
      </c>
    </row>
    <row r="2637">
      <c r="A2637" s="1" t="n">
        <v>2635</v>
      </c>
      <c r="B2637">
        <f>HYPERLINK("https://eproc.rajasthan.gov.in/nicgep/app?component=%24DirectLink&amp;page=FrontEndViewTender&amp;service=direct&amp;session=T&amp;sp=SdEeWNYyjq98BbLN5Z%2BGGWg%3D%3D", "Open Competitive e-Bids are Invited for Cleaning and Sanitation Services at Gram Panchayat Dattani")</f>
        <v/>
      </c>
      <c r="C2637" t="inlineStr">
        <is>
          <t>Panchayati Raj Department||Secretary and Commissioner||CEO-SIROHI||BDO-REVDAR</t>
        </is>
      </c>
      <c r="D2637" t="inlineStr">
        <is>
          <t>19-May-2025 06:00 PM</t>
        </is>
      </c>
      <c r="E2637" t="inlineStr">
        <is>
          <t>15,38,478</t>
        </is>
      </c>
      <c r="F2637" t="inlineStr">
        <is>
          <t>Open Competitive e-Bids are Invited for Cleaning and Sanitation Services at Gram Panchayat Dattani</t>
        </is>
      </c>
      <c r="G2637" t="inlineStr">
        <is>
          <t>Gram Panchayat Dattani</t>
        </is>
      </c>
    </row>
    <row r="2638">
      <c r="A2638" s="1" t="n">
        <v>2636</v>
      </c>
      <c r="B2638">
        <f>HYPERLINK("https://eproc.rajasthan.gov.in/nicgep/app?component=%24DirectLink&amp;page=FrontEndViewTender&amp;service=direct&amp;session=T&amp;sp=S91kS6ZOOG5U5L9VUAvRNXQ%3D%3D", "MATERIAL SUPPLY WORK FOR GRAM PANCHAYAT KOLGAVE")</f>
        <v/>
      </c>
      <c r="C2638" t="inlineStr">
        <is>
          <t>Panchayati Raj Department||Secretary and Commissioner||CEO-ALWAR||BDO-KISHANGARHWAS</t>
        </is>
      </c>
      <c r="D2638" t="inlineStr">
        <is>
          <t>19-May-2025 04:00 PM</t>
        </is>
      </c>
      <c r="E2638" t="inlineStr">
        <is>
          <t>40,00,000</t>
        </is>
      </c>
      <c r="F2638" t="inlineStr">
        <is>
          <t>MATERIAL SUPPLY WORK FOR GRAM PANCHAYAT KOLGAVE</t>
        </is>
      </c>
      <c r="G2638" t="inlineStr">
        <is>
          <t>GRAM PANCHAYAT KOLGAVE</t>
        </is>
      </c>
    </row>
    <row r="2639">
      <c r="A2639" s="1" t="n">
        <v>2637</v>
      </c>
      <c r="B2639">
        <f>HYPERLINK("https://eproc.rajasthan.gov.in/nicgep/app?component=%24DirectLink&amp;page=FrontEndViewTender&amp;service=direct&amp;session=T&amp;sp=SCb08CDJYbxod9BWqxBH77Q%3D%3D", "Open Competitive e-Bids are Invited for Cleaning and Sanitation Services at Gram Panchayat Sonela")</f>
        <v/>
      </c>
      <c r="C2639" t="inlineStr">
        <is>
          <t>Panchayati Raj Department||Secretary and Commissioner||CEO-SIROHI||BDO-REVDAR</t>
        </is>
      </c>
      <c r="D2639" t="inlineStr">
        <is>
          <t>19-May-2025 06:00 PM</t>
        </is>
      </c>
      <c r="E2639" t="inlineStr">
        <is>
          <t>15,48,673</t>
        </is>
      </c>
      <c r="F2639" t="inlineStr">
        <is>
          <t>Open Competitive e-Bids are Invited for Cleaning and Sanitation Services at Gram Panchayat Sonela</t>
        </is>
      </c>
      <c r="G2639" t="inlineStr">
        <is>
          <t>Gram Panchayat Sonela</t>
        </is>
      </c>
    </row>
    <row r="2640">
      <c r="A2640" s="1" t="n">
        <v>2638</v>
      </c>
      <c r="B2640">
        <f>HYPERLINK("https://eproc.rajasthan.gov.in/nicgep/app?component=%24DirectLink&amp;page=FrontEndViewTender&amp;service=direct&amp;session=T&amp;sp=SKScfu8%2Fg7DBVUVzdVofuwQ%3D%3D", "MATERIAL SUPPLY WORK FOR GRAM PANCHAYAT RATAKHURD")</f>
        <v/>
      </c>
      <c r="C2640" t="inlineStr">
        <is>
          <t>Panchayati Raj Department||Secretary and Commissioner||CEO-ALWAR||BDO-KISHANGARHWAS</t>
        </is>
      </c>
      <c r="D2640" t="inlineStr">
        <is>
          <t>20-May-2025 04:00 PM</t>
        </is>
      </c>
      <c r="E2640" t="inlineStr">
        <is>
          <t>40,00,000</t>
        </is>
      </c>
      <c r="F2640" t="inlineStr">
        <is>
          <t>MATERIAL SUPPLY WORK FOR GRAM PANCHAYAT RATAKHURD</t>
        </is>
      </c>
      <c r="G2640" t="inlineStr">
        <is>
          <t>GRAM PANCHAYAT RATAKHURD</t>
        </is>
      </c>
    </row>
    <row r="2641">
      <c r="A2641" s="1" t="n">
        <v>2639</v>
      </c>
      <c r="B2641">
        <f>HYPERLINK("https://eproc.rajasthan.gov.in/nicgep/app?component=%24DirectLink&amp;page=FrontEndViewTender&amp;service=direct&amp;session=T&amp;sp=S%2FP1ZHtd03YfHgbjw18c2cQ%3D%3D", "Open Competitive e-Bids are Invited for Cleaning and Sanitation Services at Gram Panchayat Dhan")</f>
        <v/>
      </c>
      <c r="C2641" t="inlineStr">
        <is>
          <t>Panchayati Raj Department||Secretary and Commissioner||CEO-SIROHI||BDO-REVDAR</t>
        </is>
      </c>
      <c r="D2641" t="inlineStr">
        <is>
          <t>19-May-2025 06:00 PM</t>
        </is>
      </c>
      <c r="E2641" t="inlineStr">
        <is>
          <t>14,43,380</t>
        </is>
      </c>
      <c r="F2641" t="inlineStr">
        <is>
          <t>Open Competitive e-Bids are Invited for Cleaning and Sanitation Services at Gram Panchayat Dhan</t>
        </is>
      </c>
      <c r="G2641" t="inlineStr">
        <is>
          <t>Gram Panchayat Dhan</t>
        </is>
      </c>
    </row>
    <row r="2642">
      <c r="A2642" s="1" t="n">
        <v>2640</v>
      </c>
      <c r="B2642">
        <f>HYPERLINK("https://eproc.rajasthan.gov.in/nicgep/app?component=%24DirectLink&amp;page=FrontEndViewTender&amp;service=direct&amp;session=T&amp;sp=S3E2cFuNGZgqcT3afEY8SFQ%3D%3D", "Open Competitive e-Bids are Invited for Cleaning and Sanitation Services at Gram Panchayat Selwara")</f>
        <v/>
      </c>
      <c r="C2642" t="inlineStr">
        <is>
          <t>Panchayati Raj Department||Secretary and Commissioner||CEO-SIROHI||BDO-REVDAR</t>
        </is>
      </c>
      <c r="D2642" t="inlineStr">
        <is>
          <t>19-May-2025 06:00 PM</t>
        </is>
      </c>
      <c r="E2642" t="inlineStr">
        <is>
          <t>13,90,921</t>
        </is>
      </c>
      <c r="F2642" t="inlineStr">
        <is>
          <t>Open Competitive e-Bids are Invited for Cleaning and Sanitation Services at Gram Panchayat Selwara</t>
        </is>
      </c>
      <c r="G2642" t="inlineStr">
        <is>
          <t>Gram Panchayat Selwara</t>
        </is>
      </c>
    </row>
    <row r="2643">
      <c r="A2643" s="1" t="n">
        <v>2641</v>
      </c>
      <c r="B2643">
        <f>HYPERLINK("https://eproc.rajasthan.gov.in/nicgep/app?component=%24DirectLink&amp;page=FrontEndViewTender&amp;service=direct&amp;session=T&amp;sp=SnAQV6mD7OUN4dgkBxpVyYA%3D%3D", "Open Competitive e-Bids are Invited for Cleaning and Sanitation Services at Gram Panchayat Anadra")</f>
        <v/>
      </c>
      <c r="C2643" t="inlineStr">
        <is>
          <t>Panchayati Raj Department||Secretary and Commissioner||CEO-SIROHI||BDO-REVDAR</t>
        </is>
      </c>
      <c r="D2643" t="inlineStr">
        <is>
          <t>19-May-2025 06:00 PM</t>
        </is>
      </c>
      <c r="E2643" t="inlineStr">
        <is>
          <t>37,80,162</t>
        </is>
      </c>
      <c r="F2643" t="inlineStr">
        <is>
          <t>Open Competitive e-Bids are Invited for Cleaning and Sanitation Services at Gram Panchayat Anadra</t>
        </is>
      </c>
      <c r="G2643" t="inlineStr">
        <is>
          <t>Gram Panchayat Anadra</t>
        </is>
      </c>
    </row>
    <row r="2644">
      <c r="A2644" s="1" t="n">
        <v>2642</v>
      </c>
      <c r="B2644">
        <f>HYPERLINK("https://eproc.rajasthan.gov.in/nicgep/app?component=%24DirectLink&amp;page=FrontEndViewTender&amp;service=direct&amp;session=T&amp;sp=Slh0xeM%2FzRHs9sISYY0Z1Lg%3D%3D", "Open Competitive e-Bids are Invited for Cleaning and Sanitation Services at Gram Panchayat Dabani")</f>
        <v/>
      </c>
      <c r="C2644" t="inlineStr">
        <is>
          <t>Panchayati Raj Department||Secretary and Commissioner||CEO-SIROHI||BDO-REVDAR</t>
        </is>
      </c>
      <c r="D2644" t="inlineStr">
        <is>
          <t>19-May-2025 06:00 PM</t>
        </is>
      </c>
      <c r="E2644" t="inlineStr">
        <is>
          <t>16,84,814</t>
        </is>
      </c>
      <c r="F2644" t="inlineStr">
        <is>
          <t>Open Competitive e-Bids are Invited for Cleaning and Sanitation Services at Gram Panchayat Dabani</t>
        </is>
      </c>
      <c r="G2644" t="inlineStr">
        <is>
          <t>Gram Panchayat Dabani</t>
        </is>
      </c>
    </row>
    <row r="2645">
      <c r="A2645" s="1" t="n">
        <v>2643</v>
      </c>
      <c r="B2645">
        <f>HYPERLINK("https://eproc.rajasthan.gov.in/nicgep/app?component=%24DirectLink&amp;page=FrontEndViewTender&amp;service=direct&amp;session=T&amp;sp=SV0Cvl%2BpTTcCKwtEAgnjkZA%3D%3D", "Open Competitive e-Bids are Invited for Cleaning and Sanitation Services at Gram Panchayat Dhawali")</f>
        <v/>
      </c>
      <c r="C2645" t="inlineStr">
        <is>
          <t>Panchayati Raj Department||Secretary and Commissioner||CEO-SIROHI||BDO-REVDAR</t>
        </is>
      </c>
      <c r="D2645" t="inlineStr">
        <is>
          <t>19-May-2025 06:00 PM</t>
        </is>
      </c>
      <c r="E2645" t="inlineStr">
        <is>
          <t>14,35,064</t>
        </is>
      </c>
      <c r="F2645" t="inlineStr">
        <is>
          <t>Open Competitive e-Bids are Invited for Cleaning and Sanitation Services at Gram Panchayat Dhawali</t>
        </is>
      </c>
      <c r="G2645" t="inlineStr">
        <is>
          <t>Gram Panchayat Dhawali</t>
        </is>
      </c>
    </row>
    <row r="2646">
      <c r="A2646" s="1" t="n">
        <v>2644</v>
      </c>
      <c r="B2646">
        <f>HYPERLINK("https://eproc.rajasthan.gov.in/nicgep/app?component=%24DirectLink&amp;page=FrontEndViewTender&amp;service=direct&amp;session=T&amp;sp=SZgolC1ASJ1bNHlvxXujUZg%3D%3D", "Open Competitive e-Bids are Invited for Cleaning and Sanitation Services at Gram Panchayat Wasan")</f>
        <v/>
      </c>
      <c r="C2646" t="inlineStr">
        <is>
          <t>Panchayati Raj Department||Secretary and Commissioner||CEO-SIROHI||BDO-REVDAR</t>
        </is>
      </c>
      <c r="D2646" t="inlineStr">
        <is>
          <t>19-May-2025 06:00 PM</t>
        </is>
      </c>
      <c r="E2646" t="inlineStr">
        <is>
          <t>13,09,388</t>
        </is>
      </c>
      <c r="F2646" t="inlineStr">
        <is>
          <t>Open Competitive e-Bids are Invited for Cleaning and Sanitation Services at Gram Panchayat Wasan</t>
        </is>
      </c>
      <c r="G2646" t="inlineStr">
        <is>
          <t>Gram Panchayat Wasan</t>
        </is>
      </c>
    </row>
    <row r="2647">
      <c r="A2647" s="1" t="n">
        <v>2645</v>
      </c>
      <c r="B2647">
        <f>HYPERLINK("https://eproc.rajasthan.gov.in/nicgep/app?component=%24DirectLink&amp;page=FrontEndViewTender&amp;service=direct&amp;session=T&amp;sp=SaTGz0smRfRkUpKNK5o74gA%3D%3D", "Open Competitive e-Bids are Invited for Cleaning and Sanitation Services at Gram Panchayat Bhatana")</f>
        <v/>
      </c>
      <c r="C2647" t="inlineStr">
        <is>
          <t>Panchayati Raj Department||Secretary and Commissioner||CEO-SIROHI||BDO-REVDAR</t>
        </is>
      </c>
      <c r="D2647" t="inlineStr">
        <is>
          <t>19-May-2025 06:00 PM</t>
        </is>
      </c>
      <c r="E2647" t="inlineStr">
        <is>
          <t>17,90,438</t>
        </is>
      </c>
      <c r="F2647" t="inlineStr">
        <is>
          <t>Open Competitive e-Bids are Invited for Cleaning and Sanitation Services at Gram Panchayat Bhatana</t>
        </is>
      </c>
      <c r="G2647" t="inlineStr">
        <is>
          <t>Gram Panchayat Bhatana</t>
        </is>
      </c>
    </row>
    <row r="2648">
      <c r="A2648" s="1" t="n">
        <v>2646</v>
      </c>
      <c r="B2648">
        <f>HYPERLINK("https://eproc.rajasthan.gov.in/nicgep/app?component=%24DirectLink&amp;page=FrontEndViewTender&amp;service=direct&amp;session=T&amp;sp=S5PDT4UhSfR2Zw3Y9ScXUFg%3D%3D", "Open Competitive e-Bids are Invited for Cleaning and Sanitation Services at Gram Panchayat Bant")</f>
        <v/>
      </c>
      <c r="C2648" t="inlineStr">
        <is>
          <t>Panchayati Raj Department||Secretary and Commissioner||CEO-SIROHI||BDO-REVDAR</t>
        </is>
      </c>
      <c r="D2648" t="inlineStr">
        <is>
          <t>19-May-2025 06:00 PM</t>
        </is>
      </c>
      <c r="E2648" t="inlineStr">
        <is>
          <t>11,92,986</t>
        </is>
      </c>
      <c r="F2648" t="inlineStr">
        <is>
          <t>Open Competitive e-Bids are Invited for Cleaning and Sanitation Services at Gram Panchayat Bant</t>
        </is>
      </c>
      <c r="G2648" t="inlineStr">
        <is>
          <t>Gram Panchayat Bant</t>
        </is>
      </c>
    </row>
    <row r="2649">
      <c r="A2649" s="1" t="n">
        <v>2647</v>
      </c>
      <c r="B2649">
        <f>HYPERLINK("https://eproc.rajasthan.gov.in/nicgep/app?component=%24DirectLink&amp;page=FrontEndViewTender&amp;service=direct&amp;session=T&amp;sp=SYce%2Ba2nr%2F0rGQOBN6dXfrw%3D%3D", "Open Competitive e-Bids are Invited for Cleaning and Sanitation Services at Gram Panchayat Rohua")</f>
        <v/>
      </c>
      <c r="C2649" t="inlineStr">
        <is>
          <t>Panchayati Raj Department||Secretary and Commissioner||CEO-SIROHI||BDO-REVDAR</t>
        </is>
      </c>
      <c r="D2649" t="inlineStr">
        <is>
          <t>19-May-2025 06:00 PM</t>
        </is>
      </c>
      <c r="E2649" t="inlineStr">
        <is>
          <t>13,28,763</t>
        </is>
      </c>
      <c r="F2649" t="inlineStr">
        <is>
          <t>Open Competitive e-Bids are Invited for Cleaning and Sanitation Services at Gram Panchayat Rohua</t>
        </is>
      </c>
      <c r="G2649" t="inlineStr">
        <is>
          <t>Gram Panchayat Rohua</t>
        </is>
      </c>
    </row>
    <row r="2650">
      <c r="A2650" s="1" t="n">
        <v>2648</v>
      </c>
      <c r="B2650">
        <f>HYPERLINK("https://eproc.rajasthan.gov.in/nicgep/app?component=%24DirectLink&amp;page=FrontEndViewTender&amp;service=direct&amp;session=T&amp;sp=SKZAIst%2FvEREZj%2BZHDY%2BLOg%3D%3D", "Open Competitive e-Bids are Invited for Cleaning and Sanitation Services at Gram Panchayat Sanwara")</f>
        <v/>
      </c>
      <c r="C2650" t="inlineStr">
        <is>
          <t>Panchayati Raj Department||Secretary and Commissioner||CEO-SIROHI||BDO-REVDAR</t>
        </is>
      </c>
      <c r="D2650" t="inlineStr">
        <is>
          <t>19-May-2025 06:00 PM</t>
        </is>
      </c>
      <c r="E2650" t="inlineStr">
        <is>
          <t>13,25,365</t>
        </is>
      </c>
      <c r="F2650" t="inlineStr">
        <is>
          <t>Open Competitive e-Bids are Invited for Cleaning and Sanitation Services at Gram Panchayat Sanwara</t>
        </is>
      </c>
      <c r="G2650" t="inlineStr">
        <is>
          <t>Gram Panchayat Sanwara</t>
        </is>
      </c>
    </row>
    <row r="2651">
      <c r="A2651" s="1" t="n">
        <v>2649</v>
      </c>
      <c r="B2651">
        <f>HYPERLINK("https://eproc.rajasthan.gov.in/nicgep/app?component=%24DirectLink&amp;page=FrontEndViewTender&amp;service=direct&amp;session=T&amp;sp=Sr%2FF26tHZSnNG9r14DKoUmw%3D%3D", "Open Competitive e-Bids are Invited for Cleaning and Sanitation Services at Gram Panchayat Sirodi")</f>
        <v/>
      </c>
      <c r="C2651" t="inlineStr">
        <is>
          <t>Panchayati Raj Department||Secretary and Commissioner||CEO-SIROHI||BDO-REVDAR</t>
        </is>
      </c>
      <c r="D2651" t="inlineStr">
        <is>
          <t>19-May-2025 06:00 PM</t>
        </is>
      </c>
      <c r="E2651" t="inlineStr">
        <is>
          <t>23,18,162</t>
        </is>
      </c>
      <c r="F2651" t="inlineStr">
        <is>
          <t>Open Competitive e-Bids are Invited for Cleaning and Sanitation Services at Gram Panchayat Sirodi</t>
        </is>
      </c>
      <c r="G2651" t="inlineStr">
        <is>
          <t>Gram Panchayat Sirodi</t>
        </is>
      </c>
    </row>
    <row r="2652">
      <c r="A2652" s="1" t="n">
        <v>2650</v>
      </c>
      <c r="B2652">
        <f>HYPERLINK("https://eproc.rajasthan.gov.in/nicgep/app?component=%24DirectLink&amp;page=FrontEndViewTender&amp;service=direct&amp;session=T&amp;sp=SuncOeBsnD3N2afDkIe9CQg%3D%3D", "MATERIAL SUPPLY FOR MGNREGA WORKS IN GP SIMARKHIYA PS PATODI DISTRICT BALOTRA")</f>
        <v/>
      </c>
      <c r="C2652" t="inlineStr">
        <is>
          <t>Panchayati Raj Department||Secretary and Commissioner||CEO-BADMER||BDO-BALOTRA</t>
        </is>
      </c>
      <c r="D2652" t="inlineStr">
        <is>
          <t>19-May-2025 06:00 PM</t>
        </is>
      </c>
      <c r="E2652" t="inlineStr">
        <is>
          <t>75,00,000</t>
        </is>
      </c>
      <c r="F2652" t="inlineStr">
        <is>
          <t>MATERIAL SUPPLY</t>
        </is>
      </c>
      <c r="G2652" t="inlineStr">
        <is>
          <t>GP SIMARKHIYA</t>
        </is>
      </c>
    </row>
    <row r="2653">
      <c r="A2653" s="1" t="n">
        <v>2651</v>
      </c>
      <c r="B2653">
        <f>HYPERLINK("https://eproc.rajasthan.gov.in/nicgep/app?component=%24DirectLink&amp;page=FrontEndViewTender&amp;service=direct&amp;session=T&amp;sp=SvGsKGFc8XkDXz725YdfJmA%3D%3D", "MATERIAL SUPPLY AND EQUIPMENT SUPPLY FOR CONSTRUCTION WORK IN G.P. MAJHOLA P.S. DUNGARPUR DISTRICT DUNGARPUR")</f>
        <v/>
      </c>
      <c r="C2653" t="inlineStr">
        <is>
          <t>Panchayati Raj Department||Secretary and Commissioner||CEO- DUNGARPUR||BDO- DUNGARPUR</t>
        </is>
      </c>
      <c r="D2653" t="inlineStr">
        <is>
          <t>21-May-2025 06:00 PM</t>
        </is>
      </c>
      <c r="E2653" t="inlineStr">
        <is>
          <t>60,00,000</t>
        </is>
      </c>
      <c r="F2653" t="inlineStr">
        <is>
          <t>MATERIAL SUPPLY AND EQUIPMENT SUPPLY FOR CONSTRUCTION WORK IN G.P. MAJHOLA P.S. DUNGARPUR DISTRICT DUNGARPUR</t>
        </is>
      </c>
      <c r="G2653" t="inlineStr">
        <is>
          <t>DUNGARPUR</t>
        </is>
      </c>
    </row>
    <row r="2654">
      <c r="A2654" s="1" t="n">
        <v>2652</v>
      </c>
      <c r="B2654">
        <f>HYPERLINK("https://eproc.rajasthan.gov.in/nicgep/app?component=%24DirectLink&amp;page=FrontEndViewTender&amp;service=direct&amp;session=T&amp;sp=S9vbvm59lOr49hTztpFvlYw%3D%3D", "MATERIAL SUPPLY AND EQUIPMENT SUPPLY FOR CONSTRUCTION WORK IN G.P. BHATPUR P.S. DUNGARPUR DISTRICT DUNGARPUR")</f>
        <v/>
      </c>
      <c r="C2654" t="inlineStr">
        <is>
          <t>Panchayati Raj Department||Secretary and Commissioner||CEO- DUNGARPUR||BDO- DUNGARPUR</t>
        </is>
      </c>
      <c r="D2654" t="inlineStr">
        <is>
          <t>21-May-2025 06:00 PM</t>
        </is>
      </c>
      <c r="E2654" t="inlineStr">
        <is>
          <t>60,00,000</t>
        </is>
      </c>
      <c r="F2654" t="inlineStr">
        <is>
          <t>MATERIAL SUPPLY AND EQUIPMENT SUPPLY FOR CONSTRUCTION WORK IN G.P. BHATPUR P.S. DUNGARPUR DISTRICT DUNGARPUR</t>
        </is>
      </c>
      <c r="G2654" t="inlineStr">
        <is>
          <t>DUNGARPUR</t>
        </is>
      </c>
    </row>
    <row r="2655">
      <c r="A2655" s="1" t="n">
        <v>2653</v>
      </c>
      <c r="B2655">
        <f>HYPERLINK("https://eproc.rajasthan.gov.in/nicgep/app?component=%24DirectLink&amp;page=FrontEndViewTender&amp;service=direct&amp;session=T&amp;sp=SAMk%2BoYYIrZoqTaDVrTK2%2BA%3D%3D", "GP SABUAANA SAF SFAI TENDER PANCHAYAT SAMITI TIBBI")</f>
        <v/>
      </c>
      <c r="C2655" t="inlineStr">
        <is>
          <t>Panchayati Raj Department||Secretary and Commissioner||CEO- HANUMANGARH||BDO-TIBBI</t>
        </is>
      </c>
      <c r="D2655" t="inlineStr">
        <is>
          <t>19-May-2025 06:00 PM</t>
        </is>
      </c>
      <c r="E2655" t="inlineStr">
        <is>
          <t>6,96,000</t>
        </is>
      </c>
      <c r="F2655" t="inlineStr">
        <is>
          <t>GP SABUAANA SAF SFAI TENDER PANCHAYAT SAMITI TIBBI</t>
        </is>
      </c>
      <c r="G2655" t="inlineStr">
        <is>
          <t>GP SABUAANA</t>
        </is>
      </c>
    </row>
    <row r="2656">
      <c r="A2656" s="1" t="n">
        <v>2654</v>
      </c>
      <c r="B2656">
        <f>HYPERLINK("https://eproc.rajasthan.gov.in/nicgep/app?component=%24DirectLink&amp;page=FrontEndViewTender&amp;service=direct&amp;session=T&amp;sp=SCPEnCNBqo6siSK6p5NMX%2BQ%3D%3D", "MATERIAL SUPPLY AND EQUIPMENT SUPPLY FOR CONSTRUCTION WORK IN G.P. THANA P.S. DUNGARPUR DISTRICT DUNGARPUR")</f>
        <v/>
      </c>
      <c r="C2656" t="inlineStr">
        <is>
          <t>Panchayati Raj Department||Secretary and Commissioner||CEO- DUNGARPUR||BDO- DUNGARPUR</t>
        </is>
      </c>
      <c r="D2656" t="inlineStr">
        <is>
          <t>21-May-2025 06:00 PM</t>
        </is>
      </c>
      <c r="E2656" t="inlineStr">
        <is>
          <t>60,00,000</t>
        </is>
      </c>
      <c r="F2656" t="inlineStr">
        <is>
          <t>MATERIAL SUPPLY AND EQUIPMENT SUPPLY FOR CONSTRUCTION WORK IN G.P. THANA P.S. DUNGARPUR DISTRICT DUNGARPUR</t>
        </is>
      </c>
      <c r="G2656" t="inlineStr">
        <is>
          <t>DUNGARPUR</t>
        </is>
      </c>
    </row>
    <row r="2657">
      <c r="A2657" s="1" t="n">
        <v>2655</v>
      </c>
      <c r="B2657">
        <f>HYPERLINK("https://eproc.rajasthan.gov.in/nicgep/app?component=%24DirectLink&amp;page=FrontEndViewTender&amp;service=direct&amp;session=T&amp;sp=SgDGqvKnUOmfjtxJKC2Yg%2Fg%3D%3D", "MATERIAL SUPPLY AND EQUIPMENT SUPPLY FOR CONSTRUCTION WORK IN G.P. SURPUR P.S. DUNGARPUR DISTRICT DUNGARPUR")</f>
        <v/>
      </c>
      <c r="C2657" t="inlineStr">
        <is>
          <t>Panchayati Raj Department||Secretary and Commissioner||CEO- DUNGARPUR||BDO- DUNGARPUR</t>
        </is>
      </c>
      <c r="D2657" t="inlineStr">
        <is>
          <t>21-May-2025 06:00 PM</t>
        </is>
      </c>
      <c r="E2657" t="inlineStr">
        <is>
          <t>60,00,000</t>
        </is>
      </c>
      <c r="F2657" t="inlineStr">
        <is>
          <t>MATERIAL SUPPLY AND EQUIPMENT SUPPLY FOR CONSTRUCTION WORK IN G.P. SURPUR P.S. DUNGARPUR DISTRICT DUNGARPUR</t>
        </is>
      </c>
      <c r="G2657" t="inlineStr">
        <is>
          <t>DUNGARPUR</t>
        </is>
      </c>
    </row>
    <row r="2658">
      <c r="A2658" s="1" t="n">
        <v>2656</v>
      </c>
      <c r="B2658">
        <f>HYPERLINK("https://eproc.rajasthan.gov.in/nicgep/app?component=%24DirectLink&amp;page=FrontEndViewTender&amp;service=direct&amp;session=T&amp;sp=S18AVKTYk9cjS0mgB%2B9XTmA%3D%3D", "MATERIAL SUPPLY AND EQUIPMENT SUPPLY FOR CONSTRUCTION WORK IN G.P. VAGDARI P.S. DUNGARPUR DISTRICT DUNGARPUR")</f>
        <v/>
      </c>
      <c r="C2658" t="inlineStr">
        <is>
          <t>Panchayati Raj Department||Secretary and Commissioner||CEO- DUNGARPUR||BDO- DUNGARPUR</t>
        </is>
      </c>
      <c r="D2658" t="inlineStr">
        <is>
          <t>21-May-2025 06:00 PM</t>
        </is>
      </c>
      <c r="E2658" t="inlineStr">
        <is>
          <t>60,00,000</t>
        </is>
      </c>
      <c r="F2658" t="inlineStr">
        <is>
          <t>MATERIAL SUPPLY AND EQUIPMENT SUPPLY FOR CONSTRUCTION WORK IN G.P. VAGDARI P.S. DUNGARPUR DISTRICT DUNGARPUR</t>
        </is>
      </c>
      <c r="G2658" t="inlineStr">
        <is>
          <t>DUNGARPUR</t>
        </is>
      </c>
    </row>
    <row r="2659">
      <c r="A2659" s="1" t="n">
        <v>2657</v>
      </c>
      <c r="B2659">
        <f>HYPERLINK("https://eproc.rajasthan.gov.in/nicgep/app?component=%24DirectLink&amp;page=FrontEndViewTender&amp;service=direct&amp;session=T&amp;sp=SxtOp%2BOzH5xGRKiNThEcdNA%3D%3D", "Purchasing of Road and Building Material Works for GP bharaman bairada")</f>
        <v/>
      </c>
      <c r="C2659" t="inlineStr">
        <is>
          <t>Panchayati Raj Department||Secretary and Commissioner||CEO-DAUSA||BDO-SIKANDARA</t>
        </is>
      </c>
      <c r="D2659" t="inlineStr">
        <is>
          <t>19-May-2025 05:00 PM</t>
        </is>
      </c>
      <c r="E2659" t="inlineStr">
        <is>
          <t>40,00,000</t>
        </is>
      </c>
      <c r="F2659" t="inlineStr">
        <is>
          <t>Rate Contract for providing material supply and equipment for all construction works conducted in all schemes of Rural Development and Panchayati Raj Department and MG Nrega in GP BHARAMN BAIRDA PS SIKANDRA Dist Dausa for the FY-2025-26</t>
        </is>
      </c>
      <c r="G2659" t="inlineStr">
        <is>
          <t>GRAM PACNHAYAT BRAHMAN BAIRADA</t>
        </is>
      </c>
    </row>
    <row r="2660">
      <c r="A2660" s="1" t="n">
        <v>2658</v>
      </c>
      <c r="B2660">
        <f>HYPERLINK("https://eproc.rajasthan.gov.in/nicgep/app?component=%24DirectLink&amp;page=FrontEndViewTender&amp;service=direct&amp;session=T&amp;sp=S2hewm1%2Ftx32oIoNWGdHsvA%3D%3D", "SUPPLY OF BUILDING MATERIAL AND EQUIPMENT IN Gp Dudhu PS DHORIMANA")</f>
        <v/>
      </c>
      <c r="C2660" t="inlineStr">
        <is>
          <t>Panchayati Raj Department||Secretary and Commissioner||CEO-BADMER||BDO-DHORIMANNA</t>
        </is>
      </c>
      <c r="D2660" t="inlineStr">
        <is>
          <t>19-May-2025 06:00 PM</t>
        </is>
      </c>
      <c r="E2660" t="inlineStr">
        <is>
          <t>1,00,00,000</t>
        </is>
      </c>
      <c r="F2660" t="inlineStr">
        <is>
          <t>SUPPLY OF BUILDING MATERIAL AND EQUIPMENT IN Gp Dudhu PS DHORIMANA</t>
        </is>
      </c>
      <c r="G2660" t="inlineStr">
        <is>
          <t>GP Dudhu</t>
        </is>
      </c>
    </row>
    <row r="2661">
      <c r="A2661" s="1" t="n">
        <v>2659</v>
      </c>
      <c r="B2661">
        <f>HYPERLINK("https://eproc.rajasthan.gov.in/nicgep/app?component=%24DirectLink&amp;page=FrontEndViewTender&amp;service=direct&amp;session=T&amp;sp=ShtXC0x8S2cSXnB3XhLLaRQ%3D%3D", "SUPPLY OF BUILDING MATERIAL AND EQUIPMENT IN GP Lookhu PS DHORIMANA")</f>
        <v/>
      </c>
      <c r="C2661" t="inlineStr">
        <is>
          <t>Panchayati Raj Department||Secretary and Commissioner||CEO-BADMER||BDO-DHORIMANNA</t>
        </is>
      </c>
      <c r="D2661" t="inlineStr">
        <is>
          <t>19-May-2025 06:00 PM</t>
        </is>
      </c>
      <c r="E2661" t="inlineStr">
        <is>
          <t>1,00,00,000</t>
        </is>
      </c>
      <c r="F2661" t="inlineStr">
        <is>
          <t>SUPPLY OF BUILDING MATERIAL AND EQUIPMENT IN GP Lookhu PS DHORIMANA</t>
        </is>
      </c>
      <c r="G2661" t="inlineStr">
        <is>
          <t>GP Lookhu</t>
        </is>
      </c>
    </row>
    <row r="2662">
      <c r="A2662" s="1" t="n">
        <v>2660</v>
      </c>
      <c r="B2662">
        <f>HYPERLINK("https://eproc.rajasthan.gov.in/nicgep/app?component=%24DirectLink&amp;page=FrontEndViewTender&amp;service=direct&amp;session=T&amp;sp=SRjcOMAv6Zd69RHelATSTcA%3D%3D", "GP SILWALA KHURD SAF SFAI TENDER PANCHAYAT SAMITI TIBBI")</f>
        <v/>
      </c>
      <c r="C2662" t="inlineStr">
        <is>
          <t>Panchayati Raj Department||Secretary and Commissioner||CEO- HANUMANGARH||BDO-TIBBI</t>
        </is>
      </c>
      <c r="D2662" t="inlineStr">
        <is>
          <t>19-May-2025 06:00 PM</t>
        </is>
      </c>
      <c r="E2662" t="inlineStr">
        <is>
          <t>8,40,000</t>
        </is>
      </c>
      <c r="F2662" t="inlineStr">
        <is>
          <t>GP SILWALA KHURD SAF SFAI TENDER PANCHAYAT SAMITI TIBBI</t>
        </is>
      </c>
      <c r="G2662" t="inlineStr">
        <is>
          <t>GP SILWALA KHURD</t>
        </is>
      </c>
    </row>
    <row r="2663">
      <c r="A2663" s="1" t="n">
        <v>2661</v>
      </c>
      <c r="B2663">
        <f>HYPERLINK("https://eproc.rajasthan.gov.in/nicgep/app?component=%24DirectLink&amp;page=FrontEndViewTender&amp;service=direct&amp;session=T&amp;sp=Sx9e3%2FxJGL8tXBUlzgJxmYw%3D%3D", "GP KHINANIY SAF SFAI TENDER PANCHAYAT SAMITI TIBBI")</f>
        <v/>
      </c>
      <c r="C2663" t="inlineStr">
        <is>
          <t>Panchayati Raj Department||Secretary and Commissioner||CEO- HANUMANGARH||BDO-TIBBI</t>
        </is>
      </c>
      <c r="D2663" t="inlineStr">
        <is>
          <t>19-May-2025 06:00 PM</t>
        </is>
      </c>
      <c r="E2663" t="inlineStr">
        <is>
          <t>10,00,000</t>
        </is>
      </c>
      <c r="F2663" t="inlineStr">
        <is>
          <t>GP KHINANIYA SAF SFAI TENDER PANCHAYAT SAMITI TIBBI</t>
        </is>
      </c>
      <c r="G2663" t="inlineStr">
        <is>
          <t>GP KHINANIYA</t>
        </is>
      </c>
    </row>
    <row r="2664">
      <c r="A2664" s="1" t="n">
        <v>2662</v>
      </c>
      <c r="B2664">
        <f>HYPERLINK("https://eproc.rajasthan.gov.in/nicgep/app?component=%24DirectLink&amp;page=FrontEndViewTender&amp;service=direct&amp;session=T&amp;sp=Sb6%2BaRjZiUkd5oBgehV27Yg%3D%3D", "GP SALIWALA SAF SFAI TENDER PANCHAYAT SAMITI TIBBI")</f>
        <v/>
      </c>
      <c r="C2664" t="inlineStr">
        <is>
          <t>Panchayati Raj Department||Secretary and Commissioner||CEO- HANUMANGARH||BDO-TIBBI</t>
        </is>
      </c>
      <c r="D2664" t="inlineStr">
        <is>
          <t>19-May-2025 06:00 PM</t>
        </is>
      </c>
      <c r="E2664" t="inlineStr">
        <is>
          <t>10,00,000</t>
        </is>
      </c>
      <c r="F2664" t="inlineStr">
        <is>
          <t>GP SALIWALA SAF SFAI TENDER PANCHAYAT SAMITI TIBBI</t>
        </is>
      </c>
      <c r="G2664" t="inlineStr">
        <is>
          <t>GP SALIWALA</t>
        </is>
      </c>
    </row>
    <row r="2665">
      <c r="A2665" s="1" t="n">
        <v>2663</v>
      </c>
      <c r="B2665">
        <f>HYPERLINK("https://eproc.rajasthan.gov.in/nicgep/app?component=%24DirectLink&amp;page=FrontEndViewTender&amp;service=direct&amp;session=T&amp;sp=SbXtgKp381CmJVSMnXM4Bcw%3D%3D", "Gram Panchayat HADIYA Material Supply All Scheme Works FY 2025-26")</f>
        <v/>
      </c>
      <c r="C2665" t="inlineStr">
        <is>
          <t>Panchayati Raj Department||Secretary and Commissioner||CEO-DAUSA||BDO-MAHUVA</t>
        </is>
      </c>
      <c r="D2665" t="inlineStr">
        <is>
          <t>24-May-2025 05:00 PM</t>
        </is>
      </c>
      <c r="E2665" t="inlineStr">
        <is>
          <t>35,00,000</t>
        </is>
      </c>
      <c r="F2665" t="inlineStr">
        <is>
          <t>Rate contract For supply of Construcation Material and Providing Equipments for MGNREGA in Gram panchayat HADIYA Panchayat samiti Mahwa For FY 2025-26 UP to 31 March 2026 (ITEM WISE RATE AS PEAR ATTACHED G SCHEDULE</t>
        </is>
      </c>
      <c r="G2665" t="inlineStr">
        <is>
          <t>Gram panchayat HADIYA</t>
        </is>
      </c>
    </row>
    <row r="2666">
      <c r="A2666" s="1" t="n">
        <v>2664</v>
      </c>
      <c r="B2666">
        <f>HYPERLINK("https://eproc.rajasthan.gov.in/nicgep/app?component=%24DirectLink&amp;page=FrontEndViewTender&amp;service=direct&amp;session=T&amp;sp=SbFxnlqADa6b8oSmm%2B5spJg%3D%3D", "GP SAHARNI SAF SFAI TENDER PANCHAYAT SAMITI TIBBI")</f>
        <v/>
      </c>
      <c r="C2666" t="inlineStr">
        <is>
          <t>Panchayati Raj Department||Secretary and Commissioner||CEO- HANUMANGARH||BDO-TIBBI</t>
        </is>
      </c>
      <c r="D2666" t="inlineStr">
        <is>
          <t>19-May-2025 06:00 PM</t>
        </is>
      </c>
      <c r="E2666" t="inlineStr">
        <is>
          <t>5,88,000</t>
        </is>
      </c>
      <c r="F2666" t="inlineStr">
        <is>
          <t>GP SAHARNI SAF SFAI TENDER PANCHAYAT SAMITI TIBBI</t>
        </is>
      </c>
      <c r="G2666" t="inlineStr">
        <is>
          <t>GP SAHARNI</t>
        </is>
      </c>
    </row>
    <row r="2667">
      <c r="A2667" s="1" t="n">
        <v>2665</v>
      </c>
      <c r="B2667">
        <f>HYPERLINK("https://eproc.rajasthan.gov.in/nicgep/app?component=%24DirectLink&amp;page=FrontEndViewTender&amp;service=direct&amp;session=T&amp;sp=SHr2T0qEfE8CqmaDL7p4g4A%3D%3D", "GP SALEMGARH MASANI SAF SFAI TENDER PANCHAYAT SAMITI TIBBI")</f>
        <v/>
      </c>
      <c r="C2667" t="inlineStr">
        <is>
          <t>Panchayati Raj Department||Secretary and Commissioner||CEO- HANUMANGARH||BDO-TIBBI</t>
        </is>
      </c>
      <c r="D2667" t="inlineStr">
        <is>
          <t>19-May-2025 06:00 PM</t>
        </is>
      </c>
      <c r="E2667" t="inlineStr">
        <is>
          <t>9,63,000</t>
        </is>
      </c>
      <c r="F2667" t="inlineStr">
        <is>
          <t>GP SALEMGARH MASANI SAF SFAI TENDER PANCHAYAT SAMITI TIBBI</t>
        </is>
      </c>
      <c r="G2667" t="inlineStr">
        <is>
          <t>GP SALEMGARH MASANI</t>
        </is>
      </c>
    </row>
    <row r="2668">
      <c r="A2668" s="1" t="n">
        <v>2666</v>
      </c>
      <c r="B2668">
        <f>HYPERLINK("https://eproc.rajasthan.gov.in/nicgep/app?component=%24DirectLink&amp;page=FrontEndViewTender&amp;service=direct&amp;session=T&amp;sp=SpsHu2m%2FAfWW9lS%2BTae%2BN8Q%3D%3D", "GP SUREWALA SAF SFAI TENDER PANCHAYAT SAMITI TIBBI")</f>
        <v/>
      </c>
      <c r="C2668" t="inlineStr">
        <is>
          <t>Panchayati Raj Department||Secretary and Commissioner||CEO- HANUMANGARH||BDO-TIBBI</t>
        </is>
      </c>
      <c r="D2668" t="inlineStr">
        <is>
          <t>19-May-2025 06:00 PM</t>
        </is>
      </c>
      <c r="E2668" t="inlineStr">
        <is>
          <t>9,93,000</t>
        </is>
      </c>
      <c r="F2668" t="inlineStr">
        <is>
          <t>GP SUREWALA SAF SFAI TENDER PANCHAYAT SAMITI TIBBI</t>
        </is>
      </c>
      <c r="G2668" t="inlineStr">
        <is>
          <t>GP SUREWALA</t>
        </is>
      </c>
    </row>
    <row r="2669">
      <c r="A2669" s="1" t="n">
        <v>2667</v>
      </c>
      <c r="B2669">
        <f>HYPERLINK("https://eproc.rajasthan.gov.in/nicgep/app?component=%24DirectLink&amp;page=FrontEndViewTender&amp;service=direct&amp;session=T&amp;sp=SVumcELf93wKF1dbQj9MCxw%3D%3D", "GP BEHARWALA KLAN SAF SFAI TENDER PANCHAYAT SAMITI TIBBI")</f>
        <v/>
      </c>
      <c r="C2669" t="inlineStr">
        <is>
          <t>Panchayati Raj Department||Secretary and Commissioner||CEO- HANUMANGARH||BDO-TIBBI</t>
        </is>
      </c>
      <c r="D2669" t="inlineStr">
        <is>
          <t>19-May-2025 06:00 PM</t>
        </is>
      </c>
      <c r="E2669" t="inlineStr">
        <is>
          <t>7,05,000</t>
        </is>
      </c>
      <c r="F2669" t="inlineStr">
        <is>
          <t>GP BEHARWALA KLAN SAF SFAI TENDER PANCHAYAT SAMITI TIBBI</t>
        </is>
      </c>
      <c r="G2669" t="inlineStr">
        <is>
          <t>GP BEHARWALA KLAN</t>
        </is>
      </c>
    </row>
    <row r="2670">
      <c r="A2670" s="1" t="n">
        <v>2668</v>
      </c>
      <c r="B2670">
        <f>HYPERLINK("https://eproc.rajasthan.gov.in/nicgep/app?component=%24DirectLink&amp;page=FrontEndViewTender&amp;service=direct&amp;session=T&amp;sp=S1Ir9jGR01tfesEEcRjPpng%3D%3D", "GP bashir SAF SFAI TENDER PANCHAYAT SAMITI TIBBI")</f>
        <v/>
      </c>
      <c r="C2670" t="inlineStr">
        <is>
          <t>Panchayati Raj Department||Secretary and Commissioner||CEO- HANUMANGARH||BDO-TIBBI</t>
        </is>
      </c>
      <c r="D2670" t="inlineStr">
        <is>
          <t>19-May-2025 06:00 PM</t>
        </is>
      </c>
      <c r="E2670" t="inlineStr">
        <is>
          <t>8,68,000</t>
        </is>
      </c>
      <c r="F2670" t="inlineStr">
        <is>
          <t>GP bashir SAF SFAI TENDER PANCHAYAT SAMITI TIBBI</t>
        </is>
      </c>
      <c r="G2670" t="inlineStr">
        <is>
          <t>GP bashir</t>
        </is>
      </c>
    </row>
    <row r="2671">
      <c r="A2671" s="1" t="n">
        <v>2669</v>
      </c>
      <c r="B2671">
        <f>HYPERLINK("https://eproc.rajasthan.gov.in/nicgep/app?component=%24DirectLink&amp;page=FrontEndViewTender&amp;service=direct&amp;session=T&amp;sp=S3raFHChIBfC8Su%2BHq8hwRg%3D%3D", "GP PANNIWALI SAF SFAI TENDER PANCHAYAT SAMITI TIBBI")</f>
        <v/>
      </c>
      <c r="C2671" t="inlineStr">
        <is>
          <t>Panchayati Raj Department||Secretary and Commissioner||CEO- HANUMANGARH||BDO-TIBBI</t>
        </is>
      </c>
      <c r="D2671" t="inlineStr">
        <is>
          <t>19-May-2025 06:00 PM</t>
        </is>
      </c>
      <c r="E2671" t="inlineStr">
        <is>
          <t>7,00,000</t>
        </is>
      </c>
      <c r="F2671" t="inlineStr">
        <is>
          <t>GP PANNIWALI SAF SFAI TENDER PANCHAYAT SAMITI TIBBI</t>
        </is>
      </c>
      <c r="G2671" t="inlineStr">
        <is>
          <t>GP PANNIWALI</t>
        </is>
      </c>
    </row>
    <row r="2672">
      <c r="A2672" s="1" t="n">
        <v>2670</v>
      </c>
      <c r="B2672">
        <f>HYPERLINK("https://eproc.rajasthan.gov.in/nicgep/app?component=%24DirectLink&amp;page=FrontEndViewTender&amp;service=direct&amp;session=T&amp;sp=SOPctel3Z8Nw5DJoYSc7JYQ%3D%3D", "GP PEERKAMDIYA SAF SFAI TENDER PANCHAYAT SAMITI TIBBI")</f>
        <v/>
      </c>
      <c r="C2672" t="inlineStr">
        <is>
          <t>Panchayati Raj Department||Secretary and Commissioner||CEO- HANUMANGARH||BDO-TIBBI</t>
        </is>
      </c>
      <c r="D2672" t="inlineStr">
        <is>
          <t>19-May-2025 06:00 PM</t>
        </is>
      </c>
      <c r="E2672" t="inlineStr">
        <is>
          <t>10,00,000</t>
        </is>
      </c>
      <c r="F2672" t="inlineStr">
        <is>
          <t>GP PEERKAMDIYA SAF SFAI TENDER PANCHAYAT SAMITI TIBBI</t>
        </is>
      </c>
      <c r="G2672" t="inlineStr">
        <is>
          <t>GP PEERKAMDIYA</t>
        </is>
      </c>
    </row>
    <row r="2673">
      <c r="A2673" s="1" t="n">
        <v>2671</v>
      </c>
      <c r="B2673">
        <f>HYPERLINK("https://eproc.rajasthan.gov.in/nicgep/app?component=%24DirectLink&amp;page=FrontEndViewTender&amp;service=direct&amp;session=T&amp;sp=SP3RjAk%2BxxvOcCHSb4%2BTYig%3D%3D", "GP NAIWALA SAF SFAI TENDER PANCHAYAT SAMITI TIBBI")</f>
        <v/>
      </c>
      <c r="C2673" t="inlineStr">
        <is>
          <t>Panchayati Raj Department||Secretary and Commissioner||CEO- HANUMANGARH||BDO-TIBBI</t>
        </is>
      </c>
      <c r="D2673" t="inlineStr">
        <is>
          <t>19-May-2025 06:00 PM</t>
        </is>
      </c>
      <c r="E2673" t="inlineStr">
        <is>
          <t>7,55,000</t>
        </is>
      </c>
      <c r="F2673" t="inlineStr">
        <is>
          <t>GP NAIWALA SAF SFAI TENDER PANCHAYAT SAMITI TIBBI</t>
        </is>
      </c>
      <c r="G2673" t="inlineStr">
        <is>
          <t>GP NAIWALA</t>
        </is>
      </c>
    </row>
    <row r="2674">
      <c r="A2674" s="1" t="n">
        <v>2672</v>
      </c>
      <c r="B2674">
        <f>HYPERLINK("https://eproc.rajasthan.gov.in/nicgep/app?component=%24DirectLink&amp;page=FrontEndViewTender&amp;service=direct&amp;session=T&amp;sp=S4u10D8XecElHfy77Rl6QjA%3D%3D", "SAF SFAI TENDER GP SHEREKAN PS TIBBI")</f>
        <v/>
      </c>
      <c r="C2674" t="inlineStr">
        <is>
          <t>Panchayati Raj Department||Secretary and Commissioner||CEO- HANUMANGARH||BDO-TIBBI</t>
        </is>
      </c>
      <c r="D2674" t="inlineStr">
        <is>
          <t>19-May-2025 06:00 PM</t>
        </is>
      </c>
      <c r="E2674" t="inlineStr">
        <is>
          <t>7,50,000</t>
        </is>
      </c>
      <c r="F2674" t="inlineStr">
        <is>
          <t>SAF SFAI TENDER GP SHEREKAN PS TIBBI</t>
        </is>
      </c>
      <c r="G2674" t="inlineStr">
        <is>
          <t>GP SHEREKAN</t>
        </is>
      </c>
    </row>
    <row r="2675">
      <c r="A2675" s="1" t="n">
        <v>2673</v>
      </c>
      <c r="B2675">
        <f>HYPERLINK("https://eproc.rajasthan.gov.in/nicgep/app?component=%24DirectLink&amp;page=FrontEndViewTender&amp;service=direct&amp;session=T&amp;sp=SKD%2BIaRhfDrFkeKonYz8vlQ%3D%3D", "ghar ghar kchara sangran etc")</f>
        <v/>
      </c>
      <c r="C2675" t="inlineStr">
        <is>
          <t>Panchayati Raj Department||Secretary and Commissioner||CEO-CHURU||BDO-SUJANGARH</t>
        </is>
      </c>
      <c r="D2675" t="inlineStr">
        <is>
          <t>21-May-2025 11:00 AM</t>
        </is>
      </c>
      <c r="E2675" t="inlineStr">
        <is>
          <t>7,38,000</t>
        </is>
      </c>
      <c r="F2675" t="inlineStr">
        <is>
          <t>ghar ghar kchara sangran etc IN GP KHARIYA KANIRAM</t>
        </is>
      </c>
      <c r="G2675" t="inlineStr">
        <is>
          <t>GP KHARIYA KANIRAM</t>
        </is>
      </c>
    </row>
    <row r="2676">
      <c r="A2676" s="1" t="n">
        <v>2674</v>
      </c>
      <c r="B2676">
        <f>HYPERLINK("https://eproc.rajasthan.gov.in/nicgep/app?component=%24DirectLink&amp;page=FrontEndViewTender&amp;service=direct&amp;session=T&amp;sp=SC707yNaSqhqRl0xjIogriw%3D%3D", "GP MEHARWALA SAF SFAI TENDER PANCHAYAT SAMITI TIBBI")</f>
        <v/>
      </c>
      <c r="C2676" t="inlineStr">
        <is>
          <t>Panchayati Raj Department||Secretary and Commissioner||CEO- HANUMANGARH||BDO-TIBBI</t>
        </is>
      </c>
      <c r="D2676" t="inlineStr">
        <is>
          <t>19-May-2025 06:00 PM</t>
        </is>
      </c>
      <c r="E2676" t="inlineStr">
        <is>
          <t>9,93,000</t>
        </is>
      </c>
      <c r="F2676" t="inlineStr">
        <is>
          <t>GP MEHARWALA SAF SFAI TENDER PANCHAYAT SAMITI TIBBI</t>
        </is>
      </c>
      <c r="G2676" t="inlineStr">
        <is>
          <t>GP MEHARWALA</t>
        </is>
      </c>
    </row>
    <row r="2677">
      <c r="A2677" s="1" t="n">
        <v>2675</v>
      </c>
      <c r="B2677">
        <f>HYPERLINK("https://eproc.rajasthan.gov.in/nicgep/app?component=%24DirectLink&amp;page=FrontEndViewTender&amp;service=direct&amp;session=T&amp;sp=SX71axFW4iyei5jYf11bBtQ%3D%3D", "MATERIAL SUPPLY TENDER GP DABRA")</f>
        <v/>
      </c>
      <c r="C2677" t="inlineStr">
        <is>
          <t>Panchayati Raj Department||Secretary and Commissioner||CEO-NAGORE||BDO-MAULASAR</t>
        </is>
      </c>
      <c r="D2677" t="inlineStr">
        <is>
          <t>18-May-2025 06:00 PM</t>
        </is>
      </c>
      <c r="E2677" t="inlineStr">
        <is>
          <t>1,00,00,000</t>
        </is>
      </c>
      <c r="F2677" t="inlineStr">
        <is>
          <t>MATERIAL SUPPLY TENDER GP DABRA</t>
        </is>
      </c>
      <c r="G2677" t="inlineStr">
        <is>
          <t>GRAM PANCHAYAT DABRA</t>
        </is>
      </c>
    </row>
    <row r="2678">
      <c r="A2678" s="1" t="n">
        <v>2676</v>
      </c>
      <c r="B2678">
        <f>HYPERLINK("https://eproc.rajasthan.gov.in/nicgep/app?component=%24DirectLink&amp;page=FrontEndViewTender&amp;service=direct&amp;session=T&amp;sp=S3rAqo4KcejbwoqRKnb%2BI4w%3D%3D", "GP SAF SFAI TENDER PANCHAYAT SAMITI TIBBI")</f>
        <v/>
      </c>
      <c r="C2678" t="inlineStr">
        <is>
          <t>Panchayati Raj Department||Secretary and Commissioner||CEO- HANUMANGARH||BDO-TIBBI</t>
        </is>
      </c>
      <c r="D2678" t="inlineStr">
        <is>
          <t>19-May-2025 06:00 PM</t>
        </is>
      </c>
      <c r="E2678" t="inlineStr">
        <is>
          <t>9,06,000</t>
        </is>
      </c>
      <c r="F2678" t="inlineStr">
        <is>
          <t>GP MASITAWALI SAF SFAI TENDER PANCHAYAT SAMITI TIBBI</t>
        </is>
      </c>
      <c r="G2678" t="inlineStr">
        <is>
          <t>GP MASITAWALI</t>
        </is>
      </c>
    </row>
    <row r="2679">
      <c r="A2679" s="1" t="n">
        <v>2677</v>
      </c>
      <c r="B2679">
        <f>HYPERLINK("https://eproc.rajasthan.gov.in/nicgep/app?component=%24DirectLink&amp;page=FrontEndViewTender&amp;service=direct&amp;session=T&amp;sp=SlcnHWRhgpIHycO6OCIQhcw%3D%3D", "Constraction meterial supply work in GP")</f>
        <v/>
      </c>
      <c r="C2679" t="inlineStr">
        <is>
          <t>Panchayati Raj Department||Secretary and Commissioner||CEO-UDAIPUR||BDO-GIRVA</t>
        </is>
      </c>
      <c r="D2679" t="inlineStr">
        <is>
          <t>19-May-2025 04:00 PM</t>
        </is>
      </c>
      <c r="E2679" t="inlineStr">
        <is>
          <t>80,00,000</t>
        </is>
      </c>
      <c r="F2679" t="inlineStr">
        <is>
          <t>Constraction meterial supply work in GP</t>
        </is>
      </c>
      <c r="G2679" t="inlineStr">
        <is>
          <t>Gram panchayat chanawada</t>
        </is>
      </c>
    </row>
    <row r="2680">
      <c r="A2680" s="1" t="n">
        <v>2678</v>
      </c>
      <c r="B2680">
        <f>HYPERLINK("https://eproc.rajasthan.gov.in/nicgep/app?component=%24DirectLink&amp;page=FrontEndViewTender&amp;service=direct&amp;session=T&amp;sp=ST%2FGOyLGUV18BtM1sm0u81Q%3D%3D", "GP MALLARKHEDA 3 DPM SAF SFAI TENDER PANCHAYAT SAMITI TIBBI")</f>
        <v/>
      </c>
      <c r="C2680" t="inlineStr">
        <is>
          <t>Panchayati Raj Department||Secretary and Commissioner||CEO- HANUMANGARH||BDO-TIBBI</t>
        </is>
      </c>
      <c r="D2680" t="inlineStr">
        <is>
          <t>19-May-2025 06:00 PM</t>
        </is>
      </c>
      <c r="E2680" t="inlineStr">
        <is>
          <t>7,37,000</t>
        </is>
      </c>
      <c r="F2680" t="inlineStr">
        <is>
          <t>GP MALLARKHEDA 3 DPM SAF SFAI TENDER PANCHAYAT SAMITI TIBBI</t>
        </is>
      </c>
      <c r="G2680" t="inlineStr">
        <is>
          <t>GP MALLARKHEDA 3 DPM</t>
        </is>
      </c>
    </row>
    <row r="2681">
      <c r="A2681" s="1" t="n">
        <v>2679</v>
      </c>
      <c r="B2681">
        <f>HYPERLINK("https://eproc.rajasthan.gov.in/nicgep/app?component=%24DirectLink&amp;page=FrontEndViewTender&amp;service=direct&amp;session=T&amp;sp=SiXDLM2OEiexisp7nedsZmg%3D%3D", "MATERIAL SUPPLY AND EQUIPMENT SUPPLY FOR CONSTRUCTION WORK IN G.P. SATI RAMPUR P.S. DUNGARPUR DISTRICT DUNGARPUR")</f>
        <v/>
      </c>
      <c r="C2681" t="inlineStr">
        <is>
          <t>Panchayati Raj Department||Secretary and Commissioner||CEO- DUNGARPUR||BDO- DUNGARPUR</t>
        </is>
      </c>
      <c r="D2681" t="inlineStr">
        <is>
          <t>21-May-2025 06:00 PM</t>
        </is>
      </c>
      <c r="E2681" t="inlineStr">
        <is>
          <t>60,00,000</t>
        </is>
      </c>
      <c r="F2681" t="inlineStr">
        <is>
          <t>MATERIAL SUPPLY AND EQUIPMENT SUPPLY FOR CONSTRUCTION WORK IN G.P. SATI RAMPUR P.S. DUNGARPUR DISTRICT DUNGARPUR</t>
        </is>
      </c>
      <c r="G2681" t="inlineStr">
        <is>
          <t>DUNGARPUR</t>
        </is>
      </c>
    </row>
    <row r="2682">
      <c r="A2682" s="1" t="n">
        <v>2680</v>
      </c>
      <c r="B2682">
        <f>HYPERLINK("https://eproc.rajasthan.gov.in/nicgep/app?component=%24DirectLink&amp;page=FrontEndViewTender&amp;service=direct&amp;session=T&amp;sp=S%2B9cFwkC8VKq4o%2FQcOH0qgg%3D%3D", "MATERIAL SUPPLY AND EQUIPMENT SUPPLY FOR CONSTRUCTION WORK IN G.P. GUMANPURA P.S. DUNGARPUR DISTRICT DUNGARPUR")</f>
        <v/>
      </c>
      <c r="C2682" t="inlineStr">
        <is>
          <t>Panchayati Raj Department||Secretary and Commissioner||CEO- DUNGARPUR||BDO- DUNGARPUR</t>
        </is>
      </c>
      <c r="D2682" t="inlineStr">
        <is>
          <t>21-May-2025 06:00 PM</t>
        </is>
      </c>
      <c r="E2682" t="inlineStr">
        <is>
          <t>60,00,000</t>
        </is>
      </c>
      <c r="F2682" t="inlineStr">
        <is>
          <t>MATERIAL SUPPLY AND EQUIPMENT SUPPLY FOR CONSTRUCTION WORK IN G.P. GUMANPURA P.S. DUNGARPUR DISTRICT DUNGARPUR</t>
        </is>
      </c>
      <c r="G2682" t="inlineStr">
        <is>
          <t>DUNGARPUR</t>
        </is>
      </c>
    </row>
    <row r="2683">
      <c r="A2683" s="1" t="n">
        <v>2681</v>
      </c>
      <c r="B2683">
        <f>HYPERLINK("https://eproc.rajasthan.gov.in/nicgep/app?component=%24DirectLink&amp;page=FrontEndViewTender&amp;service=direct&amp;session=T&amp;sp=SWSMufDLrJJgLnaIXSgTqvQ%3D%3D", "MATERIAL SUPPLY AND EQUIPMENT SUPPLY FOR CONSTRUCTION WORK IN G.P. METALI P.S. DUNGARPUR DISTRICT DUNGARPUR")</f>
        <v/>
      </c>
      <c r="C2683" t="inlineStr">
        <is>
          <t>Panchayati Raj Department||Secretary and Commissioner||CEO- DUNGARPUR||BDO- DUNGARPUR</t>
        </is>
      </c>
      <c r="D2683" t="inlineStr">
        <is>
          <t>21-May-2025 06:00 PM</t>
        </is>
      </c>
      <c r="E2683" t="inlineStr">
        <is>
          <t>60,00,000</t>
        </is>
      </c>
      <c r="F2683" t="inlineStr">
        <is>
          <t>MATERIAL SUPPLY AND EQUIPMENT SUPPLY FOR CONSTRUCTION WORK IN G.P. METALI P.S. DUNGARPUR DISTRICT DUNGARPUR</t>
        </is>
      </c>
      <c r="G2683" t="inlineStr">
        <is>
          <t>BHATWADA</t>
        </is>
      </c>
    </row>
    <row r="2684">
      <c r="A2684" s="1" t="n">
        <v>2682</v>
      </c>
      <c r="B2684">
        <f>HYPERLINK("https://eproc.rajasthan.gov.in/nicgep/app?component=%24DirectLink&amp;page=FrontEndViewTender&amp;service=direct&amp;session=T&amp;sp=SbHcxyLWPvr%2BfLzc%2FyweVmw%3D%3D", "GP MALLARKHEDA 10 MKS A SAF SFAI TENDER PANCHAYAT SAMITI TIBBI")</f>
        <v/>
      </c>
      <c r="C2684" t="inlineStr">
        <is>
          <t>Panchayati Raj Department||Secretary and Commissioner||CEO- HANUMANGARH||BDO-TIBBI</t>
        </is>
      </c>
      <c r="D2684" t="inlineStr">
        <is>
          <t>19-May-2025 06:00 PM</t>
        </is>
      </c>
      <c r="E2684" t="inlineStr">
        <is>
          <t>7,37,000</t>
        </is>
      </c>
      <c r="F2684" t="inlineStr">
        <is>
          <t>GP MALLARKHEDA 10 MKS A SAF SFAI TENDER PANCHAYAT SAMITI TIBBI</t>
        </is>
      </c>
      <c r="G2684" t="inlineStr">
        <is>
          <t>GP MALLARKHEDA</t>
        </is>
      </c>
    </row>
    <row r="2685">
      <c r="A2685" s="1" t="n">
        <v>2683</v>
      </c>
      <c r="B2685">
        <f>HYPERLINK("https://eproc.rajasthan.gov.in/nicgep/app?component=%24DirectLink&amp;page=FrontEndViewTender&amp;service=direct&amp;session=T&amp;sp=SHDPJ0DPLrW7CB2Q0rHk9VA%3D%3D", "MATERIAL SUPPLY GP BERWA")</f>
        <v/>
      </c>
      <c r="C2685" t="inlineStr">
        <is>
          <t>Panchayati Raj Department||Secretary and Commissioner||CEO-NAGORE||BDO-MAULASAR</t>
        </is>
      </c>
      <c r="D2685" t="inlineStr">
        <is>
          <t>18-May-2025 06:00 PM</t>
        </is>
      </c>
      <c r="E2685" t="inlineStr">
        <is>
          <t>1,00,00,000</t>
        </is>
      </c>
      <c r="F2685" t="inlineStr">
        <is>
          <t>MATERIAL SUPPLY GP BERWA</t>
        </is>
      </c>
      <c r="G2685" t="inlineStr">
        <is>
          <t>GRAM PANCHAYAT BERWA</t>
        </is>
      </c>
    </row>
    <row r="2686">
      <c r="A2686" s="1" t="n">
        <v>2684</v>
      </c>
      <c r="B2686">
        <f>HYPERLINK("https://eproc.rajasthan.gov.in/nicgep/app?component=%24DirectLink&amp;page=FrontEndViewTender&amp;service=direct&amp;session=T&amp;sp=Sfo900FlKzcSXTCNs4Z6uoA%3D%3D", "MATERIAL SUPPLY AND EQUIPMENT SUPPLY FOR CONSTRUCTION WORK IN G.P. MADA P.S. DUNGARPUR DISTRICT DUNGARPUR")</f>
        <v/>
      </c>
      <c r="C2686" t="inlineStr">
        <is>
          <t>Panchayati Raj Department||Secretary and Commissioner||CEO- DUNGARPUR||BDO- DUNGARPUR</t>
        </is>
      </c>
      <c r="D2686" t="inlineStr">
        <is>
          <t>21-May-2025 06:00 PM</t>
        </is>
      </c>
      <c r="E2686" t="inlineStr">
        <is>
          <t>60,00,000</t>
        </is>
      </c>
      <c r="F2686" t="inlineStr">
        <is>
          <t>MATERIAL SUPPLY AND EQUIPMENT SUPPLY FOR CONSTRUCTION WORK IN G.P. MADA P.S. DUNGARPUR DISTRICT DUNGARPUR</t>
        </is>
      </c>
      <c r="G2686" t="inlineStr">
        <is>
          <t>DUNGARPUR</t>
        </is>
      </c>
    </row>
    <row r="2687">
      <c r="A2687" s="1" t="n">
        <v>2685</v>
      </c>
      <c r="B2687">
        <f>HYPERLINK("https://eproc.rajasthan.gov.in/nicgep/app?component=%24DirectLink&amp;page=FrontEndViewTender&amp;service=direct&amp;session=T&amp;sp=SwKW1CCE192GdwzFHwtyGCA%3D%3D", "MATERIAL SUPPLY GP KHOJAS")</f>
        <v/>
      </c>
      <c r="C2687" t="inlineStr">
        <is>
          <t>Panchayati Raj Department||Secretary and Commissioner||CEO-NAGORE||BDO-MAULASAR</t>
        </is>
      </c>
      <c r="D2687" t="inlineStr">
        <is>
          <t>19-May-2025 06:00 PM</t>
        </is>
      </c>
      <c r="E2687" t="inlineStr">
        <is>
          <t>1,00,00,000</t>
        </is>
      </c>
      <c r="F2687" t="inlineStr">
        <is>
          <t>MATERIAL AND EQUIPMENT SUPPLY GP KHOJAS</t>
        </is>
      </c>
      <c r="G2687" t="inlineStr">
        <is>
          <t>GRAM PANCHAYAT KHOJAS</t>
        </is>
      </c>
    </row>
    <row r="2688">
      <c r="A2688" s="1" t="n">
        <v>2686</v>
      </c>
      <c r="B2688">
        <f>HYPERLINK("https://eproc.rajasthan.gov.in/nicgep/app?component=%24DirectLink&amp;page=FrontEndViewTender&amp;service=direct&amp;session=T&amp;sp=Sgi3Kj9PGFU6OsKNez4gjnA%3D%3D", "MATERIAL SUPPLY AND EQUIPMENT SUPPLY FOR CONSTRUCTION WORK IN G.P. GAMDI DEVAL P.S. DUNGARPUR DISTRICT DUNGARPUR")</f>
        <v/>
      </c>
      <c r="C2688" t="inlineStr">
        <is>
          <t>Panchayati Raj Department||Secretary and Commissioner||CEO- DUNGARPUR||BDO- DUNGARPUR</t>
        </is>
      </c>
      <c r="D2688" t="inlineStr">
        <is>
          <t>21-May-2025 06:00 PM</t>
        </is>
      </c>
      <c r="E2688" t="inlineStr">
        <is>
          <t>60,00,000</t>
        </is>
      </c>
      <c r="F2688" t="inlineStr">
        <is>
          <t>MATERIAL SUPPLY AND EQUIPMENT SUPPLY FOR CONSTRUCTION WORK IN G.P. GAMDI DEVAL P.S. DUNGARPUR DISTRICT DUNGARPUR</t>
        </is>
      </c>
      <c r="G2688" t="inlineStr">
        <is>
          <t>DUNGARPUR</t>
        </is>
      </c>
    </row>
    <row r="2689">
      <c r="A2689" s="1" t="n">
        <v>2687</v>
      </c>
      <c r="B2689">
        <f>HYPERLINK("https://eproc.rajasthan.gov.in/nicgep/app?component=%24DirectLink&amp;page=FrontEndViewTender&amp;service=direct&amp;session=T&amp;sp=SCQMQo44OzuiPP%2FvG5hClRw%3D%3D", "MATERIAL SUPPLY AND EQUIPMENT SUPPLY FOR CONSTRUCTION WORK IN G.P. PAL DEVAL P.S. DUNGARPUR DISTRICT DUNGARPUR")</f>
        <v/>
      </c>
      <c r="C2689" t="inlineStr">
        <is>
          <t>Panchayati Raj Department||Secretary and Commissioner||CEO- DUNGARPUR||BDO- DUNGARPUR</t>
        </is>
      </c>
      <c r="D2689" t="inlineStr">
        <is>
          <t>21-May-2025 06:00 PM</t>
        </is>
      </c>
      <c r="E2689" t="inlineStr">
        <is>
          <t>60,00,000</t>
        </is>
      </c>
      <c r="F2689" t="inlineStr">
        <is>
          <t>MATERIAL SUPPLY AND EQUIPMENT SUPPLY FOR CONSTRUCTION WORK IN G.P. PAL DEVAL P.S. DUNGARPUR DISTRICT DUNGARPUR</t>
        </is>
      </c>
      <c r="G2689" t="inlineStr">
        <is>
          <t>DUNGARPUR</t>
        </is>
      </c>
    </row>
    <row r="2690">
      <c r="A2690" s="1" t="n">
        <v>2688</v>
      </c>
      <c r="B2690">
        <f>HYPERLINK("https://eproc.rajasthan.gov.in/nicgep/app?component=%24DirectLink&amp;page=FrontEndViewTender&amp;service=direct&amp;session=T&amp;sp=SG5EB5AF7VcqnchcAJVs5Mw%3D%3D", "MATERIAL SUPPLY AND EQUIPMENT SUPPLY FOR CONSTRUCTION WORK IN G.P. PALWADA P.S. DUNGARPUR DISTRICT DUNGARPUR")</f>
        <v/>
      </c>
      <c r="C2690" t="inlineStr">
        <is>
          <t>Panchayati Raj Department||Secretary and Commissioner||CEO- DUNGARPUR||BDO- DUNGARPUR</t>
        </is>
      </c>
      <c r="D2690" t="inlineStr">
        <is>
          <t>21-May-2025 06:00 PM</t>
        </is>
      </c>
      <c r="E2690" t="inlineStr">
        <is>
          <t>60,00,000</t>
        </is>
      </c>
      <c r="F2690" t="inlineStr">
        <is>
          <t>MATERIAL SUPPLY AND EQUIPMENT SUPPLY FOR CONSTRUCTION WORK IN G.P. PALWADA P.S. DUNGARPUR DISTRICT DUNGARPUR</t>
        </is>
      </c>
      <c r="G2690" t="inlineStr">
        <is>
          <t>DUNGARPUR</t>
        </is>
      </c>
    </row>
    <row r="2691">
      <c r="A2691" s="1" t="n">
        <v>2689</v>
      </c>
      <c r="B2691">
        <f>HYPERLINK("https://eproc.rajasthan.gov.in/nicgep/app?component=%24DirectLink&amp;page=FrontEndViewTender&amp;service=direct&amp;session=T&amp;sp=SVshOCEc9I95CielmEYaVJg%3D%3D", "MATERIAL SUPPLY AND EQUIPMENT SUPPLY FOR CONSTRUCTION WORK IN G.P. DEVAL KHAS P.S. DUNGARPUR DISTRICT DUNGARPUR")</f>
        <v/>
      </c>
      <c r="C2691" t="inlineStr">
        <is>
          <t>Panchayati Raj Department||Secretary and Commissioner||CEO- DUNGARPUR||BDO- DUNGARPUR</t>
        </is>
      </c>
      <c r="D2691" t="inlineStr">
        <is>
          <t>21-May-2025 06:00 PM</t>
        </is>
      </c>
      <c r="E2691" t="inlineStr">
        <is>
          <t>60,00,000</t>
        </is>
      </c>
      <c r="F2691" t="inlineStr">
        <is>
          <t>MATERIAL SUPPLY AND EQUIPMENT SUPPLY FOR CONSTRUCTION WORK IN G.P. DEVAL KHAS P.S. DUNGARPUR DISTRICT DUNGARPUR</t>
        </is>
      </c>
      <c r="G2691" t="inlineStr">
        <is>
          <t>DUNGARPUR</t>
        </is>
      </c>
    </row>
    <row r="2692">
      <c r="A2692" s="1" t="n">
        <v>2690</v>
      </c>
      <c r="B2692">
        <f>HYPERLINK("https://eproc.rajasthan.gov.in/nicgep/app?component=%24DirectLink&amp;page=FrontEndViewTender&amp;service=direct&amp;session=T&amp;sp=SnptvAPdFB7lhTGDb8i5rMQ%3D%3D", "MATERIAL SUPPLY AND EQUIPMENT SUPPLY FOR CONSTRUCTION WORK IN G.P. SIDRI KHERWARA P.S. DUNGARPUR DISTRICT DUNGARPUR")</f>
        <v/>
      </c>
      <c r="C2692" t="inlineStr">
        <is>
          <t>Panchayati Raj Department||Secretary and Commissioner||CEO- DUNGARPUR||BDO- DUNGARPUR</t>
        </is>
      </c>
      <c r="D2692" t="inlineStr">
        <is>
          <t>21-May-2025 06:00 PM</t>
        </is>
      </c>
      <c r="E2692" t="inlineStr">
        <is>
          <t>60,00,000</t>
        </is>
      </c>
      <c r="F2692" t="inlineStr">
        <is>
          <t>MATERIAL SUPPLY AND EQUIPMENT SUPPLY FOR CONSTRUCTION WORK IN G.P. SIDRI KHERWARA P.S. DUNGARPUR DISTRICT DUNGARPUR</t>
        </is>
      </c>
      <c r="G2692" t="inlineStr">
        <is>
          <t>BHATWADA</t>
        </is>
      </c>
    </row>
    <row r="2693">
      <c r="A2693" s="1" t="n">
        <v>2691</v>
      </c>
      <c r="B2693">
        <f>HYPERLINK("https://eproc.rajasthan.gov.in/nicgep/app?component=%24DirectLink&amp;page=FrontEndViewTender&amp;service=direct&amp;session=T&amp;sp=StqVm3T2mfh%2BVZfD%2FMR9ncg%3D%3D", "MATERIAL SUPPLY IN GRAM PANCHAYAT SAMI PS DHOD FOR MGNREGA AND OTHER SCHEME")</f>
        <v/>
      </c>
      <c r="C2693" t="inlineStr">
        <is>
          <t>Panchayati Raj Department||Secretary and Commissioner||CEO-SIKAR||BDO-DHOD</t>
        </is>
      </c>
      <c r="D2693" t="inlineStr">
        <is>
          <t>22-May-2025 06:00 PM</t>
        </is>
      </c>
      <c r="E2693" t="inlineStr">
        <is>
          <t>1,00,00,000</t>
        </is>
      </c>
      <c r="F2693" t="inlineStr">
        <is>
          <t>MATERIAL SUPPLY IN GRAM PANCHAYAT SAMI PS DHOD FOR MGNREGA AND OTHER SCHEME</t>
        </is>
      </c>
      <c r="G2693" t="inlineStr">
        <is>
          <t>SAMI</t>
        </is>
      </c>
    </row>
    <row r="2694">
      <c r="A2694" s="1" t="n">
        <v>2692</v>
      </c>
      <c r="B2694">
        <f>HYPERLINK("https://eproc.rajasthan.gov.in/nicgep/app?component=%24DirectLink&amp;page=FrontEndViewTender&amp;service=direct&amp;session=T&amp;sp=SaUzRS3RHNWirjAOpBEytpg%3D%3D", "SARVAJANIK PYAU, BARAMADA EVM BAITHAK VYAVASTHA NIRMAN KARYA JALPALI RAMJIPURA KHURD GRAM PANCHAYAT RAMJIPURA KALAN")</f>
        <v/>
      </c>
      <c r="C2694" t="inlineStr">
        <is>
          <t>Panchayati Raj Department||Secretary and Commissioner||CEO- JAIPUR||BDO-KISHNAGARH RENWAL</t>
        </is>
      </c>
      <c r="D2694" t="inlineStr">
        <is>
          <t>19-May-2025 06:00 PM</t>
        </is>
      </c>
      <c r="E2694" t="inlineStr">
        <is>
          <t>5,00,000</t>
        </is>
      </c>
      <c r="F2694" t="inlineStr">
        <is>
          <t>SARVAJANIK PYAU, BARAMADA EVM BAITHAK VYAVASTHA NIRMAN KARYA JALPALI RAMJIPURA KHURD GRAM PANCHAYAT RAMJIPURA KALAN</t>
        </is>
      </c>
      <c r="G2694" t="inlineStr">
        <is>
          <t>GRAM PANCHAYAT RAMJIPURA KALAN</t>
        </is>
      </c>
    </row>
    <row r="2695">
      <c r="A2695" s="1" t="n">
        <v>2693</v>
      </c>
      <c r="B2695">
        <f>HYPERLINK("https://eproc.rajasthan.gov.in/nicgep/app?component=%24DirectLink&amp;page=FrontEndViewTender&amp;service=direct&amp;session=T&amp;sp=SFHANCuSW8lfY7dklg%2Fcj6A%3D%3D", "SHAMSHAN GHAT RAMJIPURA KALAN ME SURAKSHA DIWAR ADHURI BOUNDARY GATTA NIRMAN TIN SHED V C C BLOCK SADAK EVM ANAY KARYA")</f>
        <v/>
      </c>
      <c r="C2695" t="inlineStr">
        <is>
          <t>Panchayati Raj Department||Secretary and Commissioner||CEO- JAIPUR||BDO-KISHNAGARH RENWAL</t>
        </is>
      </c>
      <c r="D2695" t="inlineStr">
        <is>
          <t>19-May-2025 06:00 PM</t>
        </is>
      </c>
      <c r="E2695" t="inlineStr">
        <is>
          <t>10,00,000</t>
        </is>
      </c>
      <c r="F2695" t="inlineStr">
        <is>
          <t>SHAMSHAN GHAT RAMJIPURA KALAN ME SURAKSHA DIWAR ADHURI BOUNDARY GATTA NIRMAN TIN SHED V C C BLOCK SADAK EVM ANAY KARYA</t>
        </is>
      </c>
      <c r="G2695" t="inlineStr">
        <is>
          <t>GRAM PANCHAYAT RAMJIPURA KALAN</t>
        </is>
      </c>
    </row>
    <row r="2696">
      <c r="A2696" s="1" t="n">
        <v>2694</v>
      </c>
      <c r="B2696">
        <f>HYPERLINK("https://eproc.rajasthan.gov.in/nicgep/app?component=%24DirectLink&amp;page=FrontEndViewTender&amp;service=direct&amp;session=T&amp;sp=Ss%2FLyyJrRp8oJYemROmQ%2F4g%3D%3D", "SABHA BHAWAN EVM VIKAS KARYA RAIGAR MOHALLA RAMJIPURA KALAN")</f>
        <v/>
      </c>
      <c r="C2696" t="inlineStr">
        <is>
          <t>Panchayati Raj Department||Secretary and Commissioner||CEO- JAIPUR||BDO-KISHNAGARH RENWAL</t>
        </is>
      </c>
      <c r="D2696" t="inlineStr">
        <is>
          <t>19-May-2025 06:00 PM</t>
        </is>
      </c>
      <c r="E2696" t="inlineStr">
        <is>
          <t>10,00,000</t>
        </is>
      </c>
      <c r="F2696" t="inlineStr">
        <is>
          <t>SABHA BHAWAN EVM VIKAS KARYA RAIGAR MOHALLA RAMJIPURA KALAN</t>
        </is>
      </c>
      <c r="G2696" t="inlineStr">
        <is>
          <t>GRAM PANCHAYAT RAMJIPURA KALAN</t>
        </is>
      </c>
    </row>
    <row r="2697">
      <c r="A2697" s="1" t="n">
        <v>2695</v>
      </c>
      <c r="B2697">
        <f>HYPERLINK("https://eproc.rajasthan.gov.in/nicgep/app?component=%24DirectLink&amp;page=FrontEndViewTender&amp;service=direct&amp;session=T&amp;sp=SBzk1qUAe1dcKn1XFyD6Nbg%3D%3D", "SARJELA TALAB KA SONDRYAKARAN AND GHAT NIRMAN GRAM PANCHAYAT NAWALSHAYAM")</f>
        <v/>
      </c>
      <c r="C2697" t="inlineStr">
        <is>
          <t>Panchayati Raj Department||Secretary and Commissioner||CEO- DUNGARPUR||BDO- BICHHIWARA</t>
        </is>
      </c>
      <c r="D2697" t="inlineStr">
        <is>
          <t>19-May-2025 12:00 PM</t>
        </is>
      </c>
      <c r="E2697" t="inlineStr">
        <is>
          <t>9,07,005</t>
        </is>
      </c>
      <c r="F2697" t="inlineStr">
        <is>
          <t>SARJELA TALAB KA SONDRYAKARAN AND GHAT NIRMAN GRAM PANCHAYAT NAWALSHAYAM</t>
        </is>
      </c>
      <c r="G2697" t="inlineStr">
        <is>
          <t>GP NAWALSHAYAM</t>
        </is>
      </c>
    </row>
    <row r="2698">
      <c r="A2698" s="1" t="n">
        <v>2696</v>
      </c>
      <c r="B2698">
        <f>HYPERLINK("https://eproc.rajasthan.gov.in/nicgep/app?component=%24DirectLink&amp;page=FrontEndViewTender&amp;service=direct&amp;session=T&amp;sp=SSObc1R%2FhItkMkgHyrBqgtw%3D%3D", "MATERIAL SUPPLY AND EQUIPMENT SUPPLY FOR CONSTRUCTION WORK IN G.P. KHEDA KACHWASA P.S. DUNGARPUR DISTRICT DUNGARPUR")</f>
        <v/>
      </c>
      <c r="C2698" t="inlineStr">
        <is>
          <t>Panchayati Raj Department||Secretary and Commissioner||CEO- DUNGARPUR||BDO- DUNGARPUR</t>
        </is>
      </c>
      <c r="D2698" t="inlineStr">
        <is>
          <t>21-May-2025 06:00 PM</t>
        </is>
      </c>
      <c r="E2698" t="inlineStr">
        <is>
          <t>60,00,000</t>
        </is>
      </c>
      <c r="F2698" t="inlineStr">
        <is>
          <t>MATERIAL SUPPLY AND EQUIPMENT SUPPLY FOR CONSTRUCTION WORK IN G.P. KHEDA KACHWASA P.S. DUNGARPUR DISTRICT DUNGARPUR</t>
        </is>
      </c>
      <c r="G2698" t="inlineStr">
        <is>
          <t>BHATWADA</t>
        </is>
      </c>
    </row>
    <row r="2699">
      <c r="A2699" s="1" t="n">
        <v>2697</v>
      </c>
      <c r="B2699">
        <f>HYPERLINK("https://eproc.rajasthan.gov.in/nicgep/app?component=%24DirectLink&amp;page=FrontEndViewTender&amp;service=direct&amp;session=T&amp;sp=SdDW9wgzPK65sfSEE8Gb1sA%3D%3D", "MATERIAL SUPPLY AND EQUIPMENT SUPPLY FOR CONSTRUCTION WORK IN G.P. GHUGHRA P.S. DUNGARPUR DISTRICT DUNGARPUR")</f>
        <v/>
      </c>
      <c r="C2699" t="inlineStr">
        <is>
          <t>Panchayati Raj Department||Secretary and Commissioner||CEO- DUNGARPUR||BDO- DUNGARPUR</t>
        </is>
      </c>
      <c r="D2699" t="inlineStr">
        <is>
          <t>21-May-2025 06:00 PM</t>
        </is>
      </c>
      <c r="E2699" t="inlineStr">
        <is>
          <t>60,00,000</t>
        </is>
      </c>
      <c r="F2699" t="inlineStr">
        <is>
          <t>MATERIAL SUPPLY AND EQUIPMENT SUPPLY FOR CONSTRUCTION WORK IN G.P. GHUGHRA P.S. DUNGARPUR DISTRICT DUNGARPUR</t>
        </is>
      </c>
      <c r="G2699" t="inlineStr">
        <is>
          <t>DUNGARPUR</t>
        </is>
      </c>
    </row>
    <row r="2700">
      <c r="A2700" s="1" t="n">
        <v>2698</v>
      </c>
      <c r="B2700">
        <f>HYPERLINK("https://eproc.rajasthan.gov.in/nicgep/app?component=%24DirectLink&amp;page=FrontEndViewTender&amp;service=direct&amp;session=T&amp;sp=S3RJzfBSFPUo18B5XQ%2F0%2BNw%3D%3D", "MATERIAL SUPPLY AND EQUIPMENT SUPPLY FOR CONSTRUCTION WORK IN G.P. MATHUGAMDA PAL P.S. DUNGARPUR DISTRICT DUNGARPUR")</f>
        <v/>
      </c>
      <c r="C2700" t="inlineStr">
        <is>
          <t>Panchayati Raj Department||Secretary and Commissioner||CEO- DUNGARPUR||BDO- DUNGARPUR</t>
        </is>
      </c>
      <c r="D2700" t="inlineStr">
        <is>
          <t>21-May-2025 06:00 PM</t>
        </is>
      </c>
      <c r="E2700" t="inlineStr">
        <is>
          <t>60,00,000</t>
        </is>
      </c>
      <c r="F2700" t="inlineStr">
        <is>
          <t>MATERIAL SUPPLY AND EQUIPMENT SUPPLY FOR CONSTRUCTION WORK IN G.P. MATHUGAMDA PAL P.S. DUNGARPUR DISTRICT DUNGARPUR</t>
        </is>
      </c>
      <c r="G2700" t="inlineStr">
        <is>
          <t>BHATWADA</t>
        </is>
      </c>
    </row>
    <row r="2701">
      <c r="A2701" s="1" t="n">
        <v>2699</v>
      </c>
      <c r="B2701">
        <f>HYPERLINK("https://eproc.rajasthan.gov.in/nicgep/app?component=%24DirectLink&amp;page=FrontEndViewTender&amp;service=direct&amp;session=T&amp;sp=SVbo8WGLeV44kBefPskV1ow%3D%3D", "MATERIAL SUPPLY AND EQUIPMENT SUPPLY FOR CONSTRUCTION WORK IN G.P. GADA MORIYA P.S. DUNGARPUR DISTRICT DUNGARPUR")</f>
        <v/>
      </c>
      <c r="C2701" t="inlineStr">
        <is>
          <t>Panchayati Raj Department||Secretary and Commissioner||CEO- DUNGARPUR||BDO- DUNGARPUR</t>
        </is>
      </c>
      <c r="D2701" t="inlineStr">
        <is>
          <t>21-May-2025 06:00 PM</t>
        </is>
      </c>
      <c r="E2701" t="inlineStr">
        <is>
          <t>60,00,000</t>
        </is>
      </c>
      <c r="F2701" t="inlineStr">
        <is>
          <t>MATERIAL SUPPLY AND EQUIPMENT SUPPLY FOR CONSTRUCTION WORK IN G.P. GADA MORIYA P.S. DUNGARPUR DISTRICT DUNGARPUR</t>
        </is>
      </c>
      <c r="G2701" t="inlineStr">
        <is>
          <t>BHATWADA</t>
        </is>
      </c>
    </row>
    <row r="2702">
      <c r="A2702" s="1" t="n">
        <v>2700</v>
      </c>
      <c r="B2702">
        <f>HYPERLINK("https://eproc.rajasthan.gov.in/nicgep/app?component=%24DirectLink&amp;page=FrontEndViewTender&amp;service=direct&amp;session=T&amp;sp=SJsmRBZZeft%2FM0w93oyjl6w%3D%3D", "MATERIAL SUPPLY AND EQUIPMENT SUPPLY FOR CONSTRUCTION WORK IN G.P. PIPLADA P.S. DUNGARPUR DISTRICT DUNGARPUR")</f>
        <v/>
      </c>
      <c r="C2702" t="inlineStr">
        <is>
          <t>Panchayati Raj Department||Secretary and Commissioner||CEO- DUNGARPUR||BDO- DUNGARPUR</t>
        </is>
      </c>
      <c r="D2702" t="inlineStr">
        <is>
          <t>21-May-2025 06:00 PM</t>
        </is>
      </c>
      <c r="E2702" t="inlineStr">
        <is>
          <t>60,00,000</t>
        </is>
      </c>
      <c r="F2702" t="inlineStr">
        <is>
          <t>MATERIAL SUPPLY AND EQUIPMENT SUPPLY FOR CONSTRUCTION WORK IN G.P. PIPLADA P.S. DUNGARPUR DISTRICT DUNGARPUR</t>
        </is>
      </c>
      <c r="G2702" t="inlineStr">
        <is>
          <t>BHATWADA</t>
        </is>
      </c>
    </row>
    <row r="2703">
      <c r="A2703" s="1" t="n">
        <v>2701</v>
      </c>
      <c r="B2703">
        <f>HYPERLINK("https://eproc.rajasthan.gov.in/nicgep/app?component=%24DirectLink&amp;page=FrontEndViewTender&amp;service=direct&amp;session=T&amp;sp=SUpI3NrYA4dh4ZxAoGScYww%3D%3D", "MATERIAL SUPPLY AND EQUIPMENT SUPPLY FOR CONSTRUCTION WORK IN G.P. BILDI P.S. DUNGARPUR DISTRICT DUNGARPUR")</f>
        <v/>
      </c>
      <c r="C2703" t="inlineStr">
        <is>
          <t>Panchayati Raj Department||Secretary and Commissioner||CEO- DUNGARPUR||BDO- DUNGARPUR</t>
        </is>
      </c>
      <c r="D2703" t="inlineStr">
        <is>
          <t>21-May-2025 06:00 PM</t>
        </is>
      </c>
      <c r="E2703" t="inlineStr">
        <is>
          <t>60,00,000</t>
        </is>
      </c>
      <c r="F2703" t="inlineStr">
        <is>
          <t>MATERIAL SUPPLY AND EQUIPMENT SUPPLY FOR CONSTRUCTION WORK IN G.P. BILDI P.S. DUNGARPUR DISTRICT DUNGARPUR</t>
        </is>
      </c>
      <c r="G2703" t="inlineStr">
        <is>
          <t>BHATWADA</t>
        </is>
      </c>
    </row>
    <row r="2704">
      <c r="A2704" s="1" t="n">
        <v>2702</v>
      </c>
      <c r="B2704">
        <f>HYPERLINK("https://eproc.rajasthan.gov.in/nicgep/app?component=%24DirectLink&amp;page=FrontEndViewTender&amp;service=direct&amp;session=T&amp;sp=SyjgJ8f5GwhIU%2BAcNfOXkLw%3D%3D", "GP RAMPURA/RAMSRA SAF SFAI TENDER PANCHAYAT SAMITI TIBBI")</f>
        <v/>
      </c>
      <c r="C2704" t="inlineStr">
        <is>
          <t>Panchayati Raj Department||Secretary and Commissioner||CEO- HANUMANGARH||BDO-TIBBI</t>
        </is>
      </c>
      <c r="D2704" t="inlineStr">
        <is>
          <t>19-May-2025 06:00 PM</t>
        </is>
      </c>
      <c r="E2704" t="inlineStr">
        <is>
          <t>7,94,000</t>
        </is>
      </c>
      <c r="F2704" t="inlineStr">
        <is>
          <t>GP RAMPURA/RAMSRA SAF SFAI TENDER PANCHAYAT SAMITI TIBBI</t>
        </is>
      </c>
      <c r="G2704" t="inlineStr">
        <is>
          <t>GP RAMPURA/RAMSRA</t>
        </is>
      </c>
    </row>
    <row r="2705">
      <c r="A2705" s="1" t="n">
        <v>2703</v>
      </c>
      <c r="B2705">
        <f>HYPERLINK("https://eproc.rajasthan.gov.in/nicgep/app?component=%24DirectLink&amp;page=FrontEndViewTender&amp;service=direct&amp;session=T&amp;sp=SSnj%2FjlIZz44ZBIny4kgQyw%3D%3D", "GP RATHIKHEDA SAF SFAI TENDER PANCHAYAT SAMITI TIBBI")</f>
        <v/>
      </c>
      <c r="C2705" t="inlineStr">
        <is>
          <t>Panchayati Raj Department||Secretary and Commissioner||CEO- HANUMANGARH||BDO-TIBBI</t>
        </is>
      </c>
      <c r="D2705" t="inlineStr">
        <is>
          <t>19-May-2025 06:00 PM</t>
        </is>
      </c>
      <c r="E2705" t="inlineStr">
        <is>
          <t>8,15,000</t>
        </is>
      </c>
      <c r="F2705" t="inlineStr">
        <is>
          <t>GP RATHIKHEDA SAF SFAI TENDER PANCHAYAT SAMITI TIBBI</t>
        </is>
      </c>
      <c r="G2705" t="inlineStr">
        <is>
          <t>GP RATHIKHEDA</t>
        </is>
      </c>
    </row>
    <row r="2706">
      <c r="A2706" s="1" t="n">
        <v>2704</v>
      </c>
      <c r="B2706">
        <f>HYPERLINK("https://eproc.rajasthan.gov.in/nicgep/app?component=%24DirectLink&amp;page=FrontEndViewTender&amp;service=direct&amp;session=T&amp;sp=SHOL3RdbN0XofZ1ASz64qXw%3D%3D", "GP 4 KSP SAF SFAI TENDER PANCHAYAT SAMITI TIBBI")</f>
        <v/>
      </c>
      <c r="C2706" t="inlineStr">
        <is>
          <t>Panchayati Raj Department||Secretary and Commissioner||CEO- HANUMANGARH||BDO-TIBBI</t>
        </is>
      </c>
      <c r="D2706" t="inlineStr">
        <is>
          <t>19-May-2025 06:00 PM</t>
        </is>
      </c>
      <c r="E2706" t="inlineStr">
        <is>
          <t>9,60,000</t>
        </is>
      </c>
      <c r="F2706" t="inlineStr">
        <is>
          <t>GP 4 KSP SAF SFAI TENDER PANCHAYAT SAMITI TIBBI</t>
        </is>
      </c>
      <c r="G2706" t="inlineStr">
        <is>
          <t>GP 4 KSP</t>
        </is>
      </c>
    </row>
    <row r="2707">
      <c r="A2707" s="1" t="n">
        <v>2705</v>
      </c>
      <c r="B2707">
        <f>HYPERLINK("https://eproc.rajasthan.gov.in/nicgep/app?component=%24DirectLink&amp;page=FrontEndViewTender&amp;service=direct&amp;session=T&amp;sp=Sju7pXC40n9IjTQw6L6SuiQ%3D%3D", "Work of supply of material and equipment for Mgnarega and other development schemes in Gram panchayat BHATKI PS Chitalwana For fy 2025-26")</f>
        <v/>
      </c>
      <c r="C2707" t="inlineStr">
        <is>
          <t>Panchayati Raj Department||Secretary and Commissioner||CEO- JALORE||BDO-CHITALWANA</t>
        </is>
      </c>
      <c r="D2707" t="inlineStr">
        <is>
          <t>20-May-2025 12:00 PM</t>
        </is>
      </c>
      <c r="E2707" t="inlineStr">
        <is>
          <t>49,00,000</t>
        </is>
      </c>
      <c r="F2707" t="inlineStr">
        <is>
          <t>Work of supply of material and equipment for Mgnarega and other development schemes in Gram panchayat BHATKI PS Chitalwana For fy 2025-26</t>
        </is>
      </c>
      <c r="G2707" t="inlineStr">
        <is>
          <t>GRAM PANCHAYAT BHAKTI PS CHITALWANA</t>
        </is>
      </c>
    </row>
    <row r="2708">
      <c r="A2708" s="1" t="n">
        <v>2706</v>
      </c>
      <c r="B2708">
        <f>HYPERLINK("https://eproc.rajasthan.gov.in/nicgep/app?component=%24DirectLink&amp;page=FrontEndViewTender&amp;service=direct&amp;session=T&amp;sp=Sa%2BW5BvpeIAsdsCiHeIrOsA%3D%3D", "ghar ghar kchara sangran etc")</f>
        <v/>
      </c>
      <c r="C2708" t="inlineStr">
        <is>
          <t>Panchayati Raj Department||Secretary and Commissioner||CEO-CHURU||BDO-SUJANGARH</t>
        </is>
      </c>
      <c r="D2708" t="inlineStr">
        <is>
          <t>21-May-2025 06:00 PM</t>
        </is>
      </c>
      <c r="E2708" t="inlineStr">
        <is>
          <t>9,70,000</t>
        </is>
      </c>
      <c r="F2708" t="inlineStr">
        <is>
          <t>ghar ghar kchara sangran etc IN GP CHARLA</t>
        </is>
      </c>
      <c r="G2708" t="inlineStr">
        <is>
          <t>GP CHARLA</t>
        </is>
      </c>
    </row>
    <row r="2709">
      <c r="A2709" s="1" t="n">
        <v>2707</v>
      </c>
      <c r="B2709">
        <f>HYPERLINK("https://eproc.rajasthan.gov.in/nicgep/app?component=%24DirectLink&amp;page=FrontEndViewTender&amp;service=direct&amp;session=T&amp;sp=SLE9Lo7M66o4qE4XF03fFWg%3D%3D", "GP TALWARA JHEEL SAF SFAI TENDER PANCHAYAT SAMITI TIBBI")</f>
        <v/>
      </c>
      <c r="C2709" t="inlineStr">
        <is>
          <t>Panchayati Raj Department||Secretary and Commissioner||CEO- HANUMANGARH||BDO-TIBBI</t>
        </is>
      </c>
      <c r="D2709" t="inlineStr">
        <is>
          <t>19-May-2025 06:00 PM</t>
        </is>
      </c>
      <c r="E2709" t="inlineStr">
        <is>
          <t>9,96,000</t>
        </is>
      </c>
      <c r="F2709" t="inlineStr">
        <is>
          <t>GP TALWARA JHEEL SAF SFAI TENDER PANCHAYAT SAMITI TIBBI</t>
        </is>
      </c>
      <c r="G2709" t="inlineStr">
        <is>
          <t>GP TALWARA</t>
        </is>
      </c>
    </row>
    <row r="2710">
      <c r="A2710" s="1" t="n">
        <v>2708</v>
      </c>
      <c r="B2710">
        <f>HYPERLINK("https://eproc.rajasthan.gov.in/nicgep/app?component=%24DirectLink&amp;page=FrontEndViewTender&amp;service=direct&amp;session=T&amp;sp=SJirSYNoUyGhh6Ua1AP8qnQ%3D%3D", "GP KHARAKHEDA SAF SFAI TENDER PANCHAYAT SAMITI TIBBI")</f>
        <v/>
      </c>
      <c r="C2710" t="inlineStr">
        <is>
          <t>Panchayati Raj Department||Secretary and Commissioner||CEO- HANUMANGARH||BDO-TIBBI</t>
        </is>
      </c>
      <c r="D2710" t="inlineStr">
        <is>
          <t>19-May-2025 06:00 PM</t>
        </is>
      </c>
      <c r="E2710" t="inlineStr">
        <is>
          <t>9,94,000</t>
        </is>
      </c>
      <c r="F2710" t="inlineStr">
        <is>
          <t>GP KHARAKHEDA SAF SFAI TENDER PANCHAYAT SAMITI TIBBI</t>
        </is>
      </c>
      <c r="G2710" t="inlineStr">
        <is>
          <t>GP KHARAKHEDA</t>
        </is>
      </c>
    </row>
    <row r="2711">
      <c r="A2711" s="1" t="n">
        <v>2709</v>
      </c>
      <c r="B2711">
        <f>HYPERLINK("https://eproc.rajasthan.gov.in/nicgep/app?component=%24DirectLink&amp;page=FrontEndViewTender&amp;service=direct&amp;session=T&amp;sp=SlEQooEAGzsnzyCORuWidfg%3D%3D", "CONSTRCTION METERIAL SUPPLY WORK")</f>
        <v/>
      </c>
      <c r="C2711" t="inlineStr">
        <is>
          <t>Panchayati Raj Department||Secretary and Commissioner||CEO-UDAIPUR||BDO-GIRVA</t>
        </is>
      </c>
      <c r="D2711" t="inlineStr">
        <is>
          <t>19-May-2025 04:00 PM</t>
        </is>
      </c>
      <c r="E2711" t="inlineStr">
        <is>
          <t>50,00,000</t>
        </is>
      </c>
      <c r="F2711" t="inlineStr">
        <is>
          <t>CONSTRCTION METERIAL SUPPLY WORK IN GP KAYA</t>
        </is>
      </c>
      <c r="G2711" t="inlineStr">
        <is>
          <t>gram panchayat kaya</t>
        </is>
      </c>
    </row>
    <row r="2712">
      <c r="A2712" s="1" t="n">
        <v>2710</v>
      </c>
      <c r="B2712">
        <f>HYPERLINK("https://eproc.rajasthan.gov.in/nicgep/app?component=%24DirectLink&amp;page=FrontEndViewTender&amp;service=direct&amp;session=T&amp;sp=SspoJum1GNAUdyG5HxjyuZg%3D%3D", "ghar ghar kchara sangran etc")</f>
        <v/>
      </c>
      <c r="C2712" t="inlineStr">
        <is>
          <t>Panchayati Raj Department||Secretary and Commissioner||CEO-CHURU||BDO-SUJANGARH</t>
        </is>
      </c>
      <c r="D2712" t="inlineStr">
        <is>
          <t>21-May-2025 06:00 PM</t>
        </is>
      </c>
      <c r="E2712" t="inlineStr">
        <is>
          <t>7,55,927</t>
        </is>
      </c>
      <c r="F2712" t="inlineStr">
        <is>
          <t>ghar ghar kchara sangran etc IN GP BHANISARIYA TEJ</t>
        </is>
      </c>
      <c r="G2712" t="inlineStr">
        <is>
          <t>GP BHANISARIYA TEJ</t>
        </is>
      </c>
    </row>
    <row r="2713">
      <c r="A2713" s="1" t="n">
        <v>2711</v>
      </c>
      <c r="B2713">
        <f>HYPERLINK("https://eproc.rajasthan.gov.in/nicgep/app?component=%24DirectLink&amp;page=FrontEndViewTender&amp;service=direct&amp;session=T&amp;sp=S98d4IYYnv9tU5emJQRq5ow%3D%3D", "GP KULCHANDER SAF SFAI TENDER PANCHAYAT SAMITI TIBBI")</f>
        <v/>
      </c>
      <c r="C2713" t="inlineStr">
        <is>
          <t>Panchayati Raj Department||Secretary and Commissioner||CEO- HANUMANGARH||BDO-TIBBI</t>
        </is>
      </c>
      <c r="D2713" t="inlineStr">
        <is>
          <t>19-May-2025 06:00 PM</t>
        </is>
      </c>
      <c r="E2713" t="inlineStr">
        <is>
          <t>6,63,000</t>
        </is>
      </c>
      <c r="F2713" t="inlineStr">
        <is>
          <t>GP KULCHANDER SAF SFAI TENDER PANCHAYAT SAMITI TIBBI</t>
        </is>
      </c>
      <c r="G2713" t="inlineStr">
        <is>
          <t>GP KULCHANDER</t>
        </is>
      </c>
    </row>
    <row r="2714">
      <c r="A2714" s="1" t="n">
        <v>2712</v>
      </c>
      <c r="B2714">
        <f>HYPERLINK("https://eproc.rajasthan.gov.in/nicgep/app?component=%24DirectLink&amp;page=FrontEndViewTender&amp;service=direct&amp;session=T&amp;sp=SBdScZgfwt26w900lQg89Ug%3D%3D", "GP CHANDURWALI SAF SFAI TENDER PANCHAYAT SAMITI TIBBI")</f>
        <v/>
      </c>
      <c r="C2714" t="inlineStr">
        <is>
          <t>Panchayati Raj Department||Secretary and Commissioner||CEO- HANUMANGARH||BDO-TIBBI</t>
        </is>
      </c>
      <c r="D2714" t="inlineStr">
        <is>
          <t>19-May-2025 06:00 PM</t>
        </is>
      </c>
      <c r="E2714" t="inlineStr">
        <is>
          <t>9,82,000</t>
        </is>
      </c>
      <c r="F2714" t="inlineStr">
        <is>
          <t>GP CHANDURWALI SAF SFAI TENDER PANCHAYAT SAMITI TIBBI</t>
        </is>
      </c>
      <c r="G2714" t="inlineStr">
        <is>
          <t>GP CHANDURWALI</t>
        </is>
      </c>
    </row>
    <row r="2715">
      <c r="A2715" s="1" t="n">
        <v>2713</v>
      </c>
      <c r="B2715">
        <f>HYPERLINK("https://eproc.rajasthan.gov.in/nicgep/app?component=%24DirectLink&amp;page=FrontEndViewTender&amp;service=direct&amp;session=T&amp;sp=SOK9d%2BVNa%2BvZwGtc7j%2BDQCQ%3D%3D", "CONSTRUCTION OF PUBLIC LIBRARY MAIN CHOUCK GRAM PANCHAYAT, SAMI PS DHOD DIST-SIKAR")</f>
        <v/>
      </c>
      <c r="C2715" t="inlineStr">
        <is>
          <t>Panchayati Raj Department||Secretary and Commissioner||CEO-SIKAR||BDO-DHOD</t>
        </is>
      </c>
      <c r="D2715" t="inlineStr">
        <is>
          <t>22-May-2025 06:00 PM</t>
        </is>
      </c>
      <c r="E2715" t="inlineStr">
        <is>
          <t>8,00,000</t>
        </is>
      </c>
      <c r="F2715" t="inlineStr">
        <is>
          <t>CONSTRUCTION OF PUBLIC LIBRARY MAIN CHOUCK GRAM PANCHAYAT, SAMI PS DHOD DIST-SIKAR</t>
        </is>
      </c>
      <c r="G2715" t="inlineStr">
        <is>
          <t>SAMI</t>
        </is>
      </c>
    </row>
    <row r="2716">
      <c r="A2716" s="1" t="n">
        <v>2714</v>
      </c>
      <c r="B2716">
        <f>HYPERLINK("https://eproc.rajasthan.gov.in/nicgep/app?component=%24DirectLink&amp;page=FrontEndViewTender&amp;service=direct&amp;session=T&amp;sp=SBw%2FQ73nNX6RjO5kQf2JYrA%3D%3D", "Rate contract for Work Including Garbage Collection and Separation from Households and Commercial Establishments, Road and Drain cleaning, Cleaning of CSCs in all villages of Gram Panchayat donayacha Panchayat Samiti Malarna Doongar")</f>
        <v/>
      </c>
      <c r="C2716" t="inlineStr">
        <is>
          <t>Panchayati Raj Department||Secretary and Commissioner||CEO-S.MADHOPUR||BDO-MALARANA DUNGAR</t>
        </is>
      </c>
      <c r="D2716" t="inlineStr">
        <is>
          <t>21-May-2025 06:00 PM</t>
        </is>
      </c>
      <c r="E2716" t="inlineStr">
        <is>
          <t>6,84,306</t>
        </is>
      </c>
      <c r="F2716" t="inlineStr">
        <is>
          <t>Rate contract for Work Including Garbage Collection and Separation from Households and Commercial Establishments, Road and Drain cleaning, Cleaning of CSCs in all villages of Gram Panchayat donayacha Panchayat Samiti Malarna Doongar</t>
        </is>
      </c>
      <c r="G2716" t="inlineStr">
        <is>
          <t>GP donayacha</t>
        </is>
      </c>
    </row>
    <row r="2717">
      <c r="A2717" s="1" t="n">
        <v>2715</v>
      </c>
      <c r="B2717">
        <f>HYPERLINK("https://eproc.rajasthan.gov.in/nicgep/app?component=%24DirectLink&amp;page=FrontEndViewTender&amp;service=direct&amp;session=T&amp;sp=S%2BYqGjWbE1aCgMtHDLcY6%2Bg%3D%3D", "GP DABLI KLAN SAF SFAI TENDER PANCHAYAT SAMITI TIBBI")</f>
        <v/>
      </c>
      <c r="C2717" t="inlineStr">
        <is>
          <t>Panchayati Raj Department||Secretary and Commissioner||CEO- HANUMANGARH||BDO-TIBBI</t>
        </is>
      </c>
      <c r="D2717" t="inlineStr">
        <is>
          <t>19-May-2025 06:00 PM</t>
        </is>
      </c>
      <c r="E2717" t="inlineStr">
        <is>
          <t>9,90,000</t>
        </is>
      </c>
      <c r="F2717" t="inlineStr">
        <is>
          <t>GP DABLI KLAN SAF SFAI TENDER PANCHAYAT SAMITI TIBBI</t>
        </is>
      </c>
      <c r="G2717" t="inlineStr">
        <is>
          <t>GP DABLI KLAN</t>
        </is>
      </c>
    </row>
    <row r="2718">
      <c r="A2718" s="1" t="n">
        <v>2716</v>
      </c>
      <c r="B2718">
        <f>HYPERLINK("https://eproc.rajasthan.gov.in/nicgep/app?component=%24DirectLink&amp;page=FrontEndViewTender&amp;service=direct&amp;session=T&amp;sp=S3O0KyWvvPHxCmKraWFs3Kg%3D%3D", "GP GUDIYA SAF SFAI TENDER PANCHAYAT SAMITI TIBBI")</f>
        <v/>
      </c>
      <c r="C2718" t="inlineStr">
        <is>
          <t>Panchayati Raj Department||Secretary and Commissioner||CEO- HANUMANGARH||BDO-TIBBI</t>
        </is>
      </c>
      <c r="D2718" t="inlineStr">
        <is>
          <t>19-May-2025 06:00 PM</t>
        </is>
      </c>
      <c r="E2718" t="inlineStr">
        <is>
          <t>8,91,000</t>
        </is>
      </c>
      <c r="F2718" t="inlineStr">
        <is>
          <t>GP GUDIYA SAF SFAI TENDER PANCHAYAT SAMITI TIBBI</t>
        </is>
      </c>
      <c r="G2718" t="inlineStr">
        <is>
          <t>GP GUDIYA</t>
        </is>
      </c>
    </row>
    <row r="2719">
      <c r="A2719" s="1" t="n">
        <v>2717</v>
      </c>
      <c r="B2719">
        <f>HYPERLINK("https://eproc.rajasthan.gov.in/nicgep/app?component=%24DirectLink&amp;page=FrontEndViewTender&amp;service=direct&amp;session=T&amp;sp=SFucuHCYJXar6xX6VPryVVw%3D%3D", "ghar ghar kchara sangran etc")</f>
        <v/>
      </c>
      <c r="C2719" t="inlineStr">
        <is>
          <t>Panchayati Raj Department||Secretary and Commissioner||CEO-CHURU||BDO-SUJANGARH</t>
        </is>
      </c>
      <c r="D2719" t="inlineStr">
        <is>
          <t>21-May-2025 06:00 PM</t>
        </is>
      </c>
      <c r="E2719" t="inlineStr">
        <is>
          <t>9,84,106</t>
        </is>
      </c>
      <c r="F2719" t="inlineStr">
        <is>
          <t>ghar ghar kchara sangran etc IN GP BADABAR</t>
        </is>
      </c>
      <c r="G2719" t="inlineStr">
        <is>
          <t>GP BADABAR</t>
        </is>
      </c>
    </row>
    <row r="2720">
      <c r="A2720" s="1" t="n">
        <v>2718</v>
      </c>
      <c r="B2720">
        <f>HYPERLINK("https://eproc.rajasthan.gov.in/nicgep/app?component=%24DirectLink&amp;page=FrontEndViewTender&amp;service=direct&amp;session=T&amp;sp=SzVtAm%2BoORF%2FykMJJydVugA%3D%3D", "GP BANORA MATERIAL TENDER FY 2025-26")</f>
        <v/>
      </c>
      <c r="C2720" t="inlineStr">
        <is>
          <t>Panchayati Raj Department||Secretary and Commissioner||CEO-DHOLPUR||BDO-BASEDI</t>
        </is>
      </c>
      <c r="D2720" t="inlineStr">
        <is>
          <t>19-May-2025 10:00 AM</t>
        </is>
      </c>
      <c r="E2720" t="inlineStr">
        <is>
          <t>50,00,000</t>
        </is>
      </c>
      <c r="F2720" t="inlineStr">
        <is>
          <t>GP BANORA MATERIAL TENDER FY 2025-26</t>
        </is>
      </c>
      <c r="G2720" t="inlineStr">
        <is>
          <t>GP BANORA</t>
        </is>
      </c>
    </row>
    <row r="2721">
      <c r="A2721" s="1" t="n">
        <v>2719</v>
      </c>
      <c r="B2721">
        <f>HYPERLINK("https://eproc.rajasthan.gov.in/nicgep/app?component=%24DirectLink&amp;page=FrontEndViewTender&amp;service=direct&amp;session=T&amp;sp=SUHpBKG4fgeif36PAMOVcEA%3D%3D", "GP MATERIAL MAHUGULAWALI FY 2025-26 TENDER")</f>
        <v/>
      </c>
      <c r="C2721" t="inlineStr">
        <is>
          <t>Panchayati Raj Department||Secretary and Commissioner||CEO-DHOLPUR||BDO-BASEDI</t>
        </is>
      </c>
      <c r="D2721" t="inlineStr">
        <is>
          <t>19-May-2025 10:00 AM</t>
        </is>
      </c>
      <c r="E2721" t="inlineStr">
        <is>
          <t>50,00,000</t>
        </is>
      </c>
      <c r="F2721" t="inlineStr">
        <is>
          <t>GP MATERIAL MAHUGULAWALI FY 2025-26 TENDER</t>
        </is>
      </c>
      <c r="G2721" t="inlineStr">
        <is>
          <t>GP MAHUGULAWALI</t>
        </is>
      </c>
    </row>
    <row r="2722">
      <c r="A2722" s="1" t="n">
        <v>2720</v>
      </c>
      <c r="B2722">
        <f>HYPERLINK("https://eproc.rajasthan.gov.in/nicgep/app?component=%24DirectLink&amp;page=FrontEndViewTender&amp;service=direct&amp;session=T&amp;sp=SoCrGsX8DtEWq0Ea8fjtsTQ%3D%3D", "GP ATARSUMA MATERIAL TENDER FY 2025-26")</f>
        <v/>
      </c>
      <c r="C2722" t="inlineStr">
        <is>
          <t>Panchayati Raj Department||Secretary and Commissioner||CEO-DHOLPUR||BDO-BASEDI</t>
        </is>
      </c>
      <c r="D2722" t="inlineStr">
        <is>
          <t>19-May-2025 10:00 AM</t>
        </is>
      </c>
      <c r="E2722" t="inlineStr">
        <is>
          <t>50,00,000</t>
        </is>
      </c>
      <c r="F2722" t="inlineStr">
        <is>
          <t>GP ATARSUMA MATERIAL TENDER FY 2025-26</t>
        </is>
      </c>
      <c r="G2722" t="inlineStr">
        <is>
          <t>GP ATARSUMA</t>
        </is>
      </c>
    </row>
    <row r="2723">
      <c r="A2723" s="1" t="n">
        <v>2721</v>
      </c>
      <c r="B2723">
        <f>HYPERLINK("https://eproc.rajasthan.gov.in/nicgep/app?component=%24DirectLink&amp;page=FrontEndViewTender&amp;service=direct&amp;session=T&amp;sp=S%2BQAXH3xlpVA0QJRJrMBmyw%3D%3D", "GP IBRAHIMPUR MATERIAL TENDER FY 2025-26")</f>
        <v/>
      </c>
      <c r="C2723" t="inlineStr">
        <is>
          <t>Panchayati Raj Department||Secretary and Commissioner||CEO-DHOLPUR||BDO-BASEDI</t>
        </is>
      </c>
      <c r="D2723" t="inlineStr">
        <is>
          <t>19-May-2025 10:00 AM</t>
        </is>
      </c>
      <c r="E2723" t="inlineStr">
        <is>
          <t>50,00,000</t>
        </is>
      </c>
      <c r="F2723" t="inlineStr">
        <is>
          <t>GP IBRAHIMPUR MATERIAL TENDER FY 2025-26</t>
        </is>
      </c>
      <c r="G2723" t="inlineStr">
        <is>
          <t>GP IBRAHIMPUR</t>
        </is>
      </c>
    </row>
    <row r="2724">
      <c r="A2724" s="1" t="n">
        <v>2722</v>
      </c>
      <c r="B2724">
        <f>HYPERLINK("https://eproc.rajasthan.gov.in/nicgep/app?component=%24DirectLink&amp;page=FrontEndViewTender&amp;service=direct&amp;session=T&amp;sp=SbJsYtUSOUGdvW121VmTNiQ%3D%3D", "RATE CONTRACT FOR SBM WORK OF FY-2025-26 work including garbage collection and separation from evry houses(residential and commercial) , road and drain cleaning, and cleaning of community sanitation complex in all the villages of GP Bagthal")</f>
        <v/>
      </c>
      <c r="C2724" t="inlineStr">
        <is>
          <t>Panchayati Raj Department||Secretary and Commissioner||CEO- JAISALMER||BDO-BHANIYANA</t>
        </is>
      </c>
      <c r="D2724" t="inlineStr">
        <is>
          <t>19-May-2025 06:55 PM</t>
        </is>
      </c>
      <c r="E2724" t="inlineStr">
        <is>
          <t>8,20,501</t>
        </is>
      </c>
      <c r="F2724" t="inlineStr">
        <is>
          <t>RATE CONTRACT FOR SBM WORK OF FY-2025-26 work including garbage collection and separation from evry houses(residential and commercial) , road and drain cleaning, and cleaning of community sanitation complex in all the villages of GP Bagthal</t>
        </is>
      </c>
      <c r="G2724" t="inlineStr">
        <is>
          <t>bhaniyana</t>
        </is>
      </c>
    </row>
    <row r="2725">
      <c r="A2725" s="1" t="n">
        <v>2723</v>
      </c>
      <c r="B2725">
        <f>HYPERLINK("https://eproc.rajasthan.gov.in/nicgep/app?component=%24DirectLink&amp;page=FrontEndViewTender&amp;service=direct&amp;session=T&amp;sp=SOO5qNeLFVEVbyp5qFXfTsQ%3D%3D", "Construction work of public reading room in Government Higher Secondary School, Batadu")</f>
        <v/>
      </c>
      <c r="C2725" t="inlineStr">
        <is>
          <t>Panchayati Raj Department||Secretary and Commissioner||CEO-BADMER||BDO-BAYATU</t>
        </is>
      </c>
      <c r="D2725" t="inlineStr">
        <is>
          <t>21-May-2025 06:00 PM</t>
        </is>
      </c>
      <c r="E2725" t="inlineStr">
        <is>
          <t>12,00,000</t>
        </is>
      </c>
      <c r="F2725" t="inlineStr">
        <is>
          <t>Construction work of public reading room in Government Higher Secondary School, Batadu</t>
        </is>
      </c>
      <c r="G2725" t="inlineStr">
        <is>
          <t>Batadu</t>
        </is>
      </c>
    </row>
    <row r="2726">
      <c r="A2726" s="1" t="n">
        <v>2724</v>
      </c>
      <c r="B2726">
        <f>HYPERLINK("https://eproc.rajasthan.gov.in/nicgep/app?component=%24DirectLink&amp;page=FrontEndViewTender&amp;service=direct&amp;session=T&amp;sp=SCzeSyDDuDJdr0BYYmXNSLg%3D%3D", "Rate Contract for Supply of Construction Material and equipment in Gram Panchayat")</f>
        <v/>
      </c>
      <c r="C2726" t="inlineStr">
        <is>
          <t>Panchayati Raj Department||Secretary and Commissioner||CEO-SIKAR||BDO-KHANDELA</t>
        </is>
      </c>
      <c r="D2726" t="inlineStr">
        <is>
          <t>19-May-2025 10:00 AM</t>
        </is>
      </c>
      <c r="E2726" t="inlineStr">
        <is>
          <t>25,00,000</t>
        </is>
      </c>
      <c r="F2726" t="inlineStr">
        <is>
          <t>Rate Contract for Supply of Construction Material and equipment in Gram Panchayat</t>
        </is>
      </c>
      <c r="G2726" t="inlineStr">
        <is>
          <t>GP DULHEPURA</t>
        </is>
      </c>
    </row>
    <row r="2727">
      <c r="A2727" s="1" t="n">
        <v>2725</v>
      </c>
      <c r="B2727">
        <f>HYPERLINK("https://eproc.rajasthan.gov.in/nicgep/app?component=%24DirectLink&amp;page=FrontEndViewTender&amp;service=direct&amp;session=T&amp;sp=Sf1jd0C6XMdpsnUoA34ORIg%3D%3D", "GRAM PANCHAYAT ME SAAF SAFAI KAARY")</f>
        <v/>
      </c>
      <c r="C2727" t="inlineStr">
        <is>
          <t>Panchayati Raj Department||Secretary and Commissioner||CEO-SIKAR||BDO-KHANDELA</t>
        </is>
      </c>
      <c r="D2727" t="inlineStr">
        <is>
          <t>19-May-2025 10:00 AM</t>
        </is>
      </c>
      <c r="E2727" t="inlineStr">
        <is>
          <t>6,00,000</t>
        </is>
      </c>
      <c r="F2727" t="inlineStr">
        <is>
          <t>GRAM PANCHAYAT ME SAAF SAFAI KAARY</t>
        </is>
      </c>
      <c r="G2727" t="inlineStr">
        <is>
          <t>GP GARH BHOPJI</t>
        </is>
      </c>
    </row>
    <row r="2728">
      <c r="A2728" s="1" t="n">
        <v>2726</v>
      </c>
      <c r="B2728">
        <f>HYPERLINK("https://eproc.rajasthan.gov.in/nicgep/app?component=%24DirectLink&amp;page=FrontEndViewTender&amp;service=direct&amp;session=T&amp;sp=S%2FhsMPWCqAe1rXhu2QWOcKw%3D%3D", "RATE CONTRACT FOR SBM WORK OF FY-2025-26 work including garbage collection and separation from evry houses(residential and commercial) , road and drain cleaning, and cleaning of community sanitation complex in all the villages of GP Rajgadh")</f>
        <v/>
      </c>
      <c r="C2728" t="inlineStr">
        <is>
          <t>Panchayati Raj Department||Secretary and Commissioner||CEO- JAISALMER||BDO-BHANIYANA</t>
        </is>
      </c>
      <c r="D2728" t="inlineStr">
        <is>
          <t>19-May-2025 06:00 PM</t>
        </is>
      </c>
      <c r="E2728" t="inlineStr">
        <is>
          <t>5,83,188</t>
        </is>
      </c>
      <c r="F2728" t="inlineStr">
        <is>
          <t>RATE CONTRACT FOR SBM WORK OF FY-2025-26 work including garbage collection and separation from evry houses(residential and commercial) , road and drain cleaning, and cleaning of community sanitation complex in all the villages of GP Rajgadh</t>
        </is>
      </c>
      <c r="G2728" t="inlineStr">
        <is>
          <t>bhaniyana</t>
        </is>
      </c>
    </row>
    <row r="2729">
      <c r="A2729" s="1" t="n">
        <v>2727</v>
      </c>
      <c r="B2729">
        <f>HYPERLINK("https://eproc.rajasthan.gov.in/nicgep/app?component=%24DirectLink&amp;page=FrontEndViewTender&amp;service=direct&amp;session=T&amp;sp=S8HSeyqhIWMP5Il%2B94pNfYg%3D%3D", "RATE CONTRACT FOR SBM WORK OF FY-2025-26 work including garbage collection and separation from evry houses(residential and commercial) , road and drain cleaning, and cleaning of community sanitation complex in all the villages of GP Kajoi")</f>
        <v/>
      </c>
      <c r="C2729" t="inlineStr">
        <is>
          <t>Panchayati Raj Department||Secretary and Commissioner||CEO- JAISALMER||BDO-BHANIYANA</t>
        </is>
      </c>
      <c r="D2729" t="inlineStr">
        <is>
          <t>19-May-2025 06:00 PM</t>
        </is>
      </c>
      <c r="E2729" t="inlineStr">
        <is>
          <t>8,58,339</t>
        </is>
      </c>
      <c r="F2729" t="inlineStr">
        <is>
          <t>RATE CONTRACT FOR SBM WORK OF FY-2025-26 work including garbage collection and separation from evry houses(residential and commercial) , road and drain cleaning, and cleaning of community sanitation complex in all the villages of GP Kajoi</t>
        </is>
      </c>
      <c r="G2729" t="inlineStr">
        <is>
          <t>bhaniyana</t>
        </is>
      </c>
    </row>
    <row r="2730">
      <c r="A2730" s="1" t="n">
        <v>2728</v>
      </c>
      <c r="B2730">
        <f>HYPERLINK("https://eproc.rajasthan.gov.in/nicgep/app?component=%24DirectLink&amp;page=FrontEndViewTender&amp;service=direct&amp;session=T&amp;sp=SrydaOarC3HYRyph7%2Bxj69w%3D%3D", "RATE CONTRACT FOR SBM WORK OF FY-2025-26 work including garbage collection and separation from evry houses(residential and commercial) , road and drain cleaning, and cleaning of community sanitation complex in all the villages of GP Bheekhodai Nai")</f>
        <v/>
      </c>
      <c r="C2730" t="inlineStr">
        <is>
          <t>Panchayati Raj Department||Secretary and Commissioner||CEO- JAISALMER||BDO-BHANIYANA</t>
        </is>
      </c>
      <c r="D2730" t="inlineStr">
        <is>
          <t>19-May-2025 06:00 PM</t>
        </is>
      </c>
      <c r="E2730" t="inlineStr">
        <is>
          <t>8,58,745</t>
        </is>
      </c>
      <c r="F2730" t="inlineStr">
        <is>
          <t>RATE CONTRACT FOR SBM WORK OF FY-2025-26 work including garbage collection and separation from evry houses(residential and commercial) , road and drain cleaning, and cleaning of community sanitation complex in all the villages of GP Bheekhodai Nai</t>
        </is>
      </c>
      <c r="G2730" t="inlineStr">
        <is>
          <t>bhaniyana</t>
        </is>
      </c>
    </row>
    <row r="2731">
      <c r="A2731" s="1" t="n">
        <v>2729</v>
      </c>
      <c r="B2731">
        <f>HYPERLINK("https://eproc.rajasthan.gov.in/nicgep/app?component=%24DirectLink&amp;page=FrontEndViewTender&amp;service=direct&amp;session=T&amp;sp=SOobmBbbQ0uo5848m89yUBw%3D%3D", "BAGHSURISBM25")</f>
        <v/>
      </c>
      <c r="C2731" t="inlineStr">
        <is>
          <t>Panchayati Raj Department||Secretary and Commissioner||CEO-AJMER||BDO-SRI NAGAR</t>
        </is>
      </c>
      <c r="D2731" t="inlineStr">
        <is>
          <t>19-May-2025 10:00 AM</t>
        </is>
      </c>
      <c r="E2731" t="inlineStr">
        <is>
          <t>16,65,153</t>
        </is>
      </c>
      <c r="F2731" t="inlineStr">
        <is>
          <t>SBM WORKS IN GP BAGHSURI</t>
        </is>
      </c>
      <c r="G2731" t="inlineStr">
        <is>
          <t>GP BAGHSURI</t>
        </is>
      </c>
    </row>
    <row r="2732">
      <c r="A2732" s="1" t="n">
        <v>2730</v>
      </c>
      <c r="B2732">
        <f>HYPERLINK("https://eproc.rajasthan.gov.in/nicgep/app?component=%24DirectLink&amp;page=FrontEndViewTender&amp;service=direct&amp;session=T&amp;sp=SUVdS8b2C9F5Z3TeHp1hq8Q%3D%3D", "MATERIAL SUPPLY AND EQUIPMENT SUPPLY FOR CONSTRUCTION WORK IN G.P. BORI P.S. DUNGARPUR DISTRICT DUNGARPUR")</f>
        <v/>
      </c>
      <c r="C2732" t="inlineStr">
        <is>
          <t>Panchayati Raj Department||Secretary and Commissioner||CEO- DUNGARPUR||BDO- DUNGARPUR</t>
        </is>
      </c>
      <c r="D2732" t="inlineStr">
        <is>
          <t>21-May-2025 06:00 PM</t>
        </is>
      </c>
      <c r="E2732" t="inlineStr">
        <is>
          <t>60,00,000</t>
        </is>
      </c>
      <c r="F2732" t="inlineStr">
        <is>
          <t>MATERIAL SUPPLY AND EQUIPMENT SUPPLY FOR CONSTRUCTION WORK IN G.P. BORI P.S. DUNGARPUR DISTRICT DUNGARPUR</t>
        </is>
      </c>
      <c r="G2732" t="inlineStr">
        <is>
          <t>BHATWADA</t>
        </is>
      </c>
    </row>
    <row r="2733">
      <c r="A2733" s="1" t="n">
        <v>2731</v>
      </c>
      <c r="B2733">
        <f>HYPERLINK("https://eproc.rajasthan.gov.in/nicgep/app?component=%24DirectLink&amp;page=FrontEndViewTender&amp;service=direct&amp;session=T&amp;sp=SJCFrEbyYhRrBzZ2ZlBYM7w%3D%3D", "RATE CONTRACT FOR SBM WORK OF FY-2025-26 work including garbage collection and separation from evry houses(residential and commercial) , road and drain cleaning, and cleaning of community sanitation complex in all the villages of GP Netasar")</f>
        <v/>
      </c>
      <c r="C2733" t="inlineStr">
        <is>
          <t>Panchayati Raj Department||Secretary and Commissioner||CEO- JAISALMER||BDO-BHANIYANA</t>
        </is>
      </c>
      <c r="D2733" t="inlineStr">
        <is>
          <t>19-May-2025 06:00 PM</t>
        </is>
      </c>
      <c r="E2733" t="inlineStr">
        <is>
          <t>7,89,547</t>
        </is>
      </c>
      <c r="F2733" t="inlineStr">
        <is>
          <t>RATE CONTRACT FOR SBM WORK OF FY-2025-26 work including garbage collection and separation from evry houses(residential and commercial) , road and drain cleaning, and cleaning of community sanitation complex in all the villages of GP Netasar</t>
        </is>
      </c>
      <c r="G2733" t="inlineStr">
        <is>
          <t>bhaniyana</t>
        </is>
      </c>
    </row>
    <row r="2734">
      <c r="A2734" s="1" t="n">
        <v>2732</v>
      </c>
      <c r="B2734">
        <f>HYPERLINK("https://eproc.rajasthan.gov.in/nicgep/app?component=%24DirectLink&amp;page=FrontEndViewTender&amp;service=direct&amp;session=T&amp;sp=SzXThO0mnG2SGVado5Oxkbg%3D%3D", "BITHURSBM25")</f>
        <v/>
      </c>
      <c r="C2734" t="inlineStr">
        <is>
          <t>Panchayati Raj Department||Secretary and Commissioner||CEO-AJMER||BDO-SRI NAGAR</t>
        </is>
      </c>
      <c r="D2734" t="inlineStr">
        <is>
          <t>19-May-2025 10:00 AM</t>
        </is>
      </c>
      <c r="E2734" t="inlineStr">
        <is>
          <t>13,02,127</t>
        </is>
      </c>
      <c r="F2734" t="inlineStr">
        <is>
          <t>SBM WORK IN GP BITHUR</t>
        </is>
      </c>
      <c r="G2734" t="inlineStr">
        <is>
          <t>GP BITHUR</t>
        </is>
      </c>
    </row>
    <row r="2735">
      <c r="A2735" s="1" t="n">
        <v>2733</v>
      </c>
      <c r="B2735">
        <f>HYPERLINK("https://eproc.rajasthan.gov.in/nicgep/app?component=%24DirectLink&amp;page=FrontEndViewTender&amp;service=direct&amp;session=T&amp;sp=S8UsNAtYLJVfuiroIS8yWFg%3D%3D", "RATE CONTRACT FOR SBM WORK OF FY-2025-26 work including garbage collection and separation from evry houses(residential and commercial) , road and drain cleaning, and cleaning of community sanitation complex in all the villages of GP Loonakala")</f>
        <v/>
      </c>
      <c r="C2735" t="inlineStr">
        <is>
          <t>Panchayati Raj Department||Secretary and Commissioner||CEO- JAISALMER||BDO-BHANIYANA</t>
        </is>
      </c>
      <c r="D2735" t="inlineStr">
        <is>
          <t>19-May-2025 06:00 PM</t>
        </is>
      </c>
      <c r="E2735" t="inlineStr">
        <is>
          <t>7,78,469</t>
        </is>
      </c>
      <c r="F2735" t="inlineStr">
        <is>
          <t>RATE CONTRACT FOR SBM WORK OF FY-2025-26 work including garbage collection and separation from evry houses(residential and commercial) , road and drain cleaning, and cleaning of community sanitation complex in all the villages of GP Loonakala</t>
        </is>
      </c>
      <c r="G2735" t="inlineStr">
        <is>
          <t>bhaniyana</t>
        </is>
      </c>
    </row>
    <row r="2736">
      <c r="A2736" s="1" t="n">
        <v>2734</v>
      </c>
      <c r="B2736">
        <f>HYPERLINK("https://eproc.rajasthan.gov.in/nicgep/app?component=%24DirectLink&amp;page=FrontEndViewTender&amp;service=direct&amp;session=T&amp;sp=SjnGsqUCAfcvYilaiERGx6w%3D%3D", "DEVELOPEMENT WORKS IN GP Umren AS PER NIT DOCUMENT")</f>
        <v/>
      </c>
      <c r="C2736" t="inlineStr">
        <is>
          <t>Panchayati Raj Department||Secretary and Commissioner||CEO-ALWAR||BDO-UMRAIN</t>
        </is>
      </c>
      <c r="D2736" t="inlineStr">
        <is>
          <t>20-May-2025 04:00 PM</t>
        </is>
      </c>
      <c r="E2736" t="inlineStr">
        <is>
          <t>3,00,000</t>
        </is>
      </c>
      <c r="F2736" t="inlineStr">
        <is>
          <t>DEVELOPEMENT WORKS IN GP Umren AS PER NIT DOCUMENT</t>
        </is>
      </c>
      <c r="G2736" t="inlineStr">
        <is>
          <t>GP UMREN</t>
        </is>
      </c>
    </row>
    <row r="2737">
      <c r="A2737" s="1" t="n">
        <v>2735</v>
      </c>
      <c r="B2737">
        <f>HYPERLINK("https://eproc.rajasthan.gov.in/nicgep/app?component=%24DirectLink&amp;page=FrontEndViewTender&amp;service=direct&amp;session=T&amp;sp=SIWxUbqmDpXW4nlqhEnrMig%3D%3D", "RATE CONTRACT FOR SBM WORK OF FY-2025-26 work including garbage collection and separation from evry houses(residential and commercial) , road and drain cleaning, and cleaning of community sanitation complex in all the villages of GP Khumansar")</f>
        <v/>
      </c>
      <c r="C2737" t="inlineStr">
        <is>
          <t>Panchayati Raj Department||Secretary and Commissioner||CEO- JAISALMER||BDO-BHANIYANA</t>
        </is>
      </c>
      <c r="D2737" t="inlineStr">
        <is>
          <t>19-May-2025 06:00 PM</t>
        </is>
      </c>
      <c r="E2737" t="inlineStr">
        <is>
          <t>4,97,210</t>
        </is>
      </c>
      <c r="F2737" t="inlineStr">
        <is>
          <t>RATE CONTRACT FOR SBM WORK OF FY-2025-26 work including garbage collection and separation from evry houses(residential and commercial) , road and drain cleaning, and cleaning of community sanitation complex in all the villages of GP Khumansar</t>
        </is>
      </c>
      <c r="G2737" t="inlineStr">
        <is>
          <t>bhaniyana</t>
        </is>
      </c>
    </row>
    <row r="2738">
      <c r="A2738" s="1" t="n">
        <v>2736</v>
      </c>
      <c r="B2738">
        <f>HYPERLINK("https://eproc.rajasthan.gov.in/nicgep/app?component=%24DirectLink&amp;page=FrontEndViewTender&amp;service=direct&amp;session=T&amp;sp=SA9fDhzdNdIqBNihClFhwng%3D%3D", "RATE CONTRACT FOR SBM WORK OF FY-2025-26 work including garbage collection and separation from evry houses(residential and commercial) , road and drain cleaning, and cleaning of community sanitation complex in all the villages of GP Prabhupura")</f>
        <v/>
      </c>
      <c r="C2738" t="inlineStr">
        <is>
          <t>Panchayati Raj Department||Secretary and Commissioner||CEO- JAISALMER||BDO-BHANIYANA</t>
        </is>
      </c>
      <c r="D2738" t="inlineStr">
        <is>
          <t>19-May-2025 06:00 PM</t>
        </is>
      </c>
      <c r="E2738" t="inlineStr">
        <is>
          <t>6,47,785</t>
        </is>
      </c>
      <c r="F2738" t="inlineStr">
        <is>
          <t>RATE CONTRACT FOR SBM WORK OF FY-2025-26 work including garbage collection and separation from evry houses(residential and commercial) , road and drain cleaning, and cleaning of community sanitation complex in all the villages of GP Prabhupura</t>
        </is>
      </c>
      <c r="G2738" t="inlineStr">
        <is>
          <t>bhaniyana</t>
        </is>
      </c>
    </row>
    <row r="2739">
      <c r="A2739" s="1" t="n">
        <v>2737</v>
      </c>
      <c r="B2739">
        <f>HYPERLINK("https://eproc.rajasthan.gov.in/nicgep/app?component=%24DirectLink&amp;page=FrontEndViewTender&amp;service=direct&amp;session=T&amp;sp=SSDGStS1aqzOMv8g6hG8C%2FA%3D%3D", "RATE CONTRACT FOR SBM WORK OF FY-2025-26 work including garbage collection and separation from evry houses(residential and commercial) , road and drain cleaning, and cleaning of community sanitation complex in all the villages of GP Manasar")</f>
        <v/>
      </c>
      <c r="C2739" t="inlineStr">
        <is>
          <t>Panchayati Raj Department||Secretary and Commissioner||CEO- JAISALMER||BDO-BHANIYANA</t>
        </is>
      </c>
      <c r="D2739" t="inlineStr">
        <is>
          <t>19-May-2025 06:00 PM</t>
        </is>
      </c>
      <c r="E2739" t="inlineStr">
        <is>
          <t>9,90,749</t>
        </is>
      </c>
      <c r="F2739" t="inlineStr">
        <is>
          <t>RATE CONTRACT FOR SBM WORK OF FY-2025-26 work including garbage collection and separation from evry houses(residential and commercial) , road and drain cleaning, and cleaning of community sanitation complex in all the villages of GP Manasar</t>
        </is>
      </c>
      <c r="G2739" t="inlineStr">
        <is>
          <t>Bhaniyana</t>
        </is>
      </c>
    </row>
    <row r="2740">
      <c r="A2740" s="1" t="n">
        <v>2738</v>
      </c>
      <c r="B2740">
        <f>HYPERLINK("https://eproc.rajasthan.gov.in/nicgep/app?component=%24DirectLink&amp;page=FrontEndViewTender&amp;service=direct&amp;session=T&amp;sp=Soi2ZxmApwZi2ci11Z8T5eQ%3D%3D", "RATE CONTRACT FOR SBM WORK OF FY-2025-26 work including garbage collection and separation from evry houses(residential and commercial) , road and drain cleaning, and cleaning of community sanitation complex in all the villages of GP Gundala")</f>
        <v/>
      </c>
      <c r="C2740" t="inlineStr">
        <is>
          <t>Panchayati Raj Department||Secretary and Commissioner||CEO- JAISALMER||BDO-BHANIYANA</t>
        </is>
      </c>
      <c r="D2740" t="inlineStr">
        <is>
          <t>19-May-2025 06:00 PM</t>
        </is>
      </c>
      <c r="E2740" t="inlineStr">
        <is>
          <t>4,42,169</t>
        </is>
      </c>
      <c r="F2740" t="inlineStr">
        <is>
          <t>RATE CONTRACT FOR SBM WORK OF FY-2025-26 work including garbage collection and separation from evry houses(residential and commercial) , road and drain cleaning, and cleaning of community sanitation complex in all the villages of GP Gundala</t>
        </is>
      </c>
      <c r="G2740" t="inlineStr">
        <is>
          <t>bhaniyana</t>
        </is>
      </c>
    </row>
    <row r="2741">
      <c r="A2741" s="1" t="n">
        <v>2739</v>
      </c>
      <c r="B2741">
        <f>HYPERLINK("https://eproc.rajasthan.gov.in/nicgep/app?component=%24DirectLink&amp;page=FrontEndViewTender&amp;service=direct&amp;session=T&amp;sp=SCDFSZ5eL2F3SFf00%2BYCIdA%3D%3D", "MATERIAL SUPPLY AND EQUIPMENT SUPPLY FOR CONSTRUCTION WORK IN G.P. CHAK MAHUDI P.S. DUNGARPUR DISTRICT DUNGARPUR")</f>
        <v/>
      </c>
      <c r="C2741" t="inlineStr">
        <is>
          <t>Panchayati Raj Department||Secretary and Commissioner||CEO- DUNGARPUR||BDO- DUNGARPUR</t>
        </is>
      </c>
      <c r="D2741" t="inlineStr">
        <is>
          <t>21-May-2025 06:00 PM</t>
        </is>
      </c>
      <c r="E2741" t="inlineStr">
        <is>
          <t>60,00,000</t>
        </is>
      </c>
      <c r="F2741" t="inlineStr">
        <is>
          <t>MATERIAL SUPPLY AND EQUIPMENT SUPPLY FOR CONSTRUCTION WORK IN G.P. CHAK MAHUDI P.S. DUNGARPUR DISTRICT DUNGARPUR</t>
        </is>
      </c>
      <c r="G2741" t="inlineStr">
        <is>
          <t>BHATWADA</t>
        </is>
      </c>
    </row>
    <row r="2742">
      <c r="A2742" s="1" t="n">
        <v>2740</v>
      </c>
      <c r="B2742">
        <f>HYPERLINK("https://eproc.rajasthan.gov.in/nicgep/app?component=%24DirectLink&amp;page=FrontEndViewTender&amp;service=direct&amp;session=T&amp;sp=SJRI%2FveGOi5Ziu1VJlP57iw%3D%3D", "MATERIAL SUPPLY AND EQUIPMENT SUPPLY FOR CONSTRUCTION WORK IN G.P. UPER GAON P.S. DUNGARPUR DISTRICT DUNGARPUR")</f>
        <v/>
      </c>
      <c r="C2742" t="inlineStr">
        <is>
          <t>Panchayati Raj Department||Secretary and Commissioner||CEO- DUNGARPUR||BDO- DUNGARPUR</t>
        </is>
      </c>
      <c r="D2742" t="inlineStr">
        <is>
          <t>21-May-2025 06:00 PM</t>
        </is>
      </c>
      <c r="E2742" t="inlineStr">
        <is>
          <t>60,00,000</t>
        </is>
      </c>
      <c r="F2742" t="inlineStr">
        <is>
          <t>MATERIAL SUPPLY AND EQUIPMENT SUPPLY FOR CONSTRUCTION WORK IN G.P. UPER GAON P.S. DUNGARPUR DISTRICT DUNGARPUR</t>
        </is>
      </c>
      <c r="G2742" t="inlineStr">
        <is>
          <t>BHATWADA</t>
        </is>
      </c>
    </row>
    <row r="2743">
      <c r="A2743" s="1" t="n">
        <v>2741</v>
      </c>
      <c r="B2743">
        <f>HYPERLINK("https://eproc.rajasthan.gov.in/nicgep/app?component=%24DirectLink&amp;page=FrontEndViewTender&amp;service=direct&amp;session=T&amp;sp=S%2B5rlA0urbCMn03kOPqT54A%3D%3D", "MATERIAL SUPPLY AND EQUIPMENT SUPPLY FOR CONSTRUCTION WORK IN G.P. ROHANWADA P.S. DUNGARPUR DISTRICT DUNGARPUR")</f>
        <v/>
      </c>
      <c r="C2743" t="inlineStr">
        <is>
          <t>Panchayati Raj Department||Secretary and Commissioner||CEO- DUNGARPUR||BDO- DUNGARPUR</t>
        </is>
      </c>
      <c r="D2743" t="inlineStr">
        <is>
          <t>21-May-2025 06:00 PM</t>
        </is>
      </c>
      <c r="E2743" t="inlineStr">
        <is>
          <t>60,00,000</t>
        </is>
      </c>
      <c r="F2743" t="inlineStr">
        <is>
          <t>MATERIAL SUPPLY AND EQUIPMENT SUPPLY FOR CONSTRUCTION WORK IN G.P. ROHANWADA P.S. DUNGARPUR DISTRICT DUNGARPUR</t>
        </is>
      </c>
      <c r="G2743" t="inlineStr">
        <is>
          <t>BHATWADA</t>
        </is>
      </c>
    </row>
    <row r="2744">
      <c r="A2744" s="1" t="n">
        <v>2742</v>
      </c>
      <c r="B2744">
        <f>HYPERLINK("https://eproc.rajasthan.gov.in/nicgep/app?component=%24DirectLink&amp;page=FrontEndViewTender&amp;service=direct&amp;session=T&amp;sp=S9jbQjmhgtSGLojR2yIjlug%3D%3D", "MATERIAL TENDER 2025-26 GP BORELI")</f>
        <v/>
      </c>
      <c r="C2744" t="inlineStr">
        <is>
          <t>Panchayati Raj Department||Secretary and Commissioner||CEO-DHOLPUR||BDO-BASEDI</t>
        </is>
      </c>
      <c r="D2744" t="inlineStr">
        <is>
          <t>19-May-2025 10:00 AM</t>
        </is>
      </c>
      <c r="E2744" t="inlineStr">
        <is>
          <t>50,00,000</t>
        </is>
      </c>
      <c r="F2744" t="inlineStr">
        <is>
          <t>MATERIAL TENDER 2025-26 GP BORELI</t>
        </is>
      </c>
      <c r="G2744" t="inlineStr">
        <is>
          <t>GP BORELI</t>
        </is>
      </c>
    </row>
    <row r="2745">
      <c r="A2745" s="1" t="n">
        <v>2743</v>
      </c>
      <c r="B2745">
        <f>HYPERLINK("https://eproc.rajasthan.gov.in/nicgep/app?component=%24DirectLink&amp;page=FrontEndViewTender&amp;service=direct&amp;session=T&amp;sp=SWz45IhVajYKyqfIzj6I0Wg%3D%3D", "MATERIAL SUPPLY AND EQUIPMENT SUPPLY FOR CONSTRUCTION WORK IN G.P. BATKAFALA P.S. DUNGARPUR DISTRICT DUNGARPUR")</f>
        <v/>
      </c>
      <c r="C2745" t="inlineStr">
        <is>
          <t>Panchayati Raj Department||Secretary and Commissioner||CEO- DUNGARPUR||BDO- DUNGARPUR</t>
        </is>
      </c>
      <c r="D2745" t="inlineStr">
        <is>
          <t>21-May-2025 06:00 PM</t>
        </is>
      </c>
      <c r="E2745" t="inlineStr">
        <is>
          <t>60,00,000</t>
        </is>
      </c>
      <c r="F2745" t="inlineStr">
        <is>
          <t>MATERIAL SUPPLY AND EQUIPMENT SUPPLY FOR CONSTRUCTION WORK IN G.P. BATKAFALA P.S. DUNGARPUR DISTRICT DUNGARPUR</t>
        </is>
      </c>
      <c r="G2745" t="inlineStr">
        <is>
          <t>BHATWADA</t>
        </is>
      </c>
    </row>
    <row r="2746">
      <c r="A2746" s="1" t="n">
        <v>2744</v>
      </c>
      <c r="B2746">
        <f>HYPERLINK("https://eproc.rajasthan.gov.in/nicgep/app?component=%24DirectLink&amp;page=FrontEndViewTender&amp;service=direct&amp;session=T&amp;sp=SZ99%2BZyh0u50IMrHDywvJmg%3D%3D", "MATERIAL SUPPLY AND EQUIPMENT SUPPLY FOR CONSTRUCTION WORK IN G.P. PALGAMDI P.S. DUNGARPUR DISTRICT DUNGARPUR")</f>
        <v/>
      </c>
      <c r="C2746" t="inlineStr">
        <is>
          <t>Panchayati Raj Department||Secretary and Commissioner||CEO- DUNGARPUR||BDO- DUNGARPUR</t>
        </is>
      </c>
      <c r="D2746" t="inlineStr">
        <is>
          <t>21-May-2025 06:00 PM</t>
        </is>
      </c>
      <c r="E2746" t="inlineStr">
        <is>
          <t>60,00,000</t>
        </is>
      </c>
      <c r="F2746" t="inlineStr">
        <is>
          <t>MATERIAL SUPPLY AND EQUIPMENT SUPPLY FOR CONSTRUCTION WORK IN G.P. PALGAMDI P.S. DUNGARPUR DISTRICT DUNGARPUR</t>
        </is>
      </c>
      <c r="G2746" t="inlineStr">
        <is>
          <t>BHATWADA</t>
        </is>
      </c>
    </row>
    <row r="2747">
      <c r="A2747" s="1" t="n">
        <v>2745</v>
      </c>
      <c r="B2747">
        <f>HYPERLINK("https://eproc.rajasthan.gov.in/nicgep/app?component=%24DirectLink&amp;page=FrontEndViewTender&amp;service=direct&amp;session=T&amp;sp=SeK%2FEUI7d27mKT84II85RNw%3D%3D", "MATERIAL SUPPLY AND EQUIPMENT SUPPLY FOR CONSTRUCTION WORK IN G.P. PAGARA P.S. DUNGARPUR DISTRICT DUNGARPUR")</f>
        <v/>
      </c>
      <c r="C2747" t="inlineStr">
        <is>
          <t>Panchayati Raj Department||Secretary and Commissioner||CEO- DUNGARPUR||BDO- DUNGARPUR</t>
        </is>
      </c>
      <c r="D2747" t="inlineStr">
        <is>
          <t>21-May-2025 06:00 PM</t>
        </is>
      </c>
      <c r="E2747" t="inlineStr">
        <is>
          <t>60,00,000</t>
        </is>
      </c>
      <c r="F2747" t="inlineStr">
        <is>
          <t>MATERIAL SUPPLY AND EQUIPMENT SUPPLY FOR CONSTRUCTION WORK IN G.P. PAGARA P.S. DUNGARPUR DISTRICT DUNGARPUR</t>
        </is>
      </c>
      <c r="G2747" t="inlineStr">
        <is>
          <t>BHATWADA</t>
        </is>
      </c>
    </row>
    <row r="2748">
      <c r="A2748" s="1" t="n">
        <v>2746</v>
      </c>
      <c r="B2748">
        <f>HYPERLINK("https://eproc.rajasthan.gov.in/nicgep/app?component=%24DirectLink&amp;page=FrontEndViewTender&amp;service=direct&amp;session=T&amp;sp=SzpHYILCcQtCljYF9s7zawA%3D%3D", "MATERIAL SUPPLY AND EQUIPMENT SUPPLY FOR CONSTRUCTION WORK IN G.P. KHERWARA P.S. DUNGARPUR DISTRICT DUNGARPUR")</f>
        <v/>
      </c>
      <c r="C2748" t="inlineStr">
        <is>
          <t>Panchayati Raj Department||Secretary and Commissioner||CEO- DUNGARPUR||BDO- DUNGARPUR</t>
        </is>
      </c>
      <c r="D2748" t="inlineStr">
        <is>
          <t>21-May-2025 06:00 PM</t>
        </is>
      </c>
      <c r="E2748" t="inlineStr">
        <is>
          <t>60,00,000</t>
        </is>
      </c>
      <c r="F2748" t="inlineStr">
        <is>
          <t>MATERIAL SUPPLY AND EQUIPMENT SUPPLY FOR CONSTRUCTION WORK IN G.P. KHERWARA P.S. DUNGARPUR DISTRICT DUNGARPUR</t>
        </is>
      </c>
      <c r="G2748" t="inlineStr">
        <is>
          <t>BHATWADA</t>
        </is>
      </c>
    </row>
    <row r="2749">
      <c r="A2749" s="1" t="n">
        <v>2747</v>
      </c>
      <c r="B2749">
        <f>HYPERLINK("https://eproc.rajasthan.gov.in/nicgep/app?component=%24DirectLink&amp;page=FrontEndViewTender&amp;service=direct&amp;session=T&amp;sp=Sbx4CNbwj0O5XNf6ItSWv1w%3D%3D", "MATERIAL SUPPLY AND EQUIPMENT SUPPLY FOR CONSTRUCTION WORK IN G.P. BHATWADA P.S. DUNGARPUR DISTRICT DUNGARPUR")</f>
        <v/>
      </c>
      <c r="C2749" t="inlineStr">
        <is>
          <t>Panchayati Raj Department||Secretary and Commissioner||CEO- DUNGARPUR||BDO- DUNGARPUR</t>
        </is>
      </c>
      <c r="D2749" t="inlineStr">
        <is>
          <t>21-May-2025 06:00 PM</t>
        </is>
      </c>
      <c r="E2749" t="inlineStr">
        <is>
          <t>60,00,000</t>
        </is>
      </c>
      <c r="F2749" t="inlineStr">
        <is>
          <t>MATERIAL SUPPLY AND EQUIPMENT SUPPLY FOR CONSTRUCTION WORK IN G.P. BHATWADA P.S. DUNGARPUR DISTRICT DUNGARPUR</t>
        </is>
      </c>
      <c r="G2749" t="inlineStr">
        <is>
          <t>BHATWADA</t>
        </is>
      </c>
    </row>
    <row r="2750">
      <c r="A2750" s="1" t="n">
        <v>2748</v>
      </c>
      <c r="B2750">
        <f>HYPERLINK("https://eproc.rajasthan.gov.in/nicgep/app?component=%24DirectLink&amp;page=FrontEndViewTender&amp;service=direct&amp;session=T&amp;sp=S01eS7PopNa4CG0a5G7sN6w%3D%3D", "GP PIPRON MATERIAL TENDER 2025-26")</f>
        <v/>
      </c>
      <c r="C2750" t="inlineStr">
        <is>
          <t>Panchayati Raj Department||Secretary and Commissioner||CEO-DHOLPUR||BDO-BASEDI</t>
        </is>
      </c>
      <c r="D2750" t="inlineStr">
        <is>
          <t>19-May-2025 10:00 AM</t>
        </is>
      </c>
      <c r="E2750" t="inlineStr">
        <is>
          <t>50,00,000</t>
        </is>
      </c>
      <c r="F2750" t="inlineStr">
        <is>
          <t>GP PIPRON MATERIAL TENDER 2025-26</t>
        </is>
      </c>
      <c r="G2750" t="inlineStr">
        <is>
          <t>GP PIPRON</t>
        </is>
      </c>
    </row>
    <row r="2751">
      <c r="A2751" s="1" t="n">
        <v>2749</v>
      </c>
      <c r="B2751">
        <f>HYPERLINK("https://eproc.rajasthan.gov.in/nicgep/app?component=%24DirectLink&amp;page=FrontEndViewTender&amp;service=direct&amp;session=T&amp;sp=SazI2agj4EoiX9g6H6YH8BQ%3D%3D", "MATERIAL SUPPLY AND EQUIPMENT SUPPLY FOR CONSTRUCTION WORK IN G.P. GOKULPURA P.S. DUNGARPUR DISTRICT DUNGARPUR")</f>
        <v/>
      </c>
      <c r="C2751" t="inlineStr">
        <is>
          <t>Panchayati Raj Department||Secretary and Commissioner||CEO- DUNGARPUR||BDO- DUNGARPUR</t>
        </is>
      </c>
      <c r="D2751" t="inlineStr">
        <is>
          <t>21-May-2025 06:00 PM</t>
        </is>
      </c>
      <c r="E2751" t="inlineStr">
        <is>
          <t>60,00,000</t>
        </is>
      </c>
      <c r="F2751" t="inlineStr">
        <is>
          <t>MATERIAL SUPPLY AND EQUIPMENT SUPPLY FOR CONSTRUCTION WORK IN G.P. GOKULPURA P.S. DUNGARPUR DISTRICT DUNGARPUR</t>
        </is>
      </c>
      <c r="G2751" t="inlineStr">
        <is>
          <t>BHATWADA</t>
        </is>
      </c>
    </row>
    <row r="2752">
      <c r="A2752" s="1" t="n">
        <v>2750</v>
      </c>
      <c r="B2752">
        <f>HYPERLINK("https://eproc.rajasthan.gov.in/nicgep/app?component=%24DirectLink&amp;page=FrontEndViewTender&amp;service=direct&amp;session=T&amp;sp=S8wYy71LBcDXeZy1ze1Lmeg%3D%3D", "Rate contract For providing Material Supply and Equipments for all construction works conducted in all Schemes of Rural Development and Panchayati Raj Department and MG Nrega in GP balaheda Panchayat Samiti Baijupada Dist.Dausa for FY 2025-26")</f>
        <v/>
      </c>
      <c r="C2752" t="inlineStr">
        <is>
          <t>Panchayati Raj Department||Secretary and Commissioner||CEO-DAUSA||BDO-BAIJUPADA</t>
        </is>
      </c>
      <c r="D2752" t="inlineStr">
        <is>
          <t>20-May-2025 05:00 PM</t>
        </is>
      </c>
      <c r="E2752" t="inlineStr">
        <is>
          <t>35,00,000</t>
        </is>
      </c>
      <c r="F2752" t="inlineStr">
        <is>
          <t>Rate contract For providing Material Supply and Equipments for all construction works conducted in all Schemes of Rural Development and Panchayati Raj Department and MG Nrega in GP balaheda Panchayat Samiti Baijupada Dist.Dausa for FY 2025-26</t>
        </is>
      </c>
      <c r="G2752" t="inlineStr">
        <is>
          <t>gram panchayat balaheda</t>
        </is>
      </c>
    </row>
    <row r="2753">
      <c r="A2753" s="1" t="n">
        <v>2751</v>
      </c>
      <c r="B2753">
        <f>HYPERLINK("https://eproc.rajasthan.gov.in/nicgep/app?component=%24DirectLink&amp;page=FrontEndViewTender&amp;service=direct&amp;session=T&amp;sp=S32HRVTWtXkJI9vQnD0y8Ew%3D%3D", "KHEL MAIDAN RAMSAR ME TRACK AND OPEN JYM LAGANE KA KARY RAMSAR")</f>
        <v/>
      </c>
      <c r="C2753" t="inlineStr">
        <is>
          <t>Panchayati Raj Department||Secretary and Commissioner||CEO-BIKANER||BDO-BIKANER</t>
        </is>
      </c>
      <c r="D2753" t="inlineStr">
        <is>
          <t>19-May-2025 11:00 AM</t>
        </is>
      </c>
      <c r="E2753" t="inlineStr">
        <is>
          <t>5,75,000</t>
        </is>
      </c>
      <c r="F2753" t="inlineStr">
        <is>
          <t>KHEL MAIDAN RAMSAR ME TRACK AND OPEN JYM LAGANE KA KARY RAMSAR</t>
        </is>
      </c>
      <c r="G2753" t="inlineStr">
        <is>
          <t>RAMSAR</t>
        </is>
      </c>
    </row>
    <row r="2754">
      <c r="A2754" s="1" t="n">
        <v>2752</v>
      </c>
      <c r="B2754">
        <f>HYPERLINK("https://eproc.rajasthan.gov.in/nicgep/app?component=%24DirectLink&amp;page=FrontEndViewTender&amp;service=direct&amp;session=T&amp;sp=S3fgD2YSB0zlisOthR%2BtV5g%3D%3D", "GRAM RAMSAR ME 10 SARVJANIK STHANO PAR LED LIGHT LAGANE KA KARY")</f>
        <v/>
      </c>
      <c r="C2754" t="inlineStr">
        <is>
          <t>Panchayati Raj Department||Secretary and Commissioner||CEO-BIKANER||BDO-BIKANER</t>
        </is>
      </c>
      <c r="D2754" t="inlineStr">
        <is>
          <t>19-May-2025 11:00 AM</t>
        </is>
      </c>
      <c r="E2754" t="inlineStr">
        <is>
          <t>10,00,000</t>
        </is>
      </c>
      <c r="F2754" t="inlineStr">
        <is>
          <t>GRAM RAMSAR ME 10 SARVJANIK STHANO PAR LED LIGHT LAGANE KA KARY</t>
        </is>
      </c>
      <c r="G2754" t="inlineStr">
        <is>
          <t>RAMSAR</t>
        </is>
      </c>
    </row>
    <row r="2755">
      <c r="A2755" s="1" t="n">
        <v>2753</v>
      </c>
      <c r="B2755">
        <f>HYPERLINK("https://eproc.rajasthan.gov.in/nicgep/app?component=%24DirectLink&amp;page=FrontEndViewTender&amp;service=direct&amp;session=T&amp;sp=SB6K8rh4Ziy7pwy3HMC5oMw%3D%3D", "RATE CONTRACT FOR SBM WORK OF FY-2025-26 work including garbage collection and separation from evry houses(residential and commercial) , road and drain cleaning, and cleaning of community sanitation complex in all the villages of GP Mekuba")</f>
        <v/>
      </c>
      <c r="C2755" t="inlineStr">
        <is>
          <t>Panchayati Raj Department||Secretary and Commissioner||CEO- JAISALMER||BDO-BHANIYANA</t>
        </is>
      </c>
      <c r="D2755" t="inlineStr">
        <is>
          <t>19-May-2025 06:00 PM</t>
        </is>
      </c>
      <c r="E2755" t="inlineStr">
        <is>
          <t>7,04,314</t>
        </is>
      </c>
      <c r="F2755" t="inlineStr">
        <is>
          <t>RATE CONTRACT FOR SBM WORK OF FY-2025-26 work including garbage collection and separation from evry houses(residential and commercial) , road and drain cleaning, and cleaning of community sanitation complex in all the villages of GP Mekuba</t>
        </is>
      </c>
      <c r="G2755" t="inlineStr">
        <is>
          <t>Bhaniyana Jaisalmer</t>
        </is>
      </c>
    </row>
    <row r="2756">
      <c r="A2756" s="1" t="n">
        <v>2754</v>
      </c>
      <c r="B2756">
        <f>HYPERLINK("https://eproc.rajasthan.gov.in/nicgep/app?component=%24DirectLink&amp;page=FrontEndViewTender&amp;service=direct&amp;session=T&amp;sp=StHLjuKwnwbqRIC1h0p60tw%3D%3D", "MATERIAL SUPPLY TENDER GP DUDOLI")</f>
        <v/>
      </c>
      <c r="C2756" t="inlineStr">
        <is>
          <t>Panchayati Raj Department||Secretary and Commissioner||CEO-NAGORE||BDO-DIDWANA</t>
        </is>
      </c>
      <c r="D2756" t="inlineStr">
        <is>
          <t>19-May-2025 06:00 PM</t>
        </is>
      </c>
      <c r="E2756" t="inlineStr">
        <is>
          <t>1,00,00,000</t>
        </is>
      </c>
      <c r="F2756" t="inlineStr">
        <is>
          <t>Material and Equipment supply under MGNREGA RD and PRD Schemes in GP DUDOLI</t>
        </is>
      </c>
      <c r="G2756" t="inlineStr">
        <is>
          <t>GP DUDOLI</t>
        </is>
      </c>
    </row>
    <row r="2757">
      <c r="A2757" s="1" t="n">
        <v>2755</v>
      </c>
      <c r="B2757">
        <f>HYPERLINK("https://eproc.rajasthan.gov.in/nicgep/app?component=%24DirectLink&amp;page=FrontEndViewTender&amp;service=direct&amp;session=T&amp;sp=SOkLj1USpBieUx%2BdJWsRCCA%3D%3D", "RATE CONTRACT FOR SUPPLY OF CONSTRUCTION MATERIAL IN GRAM PANCHAYAT HAANSPUR")</f>
        <v/>
      </c>
      <c r="C2757" t="inlineStr">
        <is>
          <t>Panchayati Raj Department||Secretary and Commissioner||CEO-SIKAR||BDO-SRI MADHOPUR</t>
        </is>
      </c>
      <c r="D2757" t="inlineStr">
        <is>
          <t>19-May-2025 06:00 PM</t>
        </is>
      </c>
      <c r="E2757" t="inlineStr">
        <is>
          <t>50,00,000</t>
        </is>
      </c>
      <c r="F2757" t="inlineStr">
        <is>
          <t>RATE CONTRACT FOR SUPPLY OF CONSTRUCTION MATERIAL IN GRAM PANCHAYAT HAANSPUR</t>
        </is>
      </c>
      <c r="G2757" t="inlineStr">
        <is>
          <t>GP HAANSPUR</t>
        </is>
      </c>
    </row>
    <row r="2758">
      <c r="A2758" s="1" t="n">
        <v>2756</v>
      </c>
      <c r="B2758">
        <f>HYPERLINK("https://eproc.rajasthan.gov.in/nicgep/app?component=%24DirectLink&amp;page=FrontEndViewTender&amp;service=direct&amp;session=T&amp;sp=SIDg0IlSC%2FRCaJw%2BezHQ6Lg%3D%3D", "RATE CONTRACT FOR SBM WORK OF FY-2025-26 work including garbage collection and separation from evry houses(residential and commercial) , road and drain cleaning, and cleaning of community sanitation complex in all the villages of GP Khelana")</f>
        <v/>
      </c>
      <c r="C2758" t="inlineStr">
        <is>
          <t>Panchayati Raj Department||Secretary and Commissioner||CEO- JAISALMER||BDO-BHANIYANA</t>
        </is>
      </c>
      <c r="D2758" t="inlineStr">
        <is>
          <t>19-May-2025 06:00 PM</t>
        </is>
      </c>
      <c r="E2758" t="inlineStr">
        <is>
          <t>8,64,242</t>
        </is>
      </c>
      <c r="F2758" t="inlineStr">
        <is>
          <t>RATE CONTRACT FOR SBM WORK OF FY-2025-26 work including garbage collection and separation from evry houses(residential and commercial) , road and drain cleaning, and cleaning of community sanitation complex in all the villages of GP Khelana</t>
        </is>
      </c>
      <c r="G2758" t="inlineStr">
        <is>
          <t>bhaniyana</t>
        </is>
      </c>
    </row>
    <row r="2759">
      <c r="A2759" s="1" t="n">
        <v>2757</v>
      </c>
      <c r="B2759">
        <f>HYPERLINK("https://eproc.rajasthan.gov.in/nicgep/app?component=%24DirectLink&amp;page=FrontEndViewTender&amp;service=direct&amp;session=T&amp;sp=SfvrxwmCQ8fFpt8FTnH3%2BYA%3D%3D", "RATE CONTRACT FOR SBM WORK OF FY-2025-26 work including garbage collection and separation from evry houses(residential and commercial) , road and drain cleaning, and cleaning of community sanitation complex in all the villages of GP Teliwara HQ Fusas")</f>
        <v/>
      </c>
      <c r="C2759" t="inlineStr">
        <is>
          <t>Panchayati Raj Department||Secretary and Commissioner||CEO- JAISALMER||BDO-BHANIYANA</t>
        </is>
      </c>
      <c r="D2759" t="inlineStr">
        <is>
          <t>19-May-2025 06:00 PM</t>
        </is>
      </c>
      <c r="E2759" t="inlineStr">
        <is>
          <t>9,75,897</t>
        </is>
      </c>
      <c r="F2759" t="inlineStr">
        <is>
          <t>RATE CONTRACT FOR SBM WORK OF FY-2025-26 work including garbage collection and separation from evry houses(residential and commercial) , road and drain cleaning, and cleaning of community sanitation complex in all the villages of GP Teliwara HQ Fusas</t>
        </is>
      </c>
      <c r="G2759" t="inlineStr">
        <is>
          <t>bhaniyana</t>
        </is>
      </c>
    </row>
    <row r="2760">
      <c r="A2760" s="1" t="n">
        <v>2758</v>
      </c>
      <c r="B2760">
        <f>HYPERLINK("https://eproc.rajasthan.gov.in/nicgep/app?component=%24DirectLink&amp;page=FrontEndViewTender&amp;service=direct&amp;session=T&amp;sp=SyBwWjipR%2B3C46HgbQZnOMA%3D%3D", "RATE CONTRACT FOR SBM WORK OF FY-2025-26 work including garbage collection and separation from evry houses(residential and commercial) , road and drain cleaning, and cleaning of community sanitation complex in all the villages of GP Kheevsar-II")</f>
        <v/>
      </c>
      <c r="C2760" t="inlineStr">
        <is>
          <t>Panchayati Raj Department||Secretary and Commissioner||CEO- JAISALMER||BDO-BHANIYANA</t>
        </is>
      </c>
      <c r="D2760" t="inlineStr">
        <is>
          <t>19-May-2025 06:00 PM</t>
        </is>
      </c>
      <c r="E2760" t="inlineStr">
        <is>
          <t>6,11,046</t>
        </is>
      </c>
      <c r="F2760" t="inlineStr">
        <is>
          <t>RATE CONTRACT FOR SBM WORK OF FY-2025-26 work including garbage collection and separation from evry houses(residential and commercial) , road and drain cleaning, and cleaning of community sanitation complex in all the villages of GP Kheevsar-II</t>
        </is>
      </c>
      <c r="G2760" t="inlineStr">
        <is>
          <t>bhaniyana</t>
        </is>
      </c>
    </row>
    <row r="2761">
      <c r="A2761" s="1" t="n">
        <v>2759</v>
      </c>
      <c r="B2761">
        <f>HYPERLINK("https://eproc.rajasthan.gov.in/nicgep/app?component=%24DirectLink&amp;page=FrontEndViewTender&amp;service=direct&amp;session=T&amp;sp=SIeSQ%2BjzvPjQdYm5lCVsMdw%3D%3D", "RATE CONTRACT FOR SBM WORK OF FY-2025-26 work including garbage collection and separation from evry houses(residential and commercial) , road and drain cleaning, and cleaning of community sanitation complex in all the villages of GP Sardarsingh ki dh")</f>
        <v/>
      </c>
      <c r="C2761" t="inlineStr">
        <is>
          <t>Panchayati Raj Department||Secretary and Commissioner||CEO- JAISALMER||BDO-BHANIYANA</t>
        </is>
      </c>
      <c r="D2761" t="inlineStr">
        <is>
          <t>19-May-2025 06:00 PM</t>
        </is>
      </c>
      <c r="E2761" t="inlineStr">
        <is>
          <t>6,17,304</t>
        </is>
      </c>
      <c r="F2761" t="inlineStr">
        <is>
          <t>RATE CONTRACT FOR SBM WORK OF FY-2025-26 work including garbage collection and separation from evry houses(residential and commercial) , road and drain cleaning, and cleaning of community sanitation complex in all the villages of GP Sardarsingh ki dh</t>
        </is>
      </c>
      <c r="G2761" t="inlineStr">
        <is>
          <t>bhaniyana</t>
        </is>
      </c>
    </row>
    <row r="2762">
      <c r="A2762" s="1" t="n">
        <v>2760</v>
      </c>
      <c r="B2762">
        <f>HYPERLINK("https://eproc.rajasthan.gov.in/nicgep/app?component=%24DirectLink&amp;page=FrontEndViewTender&amp;service=direct&amp;session=T&amp;sp=SobTac%2BUp75OBvP%2F2QoDpsQ%3D%3D", "material supply in gram panchayat chentoli ps bhusawar")</f>
        <v/>
      </c>
      <c r="C2762" t="inlineStr">
        <is>
          <t>Panchayati Raj Department||Secretary and Commissioner||CEO-BHARATPUR||BDO-BHUSAWAR</t>
        </is>
      </c>
      <c r="D2762" t="inlineStr">
        <is>
          <t>28-May-2025 05:00 PM</t>
        </is>
      </c>
      <c r="E2762" t="inlineStr">
        <is>
          <t>40,00,000</t>
        </is>
      </c>
      <c r="F2762" t="inlineStr">
        <is>
          <t>material supply in gram panchayat chentoli ps bhusawar</t>
        </is>
      </c>
      <c r="G2762" t="inlineStr">
        <is>
          <t>bhusawar</t>
        </is>
      </c>
    </row>
    <row r="2763">
      <c r="A2763" s="1" t="n">
        <v>2761</v>
      </c>
      <c r="B2763">
        <f>HYPERLINK("https://eproc.rajasthan.gov.in/nicgep/app?component=%24DirectLink&amp;page=FrontEndViewTender&amp;service=direct&amp;session=T&amp;sp=SJNnWrSLpwujG0LYNZwKbrA%3D%3D", "MATERIAL SUPPLY TENDER GP NIMBI KALLAN")</f>
        <v/>
      </c>
      <c r="C2763" t="inlineStr">
        <is>
          <t>Panchayati Raj Department||Secretary and Commissioner||CEO-NAGORE||BDO-DIDWANA</t>
        </is>
      </c>
      <c r="D2763" t="inlineStr">
        <is>
          <t>19-May-2025 06:00 PM</t>
        </is>
      </c>
      <c r="E2763" t="inlineStr">
        <is>
          <t>1,00,00,000</t>
        </is>
      </c>
      <c r="F2763" t="inlineStr">
        <is>
          <t>Material and Equipment supply under MGNREGA RD and PRD Schemes in GP NIMBI KALLAN</t>
        </is>
      </c>
      <c r="G2763" t="inlineStr">
        <is>
          <t>GP NIMBI KALLAN</t>
        </is>
      </c>
    </row>
    <row r="2764">
      <c r="A2764" s="1" t="n">
        <v>2762</v>
      </c>
      <c r="B2764">
        <f>HYPERLINK("https://eproc.rajasthan.gov.in/nicgep/app?component=%24DirectLink&amp;page=FrontEndViewTender&amp;service=direct&amp;session=T&amp;sp=SH07bFxQwI5rKrhUR%2FX4Htw%3D%3D", "RATE CONTRACT FOR SUPPLY OF CONSTRUCTION MATERIAL IN GRAM PANCHAYAT KALYANPURA")</f>
        <v/>
      </c>
      <c r="C2764" t="inlineStr">
        <is>
          <t>Panchayati Raj Department||Secretary and Commissioner||CEO-SIKAR||BDO-SRI MADHOPUR</t>
        </is>
      </c>
      <c r="D2764" t="inlineStr">
        <is>
          <t>19-May-2025 06:00 PM</t>
        </is>
      </c>
      <c r="E2764" t="inlineStr">
        <is>
          <t>80,00,000</t>
        </is>
      </c>
      <c r="F2764" t="inlineStr">
        <is>
          <t>RATE CONTRACT FOR SUPPLY OF CONSTRUCTION MATERIAL IN GRAM PANCHAYAT KALYANPURA</t>
        </is>
      </c>
      <c r="G2764" t="inlineStr">
        <is>
          <t>GP KALYANPURA</t>
        </is>
      </c>
    </row>
    <row r="2765">
      <c r="A2765" s="1" t="n">
        <v>2763</v>
      </c>
      <c r="B2765">
        <f>HYPERLINK("https://eproc.rajasthan.gov.in/nicgep/app?component=%24DirectLink&amp;page=FrontEndViewTender&amp;service=direct&amp;session=T&amp;sp=Sve%2FKGeWSzgaF0MeS0WkZ5A%3D%3D", "MATERIAL SUPPLY TENDER GP BARANGANA")</f>
        <v/>
      </c>
      <c r="C2765" t="inlineStr">
        <is>
          <t>Panchayati Raj Department||Secretary and Commissioner||CEO-NAGORE||BDO-DIDWANA</t>
        </is>
      </c>
      <c r="D2765" t="inlineStr">
        <is>
          <t>19-May-2025 06:00 PM</t>
        </is>
      </c>
      <c r="E2765" t="inlineStr">
        <is>
          <t>1,00,00,000</t>
        </is>
      </c>
      <c r="F2765" t="inlineStr">
        <is>
          <t>Material and Equipment supply under MGNREGA RD and PRD Schemes in GP BARANGANA</t>
        </is>
      </c>
      <c r="G2765" t="inlineStr">
        <is>
          <t>GP BARANGANA</t>
        </is>
      </c>
    </row>
    <row r="2766">
      <c r="A2766" s="1" t="n">
        <v>2764</v>
      </c>
      <c r="B2766">
        <f>HYPERLINK("https://eproc.rajasthan.gov.in/nicgep/app?component=%24DirectLink&amp;page=FrontEndViewTender&amp;service=direct&amp;session=T&amp;sp=Srg4H%2Fx6rQqS0kryiSWP9EA%3D%3D", "RATE CONTRACT FOR SBM WORK OF FY-2025-26 work including garbage collection and separation from evry houses(residential and commercial) , road and drain cleaning, and cleaning of community sanitation complex in all the villages of GP Jaloda pokarana")</f>
        <v/>
      </c>
      <c r="C2766" t="inlineStr">
        <is>
          <t>Panchayati Raj Department||Secretary and Commissioner||CEO- JAISALMER||BDO-BHANIYANA</t>
        </is>
      </c>
      <c r="D2766" t="inlineStr">
        <is>
          <t>19-May-2025 06:00 PM</t>
        </is>
      </c>
      <c r="E2766" t="inlineStr">
        <is>
          <t>7,62,788</t>
        </is>
      </c>
      <c r="F2766" t="inlineStr">
        <is>
          <t>RATE CONTRACT FOR SBM WORK OF FY-2025-26 work including garbage collection and separation from evry houses(residential and commercial) , road and drain cleaning, and cleaning of community sanitation complex in all the villages of GP Jaloda pokarana</t>
        </is>
      </c>
      <c r="G2766" t="inlineStr">
        <is>
          <t>bhaniyana</t>
        </is>
      </c>
    </row>
    <row r="2767">
      <c r="A2767" s="1" t="n">
        <v>2765</v>
      </c>
      <c r="B2767">
        <f>HYPERLINK("https://eproc.rajasthan.gov.in/nicgep/app?component=%24DirectLink&amp;page=FrontEndViewTender&amp;service=direct&amp;session=T&amp;sp=S1ra%2FnXjKGwziCR0NfclZDw%3D%3D", "RATE CONTRACT FOR SBM WORK OF FY-2025-26 work including garbage collection and separation from evry houses(residential and commercial) , road and drain cleaning, and cleaning of community sanitation complex in all the villages of GP Subhashnagar")</f>
        <v/>
      </c>
      <c r="C2767" t="inlineStr">
        <is>
          <t>Panchayati Raj Department||Secretary and Commissioner||CEO- JAISALMER||BDO-BHANIYANA</t>
        </is>
      </c>
      <c r="D2767" t="inlineStr">
        <is>
          <t>19-May-2025 06:00 PM</t>
        </is>
      </c>
      <c r="E2767" t="inlineStr">
        <is>
          <t>8,51,455</t>
        </is>
      </c>
      <c r="F2767" t="inlineStr">
        <is>
          <t>RATE CONTRACT FOR SBM WORK OF FY-2025-26 work including garbage collection and separation from evry houses(residential and commercial) , road and drain cleaning, and cleaning of community sanitation complex in all the villages of GP Subhashnagar</t>
        </is>
      </c>
      <c r="G2767" t="inlineStr">
        <is>
          <t>bhaniyana</t>
        </is>
      </c>
    </row>
    <row r="2768">
      <c r="A2768" s="1" t="n">
        <v>2766</v>
      </c>
      <c r="B2768">
        <f>HYPERLINK("https://eproc.rajasthan.gov.in/nicgep/app?component=%24DirectLink&amp;page=FrontEndViewTender&amp;service=direct&amp;session=T&amp;sp=SUP9TyxnMHIoRUzjhjlcNFw%3D%3D", "Rate contract For providing Material Supply and Equipments for all construction works conducted in all Schemes of Rural Development and Panchayati Raj Department and MG Nrega in GP Naurangwada Panchayat Samiti Baijupada Dist.Dausa for FY 2025-26")</f>
        <v/>
      </c>
      <c r="C2768" t="inlineStr">
        <is>
          <t>Panchayati Raj Department||Secretary and Commissioner||CEO-DAUSA||BDO-BAIJUPADA</t>
        </is>
      </c>
      <c r="D2768" t="inlineStr">
        <is>
          <t>20-May-2025 05:00 PM</t>
        </is>
      </c>
      <c r="E2768" t="inlineStr">
        <is>
          <t>35,00,000</t>
        </is>
      </c>
      <c r="F2768" t="inlineStr">
        <is>
          <t>Rate contract For providing Material Supply and Equipments for all construction works conducted in all Schemes of Rural Development and Panchayati Raj Department and MG Nrega in GP Naurangwada Panchayat Samiti Baijupada Dist.Dausa for FY 2025-26</t>
        </is>
      </c>
      <c r="G2768" t="inlineStr">
        <is>
          <t>Gram panchayat Naurangwada</t>
        </is>
      </c>
    </row>
    <row r="2769">
      <c r="A2769" s="1" t="n">
        <v>2767</v>
      </c>
      <c r="B2769">
        <f>HYPERLINK("https://eproc.rajasthan.gov.in/nicgep/app?component=%24DirectLink&amp;page=FrontEndViewTender&amp;service=direct&amp;session=T&amp;sp=SOBrDv1JBxuKXVPoVAvXiOg%3D%3D", "RATE CONTRACT FOR SBM WORK OF FY-2025-26 work including garbage collection and separation from evry houses(residential and commercial) , road and drain cleaning, and cleaning of community sanitation complex in all the villages of GP Padampura")</f>
        <v/>
      </c>
      <c r="C2769" t="inlineStr">
        <is>
          <t>Panchayati Raj Department||Secretary and Commissioner||CEO- JAISALMER||BDO-BHANIYANA</t>
        </is>
      </c>
      <c r="D2769" t="inlineStr">
        <is>
          <t>19-May-2025 06:00 PM</t>
        </is>
      </c>
      <c r="E2769" t="inlineStr">
        <is>
          <t>9,95,214</t>
        </is>
      </c>
      <c r="F2769" t="inlineStr">
        <is>
          <t>RATE CONTRACT FOR SBM WORK OF FY-2025-26 work including garbage collection and separation from evry houses(residential and commercial) , road and drain cleaning, and cleaning of community sanitation complex in all the villages of GP Padampura</t>
        </is>
      </c>
      <c r="G2769" t="inlineStr">
        <is>
          <t>bhaniyana</t>
        </is>
      </c>
    </row>
    <row r="2770">
      <c r="A2770" s="1" t="n">
        <v>2768</v>
      </c>
      <c r="B2770">
        <f>HYPERLINK("https://eproc.rajasthan.gov.in/nicgep/app?component=%24DirectLink&amp;page=FrontEndViewTender&amp;service=direct&amp;session=T&amp;sp=S2E%2Bt%2Fp8YOVumgDWqD7B8JQ%3D%3D", "RATE CONTRACT FOR SBM WORK OF FY-2025-26 work including garbage collection and separation from evry houses(residential and commercial) , road and drain cleaning, and cleaning of community sanitation complex in all the villages of GP Sohanpura")</f>
        <v/>
      </c>
      <c r="C2770" t="inlineStr">
        <is>
          <t>Panchayati Raj Department||Secretary and Commissioner||CEO- JAISALMER||BDO-BHANIYANA</t>
        </is>
      </c>
      <c r="D2770" t="inlineStr">
        <is>
          <t>19-May-2025 06:00 PM</t>
        </is>
      </c>
      <c r="E2770" t="inlineStr">
        <is>
          <t>4,15,630</t>
        </is>
      </c>
      <c r="F2770" t="inlineStr">
        <is>
          <t>RATE CONTRACT FOR SBM WORK OF FY-2025-26 work including garbage collection and separation from evry houses(residential and commercial) , road and drain cleaning, and cleaning of community sanitation complex in all the villages of GP Sohanpura</t>
        </is>
      </c>
      <c r="G2770" t="inlineStr">
        <is>
          <t>bhaniyana</t>
        </is>
      </c>
    </row>
    <row r="2771">
      <c r="A2771" s="1" t="n">
        <v>2769</v>
      </c>
      <c r="B2771">
        <f>HYPERLINK("https://eproc.rajasthan.gov.in/nicgep/app?component=%24DirectLink&amp;page=FrontEndViewTender&amp;service=direct&amp;session=T&amp;sp=S3Jgud2%2BHH2alSIXOtZRm4Q%3D%3D", "RATE CONTRACT FOR SBM WORK OF FY-2025-26 work including garbage collection and separation from evry houses(residential and commercial) , road and drain cleaning, and cleaning of community sanitation complex in all the villages of GP Dholasar")</f>
        <v/>
      </c>
      <c r="C2771" t="inlineStr">
        <is>
          <t>Panchayati Raj Department||Secretary and Commissioner||CEO- JAISALMER||BDO-BHANIYANA</t>
        </is>
      </c>
      <c r="D2771" t="inlineStr">
        <is>
          <t>19-May-2025 06:00 PM</t>
        </is>
      </c>
      <c r="E2771" t="inlineStr">
        <is>
          <t>6,89,124</t>
        </is>
      </c>
      <c r="F2771" t="inlineStr">
        <is>
          <t>RATE CONTRACT FOR SBM WORK OF FY-2025-26 work including garbage collection and separation from evry houses(residential and commercial) , road and drain cleaning, and cleaning of community sanitation complex in all the villages of GP Dholasar</t>
        </is>
      </c>
      <c r="G2771" t="inlineStr">
        <is>
          <t>Bhaniyana</t>
        </is>
      </c>
    </row>
    <row r="2772">
      <c r="A2772" s="1" t="n">
        <v>2770</v>
      </c>
      <c r="B2772">
        <f>HYPERLINK("https://eproc.rajasthan.gov.in/nicgep/app?component=%24DirectLink&amp;page=FrontEndViewTender&amp;service=direct&amp;session=T&amp;sp=Sh%2BtwSSNJ4nvylgJwJh9aIw%3D%3D", "RATE CONTRACT FOR SBM WORK OF FY-2025-26 work including garbage collection and separation from evry houses(residential and commercial) , road and drain cleaning, and cleaning of community sanitation complex in all the villages of GP Chandani Megasar")</f>
        <v/>
      </c>
      <c r="C2772" t="inlineStr">
        <is>
          <t>Panchayati Raj Department||Secretary and Commissioner||CEO- JAISALMER||BDO-BHANIYANA</t>
        </is>
      </c>
      <c r="D2772" t="inlineStr">
        <is>
          <t>19-May-2025 06:00 PM</t>
        </is>
      </c>
      <c r="E2772" t="inlineStr">
        <is>
          <t>3,85,082</t>
        </is>
      </c>
      <c r="F2772" t="inlineStr">
        <is>
          <t>RATE CONTRACT FOR SBM WORK OF FY-2025-26 work including garbage collection and separation from evry houses(residential and commercial) , road and drain cleaning, and cleaning of community sanitation complex in all the villages of GP Chandani Megasar</t>
        </is>
      </c>
      <c r="G2772" t="inlineStr">
        <is>
          <t>Bhaniyana</t>
        </is>
      </c>
    </row>
    <row r="2773">
      <c r="A2773" s="1" t="n">
        <v>2771</v>
      </c>
      <c r="B2773">
        <f>HYPERLINK("https://eproc.rajasthan.gov.in/nicgep/app?component=%24DirectLink&amp;page=FrontEndViewTender&amp;service=direct&amp;session=T&amp;sp=S7xTQoAy2wlh0fUxsbyYYWg%3D%3D", "Gram Panchayat Barala Me Mahatma Gandhi Nrega V Anya Yojnantargat Vikas Karyo ke Liye Nirman Samgri Apurti Ka Karya")</f>
        <v/>
      </c>
      <c r="C2773" t="inlineStr">
        <is>
          <t>Panchayati Raj Department||Secretary and Commissioner||CEO- JAIPUR||BDO-TUNGA</t>
        </is>
      </c>
      <c r="D2773" t="inlineStr">
        <is>
          <t>19-May-2025 06:00 PM</t>
        </is>
      </c>
      <c r="E2773" t="inlineStr">
        <is>
          <t>NA</t>
        </is>
      </c>
      <c r="F2773" t="inlineStr">
        <is>
          <t>Gram Panchayat Barala Me Mahatma Gandhi Nrega V Anya Yojnantargat Vikas Karyo ke Liye Nirman Samgri Apurti Ka Karya</t>
        </is>
      </c>
      <c r="G2773" t="inlineStr">
        <is>
          <t>BARALA</t>
        </is>
      </c>
    </row>
    <row r="2774">
      <c r="A2774" s="1" t="n">
        <v>2772</v>
      </c>
      <c r="B2774">
        <f>HYPERLINK("https://eproc.rajasthan.gov.in/nicgep/app?component=%24DirectLink&amp;page=FrontEndViewTender&amp;service=direct&amp;session=T&amp;sp=SHUOVgwkgtuwTGRpvQIFQxw%3D%3D", "RATE CONTRACT FOR SUPPLY OF CONSTRUCTION MATERIAL IN GRAM PANCHAYAT BHARNI")</f>
        <v/>
      </c>
      <c r="C2774" t="inlineStr">
        <is>
          <t>Panchayati Raj Department||Secretary and Commissioner||CEO-SIKAR||BDO-SRI MADHOPUR</t>
        </is>
      </c>
      <c r="D2774" t="inlineStr">
        <is>
          <t>19-May-2025 06:00 PM</t>
        </is>
      </c>
      <c r="E2774" t="inlineStr">
        <is>
          <t>50,00,000</t>
        </is>
      </c>
      <c r="F2774" t="inlineStr">
        <is>
          <t>RATE CONTRACT FOR SUPPLY OF CONSTRUCTION MATERIAL IN GRAM PANCHAYAT BHARNI</t>
        </is>
      </c>
      <c r="G2774" t="inlineStr">
        <is>
          <t>GP BHARNI</t>
        </is>
      </c>
    </row>
    <row r="2775">
      <c r="A2775" s="1" t="n">
        <v>2773</v>
      </c>
      <c r="B2775">
        <f>HYPERLINK("https://eproc.rajasthan.gov.in/nicgep/app?component=%24DirectLink&amp;page=FrontEndViewTender&amp;service=direct&amp;session=T&amp;sp=SGrY3miktTo40z5iEeVUuXA%3D%3D", "material supply in gram panchayat chhonkarwada ps bhusawar")</f>
        <v/>
      </c>
      <c r="C2775" t="inlineStr">
        <is>
          <t>Panchayati Raj Department||Secretary and Commissioner||CEO-BHARATPUR||BDO-BHUSAWAR</t>
        </is>
      </c>
      <c r="D2775" t="inlineStr">
        <is>
          <t>28-May-2025 05:00 PM</t>
        </is>
      </c>
      <c r="E2775" t="inlineStr">
        <is>
          <t>40,00,000</t>
        </is>
      </c>
      <c r="F2775" t="inlineStr">
        <is>
          <t>material supply in gram panchayat chhonkarwada ps bhusawar</t>
        </is>
      </c>
      <c r="G2775" t="inlineStr">
        <is>
          <t>bhusawar</t>
        </is>
      </c>
    </row>
    <row r="2776">
      <c r="A2776" s="1" t="n">
        <v>2774</v>
      </c>
      <c r="B2776">
        <f>HYPERLINK("https://eproc.rajasthan.gov.in/nicgep/app?component=%24DirectLink&amp;page=FrontEndViewTender&amp;service=direct&amp;session=T&amp;sp=SV538QkW7ydHMasqAKGvvKQ%3D%3D", "material supply in gram panchayat deevali ps bhusawar")</f>
        <v/>
      </c>
      <c r="C2776" t="inlineStr">
        <is>
          <t>Panchayati Raj Department||Secretary and Commissioner||CEO-BHARATPUR||BDO-BHUSAWAR</t>
        </is>
      </c>
      <c r="D2776" t="inlineStr">
        <is>
          <t>28-May-2025 05:00 PM</t>
        </is>
      </c>
      <c r="E2776" t="inlineStr">
        <is>
          <t>40,00,000</t>
        </is>
      </c>
      <c r="F2776" t="inlineStr">
        <is>
          <t>material supply in gram panchayat deevali ps bhusawar</t>
        </is>
      </c>
      <c r="G2776" t="inlineStr">
        <is>
          <t>bhusawar</t>
        </is>
      </c>
    </row>
    <row r="2777">
      <c r="A2777" s="1" t="n">
        <v>2775</v>
      </c>
      <c r="B2777">
        <f>HYPERLINK("https://eproc.rajasthan.gov.in/nicgep/app?component=%24DirectLink&amp;page=FrontEndViewTender&amp;service=direct&amp;session=T&amp;sp=SvzAuXfwMj%2BP3iPCs3YyDMw%3D%3D", "RATE CONTRACT FOR SBM WORK OF FY-2025-26 work including garbage collection and separation from evry houses(residential and commercial) , road and drain cleaning, and cleaning of community sanitation complex in all the villages of GP Balad")</f>
        <v/>
      </c>
      <c r="C2777" t="inlineStr">
        <is>
          <t>Panchayati Raj Department||Secretary and Commissioner||CEO- JAISALMER||BDO-BHANIYANA</t>
        </is>
      </c>
      <c r="D2777" t="inlineStr">
        <is>
          <t>19-May-2025 06:00 PM</t>
        </is>
      </c>
      <c r="E2777" t="inlineStr">
        <is>
          <t>7,58,255</t>
        </is>
      </c>
      <c r="F2777" t="inlineStr">
        <is>
          <t>RATE CONTRACT FOR SBM WORK OF FY-2025-26 work including garbage collection and separation from evry houses(residential and commercial) , road and drain cleaning, and cleaning of community sanitation complex in all the villages of GP Balad</t>
        </is>
      </c>
      <c r="G2777" t="inlineStr">
        <is>
          <t>bhaniyana</t>
        </is>
      </c>
    </row>
    <row r="2778">
      <c r="A2778" s="1" t="n">
        <v>2776</v>
      </c>
      <c r="B2778">
        <f>HYPERLINK("https://eproc.rajasthan.gov.in/nicgep/app?component=%24DirectLink&amp;page=FrontEndViewTender&amp;service=direct&amp;session=T&amp;sp=Sa11CBSXuQI%2BHjcQntlCNdQ%3D%3D", "MATERIAL SUPPLY GP SUTHOTH")</f>
        <v/>
      </c>
      <c r="C2778" t="inlineStr">
        <is>
          <t>Panchayati Raj Department||Secretary and Commissioner||CEO-SIKAR||BDO-NECHWA</t>
        </is>
      </c>
      <c r="D2778" t="inlineStr">
        <is>
          <t>19-May-2025 06:00 PM</t>
        </is>
      </c>
      <c r="E2778" t="inlineStr">
        <is>
          <t>40,00,000</t>
        </is>
      </c>
      <c r="F2778" t="inlineStr">
        <is>
          <t>Construction and building material, equipment supply in GP Suthoth and villages Panchayat Samiti Nechhwa Distt. Sikar YEAR 2025-26</t>
        </is>
      </c>
      <c r="G2778" t="inlineStr">
        <is>
          <t>GP SUTHOTH AND VILLAGES</t>
        </is>
      </c>
    </row>
    <row r="2779">
      <c r="A2779" s="1" t="n">
        <v>2777</v>
      </c>
      <c r="B2779">
        <f>HYPERLINK("https://eproc.rajasthan.gov.in/nicgep/app?component=%24DirectLink&amp;page=FrontEndViewTender&amp;service=direct&amp;session=T&amp;sp=S7bdRdq7d2tV16rLhU4u2mg%3D%3D", "RATE CONTRACT FOR SBM WORK OF FY-2025-26 work including garbage collection and separation from evry houses(residential and commercial) , road and drain cleaning, and cleaning of community sanitation complex in all the villages of GP Bhurajgadh")</f>
        <v/>
      </c>
      <c r="C2779" t="inlineStr">
        <is>
          <t>Panchayati Raj Department||Secretary and Commissioner||CEO- JAISALMER||BDO-BHANIYANA</t>
        </is>
      </c>
      <c r="D2779" t="inlineStr">
        <is>
          <t>19-May-2025 06:00 PM</t>
        </is>
      </c>
      <c r="E2779" t="inlineStr">
        <is>
          <t>6,32,375</t>
        </is>
      </c>
      <c r="F2779" t="inlineStr">
        <is>
          <t>RATE CONTRACT FOR SBM WORK OF FY-2025-26 work including garbage collection and separation from evry houses(residential and commercial) , road and drain cleaning, and cleaning of community sanitation complex in all the villages of GP Bhurajgadh</t>
        </is>
      </c>
      <c r="G2779" t="inlineStr">
        <is>
          <t>bhaniyana</t>
        </is>
      </c>
    </row>
    <row r="2780">
      <c r="A2780" s="1" t="n">
        <v>2778</v>
      </c>
      <c r="B2780">
        <f>HYPERLINK("https://eproc.rajasthan.gov.in/nicgep/app?component=%24DirectLink&amp;page=FrontEndViewTender&amp;service=direct&amp;session=T&amp;sp=SMGQzpV8NPpgHfwIoTkowqQ%3D%3D", "Rate contract For Supply of Construction Material and Providing Equipments for NREGA, RD and PR Schemes at Gram Panchayat Jasota Panchayat Samiti DAUSA Dist Dausa For FY 2025-26 up to 31 March 2026")</f>
        <v/>
      </c>
      <c r="C2780" t="inlineStr">
        <is>
          <t>Panchayati Raj Department||Secretary and Commissioner||CEO-DAUSA||BDO-DAUSA</t>
        </is>
      </c>
      <c r="D2780" t="inlineStr">
        <is>
          <t>19-May-2025 09:30 AM</t>
        </is>
      </c>
      <c r="E2780" t="inlineStr">
        <is>
          <t>50,00,000</t>
        </is>
      </c>
      <c r="F2780" t="inlineStr">
        <is>
          <t>Rate contract For Supply of Construction Material and Providing Equipments for NREGA, RD and PR Schemes at Gram Panchayat Jasota Panchayat Samiti DAUSA Dist Dausa For FY 2025-26 up to 31 March 2026</t>
        </is>
      </c>
      <c r="G2780" t="inlineStr">
        <is>
          <t>Jasota</t>
        </is>
      </c>
    </row>
    <row r="2781">
      <c r="A2781" s="1" t="n">
        <v>2779</v>
      </c>
      <c r="B2781">
        <f>HYPERLINK("https://eproc.rajasthan.gov.in/nicgep/app?component=%24DirectLink&amp;page=FrontEndViewTender&amp;service=direct&amp;session=T&amp;sp=S5PZc9V4iYQCrRgArk%2FVKnQ%3D%3D", "Supply of Material and Providing Equipment At gram panchayat Surawa")</f>
        <v/>
      </c>
      <c r="C2781" t="inlineStr">
        <is>
          <t>Panchayati Raj Department||Secretary and Commissioner||CEO- JALORE||BDO-SARNAU</t>
        </is>
      </c>
      <c r="D2781" t="inlineStr">
        <is>
          <t>19-May-2025 05:00 PM</t>
        </is>
      </c>
      <c r="E2781" t="inlineStr">
        <is>
          <t>80,00,000</t>
        </is>
      </c>
      <c r="F2781" t="inlineStr">
        <is>
          <t>Supply of Material and Providing Equipment At gram panchayat Surawa</t>
        </is>
      </c>
      <c r="G2781" t="inlineStr">
        <is>
          <t>gram panchayat surawa ps sarnau</t>
        </is>
      </c>
    </row>
    <row r="2782">
      <c r="A2782" s="1" t="n">
        <v>2780</v>
      </c>
      <c r="B2782">
        <f>HYPERLINK("https://eproc.rajasthan.gov.in/nicgep/app?component=%24DirectLink&amp;page=FrontEndViewTender&amp;service=direct&amp;session=T&amp;sp=SxkEB2mLk4K8Yoo0pP5zK4g%3D%3D", "material supply in gram panchayat ballabhgarh ps bhusawar")</f>
        <v/>
      </c>
      <c r="C2782" t="inlineStr">
        <is>
          <t>Panchayati Raj Department||Secretary and Commissioner||CEO-BHARATPUR||BDO-BHUSAWAR</t>
        </is>
      </c>
      <c r="D2782" t="inlineStr">
        <is>
          <t>28-May-2025 05:00 PM</t>
        </is>
      </c>
      <c r="E2782" t="inlineStr">
        <is>
          <t>40,00,000</t>
        </is>
      </c>
      <c r="F2782" t="inlineStr">
        <is>
          <t>material supply in gram panchayat ballabhgarh ps bhusawar</t>
        </is>
      </c>
      <c r="G2782" t="inlineStr">
        <is>
          <t>bhusawar</t>
        </is>
      </c>
    </row>
    <row r="2783">
      <c r="A2783" s="1" t="n">
        <v>2781</v>
      </c>
      <c r="B2783">
        <f>HYPERLINK("https://eproc.rajasthan.gov.in/nicgep/app?component=%24DirectLink&amp;page=FrontEndViewTender&amp;service=direct&amp;session=T&amp;sp=SDRIY8wANsmUpaKB9TT7WQQ%3D%3D", "Financial year 2025-26 Tubewell drilling and motor pipe installation work including electricity connection work Panchayat Samiti Shrimadhopur")</f>
        <v/>
      </c>
      <c r="C2783" t="inlineStr">
        <is>
          <t>Panchayati Raj Department||Secretary and Commissioner||CEO-SIKAR||BDO-SRI MADHOPUR</t>
        </is>
      </c>
      <c r="D2783" t="inlineStr">
        <is>
          <t>29-May-2025 05:00 PM</t>
        </is>
      </c>
      <c r="E2783" t="inlineStr">
        <is>
          <t>80,00,000</t>
        </is>
      </c>
      <c r="F2783" t="inlineStr">
        <is>
          <t>Financial year 2025-26 Tubewell drilling and motor pipe installation work including electricity connection work Panchayat Samiti Shrimadhopur</t>
        </is>
      </c>
      <c r="G2783" t="inlineStr">
        <is>
          <t>PS SRIMADHOPUR</t>
        </is>
      </c>
    </row>
    <row r="2784">
      <c r="A2784" s="1" t="n">
        <v>2782</v>
      </c>
      <c r="B2784">
        <f>HYPERLINK("https://eproc.rajasthan.gov.in/nicgep/app?component=%24DirectLink&amp;page=FrontEndViewTender&amp;service=direct&amp;session=T&amp;sp=Sv9Cu6sCYjCPLcV6nH%2FTiDw%3D%3D", "materil supply in gp shyamgharh")</f>
        <v/>
      </c>
      <c r="C2784" t="inlineStr">
        <is>
          <t>Panchayati Raj Department||Secretary and Commissioner||CEO-SIKAR||BDO-PIPARALI</t>
        </is>
      </c>
      <c r="D2784" t="inlineStr">
        <is>
          <t>19-May-2025 06:00 PM</t>
        </is>
      </c>
      <c r="E2784" t="inlineStr">
        <is>
          <t>40,00,000</t>
        </is>
      </c>
      <c r="F2784" t="inlineStr">
        <is>
          <t>materil supply in gp shyamgharh and villages in year 2025-26</t>
        </is>
      </c>
      <c r="G2784" t="inlineStr">
        <is>
          <t>gp shyamgharh</t>
        </is>
      </c>
    </row>
    <row r="2785">
      <c r="A2785" s="1" t="n">
        <v>2783</v>
      </c>
      <c r="B2785">
        <f>HYPERLINK("https://eproc.rajasthan.gov.in/nicgep/app?component=%24DirectLink&amp;page=FrontEndViewTender&amp;service=direct&amp;session=T&amp;sp=STA1NfxW3xDZeIjz5VX%2BQfQ%3D%3D", "Rate contract for Work Including Garbage Collection and Separation from Households and Commercial Establishments, Road and Drain cleaning, Cleaning of CSCs in all villages of Gram Panchayat chakbiloli Panchayat Samiti Malarna Doongar")</f>
        <v/>
      </c>
      <c r="C2785" t="inlineStr">
        <is>
          <t>Panchayati Raj Department||Secretary and Commissioner||CEO-S.MADHOPUR||BDO-MALARANA DUNGAR</t>
        </is>
      </c>
      <c r="D2785" t="inlineStr">
        <is>
          <t>19-May-2025 06:00 PM</t>
        </is>
      </c>
      <c r="E2785" t="inlineStr">
        <is>
          <t>10,07,727</t>
        </is>
      </c>
      <c r="F2785" t="inlineStr">
        <is>
          <t>Rate contract for Work Including Garbage Collection and Separation from Households and Commercial Establishments, Road and Drain cleaning, Cleaning of CSCs in all villages of Gram Panchayat chakbiloli Panchayat Samiti Malarna Doongar</t>
        </is>
      </c>
      <c r="G2785" t="inlineStr">
        <is>
          <t>Gram panchaya chakbiloli</t>
        </is>
      </c>
    </row>
    <row r="2786">
      <c r="A2786" s="1" t="n">
        <v>2784</v>
      </c>
      <c r="B2786">
        <f>HYPERLINK("https://eproc.rajasthan.gov.in/nicgep/app?component=%24DirectLink&amp;page=FrontEndViewTender&amp;service=direct&amp;session=T&amp;sp=SgEszqtd0o5dQQF9zBRrTXg%3D%3D", "work including garbage collection and separation from every house (residential and commercial), road and drain cleaning, and cleaning of community sanitation premises in all the villages of Gram Panchayat Devnagar Panchayat Samiti Ajmer Rural")</f>
        <v/>
      </c>
      <c r="C2786" t="inlineStr">
        <is>
          <t>Panchayati Raj Department||Secretary and Commissioner||CEO-AJMER||BDO-AJMER RURAL</t>
        </is>
      </c>
      <c r="D2786" t="inlineStr">
        <is>
          <t>20-May-2025 05:00 PM</t>
        </is>
      </c>
      <c r="E2786" t="inlineStr">
        <is>
          <t>10,12,560</t>
        </is>
      </c>
      <c r="F2786" t="inlineStr">
        <is>
          <t>work including garbage collection and separation from every house (residential and commercial), road and drain cleaning, and cleaning of community sanitation premises in all the villages of Gram Panchayat Devnagar Panchayat Samiti Ajmer Rural</t>
        </is>
      </c>
      <c r="G2786" t="inlineStr">
        <is>
          <t>Gram Panchayat Devnagar</t>
        </is>
      </c>
    </row>
    <row r="2787">
      <c r="A2787" s="1" t="n">
        <v>2785</v>
      </c>
      <c r="B2787">
        <f>HYPERLINK("https://eproc.rajasthan.gov.in/nicgep/app?component=%24DirectLink&amp;page=FrontEndViewTender&amp;service=direct&amp;session=T&amp;sp=ShSiP%2FnpBqEX%2B9HmMFyjIDQ%3D%3D", "Rate Contract for BSR 2025-26 FOR MATERIAL AND EQUIPMENT SUPPLY FOR GRAM PANCHAYAT SHASTRINAGAR")</f>
        <v/>
      </c>
      <c r="C2787" t="inlineStr">
        <is>
          <t>Panchayati Raj Department||Secretary and Commissioner||CEO- JAISALMER||BDO-MOHANGARH</t>
        </is>
      </c>
      <c r="D2787" t="inlineStr">
        <is>
          <t>19-May-2025 10:00 AM</t>
        </is>
      </c>
      <c r="E2787" t="inlineStr">
        <is>
          <t>NA</t>
        </is>
      </c>
      <c r="F2787" t="inlineStr">
        <is>
          <t>Rate Contract for BSR 2025-26 FOR MATERIAL AND EQUIPMENT SUPPLY FOR GRAM PANCHAYAT SHASTRINAGAR</t>
        </is>
      </c>
      <c r="G2787" t="inlineStr">
        <is>
          <t>GRAM PANCHAYAT SHASTRINAGAR</t>
        </is>
      </c>
    </row>
    <row r="2788">
      <c r="A2788" s="1" t="n">
        <v>2786</v>
      </c>
      <c r="B2788">
        <f>HYPERLINK("https://eproc.rajasthan.gov.in/nicgep/app?component=%24DirectLink&amp;page=FrontEndViewTender&amp;service=direct&amp;session=T&amp;sp=SXJF8Ez7CYxtUW%2F9mi8dnDw%3D%3D", "material supply in gram panchayat bachhrein ps bhusawar")</f>
        <v/>
      </c>
      <c r="C2788" t="inlineStr">
        <is>
          <t>Panchayati Raj Department||Secretary and Commissioner||CEO-BHARATPUR||BDO-BHUSAWAR</t>
        </is>
      </c>
      <c r="D2788" t="inlineStr">
        <is>
          <t>28-May-2025 05:00 PM</t>
        </is>
      </c>
      <c r="E2788" t="inlineStr">
        <is>
          <t>40,00,000</t>
        </is>
      </c>
      <c r="F2788" t="inlineStr">
        <is>
          <t>material supply in gram panchayat bachhrein ps bhusawar</t>
        </is>
      </c>
      <c r="G2788" t="inlineStr">
        <is>
          <t>bhusawar</t>
        </is>
      </c>
    </row>
    <row r="2789">
      <c r="A2789" s="1" t="n">
        <v>2787</v>
      </c>
      <c r="B2789">
        <f>HYPERLINK("https://eproc.rajasthan.gov.in/nicgep/app?component=%24DirectLink&amp;page=FrontEndViewTender&amp;service=direct&amp;session=T&amp;sp=SIq1DdujIZTgHhBPbZRUEzA%3D%3D", "RATE CONTRACT FOR WORK INCLUDING DOOR TO DOOR (RESIDENTIAL AND COMMERCIAL) GARBAGE COLLECTION AND SEPARATION AND ROAD, DRAIN AND CSC CLEANING ALL VILLAGE OF GRAM PANCHAYAT MANDHA PS PALSANA DIST SIKAR (RAJ)")</f>
        <v/>
      </c>
      <c r="C2789" t="inlineStr">
        <is>
          <t>Panchayati Raj Department||Secretary and Commissioner||CEO-SIKAR||BDO-PALSANA</t>
        </is>
      </c>
      <c r="D2789" t="inlineStr">
        <is>
          <t>19-May-2025 06:00 PM</t>
        </is>
      </c>
      <c r="E2789" t="inlineStr">
        <is>
          <t>9,00,000</t>
        </is>
      </c>
      <c r="F2789" t="inlineStr">
        <is>
          <t>RATE CONTRACT FOR WORK INCLUDING DOOR TO DOOR (RESIDENTIAL AND COMMERCIAL) GARBAGE COLLECTION AND SEPARATION AND ROAD, DRAIN AND CSC CLEANING ALL VILLAGE OF GRAM PANCHAYAT MANDHA PS PALSANA DIST SIKAR (RAJ)</t>
        </is>
      </c>
      <c r="G2789" t="inlineStr">
        <is>
          <t>GRAM PANCHAYAT MANDHA</t>
        </is>
      </c>
    </row>
    <row r="2790">
      <c r="A2790" s="1" t="n">
        <v>2788</v>
      </c>
      <c r="B2790">
        <f>HYPERLINK("https://eproc.rajasthan.gov.in/nicgep/app?component=%24DirectLink&amp;page=FrontEndViewTender&amp;service=direct&amp;session=T&amp;sp=SwC5dEC1RH38mjB5IxDHJPQ%3D%3D", "Gram Panchayat Chhatra me Niyamit Saf Safai avam Swachhta Karye Gram Panchayat Jasota")</f>
        <v/>
      </c>
      <c r="C2790" t="inlineStr">
        <is>
          <t>Panchayati Raj Department||Secretary and Commissioner||CEO-DAUSA||BDO-DAUSA</t>
        </is>
      </c>
      <c r="D2790" t="inlineStr">
        <is>
          <t>19-May-2025 02:00 PM</t>
        </is>
      </c>
      <c r="E2790" t="inlineStr">
        <is>
          <t>6,00,000</t>
        </is>
      </c>
      <c r="F2790" t="inlineStr">
        <is>
          <t>Gram Panchayat Chhatra me Niyamit Saf Safai avam Swachhta Karye Gram Panchayat Jasota</t>
        </is>
      </c>
      <c r="G2790" t="inlineStr">
        <is>
          <t>Jasota</t>
        </is>
      </c>
    </row>
    <row r="2791">
      <c r="A2791" s="1" t="n">
        <v>2789</v>
      </c>
      <c r="B2791">
        <f>HYPERLINK("https://eproc.rajasthan.gov.in/nicgep/app?component=%24DirectLink&amp;page=FrontEndViewTender&amp;service=direct&amp;session=T&amp;sp=SN5xLIIdjtkEpZU6lqUsBGQ%3D%3D", "supply of construction metarial and providing equipment in NREGA and other RDPR scheme at G.P KOHRA P S FATEHGARH Financial year 2025-26")</f>
        <v/>
      </c>
      <c r="C2791" t="inlineStr">
        <is>
          <t>Panchayati Raj Department||Secretary and Commissioner||CEO- JAISALMER||BDO-FATEH GARH</t>
        </is>
      </c>
      <c r="D2791" t="inlineStr">
        <is>
          <t>19-May-2025 03:00 PM</t>
        </is>
      </c>
      <c r="E2791" t="inlineStr">
        <is>
          <t>1,00,00,000</t>
        </is>
      </c>
      <c r="F2791" t="inlineStr">
        <is>
          <t>supply of construction metarial and providing equipment in NREGA and other RDPR scheme at G.P KOHRA P S FATEHGARH Financial year 2025-26</t>
        </is>
      </c>
      <c r="G2791" t="inlineStr">
        <is>
          <t>SARPANCH GRAM PANCHAYAT KOHRA P S FATEHGARH</t>
        </is>
      </c>
    </row>
    <row r="2792">
      <c r="A2792" s="1" t="n">
        <v>2790</v>
      </c>
      <c r="B2792">
        <f>HYPERLINK("https://eproc.rajasthan.gov.in/nicgep/app?component=%24DirectLink&amp;page=FrontEndViewTender&amp;service=direct&amp;session=T&amp;sp=SMI4pBhDfbWLSSka%2FW9DeTA%3D%3D", "Supply of Material and Providing Equipment At gram panchayat lachiward")</f>
        <v/>
      </c>
      <c r="C2792" t="inlineStr">
        <is>
          <t>Panchayati Raj Department||Secretary and Commissioner||CEO- JALORE||BDO-SARNAU</t>
        </is>
      </c>
      <c r="D2792" t="inlineStr">
        <is>
          <t>19-May-2025 05:00 PM</t>
        </is>
      </c>
      <c r="E2792" t="inlineStr">
        <is>
          <t>80,00,000</t>
        </is>
      </c>
      <c r="F2792" t="inlineStr">
        <is>
          <t>Supply of Material and Providing Equipment At gram panchayat lachiward</t>
        </is>
      </c>
      <c r="G2792" t="inlineStr">
        <is>
          <t>gram panchayat lachiward ps sarnau</t>
        </is>
      </c>
    </row>
    <row r="2793">
      <c r="A2793" s="1" t="n">
        <v>2791</v>
      </c>
      <c r="B2793">
        <f>HYPERLINK("https://eproc.rajasthan.gov.in/nicgep/app?component=%24DirectLink&amp;page=FrontEndViewTender&amp;service=direct&amp;session=T&amp;sp=S63G%2Bbjik9IKlrWHKYGhFNA%3D%3D", "METERIAL SUPPLY WORKS GP MEERKA")</f>
        <v/>
      </c>
      <c r="C2793" t="inlineStr">
        <is>
          <t>Panchayati Raj Department||Secretary and Commissioner||CEO-ALWAR||BDO-KISHANGARHWAS</t>
        </is>
      </c>
      <c r="D2793" t="inlineStr">
        <is>
          <t>23-May-2025 06:00 PM</t>
        </is>
      </c>
      <c r="E2793" t="inlineStr">
        <is>
          <t>NA</t>
        </is>
      </c>
      <c r="F2793" t="inlineStr">
        <is>
          <t>METERIAL SUPPLY WORKS GP MEERKA</t>
        </is>
      </c>
      <c r="G2793" t="inlineStr">
        <is>
          <t>GP MEERKA</t>
        </is>
      </c>
    </row>
    <row r="2794">
      <c r="A2794" s="1" t="n">
        <v>2792</v>
      </c>
      <c r="B2794">
        <f>HYPERLINK("https://eproc.rajasthan.gov.in/nicgep/app?component=%24DirectLink&amp;page=FrontEndViewTender&amp;service=direct&amp;session=T&amp;sp=SOucCrWArg7kIQMsYP%2FPOgg%3D%3D", "material supply in gram panchayat baroli ps bhusawar")</f>
        <v/>
      </c>
      <c r="C2794" t="inlineStr">
        <is>
          <t>Panchayati Raj Department||Secretary and Commissioner||CEO-BHARATPUR||BDO-BHUSAWAR</t>
        </is>
      </c>
      <c r="D2794" t="inlineStr">
        <is>
          <t>28-May-2025 05:00 PM</t>
        </is>
      </c>
      <c r="E2794" t="inlineStr">
        <is>
          <t>40,00,000</t>
        </is>
      </c>
      <c r="F2794" t="inlineStr">
        <is>
          <t>material supply in gram panchayat baroli ps bhusawar</t>
        </is>
      </c>
      <c r="G2794" t="inlineStr">
        <is>
          <t>bhusawar</t>
        </is>
      </c>
    </row>
    <row r="2795">
      <c r="A2795" s="1" t="n">
        <v>2793</v>
      </c>
      <c r="B2795">
        <f>HYPERLINK("https://eproc.rajasthan.gov.in/nicgep/app?component=%24DirectLink&amp;page=FrontEndViewTender&amp;service=direct&amp;session=T&amp;sp=SQ54HRbbRuTrvE1JGbmw1Uw%3D%3D", "supply of construction metarial and providing equipment in NREGA and other RDPR scheme at G.P CHELAK P S FATEHGARH Financial year 2025-26")</f>
        <v/>
      </c>
      <c r="C2795" t="inlineStr">
        <is>
          <t>Panchayati Raj Department||Secretary and Commissioner||CEO- JAISALMER||BDO-FATEH GARH</t>
        </is>
      </c>
      <c r="D2795" t="inlineStr">
        <is>
          <t>19-May-2025 02:00 PM</t>
        </is>
      </c>
      <c r="E2795" t="inlineStr">
        <is>
          <t>55,00,000</t>
        </is>
      </c>
      <c r="F2795" t="inlineStr">
        <is>
          <t>supply of construction metarial and providing equipment in NREGA and other RDPR scheme at G.P CHELAK P S FATEHGARH Financial year 2025-26</t>
        </is>
      </c>
      <c r="G2795" t="inlineStr">
        <is>
          <t>SARPANCH GRAM PANCHAYAT CHELAK P S FATEHGARH</t>
        </is>
      </c>
    </row>
    <row r="2796">
      <c r="A2796" s="1" t="n">
        <v>2794</v>
      </c>
      <c r="B2796">
        <f>HYPERLINK("https://eproc.rajasthan.gov.in/nicgep/app?component=%24DirectLink&amp;page=FrontEndViewTender&amp;service=direct&amp;session=T&amp;sp=SIBDfQIvqfaHXZh%2FWu%2FGG0w%3D%3D", "Rate Contract for Supply of All Construction Material and Providing Equipment in GP Kikarwali")</f>
        <v/>
      </c>
      <c r="C2796" t="inlineStr">
        <is>
          <t>Panchayati Raj Department||Secretary and Commissioner||CEO- HANUMANGARH||BDO-SANGARIYA</t>
        </is>
      </c>
      <c r="D2796" t="inlineStr">
        <is>
          <t>19-May-2025 06:00 PM</t>
        </is>
      </c>
      <c r="E2796" t="inlineStr">
        <is>
          <t>80,00,000</t>
        </is>
      </c>
      <c r="F2796" t="inlineStr">
        <is>
          <t>Rate Contract for Supply of All Construction Material and Providing Equipment in GP Kikarwali</t>
        </is>
      </c>
      <c r="G2796" t="inlineStr">
        <is>
          <t>GP Kikarwali</t>
        </is>
      </c>
    </row>
    <row r="2797">
      <c r="A2797" s="1" t="n">
        <v>2795</v>
      </c>
      <c r="B2797">
        <f>HYPERLINK("https://eproc.rajasthan.gov.in/nicgep/app?component=%24DirectLink&amp;page=FrontEndViewTender&amp;service=direct&amp;session=T&amp;sp=SSQF%2B4ns7rePLFHIf8n4NWw%3D%3D", "Gram Panchayat Palawala Jatan Me Mahatma Gandhi Nrega V Anya Yojnantargat Vikas Karyo ke Liye Nirman Samgri Apurti Ka Karya")</f>
        <v/>
      </c>
      <c r="C2797" t="inlineStr">
        <is>
          <t>Panchayati Raj Department||Secretary and Commissioner||CEO- JAIPUR||BDO-TUNGA</t>
        </is>
      </c>
      <c r="D2797" t="inlineStr">
        <is>
          <t>19-May-2025 06:00 PM</t>
        </is>
      </c>
      <c r="E2797" t="inlineStr">
        <is>
          <t>NA</t>
        </is>
      </c>
      <c r="F2797" t="inlineStr">
        <is>
          <t>Gram Panchayat Palawala Jatan Me Mahatma Gandhi Nrega V Anya Yojnantargat Vikas Karyo ke Liye Nirman Samgri Apurti Ka Karya</t>
        </is>
      </c>
      <c r="G2797" t="inlineStr">
        <is>
          <t>PALAWALA JATAN</t>
        </is>
      </c>
    </row>
    <row r="2798">
      <c r="A2798" s="1" t="n">
        <v>2796</v>
      </c>
      <c r="B2798">
        <f>HYPERLINK("https://eproc.rajasthan.gov.in/nicgep/app?component=%24DirectLink&amp;page=FrontEndViewTender&amp;service=direct&amp;session=T&amp;sp=SuYkZfyFKVFLUSqzDBLGvYA%3D%3D", "Rate Contract for Supply of All Construction Material and Providing Equipment in GP Singhpura")</f>
        <v/>
      </c>
      <c r="C2798" t="inlineStr">
        <is>
          <t>Panchayati Raj Department||Secretary and Commissioner||CEO- HANUMANGARH||BDO-SANGARIYA</t>
        </is>
      </c>
      <c r="D2798" t="inlineStr">
        <is>
          <t>19-May-2025 06:00 PM</t>
        </is>
      </c>
      <c r="E2798" t="inlineStr">
        <is>
          <t>80,00,000</t>
        </is>
      </c>
      <c r="F2798" t="inlineStr">
        <is>
          <t>Rate Contract for Supply of All Construction Material and Providing Equipment in GP Singhpura</t>
        </is>
      </c>
      <c r="G2798" t="inlineStr">
        <is>
          <t>GP Singhpura</t>
        </is>
      </c>
    </row>
    <row r="2799">
      <c r="A2799" s="1" t="n">
        <v>2797</v>
      </c>
      <c r="B2799">
        <f>HYPERLINK("https://eproc.rajasthan.gov.in/nicgep/app?component=%24DirectLink&amp;page=FrontEndViewTender&amp;service=direct&amp;session=T&amp;sp=SCoVfjM4hq4e0C%2FNi1g%2FSwQ%3D%3D", "material supply in gram panchayat bavekhar ps bhusawar")</f>
        <v/>
      </c>
      <c r="C2799" t="inlineStr">
        <is>
          <t>Panchayati Raj Department||Secretary and Commissioner||CEO-BHARATPUR||BDO-BHUSAWAR</t>
        </is>
      </c>
      <c r="D2799" t="inlineStr">
        <is>
          <t>28-May-2025 05:00 PM</t>
        </is>
      </c>
      <c r="E2799" t="inlineStr">
        <is>
          <t>40,00,000</t>
        </is>
      </c>
      <c r="F2799" t="inlineStr">
        <is>
          <t>material supply in gram panchayat bavekhar ps bhusawar</t>
        </is>
      </c>
      <c r="G2799" t="inlineStr">
        <is>
          <t>bhusawar</t>
        </is>
      </c>
    </row>
    <row r="2800">
      <c r="A2800" s="1" t="n">
        <v>2798</v>
      </c>
      <c r="B2800">
        <f>HYPERLINK("https://eproc.rajasthan.gov.in/nicgep/app?component=%24DirectLink&amp;page=FrontEndViewTender&amp;service=direct&amp;session=T&amp;sp=SUwBT86RhhZy%2BuWJ0emfPSg%3D%3D", "WORKS MATERIAL PURCHASES AND EQUIPMENT HIRE TENDER")</f>
        <v/>
      </c>
      <c r="C2800" t="inlineStr">
        <is>
          <t>Panchayati Raj Department||Secretary and Commissioner||CEO-AJMER||BDO-SRI NAGAR</t>
        </is>
      </c>
      <c r="D2800" t="inlineStr">
        <is>
          <t>19-May-2025 10:00 AM</t>
        </is>
      </c>
      <c r="E2800" t="inlineStr">
        <is>
          <t>95,00,000</t>
        </is>
      </c>
      <c r="F2800" t="inlineStr">
        <is>
          <t>WORKS MATERIAL PURCHASES AND EQUIPMENT HIRE TENDER</t>
        </is>
      </c>
      <c r="G2800" t="inlineStr">
        <is>
          <t>GP MAWSIYA</t>
        </is>
      </c>
    </row>
    <row r="2801">
      <c r="A2801" s="1" t="n">
        <v>2799</v>
      </c>
      <c r="B2801">
        <f>HYPERLINK("https://eproc.rajasthan.gov.in/nicgep/app?component=%24DirectLink&amp;page=FrontEndViewTender&amp;service=direct&amp;session=T&amp;sp=S%2By%2FHy4PTbKysajnRnwe6CQ%3D%3D", "Rate Contract for Supply of All Construction Material and Providing Equipment in GP Amarpura Jalu")</f>
        <v/>
      </c>
      <c r="C2801" t="inlineStr">
        <is>
          <t>Panchayati Raj Department||Secretary and Commissioner||CEO- HANUMANGARH||BDO-SANGARIYA</t>
        </is>
      </c>
      <c r="D2801" t="inlineStr">
        <is>
          <t>19-May-2025 06:00 PM</t>
        </is>
      </c>
      <c r="E2801" t="inlineStr">
        <is>
          <t>80,00,000</t>
        </is>
      </c>
      <c r="F2801" t="inlineStr">
        <is>
          <t>Rate Contract for Supply of All Construction Material and Providing Equipment in GP Amarpura Jalu</t>
        </is>
      </c>
      <c r="G2801" t="inlineStr">
        <is>
          <t>GP Amarpura Jalu</t>
        </is>
      </c>
    </row>
    <row r="2802">
      <c r="A2802" s="1" t="n">
        <v>2800</v>
      </c>
      <c r="B2802">
        <f>HYPERLINK("https://eproc.rajasthan.gov.in/nicgep/app?component=%24DirectLink&amp;page=FrontEndViewTender&amp;service=direct&amp;session=T&amp;sp=SRSu%2BmQjzNPawOx31DrJk0Q%3D%3D", "Rate Contract for Supply of All Construction Material and Providing Equipment in GP Ratanpura")</f>
        <v/>
      </c>
      <c r="C2802" t="inlineStr">
        <is>
          <t>Panchayati Raj Department||Secretary and Commissioner||CEO- HANUMANGARH||BDO-SANGARIYA</t>
        </is>
      </c>
      <c r="D2802" t="inlineStr">
        <is>
          <t>19-May-2025 06:00 PM</t>
        </is>
      </c>
      <c r="E2802" t="inlineStr">
        <is>
          <t>80,00,000</t>
        </is>
      </c>
      <c r="F2802" t="inlineStr">
        <is>
          <t>Rate Contract for Supply of All Construction Material and Providing Equipment in GP Ratanpura</t>
        </is>
      </c>
      <c r="G2802" t="inlineStr">
        <is>
          <t>GP Ratanpura</t>
        </is>
      </c>
    </row>
    <row r="2803">
      <c r="A2803" s="1" t="n">
        <v>2801</v>
      </c>
      <c r="B2803">
        <f>HYPERLINK("https://eproc.rajasthan.gov.in/nicgep/app?component=%24DirectLink&amp;page=FrontEndViewTender&amp;service=direct&amp;session=T&amp;sp=S8lneYvksLlBmiW5%2BPEf%2BEA%3D%3D", "RATE CONTRACT FOR SBM WORK OF FY-2025-26 work including garbage collection and separation from evry houses(residential and commercial) , road and drain cleaning, and cleaning of community sanitation complex in all the villages of gp swami ji dhani")</f>
        <v/>
      </c>
      <c r="C2803" t="inlineStr">
        <is>
          <t>Panchayati Raj Department||Secretary and Commissioner||CEO- JAISALMER||BDO-BHANIYANA</t>
        </is>
      </c>
      <c r="D2803" t="inlineStr">
        <is>
          <t>19-May-2025 06:00 PM</t>
        </is>
      </c>
      <c r="E2803" t="inlineStr">
        <is>
          <t>11,75,440</t>
        </is>
      </c>
      <c r="F2803" t="inlineStr">
        <is>
          <t>RATE CONTRACT FOR SBM WORK OF FY-2025-26 work including garbage collection and separation from evry houses(residential and commercial) , road and drain cleaning, and cleaning of community sanitation complex in all the villages of gp swami ji dhani</t>
        </is>
      </c>
      <c r="G2803" t="inlineStr">
        <is>
          <t>ps bhaniyana</t>
        </is>
      </c>
    </row>
    <row r="2804">
      <c r="A2804" s="1" t="n">
        <v>2802</v>
      </c>
      <c r="B2804">
        <f>HYPERLINK("https://eproc.rajasthan.gov.in/nicgep/app?component=%24DirectLink&amp;page=FrontEndViewTender&amp;service=direct&amp;session=T&amp;sp=S6ZUAyxC0lPBTAxR4kIpmQw%3D%3D", "RATE CONTRACT FOR SBM WORK OF FY-2025-26 work including garbage collection and separation from evry houses(residential and commercial) , road and drain cleaning, and cleaning of community sanitation complex in all the villages of gp Dantal")</f>
        <v/>
      </c>
      <c r="C2804" t="inlineStr">
        <is>
          <t>Panchayati Raj Department||Secretary and Commissioner||CEO- JAISALMER||BDO-BHANIYANA</t>
        </is>
      </c>
      <c r="D2804" t="inlineStr">
        <is>
          <t>19-May-2025 06:00 PM</t>
        </is>
      </c>
      <c r="E2804" t="inlineStr">
        <is>
          <t>13,56,417</t>
        </is>
      </c>
      <c r="F2804" t="inlineStr">
        <is>
          <t>RATE CONTRACT FOR SBM WORK OF FY-2025-26 work including garbage collection and separation from evry houses(residential and commercial) , road and drain cleaning, and cleaning of community sanitation complex in all the villages of gp Dantal</t>
        </is>
      </c>
      <c r="G2804" t="inlineStr">
        <is>
          <t>PS bhaniyana</t>
        </is>
      </c>
    </row>
    <row r="2805">
      <c r="A2805" s="1" t="n">
        <v>2803</v>
      </c>
      <c r="B2805">
        <f>HYPERLINK("https://eproc.rajasthan.gov.in/nicgep/app?component=%24DirectLink&amp;page=FrontEndViewTender&amp;service=direct&amp;session=T&amp;sp=SHzRcHgUTHDItCLvDAh9sBg%3D%3D", "RATE CONTRACT FOR SBM WORK OF FY-2025-26 work including garbage collection and separation from evry houses(residential and commercial) , road and drain cleaning, and cleaning of community sanitation complex in all the villages of gram panchayt betina")</f>
        <v/>
      </c>
      <c r="C2805" t="inlineStr">
        <is>
          <t>Panchayati Raj Department||Secretary and Commissioner||CEO- JAISALMER||BDO-BHANIYANA</t>
        </is>
      </c>
      <c r="D2805" t="inlineStr">
        <is>
          <t>19-May-2025 06:00 PM</t>
        </is>
      </c>
      <c r="E2805" t="inlineStr">
        <is>
          <t>10,75,982</t>
        </is>
      </c>
      <c r="F2805" t="inlineStr">
        <is>
          <t>RATE CONTRACT FOR SBM WORK OF FY-2025-26 work including garbage collection and separation from evry houses(residential and commercial) , road and drain cleaning, and cleaning of community sanitation complex in all the villages of gram panchayt betina</t>
        </is>
      </c>
      <c r="G2805" t="inlineStr">
        <is>
          <t>ps bhaniyana</t>
        </is>
      </c>
    </row>
    <row r="2806">
      <c r="A2806" s="1" t="n">
        <v>2804</v>
      </c>
      <c r="B2806">
        <f>HYPERLINK("https://eproc.rajasthan.gov.in/nicgep/app?component=%24DirectLink&amp;page=FrontEndViewTender&amp;service=direct&amp;session=T&amp;sp=SB0oIvBQIhj1wqYYHxROADQ%3D%3D", "Rate Contract for Supply of All Construction Material and Providing Equipment in GP Fatehpur")</f>
        <v/>
      </c>
      <c r="C2806" t="inlineStr">
        <is>
          <t>Panchayati Raj Department||Secretary and Commissioner||CEO- HANUMANGARH||BDO-SANGARIYA</t>
        </is>
      </c>
      <c r="D2806" t="inlineStr">
        <is>
          <t>19-May-2025 06:00 PM</t>
        </is>
      </c>
      <c r="E2806" t="inlineStr">
        <is>
          <t>48,00,000</t>
        </is>
      </c>
      <c r="F2806" t="inlineStr">
        <is>
          <t>Rate Contract for Supply of All Construction Material and Providing Equipment in GP Fatehpur</t>
        </is>
      </c>
      <c r="G2806" t="inlineStr">
        <is>
          <t>GP Fatehpur</t>
        </is>
      </c>
    </row>
    <row r="2807">
      <c r="A2807" s="1" t="n">
        <v>2805</v>
      </c>
      <c r="B2807">
        <f>HYPERLINK("https://eproc.rajasthan.gov.in/nicgep/app?component=%24DirectLink&amp;page=FrontEndViewTender&amp;service=direct&amp;session=T&amp;sp=SAApZdpQRPW1lEMrLEXiQQQ%3D%3D", "Rate Contract for Supply of All Construction Material and Providing Equipment in GP Deengarh")</f>
        <v/>
      </c>
      <c r="C2807" t="inlineStr">
        <is>
          <t>Panchayati Raj Department||Secretary and Commissioner||CEO- HANUMANGARH||BDO-SANGARIYA</t>
        </is>
      </c>
      <c r="D2807" t="inlineStr">
        <is>
          <t>19-May-2025 06:00 PM</t>
        </is>
      </c>
      <c r="E2807" t="inlineStr">
        <is>
          <t>48,00,000</t>
        </is>
      </c>
      <c r="F2807" t="inlineStr">
        <is>
          <t>Rate Contract for Supply of All Construction Material and Providing Equipment in GP Deengarh</t>
        </is>
      </c>
      <c r="G2807" t="inlineStr">
        <is>
          <t>GP Deengarh</t>
        </is>
      </c>
    </row>
    <row r="2808">
      <c r="A2808" s="1" t="n">
        <v>2806</v>
      </c>
      <c r="B2808">
        <f>HYPERLINK("https://eproc.rajasthan.gov.in/nicgep/app?component=%24DirectLink&amp;page=FrontEndViewTender&amp;service=direct&amp;session=T&amp;sp=SRE1IXMxvV8k4BQUJyloGeA%3D%3D", "RATE CONTRACT FOR SBM WORK OF FY-2025-26 work including garbage collection and separation from evry houses(residential and commercial) , road and drain cleaning, and cleaning of community sanitation complex in all the villages of gp ratadiya")</f>
        <v/>
      </c>
      <c r="C2808" t="inlineStr">
        <is>
          <t>Panchayati Raj Department||Secretary and Commissioner||CEO- JAISALMER||BDO-BHANIYANA</t>
        </is>
      </c>
      <c r="D2808" t="inlineStr">
        <is>
          <t>19-May-2025 06:00 PM</t>
        </is>
      </c>
      <c r="E2808" t="inlineStr">
        <is>
          <t>13,67,619</t>
        </is>
      </c>
      <c r="F2808" t="inlineStr">
        <is>
          <t>RATE CONTRACT FOR SBM WORK OF FY-2025-26 work including garbage collection and separation from evry houses(residential and commercial) , road and drain cleaning, and cleaning of community sanitation complex in all the villages of GP ratadiya</t>
        </is>
      </c>
      <c r="G2808" t="inlineStr">
        <is>
          <t>PS bhaniyana</t>
        </is>
      </c>
    </row>
    <row r="2809">
      <c r="A2809" s="1" t="n">
        <v>2807</v>
      </c>
      <c r="B2809">
        <f>HYPERLINK("https://eproc.rajasthan.gov.in/nicgep/app?component=%24DirectLink&amp;page=FrontEndViewTender&amp;service=direct&amp;session=T&amp;sp=SNjySHIy0lUFNSXyFAUB23w%3D%3D", "Rate Contract for Supply of All Construction Material and Providing Equipment in GP Kishanpura Ut")</f>
        <v/>
      </c>
      <c r="C2809" t="inlineStr">
        <is>
          <t>Panchayati Raj Department||Secretary and Commissioner||CEO- HANUMANGARH||BDO-SANGARIYA</t>
        </is>
      </c>
      <c r="D2809" t="inlineStr">
        <is>
          <t>19-May-2025 06:00 PM</t>
        </is>
      </c>
      <c r="E2809" t="inlineStr">
        <is>
          <t>80,00,000</t>
        </is>
      </c>
      <c r="F2809" t="inlineStr">
        <is>
          <t>Rate Contract for Supply of All Construction Material and Providing Equipment in GP Kishanpura Ut</t>
        </is>
      </c>
      <c r="G2809" t="inlineStr">
        <is>
          <t>GP Kishanpura Ut</t>
        </is>
      </c>
    </row>
    <row r="2810">
      <c r="A2810" s="1" t="n">
        <v>2808</v>
      </c>
      <c r="B2810">
        <f>HYPERLINK("https://eproc.rajasthan.gov.in/nicgep/app?component=%24DirectLink&amp;page=FrontEndViewTender&amp;service=direct&amp;session=T&amp;sp=SUeTRlPd0ubavvv4H4nY%2FyA%3D%3D", "Rate Contract for Supply of All Construction Material and Providing Equipment in GP Nathwana")</f>
        <v/>
      </c>
      <c r="C2810" t="inlineStr">
        <is>
          <t>Panchayati Raj Department||Secretary and Commissioner||CEO- HANUMANGARH||BDO-SANGARIYA</t>
        </is>
      </c>
      <c r="D2810" t="inlineStr">
        <is>
          <t>19-May-2025 06:00 PM</t>
        </is>
      </c>
      <c r="E2810" t="inlineStr">
        <is>
          <t>80,00,000</t>
        </is>
      </c>
      <c r="F2810" t="inlineStr">
        <is>
          <t>Rate Contract for Supply of All Construction Material and Providing Equipment in GP Nathwana</t>
        </is>
      </c>
      <c r="G2810" t="inlineStr">
        <is>
          <t>GP Nathwana</t>
        </is>
      </c>
    </row>
    <row r="2811">
      <c r="A2811" s="1" t="n">
        <v>2809</v>
      </c>
      <c r="B2811">
        <f>HYPERLINK("https://eproc.rajasthan.gov.in/nicgep/app?component=%24DirectLink&amp;page=FrontEndViewTender&amp;service=direct&amp;session=T&amp;sp=SQTZ2B8yuxYLKJK1EukbVdQ%3D%3D", "Rate Contract for Supply of All Construction Material and Providing Equipment in GP Haripura")</f>
        <v/>
      </c>
      <c r="C2811" t="inlineStr">
        <is>
          <t>Panchayati Raj Department||Secretary and Commissioner||CEO- HANUMANGARH||BDO-SANGARIYA</t>
        </is>
      </c>
      <c r="D2811" t="inlineStr">
        <is>
          <t>19-May-2025 06:00 PM</t>
        </is>
      </c>
      <c r="E2811" t="inlineStr">
        <is>
          <t>80,00,000</t>
        </is>
      </c>
      <c r="F2811" t="inlineStr">
        <is>
          <t>Rate Contract for Supply of All Construction Material and Providing Equipment in GP Haripura</t>
        </is>
      </c>
      <c r="G2811" t="inlineStr">
        <is>
          <t>GP Haripura</t>
        </is>
      </c>
    </row>
    <row r="2812">
      <c r="A2812" s="1" t="n">
        <v>2810</v>
      </c>
      <c r="B2812">
        <f>HYPERLINK("https://eproc.rajasthan.gov.in/nicgep/app?component=%24DirectLink&amp;page=FrontEndViewTender&amp;service=direct&amp;session=T&amp;sp=SUCAkGwUcANJqPSSNp8%2B6rQ%3D%3D", "RATE CONTRACT FOR SBM WORK OF FY-2025-26 work including garbage collection and separation from evry houses(residential and commercial) , road and drain cleaning, and cleaning of community sanitation complex in all the villages of gp bhainsda")</f>
        <v/>
      </c>
      <c r="C2812" t="inlineStr">
        <is>
          <t>Panchayati Raj Department||Secretary and Commissioner||CEO- JAISALMER||BDO-BHANIYANA</t>
        </is>
      </c>
      <c r="D2812" t="inlineStr">
        <is>
          <t>19-May-2025 06:00 PM</t>
        </is>
      </c>
      <c r="E2812" t="inlineStr">
        <is>
          <t>13,53,174</t>
        </is>
      </c>
      <c r="F2812" t="inlineStr">
        <is>
          <t>RATE CONTRACT FOR SBM WORK OF FY-2025-26 work including garbage collection and separation from evry houses(residential and commercial) , road and drain cleaning, and cleaning of community sanitation complex in all the villages of gp bhainsda</t>
        </is>
      </c>
      <c r="G2812" t="inlineStr">
        <is>
          <t>PS bhaniyana</t>
        </is>
      </c>
    </row>
    <row r="2813">
      <c r="A2813" s="1" t="n">
        <v>2811</v>
      </c>
      <c r="B2813">
        <f>HYPERLINK("https://eproc.rajasthan.gov.in/nicgep/app?component=%24DirectLink&amp;page=FrontEndViewTender&amp;service=direct&amp;session=T&amp;sp=S08vatIuGxb13pFKNC0Ho6A%3D%3D", "Rate Contract for Supply of All Construction Material and Providing Equipment in GP Santpura")</f>
        <v/>
      </c>
      <c r="C2813" t="inlineStr">
        <is>
          <t>Panchayati Raj Department||Secretary and Commissioner||CEO- HANUMANGARH||BDO-SANGARIYA</t>
        </is>
      </c>
      <c r="D2813" t="inlineStr">
        <is>
          <t>19-May-2025 06:00 PM</t>
        </is>
      </c>
      <c r="E2813" t="inlineStr">
        <is>
          <t>48,00,000</t>
        </is>
      </c>
      <c r="F2813" t="inlineStr">
        <is>
          <t>Rate Contract for Supply of All Construction Material and Providing Equipment in GP Santpura</t>
        </is>
      </c>
      <c r="G2813" t="inlineStr">
        <is>
          <t>GP Santpura</t>
        </is>
      </c>
    </row>
    <row r="2814">
      <c r="A2814" s="1" t="n">
        <v>2812</v>
      </c>
      <c r="B2814">
        <f>HYPERLINK("https://eproc.rajasthan.gov.in/nicgep/app?component=%24DirectLink&amp;page=FrontEndViewTender&amp;service=direct&amp;session=T&amp;sp=S7d5orhGi7ybYbJTn62cTVw%3D%3D", "Rate Contract for Supply of All Construction Material and Providing Equipment in GP Lilanwali")</f>
        <v/>
      </c>
      <c r="C2814" t="inlineStr">
        <is>
          <t>Panchayati Raj Department||Secretary and Commissioner||CEO- HANUMANGARH||BDO-SANGARIYA</t>
        </is>
      </c>
      <c r="D2814" t="inlineStr">
        <is>
          <t>19-May-2025 06:00 PM</t>
        </is>
      </c>
      <c r="E2814" t="inlineStr">
        <is>
          <t>80,00,000</t>
        </is>
      </c>
      <c r="F2814" t="inlineStr">
        <is>
          <t>Rate Contract for Supply of All Construction Material and Providing Equipment in GP Lilanwali</t>
        </is>
      </c>
      <c r="G2814" t="inlineStr">
        <is>
          <t>GP Lilanwali</t>
        </is>
      </c>
    </row>
    <row r="2815">
      <c r="A2815" s="1" t="n">
        <v>2813</v>
      </c>
      <c r="B2815">
        <f>HYPERLINK("https://eproc.rajasthan.gov.in/nicgep/app?component=%24DirectLink&amp;page=FrontEndViewTender&amp;service=direct&amp;session=T&amp;sp=SNaFQytA12XIE%2FT3BqUDaYg%3D%3D", "RATE CONTRACT FOR SBM WORK OF FY-2025-26 work including garbage collection and separation from evry houses(residential and commercial) , road and drain cleaning, and cleaning of community sanitation complex in all the villages of gp jhabara")</f>
        <v/>
      </c>
      <c r="C2815" t="inlineStr">
        <is>
          <t>Panchayati Raj Department||Secretary and Commissioner||CEO- JAISALMER||BDO-BHANIYANA</t>
        </is>
      </c>
      <c r="D2815" t="inlineStr">
        <is>
          <t>19-May-2025 06:00 PM</t>
        </is>
      </c>
      <c r="E2815" t="inlineStr">
        <is>
          <t>14,93,861</t>
        </is>
      </c>
      <c r="F2815" t="inlineStr">
        <is>
          <t>RATE CONTRACT FOR SBM WORK OF FY-2025-26 work including garbage collection and separation from evry houses(residential and commercial) , road and drain cleaning, and cleaning of community sanitation complex in all the villages of gp jhabara</t>
        </is>
      </c>
      <c r="G2815" t="inlineStr">
        <is>
          <t>bhaniyana</t>
        </is>
      </c>
    </row>
    <row r="2816">
      <c r="A2816" s="1" t="n">
        <v>2814</v>
      </c>
      <c r="B2816">
        <f>HYPERLINK("https://eproc.rajasthan.gov.in/nicgep/app?component=%24DirectLink&amp;page=FrontEndViewTender&amp;service=direct&amp;session=T&amp;sp=StuhK0llUb2kYmK%2FXATUhUw%3D%3D", "Rate Contract for Supply of All Construction Material and Providing Equipment in GP Morjand Shikhan")</f>
        <v/>
      </c>
      <c r="C2816" t="inlineStr">
        <is>
          <t>Panchayati Raj Department||Secretary and Commissioner||CEO- HANUMANGARH||BDO-SANGARIYA</t>
        </is>
      </c>
      <c r="D2816" t="inlineStr">
        <is>
          <t>19-May-2025 06:00 PM</t>
        </is>
      </c>
      <c r="E2816" t="inlineStr">
        <is>
          <t>80,00,000</t>
        </is>
      </c>
      <c r="F2816" t="inlineStr">
        <is>
          <t>Rate Contract for Supply of All Construction Material and Providing Equipment in GP Morjand Shikhan</t>
        </is>
      </c>
      <c r="G2816" t="inlineStr">
        <is>
          <t>GP Morjand Shikhan</t>
        </is>
      </c>
    </row>
    <row r="2817">
      <c r="A2817" s="1" t="n">
        <v>2815</v>
      </c>
      <c r="B2817">
        <f>HYPERLINK("https://eproc.rajasthan.gov.in/nicgep/app?component=%24DirectLink&amp;page=FrontEndViewTender&amp;service=direct&amp;session=T&amp;sp=SBseDlD%2BMA8xRgmWN9YGZ1w%3D%3D", "Rate Contract for Supply of All Construction Material and Providing Equipment in GP Dhaban")</f>
        <v/>
      </c>
      <c r="C2817" t="inlineStr">
        <is>
          <t>Panchayati Raj Department||Secretary and Commissioner||CEO- HANUMANGARH||BDO-SANGARIYA</t>
        </is>
      </c>
      <c r="D2817" t="inlineStr">
        <is>
          <t>19-May-2025 06:00 PM</t>
        </is>
      </c>
      <c r="E2817" t="inlineStr">
        <is>
          <t>80,00,000</t>
        </is>
      </c>
      <c r="F2817" t="inlineStr">
        <is>
          <t>Rate Contract for Supply of All Construction Material and Providing Equipment in GP Dhaban</t>
        </is>
      </c>
      <c r="G2817" t="inlineStr">
        <is>
          <t>GP Dhaban</t>
        </is>
      </c>
    </row>
    <row r="2818">
      <c r="A2818" s="1" t="n">
        <v>2816</v>
      </c>
      <c r="B2818">
        <f>HYPERLINK("https://eproc.rajasthan.gov.in/nicgep/app?component=%24DirectLink&amp;page=FrontEndViewTender&amp;service=direct&amp;session=T&amp;sp=SSnhTi8SCiVt%2BdfqcLqBk2Q%3D%3D", "Rate Contract for Supply of All Construction Material and Providing Equipment in GP Bhagatpura")</f>
        <v/>
      </c>
      <c r="C2818" t="inlineStr">
        <is>
          <t>Panchayati Raj Department||Secretary and Commissioner||CEO- HANUMANGARH||BDO-SANGARIYA</t>
        </is>
      </c>
      <c r="D2818" t="inlineStr">
        <is>
          <t>19-May-2025 06:00 PM</t>
        </is>
      </c>
      <c r="E2818" t="inlineStr">
        <is>
          <t>48,00,000</t>
        </is>
      </c>
      <c r="F2818" t="inlineStr">
        <is>
          <t>Rate Contract for Supply of All Construction Material and Providing Equipment in GP Bhagatpura</t>
        </is>
      </c>
      <c r="G2818" t="inlineStr">
        <is>
          <t>GP Bhagatpura</t>
        </is>
      </c>
    </row>
    <row r="2819">
      <c r="A2819" s="1" t="n">
        <v>2817</v>
      </c>
      <c r="B2819">
        <f>HYPERLINK("https://eproc.rajasthan.gov.in/nicgep/app?component=%24DirectLink&amp;page=FrontEndViewTender&amp;service=direct&amp;session=T&amp;sp=SdP8leATvVpw0Q5Dxt8EkOQ%3D%3D", "Rate Contract for Supply of All Construction Material and Providing Equipment in GP Chak Hirasinghwala")</f>
        <v/>
      </c>
      <c r="C2819" t="inlineStr">
        <is>
          <t>Panchayati Raj Department||Secretary and Commissioner||CEO- HANUMANGARH||BDO-SANGARIYA</t>
        </is>
      </c>
      <c r="D2819" t="inlineStr">
        <is>
          <t>19-May-2025 06:00 PM</t>
        </is>
      </c>
      <c r="E2819" t="inlineStr">
        <is>
          <t>80,00,000</t>
        </is>
      </c>
      <c r="F2819" t="inlineStr">
        <is>
          <t>Rate Contract for Supply of All Construction Material and Providing Equipment in GP Chak Hirasinghwala</t>
        </is>
      </c>
      <c r="G2819" t="inlineStr">
        <is>
          <t>GP Chak Hirasinghwala</t>
        </is>
      </c>
    </row>
    <row r="2820">
      <c r="A2820" s="1" t="n">
        <v>2818</v>
      </c>
      <c r="B2820">
        <f>HYPERLINK("https://eproc.rajasthan.gov.in/nicgep/app?component=%24DirectLink&amp;page=FrontEndViewTender&amp;service=direct&amp;session=T&amp;sp=SVt7bMR7n4aAyj6aCM7C9Dw%3D%3D", "material supply in gram panchayat alipur ps bhusawar")</f>
        <v/>
      </c>
      <c r="C2820" t="inlineStr">
        <is>
          <t>Panchayati Raj Department||Secretary and Commissioner||CEO-BHARATPUR||BDO-BHUSAWAR</t>
        </is>
      </c>
      <c r="D2820" t="inlineStr">
        <is>
          <t>28-May-2025 05:00 PM</t>
        </is>
      </c>
      <c r="E2820" t="inlineStr">
        <is>
          <t>40,00,000</t>
        </is>
      </c>
      <c r="F2820" t="inlineStr">
        <is>
          <t>material supply in gram panchayat alipur ps bhusawar</t>
        </is>
      </c>
      <c r="G2820" t="inlineStr">
        <is>
          <t>bhusawar</t>
        </is>
      </c>
    </row>
    <row r="2821">
      <c r="A2821" s="1" t="n">
        <v>2819</v>
      </c>
      <c r="B2821">
        <f>HYPERLINK("https://eproc.rajasthan.gov.in/nicgep/app?component=%24DirectLink&amp;page=FrontEndViewTender&amp;service=direct&amp;session=T&amp;sp=Su8tIr1%2FBqYNDYvgf0sTyCg%3D%3D", "Rate Contract for Supply of All Construction Material and Providing Equipment in GP Nagrana")</f>
        <v/>
      </c>
      <c r="C2821" t="inlineStr">
        <is>
          <t>Panchayati Raj Department||Secretary and Commissioner||CEO- HANUMANGARH||BDO-SANGARIYA</t>
        </is>
      </c>
      <c r="D2821" t="inlineStr">
        <is>
          <t>19-May-2025 06:00 PM</t>
        </is>
      </c>
      <c r="E2821" t="inlineStr">
        <is>
          <t>80,00,000</t>
        </is>
      </c>
      <c r="F2821" t="inlineStr">
        <is>
          <t>Rate Contract for Supply of All Construction Material and Providing Equipment in GP Nagrana</t>
        </is>
      </c>
      <c r="G2821" t="inlineStr">
        <is>
          <t>GP Nagrana</t>
        </is>
      </c>
    </row>
    <row r="2822">
      <c r="A2822" s="1" t="n">
        <v>2820</v>
      </c>
      <c r="B2822">
        <f>HYPERLINK("https://eproc.rajasthan.gov.in/nicgep/app?component=%24DirectLink&amp;page=FrontEndViewTender&amp;service=direct&amp;session=T&amp;sp=SSN%2FwU12GC2w%2BmfaH4u9GEA%3D%3D", "Rate Contract for Supply of All Construction Material and Providing Equipment in GP Nukera")</f>
        <v/>
      </c>
      <c r="C2822" t="inlineStr">
        <is>
          <t>Panchayati Raj Department||Secretary and Commissioner||CEO- HANUMANGARH||BDO-SANGARIYA</t>
        </is>
      </c>
      <c r="D2822" t="inlineStr">
        <is>
          <t>19-May-2025 06:00 PM</t>
        </is>
      </c>
      <c r="E2822" t="inlineStr">
        <is>
          <t>80,00,000</t>
        </is>
      </c>
      <c r="F2822" t="inlineStr">
        <is>
          <t>Rate Contract for Supply of All Construction Material and Providing Equipment in GP Nukera</t>
        </is>
      </c>
      <c r="G2822" t="inlineStr">
        <is>
          <t>GP Nukera</t>
        </is>
      </c>
    </row>
    <row r="2823">
      <c r="A2823" s="1" t="n">
        <v>2821</v>
      </c>
      <c r="B2823">
        <f>HYPERLINK("https://eproc.rajasthan.gov.in/nicgep/app?component=%24DirectLink&amp;page=FrontEndViewTender&amp;service=direct&amp;session=T&amp;sp=Sl2BS3f%2BzenOnUDf%2BcPOMtg%3D%3D", "Rate Contract for Supply of All Construction Material and Providing Equipment in GP Shahpini")</f>
        <v/>
      </c>
      <c r="C2823" t="inlineStr">
        <is>
          <t>Panchayati Raj Department||Secretary and Commissioner||CEO- HANUMANGARH||BDO-SANGARIYA</t>
        </is>
      </c>
      <c r="D2823" t="inlineStr">
        <is>
          <t>19-May-2025 06:00 PM</t>
        </is>
      </c>
      <c r="E2823" t="inlineStr">
        <is>
          <t>80,00,000</t>
        </is>
      </c>
      <c r="F2823" t="inlineStr">
        <is>
          <t>Rate Contract for Supply of All Construction Material and Providing Equipment in GP Shahpini</t>
        </is>
      </c>
      <c r="G2823" t="inlineStr">
        <is>
          <t>GP Shahpini</t>
        </is>
      </c>
    </row>
    <row r="2824">
      <c r="A2824" s="1" t="n">
        <v>2822</v>
      </c>
      <c r="B2824">
        <f>HYPERLINK("https://eproc.rajasthan.gov.in/nicgep/app?component=%24DirectLink&amp;page=FrontEndViewTender&amp;service=direct&amp;session=T&amp;sp=SZsJk9X2N6gMFXIKFTvxkPw%3D%3D", "Rate Contract for Supply of All Construction Material and Providing Equipment in GP Bolanwali")</f>
        <v/>
      </c>
      <c r="C2824" t="inlineStr">
        <is>
          <t>Panchayati Raj Department||Secretary and Commissioner||CEO- HANUMANGARH||BDO-SANGARIYA</t>
        </is>
      </c>
      <c r="D2824" t="inlineStr">
        <is>
          <t>19-May-2025 06:00 PM</t>
        </is>
      </c>
      <c r="E2824" t="inlineStr">
        <is>
          <t>80,00,000</t>
        </is>
      </c>
      <c r="F2824" t="inlineStr">
        <is>
          <t>Rate Contract for Supply of All Construction Material and Providing Equipment in GP Bolanwali</t>
        </is>
      </c>
      <c r="G2824" t="inlineStr">
        <is>
          <t>GP Bolanwali</t>
        </is>
      </c>
    </row>
    <row r="2825">
      <c r="A2825" s="1" t="n">
        <v>2823</v>
      </c>
      <c r="B2825">
        <f>HYPERLINK("https://eproc.rajasthan.gov.in/nicgep/app?component=%24DirectLink&amp;page=FrontEndViewTender&amp;service=direct&amp;session=T&amp;sp=SyWiDzVkVkKuG8HHehx%2Fidg%3D%3D", "Rate Contract for Supply of All Construction Material and Providing Equipment in GP Inderpura")</f>
        <v/>
      </c>
      <c r="C2825" t="inlineStr">
        <is>
          <t>Panchayati Raj Department||Secretary and Commissioner||CEO- HANUMANGARH||BDO-SANGARIYA</t>
        </is>
      </c>
      <c r="D2825" t="inlineStr">
        <is>
          <t>19-May-2025 06:00 PM</t>
        </is>
      </c>
      <c r="E2825" t="inlineStr">
        <is>
          <t>48,00,000</t>
        </is>
      </c>
      <c r="F2825" t="inlineStr">
        <is>
          <t>Rate Contract for Supply of All Construction Material and Providing Equipment in GP Inderpura</t>
        </is>
      </c>
      <c r="G2825" t="inlineStr">
        <is>
          <t>GP Inderpura</t>
        </is>
      </c>
    </row>
    <row r="2826">
      <c r="A2826" s="1" t="n">
        <v>2824</v>
      </c>
      <c r="B2826">
        <f>HYPERLINK("https://eproc.rajasthan.gov.in/nicgep/app?component=%24DirectLink&amp;page=FrontEndViewTender&amp;service=direct&amp;session=T&amp;sp=SuJfZZw%2FwCQBZnViWtzsVwQ%3D%3D", "RATE CONTRACT FOR SBM WORK OF FY-2025-26 work including garbage collection and separation from evry houses(residential and commercial) , road and drain cleaning, and cleaning of community sanitation complex in all the villages of gp rajmathai")</f>
        <v/>
      </c>
      <c r="C2826" t="inlineStr">
        <is>
          <t>Panchayati Raj Department||Secretary and Commissioner||CEO- JAISALMER||BDO-BHANIYANA</t>
        </is>
      </c>
      <c r="D2826" t="inlineStr">
        <is>
          <t>19-May-2025 06:00 PM</t>
        </is>
      </c>
      <c r="E2826" t="inlineStr">
        <is>
          <t>13,86,406</t>
        </is>
      </c>
      <c r="F2826" t="inlineStr">
        <is>
          <t>RATE CONTRACT FOR SBM WORK OF FY-2025-26 work including garbage collection and separation from evry houses(residential and commercial) , road and drain cleaning, and cleaning of community sanitation complex in all the villages of gp rajmathai</t>
        </is>
      </c>
      <c r="G2826" t="inlineStr">
        <is>
          <t>PS bhaniyana</t>
        </is>
      </c>
    </row>
    <row r="2827">
      <c r="A2827" s="1" t="n">
        <v>2825</v>
      </c>
      <c r="B2827">
        <f>HYPERLINK("https://eproc.rajasthan.gov.in/nicgep/app?component=%24DirectLink&amp;page=FrontEndViewTender&amp;service=direct&amp;session=T&amp;sp=SLRWXNrlJ%2FInoK2l4mx2Vgg%3D%3D", "RATE CONTRACT FOR SBM WORK OF FY-2025-26 work including garbage collection and separation from evry houses(residential and commercial) , road and drain cleaning, and cleaning of community sanitation complex in all the villages of GP ola")</f>
        <v/>
      </c>
      <c r="C2827" t="inlineStr">
        <is>
          <t>Panchayati Raj Department||Secretary and Commissioner||CEO- JAISALMER||BDO-BHANIYANA</t>
        </is>
      </c>
      <c r="D2827" t="inlineStr">
        <is>
          <t>19-May-2025 06:00 PM</t>
        </is>
      </c>
      <c r="E2827" t="inlineStr">
        <is>
          <t>12,98,081</t>
        </is>
      </c>
      <c r="F2827" t="inlineStr">
        <is>
          <t>RATE CONTRACT FOR SBM WORK OF FY-2025-26 work including garbage collection and separation from evry houses(residential and commercial) , road and drain cleaning, and cleaning of community sanitation complex in all the villages of GP OLA</t>
        </is>
      </c>
      <c r="G2827" t="inlineStr">
        <is>
          <t>PS bhaniyana</t>
        </is>
      </c>
    </row>
    <row r="2828">
      <c r="A2828" s="1" t="n">
        <v>2826</v>
      </c>
      <c r="B2828">
        <f>HYPERLINK("https://eproc.rajasthan.gov.in/nicgep/app?component=%24DirectLink&amp;page=FrontEndViewTender&amp;service=direct&amp;session=T&amp;sp=S%2BznLuYU1EmZHVWt%2BX1kSEA%3D%3D", "RATE CONTRACT FOR SBM WORK OF FY-2025-26 work including garbage collection and separation from evry houses(residential and commercial) , road and drain cleaning, and cleaning of community sanitation complex in all the villages of GP bhikhodai juni")</f>
        <v/>
      </c>
      <c r="C2828" t="inlineStr">
        <is>
          <t>Panchayati Raj Department||Secretary and Commissioner||CEO- JAISALMER||BDO-BHANIYANA</t>
        </is>
      </c>
      <c r="D2828" t="inlineStr">
        <is>
          <t>19-May-2025 06:00 PM</t>
        </is>
      </c>
      <c r="E2828" t="inlineStr">
        <is>
          <t>13,35,486</t>
        </is>
      </c>
      <c r="F2828" t="inlineStr">
        <is>
          <t>RATE CONTRACT FOR SBM WORK OF FY-2025-26 work including garbage collection and separation from evry houses(residential and commercial) , road and drain cleaning, and cleaning of community sanitation complex in all the villages of gp bhikhodai juni</t>
        </is>
      </c>
      <c r="G2828" t="inlineStr">
        <is>
          <t>bhaniyana</t>
        </is>
      </c>
    </row>
    <row r="2829">
      <c r="A2829" s="1" t="n">
        <v>2827</v>
      </c>
      <c r="B2829">
        <f>HYPERLINK("https://eproc.rajasthan.gov.in/nicgep/app?component=%24DirectLink&amp;page=FrontEndViewTender&amp;service=direct&amp;session=T&amp;sp=ScZd8hbretok%2F46HAytpLcw%3D%3D", "BhumabaraMS")</f>
        <v/>
      </c>
      <c r="C2829" t="inlineStr">
        <is>
          <t>Panchayati Raj Department||Secretary and Commissioner||CEO-SIKAR||BDO-LAXMANGARH</t>
        </is>
      </c>
      <c r="D2829" t="inlineStr">
        <is>
          <t>22-May-2025 06:00 PM</t>
        </is>
      </c>
      <c r="E2829" t="inlineStr">
        <is>
          <t>75,00,000</t>
        </is>
      </c>
      <c r="F2829" t="inlineStr">
        <is>
          <t>Materialsupply</t>
        </is>
      </c>
      <c r="G2829" t="inlineStr">
        <is>
          <t>Bhumabara</t>
        </is>
      </c>
    </row>
    <row r="2830">
      <c r="A2830" s="1" t="n">
        <v>2828</v>
      </c>
      <c r="B2830">
        <f>HYPERLINK("https://eproc.rajasthan.gov.in/nicgep/app?component=%24DirectLink&amp;page=FrontEndViewTender&amp;service=direct&amp;session=T&amp;sp=SA6TYsaECMOy7a0%2BwL8UgKw%3D%3D", "Rate Contract for Supply of All Construction Material and Providing Equipment in GP Manaksar")</f>
        <v/>
      </c>
      <c r="C2830" t="inlineStr">
        <is>
          <t>Panchayati Raj Department||Secretary and Commissioner||CEO- HANUMANGARH||BDO-SANGARIYA</t>
        </is>
      </c>
      <c r="D2830" t="inlineStr">
        <is>
          <t>19-May-2025 06:00 PM</t>
        </is>
      </c>
      <c r="E2830" t="inlineStr">
        <is>
          <t>48,00,000</t>
        </is>
      </c>
      <c r="F2830" t="inlineStr">
        <is>
          <t>Rate Contract for Supply of All Construction Material and Providing Equipment in GP Manaksar</t>
        </is>
      </c>
      <c r="G2830" t="inlineStr">
        <is>
          <t>GP Manaksar</t>
        </is>
      </c>
    </row>
    <row r="2831">
      <c r="A2831" s="1" t="n">
        <v>2829</v>
      </c>
      <c r="B2831">
        <f>HYPERLINK("https://eproc.rajasthan.gov.in/nicgep/app?component=%24DirectLink&amp;page=FrontEndViewTender&amp;service=direct&amp;session=T&amp;sp=SPt4haZ9zwSEIysR7PMykTA%3D%3D", "Rate Contract for Supply of All Construction Material and Providing Equipment in GP Malarampura")</f>
        <v/>
      </c>
      <c r="C2831" t="inlineStr">
        <is>
          <t>Panchayati Raj Department||Secretary and Commissioner||CEO- HANUMANGARH||BDO-SANGARIYA</t>
        </is>
      </c>
      <c r="D2831" t="inlineStr">
        <is>
          <t>19-May-2025 06:00 PM</t>
        </is>
      </c>
      <c r="E2831" t="inlineStr">
        <is>
          <t>48,00,000</t>
        </is>
      </c>
      <c r="F2831" t="inlineStr">
        <is>
          <t>Rate Contract for Supply of All Construction Material and Providing Equipment in GP Malarampura</t>
        </is>
      </c>
      <c r="G2831" t="inlineStr">
        <is>
          <t>GP Malarampura</t>
        </is>
      </c>
    </row>
    <row r="2832">
      <c r="A2832" s="1" t="n">
        <v>2830</v>
      </c>
      <c r="B2832">
        <f>HYPERLINK("https://eproc.rajasthan.gov.in/nicgep/app?component=%24DirectLink&amp;page=FrontEndViewTender&amp;service=direct&amp;session=T&amp;sp=S%2FDU7ftTzGNtm8J0duQ3AiQ%3D%3D", "Rate Contract for Supply of All Construction Material and Providing Equipment in GP Bhakranwali")</f>
        <v/>
      </c>
      <c r="C2832" t="inlineStr">
        <is>
          <t>Panchayati Raj Department||Secretary and Commissioner||CEO- HANUMANGARH||BDO-SANGARIYA</t>
        </is>
      </c>
      <c r="D2832" t="inlineStr">
        <is>
          <t>19-May-2025 06:00 PM</t>
        </is>
      </c>
      <c r="E2832" t="inlineStr">
        <is>
          <t>80,00,000</t>
        </is>
      </c>
      <c r="F2832" t="inlineStr">
        <is>
          <t>Rate Contract for Supply of All Construction Material and Providing Equipment in GP Bhakranwali</t>
        </is>
      </c>
      <c r="G2832" t="inlineStr">
        <is>
          <t>GP Bhakranwali</t>
        </is>
      </c>
    </row>
    <row r="2833">
      <c r="A2833" s="1" t="n">
        <v>2831</v>
      </c>
      <c r="B2833">
        <f>HYPERLINK("https://eproc.rajasthan.gov.in/nicgep/app?component=%24DirectLink&amp;page=FrontEndViewTender&amp;service=direct&amp;session=T&amp;sp=SQY1H2ypMy5q606T%2FH%2FXKdg%3D%3D", "Rate Contract for Supply of All Construction Material and Providing Equipment in GP Rasuwala")</f>
        <v/>
      </c>
      <c r="C2833" t="inlineStr">
        <is>
          <t>Panchayati Raj Department||Secretary and Commissioner||CEO- HANUMANGARH||BDO-SANGARIYA</t>
        </is>
      </c>
      <c r="D2833" t="inlineStr">
        <is>
          <t>19-May-2025 06:00 PM</t>
        </is>
      </c>
      <c r="E2833" t="inlineStr">
        <is>
          <t>48,00,000</t>
        </is>
      </c>
      <c r="F2833" t="inlineStr">
        <is>
          <t>Rate Contract for Supply of All Construction Material and Providing Equipment in GP Rasuwala</t>
        </is>
      </c>
      <c r="G2833" t="inlineStr">
        <is>
          <t>GP Rasuwala</t>
        </is>
      </c>
    </row>
    <row r="2834">
      <c r="A2834" s="1" t="n">
        <v>2832</v>
      </c>
      <c r="B2834">
        <f>HYPERLINK("https://eproc.rajasthan.gov.in/nicgep/app?component=%24DirectLink&amp;page=FrontEndViewTender&amp;service=direct&amp;session=T&amp;sp=SWqIs%2BqS9LnTczy5um5TQ0g%3D%3D", "RATE CONTRACT FOR SBM WORK OF FY-2025-26 work including garbage collection and separation from evry houses(residential and commercial) , road and drain cleaning, and cleaning of community sanitation complex in all the villages of GP bandhewa")</f>
        <v/>
      </c>
      <c r="C2834" t="inlineStr">
        <is>
          <t>Panchayati Raj Department||Secretary and Commissioner||CEO- JAISALMER||BDO-BHANIYANA</t>
        </is>
      </c>
      <c r="D2834" t="inlineStr">
        <is>
          <t>19-May-2025 06:00 PM</t>
        </is>
      </c>
      <c r="E2834" t="inlineStr">
        <is>
          <t>13,87,224</t>
        </is>
      </c>
      <c r="F2834" t="inlineStr">
        <is>
          <t>RATE CONTRACT FOR SBM WORK OF FY-2025-26 work including garbage collection and separation from evry houses(residential and commercial) , road and drain cleaning, and cleaning of community sanitation complex in all the villages of GP bandhewa</t>
        </is>
      </c>
      <c r="G2834" t="inlineStr">
        <is>
          <t>bhaniyana</t>
        </is>
      </c>
    </row>
    <row r="2835">
      <c r="A2835" s="1" t="n">
        <v>2833</v>
      </c>
      <c r="B2835">
        <f>HYPERLINK("https://eproc.rajasthan.gov.in/nicgep/app?component=%24DirectLink&amp;page=FrontEndViewTender&amp;service=direct&amp;session=T&amp;sp=SuOTfhimqPkcW%2BF90Tg%2Fbkw%3D%3D", "Rate Contract for Supply of All Construction Material and Providing Equipment in GP Indergarh")</f>
        <v/>
      </c>
      <c r="C2835" t="inlineStr">
        <is>
          <t>Panchayati Raj Department||Secretary and Commissioner||CEO- HANUMANGARH||BDO-SANGARIYA</t>
        </is>
      </c>
      <c r="D2835" t="inlineStr">
        <is>
          <t>19-May-2025 06:00 PM</t>
        </is>
      </c>
      <c r="E2835" t="inlineStr">
        <is>
          <t>48,00,000</t>
        </is>
      </c>
      <c r="F2835" t="inlineStr">
        <is>
          <t>Rate Contract for Supply of All Construction Material and Providing Equipment in GP Indergarh</t>
        </is>
      </c>
      <c r="G2835" t="inlineStr">
        <is>
          <t>GP Indergarh</t>
        </is>
      </c>
    </row>
    <row r="2836">
      <c r="A2836" s="1" t="n">
        <v>2834</v>
      </c>
      <c r="B2836">
        <f>HYPERLINK("https://eproc.rajasthan.gov.in/nicgep/app?component=%24DirectLink&amp;page=FrontEndViewTender&amp;service=direct&amp;session=T&amp;sp=S7huxDZEeSf051n%2FW9JX6uA%3D%3D", "RATE CONTRACT FOR SBM WORK OF FY-2025-26 work including garbage collection and separation from evry houses(residential and commercial) , road and drain cleaning, and cleaning of community sanitation complex in all the villages of GP Phalsund")</f>
        <v/>
      </c>
      <c r="C2836" t="inlineStr">
        <is>
          <t>Panchayati Raj Department||Secretary and Commissioner||CEO- JAISALMER||BDO-BHANIYANA</t>
        </is>
      </c>
      <c r="D2836" t="inlineStr">
        <is>
          <t>19-May-2025 06:00 PM</t>
        </is>
      </c>
      <c r="E2836" t="inlineStr">
        <is>
          <t>22,84,890</t>
        </is>
      </c>
      <c r="F2836" t="inlineStr">
        <is>
          <t>RATE CONTRACT FOR SBM WORK OF FY-2025-26 work including garbage collection and separation from evry houses(residential and commercial) , road and drain cleaning, and cleaning of community sanitation complex in all the villages of gp phalsund</t>
        </is>
      </c>
      <c r="G2836" t="inlineStr">
        <is>
          <t>bhaniyana</t>
        </is>
      </c>
    </row>
    <row r="2837">
      <c r="A2837" s="1" t="n">
        <v>2835</v>
      </c>
      <c r="B2837">
        <f>HYPERLINK("https://eproc.rajasthan.gov.in/nicgep/app?component=%24DirectLink&amp;page=FrontEndViewTender&amp;service=direct&amp;session=T&amp;sp=SGU3bSR4E27lDu7fLWL9Iew%3D%3D", "Supply of Material and Providing Equipment At gram panchayat panchala")</f>
        <v/>
      </c>
      <c r="C2837" t="inlineStr">
        <is>
          <t>Panchayati Raj Department||Secretary and Commissioner||CEO- JALORE||BDO-SARNAU</t>
        </is>
      </c>
      <c r="D2837" t="inlineStr">
        <is>
          <t>19-May-2025 05:00 PM</t>
        </is>
      </c>
      <c r="E2837" t="inlineStr">
        <is>
          <t>80,00,000</t>
        </is>
      </c>
      <c r="F2837" t="inlineStr">
        <is>
          <t>Supply of Material Providing Equipment At gram panchayat panchala</t>
        </is>
      </c>
      <c r="G2837" t="inlineStr">
        <is>
          <t>gram panchayat panchala ps sarnau</t>
        </is>
      </c>
    </row>
    <row r="2838">
      <c r="A2838" s="1" t="n">
        <v>2836</v>
      </c>
      <c r="B2838">
        <f>HYPERLINK("https://eproc.rajasthan.gov.in/nicgep/app?component=%24DirectLink&amp;page=FrontEndViewTender&amp;service=direct&amp;session=T&amp;sp=Syc96ClaIFYr2Adz2tRv05g%3D%3D", "Rate Contract for Supply of All Construction Material and Providing Equipment in GP Jandwala Sikhan")</f>
        <v/>
      </c>
      <c r="C2838" t="inlineStr">
        <is>
          <t>Panchayati Raj Department||Secretary and Commissioner||CEO- HANUMANGARH||BDO-SANGARIYA</t>
        </is>
      </c>
      <c r="D2838" t="inlineStr">
        <is>
          <t>19-May-2025 06:00 PM</t>
        </is>
      </c>
      <c r="E2838" t="inlineStr">
        <is>
          <t>48,00,000</t>
        </is>
      </c>
      <c r="F2838" t="inlineStr">
        <is>
          <t>Rate Contract for Supply of All Construction Material and Providing Equipment in GP Jandwala Sikhan</t>
        </is>
      </c>
      <c r="G2838" t="inlineStr">
        <is>
          <t>GP Jandwala Sikhan</t>
        </is>
      </c>
    </row>
    <row r="2839">
      <c r="A2839" s="1" t="n">
        <v>2837</v>
      </c>
      <c r="B2839">
        <f>HYPERLINK("https://eproc.rajasthan.gov.in/nicgep/app?component=%24DirectLink&amp;page=FrontEndViewTender&amp;service=direct&amp;session=T&amp;sp=S3dhaob2XXKp37pK%2BAMD3TQ%3D%3D", "RATE CONTRACT FOR SBM WORK OF FY-2025-26 work including garbage collection and separation from evry houses(residential and commercial) , road and drain cleaning, and cleaning of community sanitation complex in all the villages of GP pannasar")</f>
        <v/>
      </c>
      <c r="C2839" t="inlineStr">
        <is>
          <t>Panchayati Raj Department||Secretary and Commissioner||CEO- JAISALMER||BDO-BHANIYANA</t>
        </is>
      </c>
      <c r="D2839" t="inlineStr">
        <is>
          <t>19-May-2025 06:00 PM</t>
        </is>
      </c>
      <c r="E2839" t="inlineStr">
        <is>
          <t>11,22,819</t>
        </is>
      </c>
      <c r="F2839" t="inlineStr">
        <is>
          <t>RATE CONTRACT FOR SBM WORK OF FY-2025-26 work including garbage collection and separation from evry houses(residential and commercial) , road and drain cleaning, and cleaning of community sanitation complex in all the villages of GP pannasar</t>
        </is>
      </c>
      <c r="G2839" t="inlineStr">
        <is>
          <t>bhaniyana</t>
        </is>
      </c>
    </row>
    <row r="2840">
      <c r="A2840" s="1" t="n">
        <v>2838</v>
      </c>
      <c r="B2840">
        <f>HYPERLINK("https://eproc.rajasthan.gov.in/nicgep/app?component=%24DirectLink&amp;page=FrontEndViewTender&amp;service=direct&amp;session=T&amp;sp=SNeMk95jpzLvjxjyClqAjnw%3D%3D", "RATE CONTRACT FOR SBM WORK OF FY-2025-26 work including garbage collection and separation from evry houses(residential and commercial) , road and drain cleaning, and cleaning of community sanitation complex in all the villages of GP bhaniyana")</f>
        <v/>
      </c>
      <c r="C2840" t="inlineStr">
        <is>
          <t>Panchayati Raj Department||Secretary and Commissioner||CEO- JAISALMER||BDO-BHANIYANA</t>
        </is>
      </c>
      <c r="D2840" t="inlineStr">
        <is>
          <t>19-May-2025 06:00 PM</t>
        </is>
      </c>
      <c r="E2840" t="inlineStr">
        <is>
          <t>14,89,925</t>
        </is>
      </c>
      <c r="F2840" t="inlineStr">
        <is>
          <t>RATE CONTRACT FOR SBM WORK OF FY-2025-26 work including garbage collection and separation from evry houses(residential and commercial) , road and drain cleaning, and cleaning of community sanitation complex in all the villages of GP bhaniyana</t>
        </is>
      </c>
      <c r="G2840" t="inlineStr">
        <is>
          <t>bhaniyana</t>
        </is>
      </c>
    </row>
    <row r="2841">
      <c r="A2841" s="1" t="n">
        <v>2839</v>
      </c>
      <c r="B2841">
        <f>HYPERLINK("https://eproc.rajasthan.gov.in/nicgep/app?component=%24DirectLink&amp;page=FrontEndViewTender&amp;service=direct&amp;session=T&amp;sp=SRFOrHFKuB053aIaGSBiIsg%3D%3D", "GOVT.U.P.S. BHAVLI, TWO ROOM CONSTRUCTION")</f>
        <v/>
      </c>
      <c r="C2841" t="inlineStr">
        <is>
          <t>Panchayati Raj Department||Secretary and Commissioner||CEO-UDAIPUR||BDO-MAVALI</t>
        </is>
      </c>
      <c r="D2841" t="inlineStr">
        <is>
          <t>19-May-2025 06:00 PM</t>
        </is>
      </c>
      <c r="E2841" t="inlineStr">
        <is>
          <t>18,64,000</t>
        </is>
      </c>
      <c r="F2841" t="inlineStr">
        <is>
          <t>GOVT.U.P.S. BHAVLI, TWO ROOM CONSTRUCTION</t>
        </is>
      </c>
      <c r="G2841" t="inlineStr">
        <is>
          <t>GPSAKRODA</t>
        </is>
      </c>
    </row>
    <row r="2842">
      <c r="A2842" s="1" t="n">
        <v>2840</v>
      </c>
      <c r="B2842">
        <f>HYPERLINK("https://eproc.rajasthan.gov.in/nicgep/app?component=%24DirectLink&amp;page=FrontEndViewTender&amp;service=direct&amp;session=T&amp;sp=Sobz7LI3a3E45GJekG452HA%3D%3D", "Rajkiya Uchch Madhyamik Vidyalaya Singhada me 02 kamre nirman karya")</f>
        <v/>
      </c>
      <c r="C2842" t="inlineStr">
        <is>
          <t>Panchayati Raj Department||Secretary and Commissioner||CEO-UDAIPUR||BDO-SAYRA</t>
        </is>
      </c>
      <c r="D2842" t="inlineStr">
        <is>
          <t>19-May-2025 06:00 PM</t>
        </is>
      </c>
      <c r="E2842" t="inlineStr">
        <is>
          <t>24,00,000</t>
        </is>
      </c>
      <c r="F2842" t="inlineStr">
        <is>
          <t>Rajkiya Uchch Madhyamik Vidyalaya Singhada me 02 kamre nirman karya Gram Panchayat Singhada</t>
        </is>
      </c>
      <c r="G2842" t="inlineStr">
        <is>
          <t>Singhada</t>
        </is>
      </c>
    </row>
    <row r="2843">
      <c r="A2843" s="1" t="n">
        <v>2841</v>
      </c>
      <c r="B2843">
        <f>HYPERLINK("https://eproc.rajasthan.gov.in/nicgep/app?component=%24DirectLink&amp;page=FrontEndViewTender&amp;service=direct&amp;session=T&amp;sp=S5KhzhYfNW%2BHwxkpI3VouvA%3D%3D", "KACHRA SANGHRAN KENDRA NIRMAN KARYA AT GP TANDA")</f>
        <v/>
      </c>
      <c r="C2843" t="inlineStr">
        <is>
          <t>Panchayati Raj Department||Secretary and Commissioner||CEO-DHOLPUR||BDO-DHOLPUR</t>
        </is>
      </c>
      <c r="D2843" t="inlineStr">
        <is>
          <t>19-May-2025 05:00 PM</t>
        </is>
      </c>
      <c r="E2843" t="inlineStr">
        <is>
          <t>10,00,000</t>
        </is>
      </c>
      <c r="F2843" t="inlineStr">
        <is>
          <t>KACHRA SANGHRAN KENDRA NIRMAN KARYA AT GP TANDA</t>
        </is>
      </c>
      <c r="G2843" t="inlineStr">
        <is>
          <t>DHOLPUR</t>
        </is>
      </c>
    </row>
    <row r="2844">
      <c r="A2844" s="1" t="n">
        <v>2842</v>
      </c>
      <c r="B2844">
        <f>HYPERLINK("https://eproc.rajasthan.gov.in/nicgep/app?component=%24DirectLink&amp;page=FrontEndViewTender&amp;service=direct&amp;session=T&amp;sp=SA5TnVfjfbgOZ7dNI67CDpg%3D%3D", "MATERIAL SUPPLY IN GRAM PANCHAYAT BHUWALA PS DHOD FOR MGNREGA AND OTHER SCHEME")</f>
        <v/>
      </c>
      <c r="C2844" t="inlineStr">
        <is>
          <t>Panchayati Raj Department||Secretary and Commissioner||CEO-SIKAR||BDO-DHOD</t>
        </is>
      </c>
      <c r="D2844" t="inlineStr">
        <is>
          <t>20-May-2025 06:00 PM</t>
        </is>
      </c>
      <c r="E2844" t="inlineStr">
        <is>
          <t>45,00,000</t>
        </is>
      </c>
      <c r="F2844" t="inlineStr">
        <is>
          <t>MATERIAL SUPPLY IN GRAM PANCHAYAT BHUWALA PS DHOD FOR MGNREGA AND OTHER SCHEME</t>
        </is>
      </c>
      <c r="G2844" t="inlineStr">
        <is>
          <t>BHUWALA</t>
        </is>
      </c>
    </row>
    <row r="2845">
      <c r="A2845" s="1" t="n">
        <v>2843</v>
      </c>
      <c r="B2845">
        <f>HYPERLINK("https://eproc.rajasthan.gov.in/nicgep/app?component=%24DirectLink&amp;page=FrontEndViewTender&amp;service=direct&amp;session=T&amp;sp=SfdlWcwU2GyRLJ3oAO4IiMg%3D%3D", "rajkky ucch madhymik vidhyalay sarsiya me 02 kaksha kaksh nirman")</f>
        <v/>
      </c>
      <c r="C2845" t="inlineStr">
        <is>
          <t>Panchayati Raj Department||Secretary and Commissioner||CEO-UDAIPUR||BDO-SARADA</t>
        </is>
      </c>
      <c r="D2845" t="inlineStr">
        <is>
          <t>20-May-2025 06:00 PM</t>
        </is>
      </c>
      <c r="E2845" t="inlineStr">
        <is>
          <t>23,17,000</t>
        </is>
      </c>
      <c r="F2845" t="inlineStr">
        <is>
          <t>rajkky ucch madhymik vidhyalay sarsiya me 02 kaksha kaksh nirman</t>
        </is>
      </c>
      <c r="G2845" t="inlineStr">
        <is>
          <t>sarsiya</t>
        </is>
      </c>
    </row>
    <row r="2846">
      <c r="A2846" s="1" t="n">
        <v>2844</v>
      </c>
      <c r="B2846">
        <f>HYPERLINK("https://eproc.rajasthan.gov.in/nicgep/app?component=%24DirectLink&amp;page=FrontEndViewTender&amp;service=direct&amp;session=T&amp;sp=ST6w9MHL5lc7MdwjxvKrKbg%3D%3D", "Under the SBM Scheme work including garbage collection and separation from households and commercial establishments, road and drain cleaning, and cleaning of community sanitation premises in all the villages of the Gram Panchayat Singhawal")</f>
        <v/>
      </c>
      <c r="C2846" t="inlineStr">
        <is>
          <t>Panchayati Raj Department||Secretary and Commissioner||CEO-AJMER||BDO-BHINAI</t>
        </is>
      </c>
      <c r="D2846" t="inlineStr">
        <is>
          <t>21-May-2025 06:00 PM</t>
        </is>
      </c>
      <c r="E2846" t="inlineStr">
        <is>
          <t>10,00,000</t>
        </is>
      </c>
      <c r="F2846" t="inlineStr">
        <is>
          <t>Under the SBM Scheme work including garbage collection and separation from households and commercial establishments, road and drain cleaning, and cleaning of community sanitation premises in all the villages of the Gram Panchayat Singhawal</t>
        </is>
      </c>
      <c r="G2846" t="inlineStr">
        <is>
          <t>At GP Level</t>
        </is>
      </c>
    </row>
    <row r="2847">
      <c r="A2847" s="1" t="n">
        <v>2845</v>
      </c>
      <c r="B2847">
        <f>HYPERLINK("https://eproc.rajasthan.gov.in/nicgep/app?component=%24DirectLink&amp;page=FrontEndViewTender&amp;service=direct&amp;session=T&amp;sp=SKRDbqAL2Fko8kqWzg9D0tA%3D%3D", "MATERIAL SUPPLY IN GRAM PANCHAYAT SHYAMPURA PS DHOD FOR MGNREGA AND OTHER SCHEME")</f>
        <v/>
      </c>
      <c r="C2847" t="inlineStr">
        <is>
          <t>Panchayati Raj Department||Secretary and Commissioner||CEO-SIKAR||BDO-DHOD</t>
        </is>
      </c>
      <c r="D2847" t="inlineStr">
        <is>
          <t>22-May-2025 06:00 PM</t>
        </is>
      </c>
      <c r="E2847" t="inlineStr">
        <is>
          <t>50,00,000</t>
        </is>
      </c>
      <c r="F2847" t="inlineStr">
        <is>
          <t>MATERIAL SUPPLY IN GRAM PANCHAYAT SHYAMPURA PS DHOD FOR MGNREGA AND OTHER SCHEME</t>
        </is>
      </c>
      <c r="G2847" t="inlineStr">
        <is>
          <t>SHYAMPURA</t>
        </is>
      </c>
    </row>
    <row r="2848">
      <c r="A2848" s="1" t="n">
        <v>2846</v>
      </c>
      <c r="B2848">
        <f>HYPERLINK("https://eproc.rajasthan.gov.in/nicgep/app?component=%24DirectLink&amp;page=FrontEndViewTender&amp;service=direct&amp;session=T&amp;sp=STEXtbHiR0YccVO5vdwiP0g%3D%3D", "Under the SBM Scheme work including garbage collection and separation from households and commercial establishments, road and drain cleaning, and cleaning of community sanitation premises in all the villages of the Gram Panchayat Ratakot")</f>
        <v/>
      </c>
      <c r="C2848" t="inlineStr">
        <is>
          <t>Panchayati Raj Department||Secretary and Commissioner||CEO-AJMER||BDO-BHINAI</t>
        </is>
      </c>
      <c r="D2848" t="inlineStr">
        <is>
          <t>21-May-2025 06:00 PM</t>
        </is>
      </c>
      <c r="E2848" t="inlineStr">
        <is>
          <t>7,00,000</t>
        </is>
      </c>
      <c r="F2848" t="inlineStr">
        <is>
          <t>Under the SBM Scheme work including garbage collection and separation from households and commercial establishments, road and drain cleaning, and cleaning of community sanitation premises in all the villages of the Gram Panchayat Ratakot</t>
        </is>
      </c>
      <c r="G2848" t="inlineStr">
        <is>
          <t>At GP Level</t>
        </is>
      </c>
    </row>
    <row r="2849">
      <c r="A2849" s="1" t="n">
        <v>2847</v>
      </c>
      <c r="B2849">
        <f>HYPERLINK("https://eproc.rajasthan.gov.in/nicgep/app?component=%24DirectLink&amp;page=FrontEndViewTender&amp;service=direct&amp;session=T&amp;sp=ShfpAmcCMxofaqADI3kDS%2Fw%3D%3D", "Under the SBM Scheme work including garbage collection and separation from households and commercial establishments, road and drain cleaning, and cleaning of community sanitation premises in all the villages of the Gram Panchayat Sobari")</f>
        <v/>
      </c>
      <c r="C2849" t="inlineStr">
        <is>
          <t>Panchayati Raj Department||Secretary and Commissioner||CEO-AJMER||BDO-BHINAI</t>
        </is>
      </c>
      <c r="D2849" t="inlineStr">
        <is>
          <t>21-May-2025 06:00 PM</t>
        </is>
      </c>
      <c r="E2849" t="inlineStr">
        <is>
          <t>14,50,000</t>
        </is>
      </c>
      <c r="F2849" t="inlineStr">
        <is>
          <t>Under the SBM Scheme work including garbage collection and separation from households and commercial establishments, road and drain cleaning, and cleaning of community sanitation premises in all the villages of the Gram Panchayat Sobari</t>
        </is>
      </c>
      <c r="G2849" t="inlineStr">
        <is>
          <t>At GP Level</t>
        </is>
      </c>
    </row>
    <row r="2850">
      <c r="A2850" s="1" t="n">
        <v>2848</v>
      </c>
      <c r="B2850">
        <f>HYPERLINK("https://eproc.rajasthan.gov.in/nicgep/app?component=%24DirectLink&amp;page=FrontEndViewTender&amp;service=direct&amp;session=T&amp;sp=SnMLSTQyS%2FE6%2FgJrvz0Vxww%3D%3D", "RajpuraMS")</f>
        <v/>
      </c>
      <c r="C2850" t="inlineStr">
        <is>
          <t>Panchayati Raj Department||Secretary and Commissioner||CEO-SIKAR||BDO-LAXMANGARH</t>
        </is>
      </c>
      <c r="D2850" t="inlineStr">
        <is>
          <t>22-May-2025 06:00 PM</t>
        </is>
      </c>
      <c r="E2850" t="inlineStr">
        <is>
          <t>40,00,000</t>
        </is>
      </c>
      <c r="F2850" t="inlineStr">
        <is>
          <t>MaterialSupply</t>
        </is>
      </c>
      <c r="G2850" t="inlineStr">
        <is>
          <t>Rajpura</t>
        </is>
      </c>
    </row>
    <row r="2851">
      <c r="A2851" s="1" t="n">
        <v>2849</v>
      </c>
      <c r="B2851">
        <f>HYPERLINK("https://eproc.rajasthan.gov.in/nicgep/app?component=%24DirectLink&amp;page=FrontEndViewTender&amp;service=direct&amp;session=T&amp;sp=SHU8tg4Yg3O1ZDA5kX2TUJw%3D%3D", "Supply of Construction Material in Gram Panchayat Akshaygarh In Panchayat Samiti Khandar under MNREGA and RD and Various Scheme for the Year 2025-26")</f>
        <v/>
      </c>
      <c r="C2851" t="inlineStr">
        <is>
          <t>Panchayati Raj Department||Secretary and Commissioner||CEO-S.MADHOPUR||BDO-KHANDAR</t>
        </is>
      </c>
      <c r="D2851" t="inlineStr">
        <is>
          <t>18-May-2025 06:00 PM</t>
        </is>
      </c>
      <c r="E2851" t="inlineStr">
        <is>
          <t>50,00,000</t>
        </is>
      </c>
      <c r="F2851" t="inlineStr">
        <is>
          <t>Supply of Construction Material in Gram Panchayat Akshaygarh In Panchayat Samiti Khandar under MNREGA and RD and Various Scheme for the Year 2025-26</t>
        </is>
      </c>
      <c r="G2851" t="inlineStr">
        <is>
          <t>GRAM PANCHAYAT AKSHAYGARH</t>
        </is>
      </c>
    </row>
    <row r="2852">
      <c r="A2852" s="1" t="n">
        <v>2850</v>
      </c>
      <c r="B2852">
        <f>HYPERLINK("https://eproc.rajasthan.gov.in/nicgep/app?component=%24DirectLink&amp;page=FrontEndViewTender&amp;service=direct&amp;session=T&amp;sp=SwNUiBcsgWf%2BcSaZEnKAAKg%3D%3D", "Supply of Construction Material in Gram Panchayat Kyarda Kalan In Panchayat Samiti Khandar under MNREGA and RD and Various Scheme for the Year 2025-26")</f>
        <v/>
      </c>
      <c r="C2852" t="inlineStr">
        <is>
          <t>Panchayati Raj Department||Secretary and Commissioner||CEO-S.MADHOPUR||BDO-KHANDAR</t>
        </is>
      </c>
      <c r="D2852" t="inlineStr">
        <is>
          <t>18-May-2025 06:00 PM</t>
        </is>
      </c>
      <c r="E2852" t="inlineStr">
        <is>
          <t>50,00,000</t>
        </is>
      </c>
      <c r="F2852" t="inlineStr">
        <is>
          <t>Supply of Construction Material in Gram Panchayat Kyarda Kalan In Panchayat Samiti Khandar under MNREGA and RD and Various Scheme for the Year 2025-26</t>
        </is>
      </c>
      <c r="G2852" t="inlineStr">
        <is>
          <t>GRAM PANCHAYAT KYARDA KALAN</t>
        </is>
      </c>
    </row>
    <row r="2853">
      <c r="A2853" s="1" t="n">
        <v>2851</v>
      </c>
      <c r="B2853">
        <f>HYPERLINK("https://eproc.rajasthan.gov.in/nicgep/app?component=%24DirectLink&amp;page=FrontEndViewTender&amp;service=direct&amp;session=T&amp;sp=SjBM%2FhU5iPwn%2B9SWB7oFN6w%3D%3D", "BatranauMS")</f>
        <v/>
      </c>
      <c r="C2853" t="inlineStr">
        <is>
          <t>Panchayati Raj Department||Secretary and Commissioner||CEO-SIKAR||BDO-LAXMANGARH</t>
        </is>
      </c>
      <c r="D2853" t="inlineStr">
        <is>
          <t>21-May-2025 06:00 PM</t>
        </is>
      </c>
      <c r="E2853" t="inlineStr">
        <is>
          <t>40,00,000</t>
        </is>
      </c>
      <c r="F2853" t="inlineStr">
        <is>
          <t>MaterialSupply</t>
        </is>
      </c>
      <c r="G2853" t="inlineStr">
        <is>
          <t>Batranau</t>
        </is>
      </c>
    </row>
    <row r="2854">
      <c r="A2854" s="1" t="n">
        <v>2852</v>
      </c>
      <c r="B2854">
        <f>HYPERLINK("https://eproc.rajasthan.gov.in/nicgep/app?component=%24DirectLink&amp;page=FrontEndViewTender&amp;service=direct&amp;session=T&amp;sp=STMfdQPNc1FpvNNr%2BPILXvw%3D%3D", "Under the SBM Scheme work including garbage collection and separation from households and commercial establishments, road and drain cleaning, and cleaning of community sanitation premises in all the villages of the Gram Panchayat Nandsi")</f>
        <v/>
      </c>
      <c r="C2854" t="inlineStr">
        <is>
          <t>Panchayati Raj Department||Secretary and Commissioner||CEO-AJMER||BDO-BHINAI</t>
        </is>
      </c>
      <c r="D2854" t="inlineStr">
        <is>
          <t>21-May-2025 06:00 PM</t>
        </is>
      </c>
      <c r="E2854" t="inlineStr">
        <is>
          <t>11,00,000</t>
        </is>
      </c>
      <c r="F2854" t="inlineStr">
        <is>
          <t>Under the SBM Scheme work including garbage collection and separation from households and commercial establishments, road and drain cleaning, and cleaning of community sanitation premises in all the villages of the Gram Panchayat Nandsi</t>
        </is>
      </c>
      <c r="G2854" t="inlineStr">
        <is>
          <t>At GP Level</t>
        </is>
      </c>
    </row>
    <row r="2855">
      <c r="A2855" s="1" t="n">
        <v>2853</v>
      </c>
      <c r="B2855">
        <f>HYPERLINK("https://eproc.rajasthan.gov.in/nicgep/app?component=%24DirectLink&amp;page=FrontEndViewTender&amp;service=direct&amp;session=T&amp;sp=S0jo8jtr56DB5NeHF08Mc8w%3D%3D", "Under the SBM Scheme work including garbage collection and separation from households and commercial establishments, road and drain cleaning, and cleaning of community sanitation premises in all the villages of the Gram Panchayat Padanga")</f>
        <v/>
      </c>
      <c r="C2855" t="inlineStr">
        <is>
          <t>Panchayati Raj Department||Secretary and Commissioner||CEO-AJMER||BDO-BHINAI</t>
        </is>
      </c>
      <c r="D2855" t="inlineStr">
        <is>
          <t>21-May-2025 06:00 PM</t>
        </is>
      </c>
      <c r="E2855" t="inlineStr">
        <is>
          <t>7,60,000</t>
        </is>
      </c>
      <c r="F2855" t="inlineStr">
        <is>
          <t>Under the SBM Scheme work including garbage collection and separation from households and commercial establishments, road and drain cleaning, and cleaning of community sanitation premises in all the villages of the Gram Panchayat Padanga</t>
        </is>
      </c>
      <c r="G2855" t="inlineStr">
        <is>
          <t>At GP Level</t>
        </is>
      </c>
    </row>
    <row r="2856">
      <c r="A2856" s="1" t="n">
        <v>2854</v>
      </c>
      <c r="B2856">
        <f>HYPERLINK("https://eproc.rajasthan.gov.in/nicgep/app?component=%24DirectLink&amp;page=FrontEndViewTender&amp;service=direct&amp;session=T&amp;sp=SbRps5PX73a6oZD32yFQbIw%3D%3D", "Under the SBM Scheme work including garbage collection and separation from households and commercial establishments, road and drain cleaning, and cleaning of community sanitation premises in all the villages of the Gram Panchayat Padliya")</f>
        <v/>
      </c>
      <c r="C2856" t="inlineStr">
        <is>
          <t>Panchayati Raj Department||Secretary and Commissioner||CEO-AJMER||BDO-BHINAI</t>
        </is>
      </c>
      <c r="D2856" t="inlineStr">
        <is>
          <t>21-May-2025 06:00 PM</t>
        </is>
      </c>
      <c r="E2856" t="inlineStr">
        <is>
          <t>12,00,000</t>
        </is>
      </c>
      <c r="F2856" t="inlineStr">
        <is>
          <t>Under the SBM Scheme work including garbage collection and separation from households and commercial establishments, road and drain cleaning, and cleaning of community sanitation premises in all the villages of the Gram Panchayat Padliya</t>
        </is>
      </c>
      <c r="G2856" t="inlineStr">
        <is>
          <t>At GP Level</t>
        </is>
      </c>
    </row>
    <row r="2857">
      <c r="A2857" s="1" t="n">
        <v>2855</v>
      </c>
      <c r="B2857">
        <f>HYPERLINK("https://eproc.rajasthan.gov.in/nicgep/app?component=%24DirectLink&amp;page=FrontEndViewTender&amp;service=direct&amp;session=T&amp;sp=SChFBAdtqkSzliVREoHUIzw%3D%3D", "Under the SBM Scheme work including garbage collection and separation from households and commercial establishments, road and drain cleaning, and cleaning of community sanitation premises in all the villages of the Gram Panchayat Rammaliya")</f>
        <v/>
      </c>
      <c r="C2857" t="inlineStr">
        <is>
          <t>Panchayati Raj Department||Secretary and Commissioner||CEO-AJMER||BDO-BHINAI</t>
        </is>
      </c>
      <c r="D2857" t="inlineStr">
        <is>
          <t>21-May-2025 06:00 PM</t>
        </is>
      </c>
      <c r="E2857" t="inlineStr">
        <is>
          <t>9,00,000</t>
        </is>
      </c>
      <c r="F2857" t="inlineStr">
        <is>
          <t>Under the SBM Scheme work including garbage collection and separation from households and commercial establishments, road and drain cleaning, and cleaning of community sanitation premises in all the villages of the Gram Panchayat Rammaliya</t>
        </is>
      </c>
      <c r="G2857" t="inlineStr">
        <is>
          <t>At GP Level</t>
        </is>
      </c>
    </row>
    <row r="2858">
      <c r="A2858" s="1" t="n">
        <v>2856</v>
      </c>
      <c r="B2858">
        <f>HYPERLINK("https://eproc.rajasthan.gov.in/nicgep/app?component=%24DirectLink&amp;page=FrontEndViewTender&amp;service=direct&amp;session=T&amp;sp=SM0H1yzF9F0T%2B6W6gx%2BNlGQ%3D%3D", "material supply nal halkar 2025-26")</f>
        <v/>
      </c>
      <c r="C2858" t="inlineStr">
        <is>
          <t>Panchayati Raj Department||Secretary and Commissioner||CEO-UDAIPUR||BDO-SARADA</t>
        </is>
      </c>
      <c r="D2858" t="inlineStr">
        <is>
          <t>20-May-2025 06:00 PM</t>
        </is>
      </c>
      <c r="E2858" t="inlineStr">
        <is>
          <t>30,00,000</t>
        </is>
      </c>
      <c r="F2858" t="inlineStr">
        <is>
          <t>material supply</t>
        </is>
      </c>
      <c r="G2858" t="inlineStr">
        <is>
          <t>nal halkar</t>
        </is>
      </c>
    </row>
    <row r="2859">
      <c r="A2859" s="1" t="n">
        <v>2857</v>
      </c>
      <c r="B2859">
        <f>HYPERLINK("https://eproc.rajasthan.gov.in/nicgep/app?component=%24DirectLink&amp;page=FrontEndViewTender&amp;service=direct&amp;session=T&amp;sp=S8%2BHDYkQzo1TN3fOim5bkWg%3D%3D", "Bagriinterlock")</f>
        <v/>
      </c>
      <c r="C2859" t="inlineStr">
        <is>
          <t>Panchayati Raj Department||Secretary and Commissioner||CEO-SIKAR||BDO-LAXMANGARH</t>
        </is>
      </c>
      <c r="D2859" t="inlineStr">
        <is>
          <t>19-May-2025 06:00 PM</t>
        </is>
      </c>
      <c r="E2859" t="inlineStr">
        <is>
          <t>7,50,000</t>
        </is>
      </c>
      <c r="F2859" t="inlineStr">
        <is>
          <t>Interlock</t>
        </is>
      </c>
      <c r="G2859" t="inlineStr">
        <is>
          <t>Bagri</t>
        </is>
      </c>
    </row>
    <row r="2860">
      <c r="A2860" s="1" t="n">
        <v>2858</v>
      </c>
      <c r="B2860">
        <f>HYPERLINK("https://eproc.rajasthan.gov.in/nicgep/app?component=%24DirectLink&amp;page=FrontEndViewTender&amp;service=direct&amp;session=T&amp;sp=S6BwdrQOPI7DVQpPUQxIeOA%3D%3D", "Bagrinala")</f>
        <v/>
      </c>
      <c r="C2860" t="inlineStr">
        <is>
          <t>Panchayati Raj Department||Secretary and Commissioner||CEO-SIKAR||BDO-LAXMANGARH</t>
        </is>
      </c>
      <c r="D2860" t="inlineStr">
        <is>
          <t>19-May-2025 06:00 PM</t>
        </is>
      </c>
      <c r="E2860" t="inlineStr">
        <is>
          <t>8,00,000</t>
        </is>
      </c>
      <c r="F2860" t="inlineStr">
        <is>
          <t>Nala</t>
        </is>
      </c>
      <c r="G2860" t="inlineStr">
        <is>
          <t>Bagri</t>
        </is>
      </c>
    </row>
    <row r="2861">
      <c r="A2861" s="1" t="n">
        <v>2859</v>
      </c>
      <c r="B2861">
        <f>HYPERLINK("https://eproc.rajasthan.gov.in/nicgep/app?component=%24DirectLink&amp;page=FrontEndViewTender&amp;service=direct&amp;session=T&amp;sp=Sew5sKCbi8rrObgzYo0EIRQ%3D%3D", "RATE CONTRACT FOR SUPPLY OF CONSTRUCTION MATERIAL FOR THE FINANCIAL YEAR 2025-26 IN GRAM PANCHAYAT MANDHA PS PALSANA DIST-SIKAR(RAJ)")</f>
        <v/>
      </c>
      <c r="C2861" t="inlineStr">
        <is>
          <t>Panchayati Raj Department||Secretary and Commissioner||CEO-SIKAR||BDO-PALSANA</t>
        </is>
      </c>
      <c r="D2861" t="inlineStr">
        <is>
          <t>19-May-2025 06:00 PM</t>
        </is>
      </c>
      <c r="E2861" t="inlineStr">
        <is>
          <t>60,00,000</t>
        </is>
      </c>
      <c r="F2861" t="inlineStr">
        <is>
          <t>RATE CONTRACT FOR SUPPLY OF CONSTRUCTION MATERIAL FOR THE FINANCIAL YEAR 2025-26 IN GRAM PANCHAYAT MANDHA PS PALSANA DIST-SIKAR(RAJ)</t>
        </is>
      </c>
      <c r="G2861" t="inlineStr">
        <is>
          <t>GRAM PANCHAYAT MANDHA</t>
        </is>
      </c>
    </row>
    <row r="2862">
      <c r="A2862" s="1" t="n">
        <v>2860</v>
      </c>
      <c r="B2862">
        <f>HYPERLINK("https://eproc.rajasthan.gov.in/nicgep/app?component=%24DirectLink&amp;page=FrontEndViewTender&amp;service=direct&amp;session=T&amp;sp=S2sSkj1BzcY%2BQDFVX5z2RGQ%3D%3D", "material supply tender gp katanwada 2025-26")</f>
        <v/>
      </c>
      <c r="C2862" t="inlineStr">
        <is>
          <t>Panchayati Raj Department||Secretary and Commissioner||CEO-UDAIPUR||BDO-SARADA</t>
        </is>
      </c>
      <c r="D2862" t="inlineStr">
        <is>
          <t>19-May-2025 06:00 PM</t>
        </is>
      </c>
      <c r="E2862" t="inlineStr">
        <is>
          <t>30,00,000</t>
        </is>
      </c>
      <c r="F2862" t="inlineStr">
        <is>
          <t>material supply gp katanwada</t>
        </is>
      </c>
      <c r="G2862" t="inlineStr">
        <is>
          <t>katanwada</t>
        </is>
      </c>
    </row>
    <row r="2863">
      <c r="A2863" s="1" t="n">
        <v>2861</v>
      </c>
      <c r="B2863">
        <f>HYPERLINK("https://eproc.rajasthan.gov.in/nicgep/app?component=%24DirectLink&amp;page=FrontEndViewTender&amp;service=direct&amp;session=T&amp;sp=SHEdeVRqtuEPLai717U0VOQ%3D%3D", "BhojasarBaraMS")</f>
        <v/>
      </c>
      <c r="C2863" t="inlineStr">
        <is>
          <t>Panchayati Raj Department||Secretary and Commissioner||CEO-SIKAR||BDO-LAXMANGARH</t>
        </is>
      </c>
      <c r="D2863" t="inlineStr">
        <is>
          <t>21-May-2025 06:00 PM</t>
        </is>
      </c>
      <c r="E2863" t="inlineStr">
        <is>
          <t>60,00,000</t>
        </is>
      </c>
      <c r="F2863" t="inlineStr">
        <is>
          <t>Materialsupply</t>
        </is>
      </c>
      <c r="G2863" t="inlineStr">
        <is>
          <t>BhojasarBara</t>
        </is>
      </c>
    </row>
    <row r="2864">
      <c r="A2864" s="1" t="n">
        <v>2862</v>
      </c>
      <c r="B2864">
        <f>HYPERLINK("https://eproc.rajasthan.gov.in/nicgep/app?component=%24DirectLink&amp;page=FrontEndViewTender&amp;service=direct&amp;session=T&amp;sp=SlDB%2B0G08JEuXdn9OplFxbQ%3D%3D", "DRINKING WATER AND CLEAN WATER STORAGE TANK CONSTRUCTION AT BARJANGSAR")</f>
        <v/>
      </c>
      <c r="C2864" t="inlineStr">
        <is>
          <t>Panchayati Raj Department||Secretary and Commissioner||CEO-CHURU||BDO-SARDARSHAHAR</t>
        </is>
      </c>
      <c r="D2864" t="inlineStr">
        <is>
          <t>19-May-2025 03:00 PM</t>
        </is>
      </c>
      <c r="E2864" t="inlineStr">
        <is>
          <t>11,68,000</t>
        </is>
      </c>
      <c r="F2864" t="inlineStr">
        <is>
          <t>DRINKING WATER AND CLEAN WATER STORAGE TANK CONSTRUCTION AT BARJANGSAR</t>
        </is>
      </c>
      <c r="G2864" t="inlineStr">
        <is>
          <t>gram panchayat barjangsar</t>
        </is>
      </c>
    </row>
    <row r="2865">
      <c r="A2865" s="1" t="n">
        <v>2863</v>
      </c>
      <c r="B2865">
        <f>HYPERLINK("https://eproc.rajasthan.gov.in/nicgep/app?component=%24DirectLink&amp;page=FrontEndViewTender&amp;service=direct&amp;session=T&amp;sp=S63lL9r2RfuoHVUQllhyfTQ%3D%3D", "Supply of Construction Material in Gram Panchayat Phalodi In Panchayat Samiti Khandar under MNREGA and RD and Various Scheme for the Year 2025-26")</f>
        <v/>
      </c>
      <c r="C2865" t="inlineStr">
        <is>
          <t>Panchayati Raj Department||Secretary and Commissioner||CEO-S.MADHOPUR||BDO-KHANDAR</t>
        </is>
      </c>
      <c r="D2865" t="inlineStr">
        <is>
          <t>18-May-2025 06:00 PM</t>
        </is>
      </c>
      <c r="E2865" t="inlineStr">
        <is>
          <t>70,00,000</t>
        </is>
      </c>
      <c r="F2865" t="inlineStr">
        <is>
          <t>Supply of Construction Material in Gram Panchayat Phalodi In Panchayat Samiti Khandar under MNREGA and RD and Various Scheme for the Year 2025-26</t>
        </is>
      </c>
      <c r="G2865" t="inlineStr">
        <is>
          <t>GRAM PANCHAYAT PHALODI</t>
        </is>
      </c>
    </row>
    <row r="2866">
      <c r="A2866" s="1" t="n">
        <v>2864</v>
      </c>
      <c r="B2866">
        <f>HYPERLINK("https://eproc.rajasthan.gov.in/nicgep/app?component=%24DirectLink&amp;page=FrontEndViewTender&amp;service=direct&amp;session=T&amp;sp=SBL4dzZQCKt2mcvdfQJgKdA%3D%3D", "Under the SBM Scheme work including garbage collection and separation from households and commercial establishments, road and drain cleaning, and cleaning of community sanitation premises in all the villages of the Gram Panchayat Ekalsingha")</f>
        <v/>
      </c>
      <c r="C2866" t="inlineStr">
        <is>
          <t>Panchayati Raj Department||Secretary and Commissioner||CEO-AJMER||BDO-BHINAI</t>
        </is>
      </c>
      <c r="D2866" t="inlineStr">
        <is>
          <t>21-May-2025 06:00 PM</t>
        </is>
      </c>
      <c r="E2866" t="inlineStr">
        <is>
          <t>11,00,000</t>
        </is>
      </c>
      <c r="F2866" t="inlineStr">
        <is>
          <t>Under the SBM Scheme work including garbage collection and separation from households and commercial establishments, road and drain cleaning, and cleaning of community sanitation premises in all the villages of the Gram Panchayat Ekalsingha</t>
        </is>
      </c>
      <c r="G2866" t="inlineStr">
        <is>
          <t>At GP Level</t>
        </is>
      </c>
    </row>
    <row r="2867">
      <c r="A2867" s="1" t="n">
        <v>2865</v>
      </c>
      <c r="B2867">
        <f>HYPERLINK("https://eproc.rajasthan.gov.in/nicgep/app?component=%24DirectLink&amp;page=FrontEndViewTender&amp;service=direct&amp;session=T&amp;sp=SMgm0BQSrANRt1uBFszM35w%3D%3D", "Under the SBM Scheme work including garbage collection and separation from households and commercial establishments, road and drain cleaning, and cleaning of community sanitation premises in all the villages of the Gram Panchayat Nagola")</f>
        <v/>
      </c>
      <c r="C2867" t="inlineStr">
        <is>
          <t>Panchayati Raj Department||Secretary and Commissioner||CEO-AJMER||BDO-BHINAI</t>
        </is>
      </c>
      <c r="D2867" t="inlineStr">
        <is>
          <t>21-May-2025 06:00 PM</t>
        </is>
      </c>
      <c r="E2867" t="inlineStr">
        <is>
          <t>9,00,000</t>
        </is>
      </c>
      <c r="F2867" t="inlineStr">
        <is>
          <t>Under the SBM Scheme work including garbage collection and separation from households and commercial establishments, road and drain cleaning, and cleaning of community sanitation premises in all the villages of the Gram Panchayat Nagola</t>
        </is>
      </c>
      <c r="G2867" t="inlineStr">
        <is>
          <t>At GP Level</t>
        </is>
      </c>
    </row>
    <row r="2868">
      <c r="A2868" s="1" t="n">
        <v>2866</v>
      </c>
      <c r="B2868">
        <f>HYPERLINK("https://eproc.rajasthan.gov.in/nicgep/app?component=%24DirectLink&amp;page=FrontEndViewTender&amp;service=direct&amp;session=T&amp;sp=SP1Ihba%2FS2CkI5BmLNTFY%2FA%3D%3D", "Under the SBM Scheme work including garbage collection and separation from households and commercial establishments, road and drain cleaning, and cleaning of community sanitation premises in all the villages of the Gram Panchayat Kumhariya")</f>
        <v/>
      </c>
      <c r="C2868" t="inlineStr">
        <is>
          <t>Panchayati Raj Department||Secretary and Commissioner||CEO-AJMER||BDO-BHINAI</t>
        </is>
      </c>
      <c r="D2868" t="inlineStr">
        <is>
          <t>21-May-2025 06:00 PM</t>
        </is>
      </c>
      <c r="E2868" t="inlineStr">
        <is>
          <t>9,00,000</t>
        </is>
      </c>
      <c r="F2868" t="inlineStr">
        <is>
          <t>Under the SBM Scheme work including garbage collection and separation from households and commercial establishments, road and drain cleaning, and cleaning of community sanitation premises in all the villages of the Gram Panchayat Kumhariya</t>
        </is>
      </c>
      <c r="G2868" t="inlineStr">
        <is>
          <t>At GP Level</t>
        </is>
      </c>
    </row>
    <row r="2869">
      <c r="A2869" s="1" t="n">
        <v>2867</v>
      </c>
      <c r="B2869">
        <f>HYPERLINK("https://eproc.rajasthan.gov.in/nicgep/app?component=%24DirectLink&amp;page=FrontEndViewTender&amp;service=direct&amp;session=T&amp;sp=S0EtcQPE%2FziHlUIwdk3628g%3D%3D", "Under the SBM Scheme work including garbage collection and separation from households and commercial establishments, road and drain cleaning, and cleaning of community sanitation premises in all the villages of the Gram Panchayat Lamgara")</f>
        <v/>
      </c>
      <c r="C2869" t="inlineStr">
        <is>
          <t>Panchayati Raj Department||Secretary and Commissioner||CEO-AJMER||BDO-BHINAI</t>
        </is>
      </c>
      <c r="D2869" t="inlineStr">
        <is>
          <t>21-May-2025 06:00 PM</t>
        </is>
      </c>
      <c r="E2869" t="inlineStr">
        <is>
          <t>10,00,000</t>
        </is>
      </c>
      <c r="F2869" t="inlineStr">
        <is>
          <t>Under the SBM Scheme work including garbage collection and separation from households and commercial establishments, road and drain cleaning, and cleaning of community sanitation premises in all the villages of the Gram Panchayat Lamgara</t>
        </is>
      </c>
      <c r="G2869" t="inlineStr">
        <is>
          <t>At GP Level</t>
        </is>
      </c>
    </row>
    <row r="2870">
      <c r="A2870" s="1" t="n">
        <v>2868</v>
      </c>
      <c r="B2870">
        <f>HYPERLINK("https://eproc.rajasthan.gov.in/nicgep/app?component=%24DirectLink&amp;page=FrontEndViewTender&amp;service=direct&amp;session=T&amp;sp=SN80CE2lEf%2F%2F9PNnr1cTvCQ%3D%3D", "Under the SBM Scheme work including garbage collection and separation from households and commercial establishments, road and drain cleaning, and cleaning of community sanitation premises in all the villages of the Gram Panchayat Kanaikala")</f>
        <v/>
      </c>
      <c r="C2870" t="inlineStr">
        <is>
          <t>Panchayati Raj Department||Secretary and Commissioner||CEO-AJMER||BDO-BHINAI</t>
        </is>
      </c>
      <c r="D2870" t="inlineStr">
        <is>
          <t>21-May-2025 06:00 PM</t>
        </is>
      </c>
      <c r="E2870" t="inlineStr">
        <is>
          <t>10,30,000</t>
        </is>
      </c>
      <c r="F2870" t="inlineStr">
        <is>
          <t>Under the SBM Scheme work including garbage collection and separation from households and commercial establishments, road and drain cleaning, and cleaning of community sanitation premises in all the villages of the Gram Panchayat Kanaikala</t>
        </is>
      </c>
      <c r="G2870" t="inlineStr">
        <is>
          <t>At GP Level</t>
        </is>
      </c>
    </row>
    <row r="2871">
      <c r="A2871" s="1" t="n">
        <v>2869</v>
      </c>
      <c r="B2871">
        <f>HYPERLINK("https://eproc.rajasthan.gov.in/nicgep/app?component=%24DirectLink&amp;page=FrontEndViewTender&amp;service=direct&amp;session=T&amp;sp=SHM1eiI2rAwn1lHvWC5UVkw%3D%3D", "Under the SBM Scheme work including garbage collection and separation from households and commercial establishments, road and drain cleaning, and cleaning of community sanitation premises in all the villages of the Gram Panchayat Kerot")</f>
        <v/>
      </c>
      <c r="C2871" t="inlineStr">
        <is>
          <t>Panchayati Raj Department||Secretary and Commissioner||CEO-AJMER||BDO-BHINAI</t>
        </is>
      </c>
      <c r="D2871" t="inlineStr">
        <is>
          <t>21-May-2025 06:00 PM</t>
        </is>
      </c>
      <c r="E2871" t="inlineStr">
        <is>
          <t>10,00,000</t>
        </is>
      </c>
      <c r="F2871" t="inlineStr">
        <is>
          <t>Under the SBM Scheme work including garbage collection and separation from households and commercial establishments, road and drain cleaning, and cleaning of community sanitation premises in all the villages of the Gram Panchayat Kerot</t>
        </is>
      </c>
      <c r="G2871" t="inlineStr">
        <is>
          <t>At GP Level</t>
        </is>
      </c>
    </row>
    <row r="2872">
      <c r="A2872" s="1" t="n">
        <v>2870</v>
      </c>
      <c r="B2872">
        <f>HYPERLINK("https://eproc.rajasthan.gov.in/nicgep/app?component=%24DirectLink&amp;page=FrontEndViewTender&amp;service=direct&amp;session=T&amp;sp=SSyjb9lP6MMWvv0Y3nveZHA%3D%3D", "Under the SBM Scheme work including garbage collection and separation from households and commercial establishments, road and drain cleaning, and cleaning of community sanitation premises in all the villages of the Gram Panchayat Karanti")</f>
        <v/>
      </c>
      <c r="C2872" t="inlineStr">
        <is>
          <t>Panchayati Raj Department||Secretary and Commissioner||CEO-AJMER||BDO-BHINAI</t>
        </is>
      </c>
      <c r="D2872" t="inlineStr">
        <is>
          <t>21-May-2025 06:00 PM</t>
        </is>
      </c>
      <c r="E2872" t="inlineStr">
        <is>
          <t>16,00,000</t>
        </is>
      </c>
      <c r="F2872" t="inlineStr">
        <is>
          <t>Under the SBM Scheme work including garbage collection and separation from households and commercial establishments, road and drain cleaning, and cleaning of community sanitation premises in all the villages of the Gram Panchayat Karanti</t>
        </is>
      </c>
      <c r="G2872" t="inlineStr">
        <is>
          <t>At GP Level</t>
        </is>
      </c>
    </row>
    <row r="2873">
      <c r="A2873" s="1" t="n">
        <v>2871</v>
      </c>
      <c r="B2873">
        <f>HYPERLINK("https://eproc.rajasthan.gov.in/nicgep/app?component=%24DirectLink&amp;page=FrontEndViewTender&amp;service=direct&amp;session=T&amp;sp=SQ0Qj5O2C2cHPeECf9BgSbQ%3D%3D", "Under the SBM Scheme work including garbage collection and separation from households and commercial establishments, road and drain cleaning, and cleaning of community sanitation premises in all the villages of the Gram Panchayat Gudhakhurd")</f>
        <v/>
      </c>
      <c r="C2873" t="inlineStr">
        <is>
          <t>Panchayati Raj Department||Secretary and Commissioner||CEO-AJMER||BDO-BHINAI</t>
        </is>
      </c>
      <c r="D2873" t="inlineStr">
        <is>
          <t>21-May-2025 06:00 PM</t>
        </is>
      </c>
      <c r="E2873" t="inlineStr">
        <is>
          <t>13,00,000</t>
        </is>
      </c>
      <c r="F2873" t="inlineStr">
        <is>
          <t>Under the SBM Scheme work including garbage collection and separation from households and commercial establishments, road and drain cleaning, and cleaning of community sanitation premises in all the villages of the Gram Panchayat Gudhakhurd</t>
        </is>
      </c>
      <c r="G2873" t="inlineStr">
        <is>
          <t>At GP Level</t>
        </is>
      </c>
    </row>
    <row r="2874">
      <c r="A2874" s="1" t="n">
        <v>2872</v>
      </c>
      <c r="B2874">
        <f>HYPERLINK("https://eproc.rajasthan.gov.in/nicgep/app?component=%24DirectLink&amp;page=FrontEndViewTender&amp;service=direct&amp;session=T&amp;sp=SbmcCfyi4yuPV3X0EAM9KmA%3D%3D", "SUPPLY OF BUILDING MATERIAL AND EQUIPMENT IN GP KHARI PS DHORIMANA")</f>
        <v/>
      </c>
      <c r="C2874" t="inlineStr">
        <is>
          <t>Panchayati Raj Department||Secretary and Commissioner||CEO-BADMER||BDO-DHORIMANNA</t>
        </is>
      </c>
      <c r="D2874" t="inlineStr">
        <is>
          <t>19-May-2025 06:00 PM</t>
        </is>
      </c>
      <c r="E2874" t="inlineStr">
        <is>
          <t>70,00,000</t>
        </is>
      </c>
      <c r="F2874" t="inlineStr">
        <is>
          <t>SUPPLY OF BUILDING MATERIAL AND EQUIPMENT IN GP KHARI PS DHORIMANA</t>
        </is>
      </c>
      <c r="G2874" t="inlineStr">
        <is>
          <t>GP Khari</t>
        </is>
      </c>
    </row>
    <row r="2875">
      <c r="A2875" s="1" t="n">
        <v>2873</v>
      </c>
      <c r="B2875">
        <f>HYPERLINK("https://eproc.rajasthan.gov.in/nicgep/app?component=%24DirectLink&amp;page=FrontEndViewTender&amp;service=direct&amp;session=T&amp;sp=SzGh5XTaJSSqD0mB2%2BzFDnQ%3D%3D", "Under the SBM Scheme work including garbage collection and separation from households and commercial establishments, road and drain cleaning, and cleaning of community sanitation premises in all the villages of the Gram Panchayat Bubkiya")</f>
        <v/>
      </c>
      <c r="C2875" t="inlineStr">
        <is>
          <t>Panchayati Raj Department||Secretary and Commissioner||CEO-AJMER||BDO-BHINAI</t>
        </is>
      </c>
      <c r="D2875" t="inlineStr">
        <is>
          <t>21-May-2025 06:00 PM</t>
        </is>
      </c>
      <c r="E2875" t="inlineStr">
        <is>
          <t>10,00,000</t>
        </is>
      </c>
      <c r="F2875" t="inlineStr">
        <is>
          <t>Under the SBM Scheme work including garbage collection and separation from households and commercial establishments, road and drain cleaning, and cleaning of community sanitation premises in all the villages of the Gram Panchayat Bubkiya</t>
        </is>
      </c>
      <c r="G2875" t="inlineStr">
        <is>
          <t>At GP Level</t>
        </is>
      </c>
    </row>
    <row r="2876">
      <c r="A2876" s="1" t="n">
        <v>2874</v>
      </c>
      <c r="B2876">
        <f>HYPERLINK("https://eproc.rajasthan.gov.in/nicgep/app?component=%24DirectLink&amp;page=FrontEndViewTender&amp;service=direct&amp;session=T&amp;sp=SJ%2FmRBZvgM%2BjatDbhNwfUBA%3D%3D", "Under the SBM Scheme work including garbage collection and separation from households and commercial establishments, road and drain cleaning, and cleaning of community sanitation premises in all the villages of the Gram Panchayat Bhinai")</f>
        <v/>
      </c>
      <c r="C2876" t="inlineStr">
        <is>
          <t>Panchayati Raj Department||Secretary and Commissioner||CEO-AJMER||BDO-BHINAI</t>
        </is>
      </c>
      <c r="D2876" t="inlineStr">
        <is>
          <t>21-May-2025 06:00 PM</t>
        </is>
      </c>
      <c r="E2876" t="inlineStr">
        <is>
          <t>14,00,000</t>
        </is>
      </c>
      <c r="F2876" t="inlineStr">
        <is>
          <t>Under the SBM Scheme work including garbage collection and separation from households and commercial establishments, road and drain cleaning, and cleaning of community sanitation premises in all the villages of the Gram Panchayat Bhinai</t>
        </is>
      </c>
      <c r="G2876" t="inlineStr">
        <is>
          <t>At GP Level</t>
        </is>
      </c>
    </row>
    <row r="2877">
      <c r="A2877" s="1" t="n">
        <v>2875</v>
      </c>
      <c r="B2877">
        <f>HYPERLINK("https://eproc.rajasthan.gov.in/nicgep/app?component=%24DirectLink&amp;page=FrontEndViewTender&amp;service=direct&amp;session=T&amp;sp=S4flH6TnB6w9K1FzhfGgjtg%3D%3D", "Under the SBM Scheme work including garbage collection and separation from households and commercial establishments, road and drain cleaning, and cleaning of community sanitation premises in all the villages of the Gram Panchayat Bandanwara")</f>
        <v/>
      </c>
      <c r="C2877" t="inlineStr">
        <is>
          <t>Panchayati Raj Department||Secretary and Commissioner||CEO-AJMER||BDO-BHINAI</t>
        </is>
      </c>
      <c r="D2877" t="inlineStr">
        <is>
          <t>21-May-2025 06:00 PM</t>
        </is>
      </c>
      <c r="E2877" t="inlineStr">
        <is>
          <t>14,80,000</t>
        </is>
      </c>
      <c r="F2877" t="inlineStr">
        <is>
          <t>Under the SBM Scheme work including garbage collection and separation from households and commercial establishments, road and drain cleaning, and cleaning of community sanitation premises in all the villages of the Gram Panchayat Bandanwara</t>
        </is>
      </c>
      <c r="G2877" t="inlineStr">
        <is>
          <t>At GP Level</t>
        </is>
      </c>
    </row>
    <row r="2878">
      <c r="A2878" s="1" t="n">
        <v>2876</v>
      </c>
      <c r="B2878">
        <f>HYPERLINK("https://eproc.rajasthan.gov.in/nicgep/app?component=%24DirectLink&amp;page=FrontEndViewTender&amp;service=direct&amp;session=T&amp;sp=SkPng37G8YNoKLgivKfyWoQ%3D%3D", "Under the SBM Scheme work including garbage collection and separation from households and commercial establishments, road and drain cleaning, and cleaning of community sanitation premises in all the villages of the Gram Panchayat Badli")</f>
        <v/>
      </c>
      <c r="C2878" t="inlineStr">
        <is>
          <t>Panchayati Raj Department||Secretary and Commissioner||CEO-AJMER||BDO-BHINAI</t>
        </is>
      </c>
      <c r="D2878" t="inlineStr">
        <is>
          <t>21-May-2025 06:00 PM</t>
        </is>
      </c>
      <c r="E2878" t="inlineStr">
        <is>
          <t>8,00,000</t>
        </is>
      </c>
      <c r="F2878" t="inlineStr">
        <is>
          <t>Under the SBM Scheme work including garbage collection and separation from households and commercial establishments, road and drain cleaning, and cleaning of community sanitation premises in all the villages of the Gram Panchayat Badli</t>
        </is>
      </c>
      <c r="G2878" t="inlineStr">
        <is>
          <t>At GP Level</t>
        </is>
      </c>
    </row>
    <row r="2879">
      <c r="A2879" s="1" t="n">
        <v>2877</v>
      </c>
      <c r="B2879">
        <f>HYPERLINK("https://eproc.rajasthan.gov.in/nicgep/app?component=%24DirectLink&amp;page=FrontEndViewTender&amp;service=direct&amp;session=T&amp;sp=STKZ2yLBKt6FmRskaVCnpVQ%3D%3D", "Under the SBM Scheme work including garbage collection and separation from households and commercial establishments, road and drain cleaning, and cleaning of community sanitation premises in all the villages of the Gram Panchayat Badgaon")</f>
        <v/>
      </c>
      <c r="C2879" t="inlineStr">
        <is>
          <t>Panchayati Raj Department||Secretary and Commissioner||CEO-AJMER||BDO-BHINAI</t>
        </is>
      </c>
      <c r="D2879" t="inlineStr">
        <is>
          <t>21-May-2025 06:00 PM</t>
        </is>
      </c>
      <c r="E2879" t="inlineStr">
        <is>
          <t>9,00,000</t>
        </is>
      </c>
      <c r="F2879" t="inlineStr">
        <is>
          <t>Under the SBM Scheme work including garbage collection and separation from households and commercial establishments, road and drain cleaning, and cleaning of community sanitation premises in all the villages of the Gram Panchayat Badgaon</t>
        </is>
      </c>
      <c r="G2879" t="inlineStr">
        <is>
          <t>At GP Level</t>
        </is>
      </c>
    </row>
    <row r="2880">
      <c r="A2880" s="1" t="n">
        <v>2878</v>
      </c>
      <c r="B2880">
        <f>HYPERLINK("https://eproc.rajasthan.gov.in/nicgep/app?component=%24DirectLink&amp;page=FrontEndViewTender&amp;service=direct&amp;session=T&amp;sp=SZZB05OfZIcuh8Ht%2Fb7gaUg%3D%3D", "Under the SBM Scheme work including garbage collection and separation from households and commercial establishments, road and drain cleaning, and cleaning of community sanitation premises in all the villages of the Gram Panchayat Chapaneri")</f>
        <v/>
      </c>
      <c r="C2880" t="inlineStr">
        <is>
          <t>Panchayati Raj Department||Secretary and Commissioner||CEO-AJMER||BDO-BHINAI</t>
        </is>
      </c>
      <c r="D2880" t="inlineStr">
        <is>
          <t>21-May-2025 06:00 PM</t>
        </is>
      </c>
      <c r="E2880" t="inlineStr">
        <is>
          <t>9,00,000</t>
        </is>
      </c>
      <c r="F2880" t="inlineStr">
        <is>
          <t>Under the SBM Scheme work including garbage collection and separation from households and commercial establishments, road and drain cleaning, and cleaning of community sanitation premises in all the villages of the Gram Panchayat Chapaneri</t>
        </is>
      </c>
      <c r="G2880" t="inlineStr">
        <is>
          <t>At GP Level</t>
        </is>
      </c>
    </row>
    <row r="2881">
      <c r="A2881" s="1" t="n">
        <v>2879</v>
      </c>
      <c r="B2881">
        <f>HYPERLINK("https://eproc.rajasthan.gov.in/nicgep/app?component=%24DirectLink&amp;page=FrontEndViewTender&amp;service=direct&amp;session=T&amp;sp=SrGunzX%2BGNXfHjyLFidw5pw%3D%3D", "MNREGA EVM ANY YOJNAO ME NIRMAN SAMGRI AAPURTI KI NIVIDA GRAM PANCHAYAT BICHI")</f>
        <v/>
      </c>
      <c r="C2881" t="inlineStr">
        <is>
          <t>Panchayati Raj Department||Secretary and Commissioner||CEO- JAIPUR||BDO-MADHORAJ PURA</t>
        </is>
      </c>
      <c r="D2881" t="inlineStr">
        <is>
          <t>19-May-2025 12:00 PM</t>
        </is>
      </c>
      <c r="E2881" t="inlineStr">
        <is>
          <t>80,00,000</t>
        </is>
      </c>
      <c r="F2881" t="inlineStr">
        <is>
          <t>MNREGA EVM ANY YOJNAO ME NIRMAN SAMGRI AAPURTI KI NIVIDA GRAM PANCHAYAT BICHI</t>
        </is>
      </c>
      <c r="G2881" t="inlineStr">
        <is>
          <t>GRAM PANCHAYAT BICHI</t>
        </is>
      </c>
    </row>
    <row r="2882">
      <c r="A2882" s="1" t="n">
        <v>2880</v>
      </c>
      <c r="B2882">
        <f>HYPERLINK("https://eproc.rajasthan.gov.in/nicgep/app?component=%24DirectLink&amp;page=FrontEndViewTender&amp;service=direct&amp;session=T&amp;sp=SivHen%2FgGHaVkLYp5BxDp6g%3D%3D", "Under the SBM Scheme work including garbage collection and separation from households and commercial establishments, road and drain cleaning, and cleaning of community sanitation premises in all the villages of the Gram Panchayat Chachundara")</f>
        <v/>
      </c>
      <c r="C2882" t="inlineStr">
        <is>
          <t>Panchayati Raj Department||Secretary and Commissioner||CEO-AJMER||BDO-BHINAI</t>
        </is>
      </c>
      <c r="D2882" t="inlineStr">
        <is>
          <t>21-May-2025 06:00 PM</t>
        </is>
      </c>
      <c r="E2882" t="inlineStr">
        <is>
          <t>13,90,000</t>
        </is>
      </c>
      <c r="F2882" t="inlineStr">
        <is>
          <t>Under the SBM Scheme work including garbage collection and separation from households and commercial establishments, road and drain cleaning, and cleaning of community sanitation premises in all the villages of the Gram Panchayat Chachundara</t>
        </is>
      </c>
      <c r="G2882" t="inlineStr">
        <is>
          <t>At GP Level</t>
        </is>
      </c>
    </row>
    <row r="2883">
      <c r="A2883" s="1" t="n">
        <v>2881</v>
      </c>
      <c r="B2883">
        <f>HYPERLINK("https://eproc.rajasthan.gov.in/nicgep/app?component=%24DirectLink&amp;page=FrontEndViewTender&amp;service=direct&amp;session=T&amp;sp=SzvMJz8%2BF5cDX9DjcADa6Og%3D%3D", "SUPPLY OF BUILDING MATERIAL AND EQUIPMENT IN GP Bool PS DHORIMANA")</f>
        <v/>
      </c>
      <c r="C2883" t="inlineStr">
        <is>
          <t>Panchayati Raj Department||Secretary and Commissioner||CEO-BADMER||BDO-DHORIMANNA</t>
        </is>
      </c>
      <c r="D2883" t="inlineStr">
        <is>
          <t>19-May-2025 06:00 PM</t>
        </is>
      </c>
      <c r="E2883" t="inlineStr">
        <is>
          <t>80,00,000</t>
        </is>
      </c>
      <c r="F2883" t="inlineStr">
        <is>
          <t>SUPPLY OF BUILDING MATERIAL AND EQUIPMENT IN GP Bool PS DHORIMANA</t>
        </is>
      </c>
      <c r="G2883" t="inlineStr">
        <is>
          <t>GP Bool</t>
        </is>
      </c>
    </row>
    <row r="2884">
      <c r="A2884" s="1" t="n">
        <v>2882</v>
      </c>
      <c r="B2884">
        <f>HYPERLINK("https://eproc.rajasthan.gov.in/nicgep/app?component=%24DirectLink&amp;page=FrontEndViewTender&amp;service=direct&amp;session=T&amp;sp=SHjppRg8LFkKKrWoU%2Bl8c%2FA%3D%3D", "Under the SBM Scheme work including garbage collection and separation from households and commercial establishments, road and drain cleaning, and cleaning of community sanitation premises in all the villages of the Gram Panchayat Devliyakala")</f>
        <v/>
      </c>
      <c r="C2884" t="inlineStr">
        <is>
          <t>Panchayati Raj Department||Secretary and Commissioner||CEO-AJMER||BDO-BHINAI</t>
        </is>
      </c>
      <c r="D2884" t="inlineStr">
        <is>
          <t>21-May-2025 06:00 PM</t>
        </is>
      </c>
      <c r="E2884" t="inlineStr">
        <is>
          <t>13,20,000</t>
        </is>
      </c>
      <c r="F2884" t="inlineStr">
        <is>
          <t>Under the SBM Scheme work including garbage collection and separation from households and commercial establishments, road and drain cleaning, and cleaning of community sanitation premises in all the villages of the Gram Panchayat Devliyakala</t>
        </is>
      </c>
      <c r="G2884" t="inlineStr">
        <is>
          <t>At GP Level</t>
        </is>
      </c>
    </row>
    <row r="2885">
      <c r="A2885" s="1" t="n">
        <v>2883</v>
      </c>
      <c r="B2885">
        <f>HYPERLINK("https://eproc.rajasthan.gov.in/nicgep/app?component=%24DirectLink&amp;page=FrontEndViewTender&amp;service=direct&amp;session=T&amp;sp=Sg7jwUEuczrO%2F05N1oc6zmw%3D%3D", "Under the SBM Scheme work including garbage collection and separation from households and commercial establishments, road and drain cleaning, and cleaning of community sanitation premises in all the villages of the Gram Panchayat Devpura")</f>
        <v/>
      </c>
      <c r="C2885" t="inlineStr">
        <is>
          <t>Panchayati Raj Department||Secretary and Commissioner||CEO-AJMER||BDO-BHINAI</t>
        </is>
      </c>
      <c r="D2885" t="inlineStr">
        <is>
          <t>21-May-2025 06:00 PM</t>
        </is>
      </c>
      <c r="E2885" t="inlineStr">
        <is>
          <t>9,50,000</t>
        </is>
      </c>
      <c r="F2885" t="inlineStr">
        <is>
          <t>Under the SBM Scheme work including garbage collection and separation from households and commercial establishments, road and drain cleaning, and cleaning of community sanitation premises in all the villages of the Gram Panchayat Devpura</t>
        </is>
      </c>
      <c r="G2885" t="inlineStr">
        <is>
          <t>At GP Level</t>
        </is>
      </c>
    </row>
    <row r="2886">
      <c r="A2886" s="1" t="n">
        <v>2884</v>
      </c>
      <c r="B2886">
        <f>HYPERLINK("https://eproc.rajasthan.gov.in/nicgep/app?component=%24DirectLink&amp;page=FrontEndViewTender&amp;service=direct&amp;session=T&amp;sp=SGX60VD8aJlxpjaXpTT2KhQ%3D%3D", "Under the SBM Scheme work including garbage collection and separation from households and commercial establishments, road and drain cleaning, and cleaning of community sanitation premises in all the villages of the Gram Panchayat Dhantol")</f>
        <v/>
      </c>
      <c r="C2886" t="inlineStr">
        <is>
          <t>Panchayati Raj Department||Secretary and Commissioner||CEO-AJMER||BDO-BHINAI</t>
        </is>
      </c>
      <c r="D2886" t="inlineStr">
        <is>
          <t>21-May-2025 06:00 PM</t>
        </is>
      </c>
      <c r="E2886" t="inlineStr">
        <is>
          <t>7,00,000</t>
        </is>
      </c>
      <c r="F2886" t="inlineStr">
        <is>
          <t>Under the SBM Scheme work including garbage collection and separation from households and commercial establishments, road and drain cleaning, and cleaning of community sanitation premises in all the villages of the Gram Panchayat Dhantol</t>
        </is>
      </c>
      <c r="G2886" t="inlineStr">
        <is>
          <t>At GP Level</t>
        </is>
      </c>
    </row>
    <row r="2887">
      <c r="A2887" s="1" t="n">
        <v>2885</v>
      </c>
      <c r="B2887">
        <f>HYPERLINK("https://eproc.rajasthan.gov.in/nicgep/app?component=%24DirectLink&amp;page=FrontEndViewTender&amp;service=direct&amp;session=T&amp;sp=SFJO%2BpeT4MKDbn2tDcfaXdA%3D%3D", "Material Supply for MGNREGA Work in GP Lakhaniyo ki Dhani patodi")</f>
        <v/>
      </c>
      <c r="C2887" t="inlineStr">
        <is>
          <t>Panchayati Raj Department||Secretary and Commissioner||CEO-BADMER||BDO-PATODI</t>
        </is>
      </c>
      <c r="D2887" t="inlineStr">
        <is>
          <t>19-May-2025 06:00 PM</t>
        </is>
      </c>
      <c r="E2887" t="inlineStr">
        <is>
          <t>90,00,000</t>
        </is>
      </c>
      <c r="F2887" t="inlineStr">
        <is>
          <t>Material Supply for MGNREGA Work in GP Lakhaniyo ki Dhani patodi</t>
        </is>
      </c>
      <c r="G2887" t="inlineStr">
        <is>
          <t>GP Lakhaniyo ki Dhani</t>
        </is>
      </c>
    </row>
    <row r="2888">
      <c r="A2888" s="1" t="n">
        <v>2886</v>
      </c>
      <c r="B2888">
        <f>HYPERLINK("https://eproc.rajasthan.gov.in/nicgep/app?component=%24DirectLink&amp;page=FrontEndViewTender&amp;service=direct&amp;session=T&amp;sp=Stbcw72%2FnnlVk5TRFgqnpAg%3D%3D", "Material Supply for MGNREGA Work in GP Okatiya Bera patodi")</f>
        <v/>
      </c>
      <c r="C2888" t="inlineStr">
        <is>
          <t>Panchayati Raj Department||Secretary and Commissioner||CEO-BADMER||BDO-PATODI</t>
        </is>
      </c>
      <c r="D2888" t="inlineStr">
        <is>
          <t>19-May-2025 06:00 PM</t>
        </is>
      </c>
      <c r="E2888" t="inlineStr">
        <is>
          <t>60,00,000</t>
        </is>
      </c>
      <c r="F2888" t="inlineStr">
        <is>
          <t>Material Supply for MGNREGA Work in GP Okatiya Bera ps patodi</t>
        </is>
      </c>
      <c r="G2888" t="inlineStr">
        <is>
          <t>Gram Panchayat Okatiya Bera</t>
        </is>
      </c>
    </row>
    <row r="2889">
      <c r="A2889" s="1" t="n">
        <v>2887</v>
      </c>
      <c r="B2889">
        <f>HYPERLINK("https://eproc.rajasthan.gov.in/nicgep/app?component=%24DirectLink&amp;page=FrontEndViewTender&amp;service=direct&amp;session=T&amp;sp=SDxRP0u0BkewmStfMWTlqQQ%3D%3D", "Rate Contract for BSR 2025-26 FOR MATERIAL AND EQUIPMENT SUPPLY FOR GRAM PANCHAYAT HAMIRA")</f>
        <v/>
      </c>
      <c r="C2889" t="inlineStr">
        <is>
          <t>Panchayati Raj Department||Secretary and Commissioner||CEO- JAISALMER||BDO-JAISALMER</t>
        </is>
      </c>
      <c r="D2889" t="inlineStr">
        <is>
          <t>19-May-2025 10:00 AM</t>
        </is>
      </c>
      <c r="E2889" t="inlineStr">
        <is>
          <t>NA</t>
        </is>
      </c>
      <c r="F2889" t="inlineStr">
        <is>
          <t>Rate Contract for BSR 2025-26 FOR MATERIAL AND EQUIPMENT SUPPLY FOR GRAM PANCHAYAT HAMIRA</t>
        </is>
      </c>
      <c r="G2889" t="inlineStr">
        <is>
          <t>GRAM PANCHAYAT HAMIRA</t>
        </is>
      </c>
    </row>
    <row r="2890">
      <c r="A2890" s="1" t="n">
        <v>2888</v>
      </c>
      <c r="B2890">
        <f>HYPERLINK("https://eproc.rajasthan.gov.in/nicgep/app?component=%24DirectLink&amp;page=FrontEndViewTender&amp;service=direct&amp;session=T&amp;sp=SyRrWkTt4ZXHTwIBer1L7qw%3D%3D", "RATE CONTRACT FOR SUPPLY OF MATERIAL AND EQUIPMENT FOR CIVIL CONSTRUCTION UNDER MGNREGA AND OTHER DEVELOPMENT SCHEMES UNDER GRAM PANCHAYAT DANTIWAS FY 2025")</f>
        <v/>
      </c>
      <c r="C2890" t="inlineStr">
        <is>
          <t>Panchayati Raj Department||Secretary and Commissioner||CEO- JALORE||BDO- BHINMAL</t>
        </is>
      </c>
      <c r="D2890" t="inlineStr">
        <is>
          <t>18-May-2025 09:30 AM</t>
        </is>
      </c>
      <c r="E2890" t="inlineStr">
        <is>
          <t>99,00,000</t>
        </is>
      </c>
      <c r="F2890" t="inlineStr">
        <is>
          <t>RATE CONTRACT FOR SUPPLY OF MATERIAL AND EQUIPMENT FOR CIVIL CONSTRUCTION UNDER MGNREGA AND OTHER DEVELOPMENT SCHEMES UNDER GRAM PANCHAYAT DANTIWAS FY 2025</t>
        </is>
      </c>
      <c r="G2890" t="inlineStr">
        <is>
          <t>GP DANTIWAS PS BHINMAL</t>
        </is>
      </c>
    </row>
    <row r="2891">
      <c r="A2891" s="1" t="n">
        <v>2889</v>
      </c>
      <c r="B2891">
        <f>HYPERLINK("https://eproc.rajasthan.gov.in/nicgep/app?component=%24DirectLink&amp;page=FrontEndViewTender&amp;service=direct&amp;session=T&amp;sp=SBkqCx%2BctMbugVcFTxlj%2B7g%3D%3D", "Rate Contract for BSR 2025-26 FOR MATERIAL AND EQUIPMENT SUPPLY FOR GRAM PANCHAYAT RIDVA")</f>
        <v/>
      </c>
      <c r="C2891" t="inlineStr">
        <is>
          <t>Panchayati Raj Department||Secretary and Commissioner||CEO- JAISALMER||BDO-JAISALMER</t>
        </is>
      </c>
      <c r="D2891" t="inlineStr">
        <is>
          <t>19-May-2025 10:00 AM</t>
        </is>
      </c>
      <c r="E2891" t="inlineStr">
        <is>
          <t>NA</t>
        </is>
      </c>
      <c r="F2891" t="inlineStr">
        <is>
          <t>Rate Contract for BSR 2025-26 FOR MATERIAL AND EQUIPMENT SUPPLY FOR GRAM PANCHAYAT RIDVA</t>
        </is>
      </c>
      <c r="G2891" t="inlineStr">
        <is>
          <t>GRAM PANCHAYAT RIDVA</t>
        </is>
      </c>
    </row>
    <row r="2892">
      <c r="A2892" s="1" t="n">
        <v>2890</v>
      </c>
      <c r="B2892">
        <f>HYPERLINK("https://eproc.rajasthan.gov.in/nicgep/app?component=%24DirectLink&amp;page=FrontEndViewTender&amp;service=direct&amp;session=T&amp;sp=SQcr5D0dzhVd%2FS3CRer4I8A%3D%3D", "Material Supply for MGNREGA Work in gram panchayat kasarpura patodi")</f>
        <v/>
      </c>
      <c r="C2892" t="inlineStr">
        <is>
          <t>Panchayati Raj Department||Secretary and Commissioner||CEO-BADMER||BDO-PATODI</t>
        </is>
      </c>
      <c r="D2892" t="inlineStr">
        <is>
          <t>19-May-2025 06:00 PM</t>
        </is>
      </c>
      <c r="E2892" t="inlineStr">
        <is>
          <t>60,00,000</t>
        </is>
      </c>
      <c r="F2892" t="inlineStr">
        <is>
          <t>Material Supply for MGNREGA Work in gram panchayat kasarpura patodi</t>
        </is>
      </c>
      <c r="G2892" t="inlineStr">
        <is>
          <t>Gram Panchayat Kasarpura</t>
        </is>
      </c>
    </row>
    <row r="2893">
      <c r="A2893" s="1" t="n">
        <v>2891</v>
      </c>
      <c r="B2893">
        <f>HYPERLINK("https://eproc.rajasthan.gov.in/nicgep/app?component=%24DirectLink&amp;page=FrontEndViewTender&amp;service=direct&amp;session=T&amp;sp=SVafS%2FMBtbYEvig5kwAQARQ%3D%3D", "Construction works GP Undu")</f>
        <v/>
      </c>
      <c r="C2893" t="inlineStr">
        <is>
          <t>Panchayati Raj Department||Secretary and Commissioner||CEO-BADMER||BDO-SHIV</t>
        </is>
      </c>
      <c r="D2893" t="inlineStr">
        <is>
          <t>19-May-2025 06:00 PM</t>
        </is>
      </c>
      <c r="E2893" t="inlineStr">
        <is>
          <t>10,00,000</t>
        </is>
      </c>
      <c r="F2893" t="inlineStr">
        <is>
          <t>Construction work Sarvjanik vachnalay nirman GP Undu</t>
        </is>
      </c>
      <c r="G2893" t="inlineStr">
        <is>
          <t>Gram Panchayat Undu</t>
        </is>
      </c>
    </row>
    <row r="2894">
      <c r="A2894" s="1" t="n">
        <v>2892</v>
      </c>
      <c r="B2894">
        <f>HYPERLINK("https://eproc.rajasthan.gov.in/nicgep/app?component=%24DirectLink&amp;page=FrontEndViewTender&amp;service=direct&amp;session=T&amp;sp=SSz1F1t2p%2Bl%2FEQ7twIz4mVg%3D%3D", "ghar ghar kchara sangran etc")</f>
        <v/>
      </c>
      <c r="C2894" t="inlineStr">
        <is>
          <t>Panchayati Raj Department||Secretary and Commissioner||CEO-CHURU||BDO-SUJANGARH</t>
        </is>
      </c>
      <c r="D2894" t="inlineStr">
        <is>
          <t>20-May-2025 06:00 PM</t>
        </is>
      </c>
      <c r="E2894" t="inlineStr">
        <is>
          <t>8,27,884</t>
        </is>
      </c>
      <c r="F2894" t="inlineStr">
        <is>
          <t>ghar ghar kchara sangran etc</t>
        </is>
      </c>
      <c r="G2894" t="inlineStr">
        <is>
          <t>GP NORANGASAR</t>
        </is>
      </c>
    </row>
    <row r="2895">
      <c r="A2895" s="1" t="n">
        <v>2893</v>
      </c>
      <c r="B2895">
        <f>HYPERLINK("https://eproc.rajasthan.gov.in/nicgep/app?component=%24DirectLink&amp;page=FrontEndViewTender&amp;service=direct&amp;session=T&amp;sp=STqBz2qFyzq92SM76IZxxQA%3D%3D", "Rate contract For Supply of Construction Material and Providing Equipments for MGNREGA and Rural Development and Panchayati Raj departments various schemes at Gram Panchayat Liloj Panchayat Samiti Baswa Dist Dausa For FY 2025-26")</f>
        <v/>
      </c>
      <c r="C2895" t="inlineStr">
        <is>
          <t>Panchayati Raj Department||Secretary and Commissioner||CEO-DAUSA||BDO-BASWA</t>
        </is>
      </c>
      <c r="D2895" t="inlineStr">
        <is>
          <t>19-May-2025 05:00 PM</t>
        </is>
      </c>
      <c r="E2895" t="inlineStr">
        <is>
          <t>50,00,000</t>
        </is>
      </c>
      <c r="F2895" t="inlineStr">
        <is>
          <t>Rate contract For Supply of Construction Material and Providing Equipments for MGNREGA and Rural Development and Panchayati Raj departments various schemes at Gram Panchayat Liloj Panchayat Samiti Baswa Dist Dausa For FY 2025-26</t>
        </is>
      </c>
      <c r="G2895" t="inlineStr">
        <is>
          <t>GRAM PANCHYAT LILOJ</t>
        </is>
      </c>
    </row>
    <row r="2896">
      <c r="A2896" s="1" t="n">
        <v>2894</v>
      </c>
      <c r="B2896">
        <f>HYPERLINK("https://eproc.rajasthan.gov.in/nicgep/app?component=%24DirectLink&amp;page=FrontEndViewTender&amp;service=direct&amp;session=T&amp;sp=SIEy4J4vaAIdUsYHm7fzDnw%3D%3D", "MATERIALS AND EQUIPMENT SUPPLY IN MGREGA AND RDPRD SCHEME GP MANGLOD")</f>
        <v/>
      </c>
      <c r="C2896" t="inlineStr">
        <is>
          <t>Panchayati Raj Department||Secretary and Commissioner||CEO-NAGORE||BDO-JAYAL</t>
        </is>
      </c>
      <c r="D2896" t="inlineStr">
        <is>
          <t>27-May-2025 06:00 PM</t>
        </is>
      </c>
      <c r="E2896" t="inlineStr">
        <is>
          <t>50,00,000</t>
        </is>
      </c>
      <c r="F2896" t="inlineStr">
        <is>
          <t>MATERIALS AND EQUIPMENT SUPPLY IN MGREGA AND RDRD SCHEME GP MANGLOD</t>
        </is>
      </c>
      <c r="G2896" t="inlineStr">
        <is>
          <t>GP MANGLOD</t>
        </is>
      </c>
    </row>
    <row r="2897">
      <c r="A2897" s="1" t="n">
        <v>2895</v>
      </c>
      <c r="B2897">
        <f>HYPERLINK("https://eproc.rajasthan.gov.in/nicgep/app?component=%24DirectLink&amp;page=FrontEndViewTender&amp;service=direct&amp;session=T&amp;sp=S8MrQklTh0Q9E3r19KUUOgw%3D%3D", "SUPPLY OF CONSTRUCTION MATERIAL AND PROVIDING EQUIPMENT IN GRAM PANCHAYAT BHANWARI OF PANCHAYAT SAMITI PALI, DIST.- PALI")</f>
        <v/>
      </c>
      <c r="C2897" t="inlineStr">
        <is>
          <t>Panchayati Raj Department||Secretary and Commissioner||CEO-PALI||BDO-PALI</t>
        </is>
      </c>
      <c r="D2897" t="inlineStr">
        <is>
          <t>19-May-2025 05:00 PM</t>
        </is>
      </c>
      <c r="E2897" t="inlineStr">
        <is>
          <t>40,00,000</t>
        </is>
      </c>
      <c r="F2897" t="inlineStr">
        <is>
          <t>SUPPLY OF CONSTRUCTION MATERIAL AND PROVIDING EQUIPMENT IN GRAM PANCHAYAT BHANWARI OF PANCHAYAT SAMITI PALI, DIST.- PALI</t>
        </is>
      </c>
      <c r="G2897" t="inlineStr">
        <is>
          <t>Gram Panchayat Bhanwari</t>
        </is>
      </c>
    </row>
    <row r="2898">
      <c r="A2898" s="1" t="n">
        <v>2896</v>
      </c>
      <c r="B2898">
        <f>HYPERLINK("https://eproc.rajasthan.gov.in/nicgep/app?component=%24DirectLink&amp;page=FrontEndViewTender&amp;service=direct&amp;session=T&amp;sp=SJ8mx8tExHTeT%2ByagOK4niA%3D%3D", "ghar ghar kchara sangran etc")</f>
        <v/>
      </c>
      <c r="C2898" t="inlineStr">
        <is>
          <t>Panchayati Raj Department||Secretary and Commissioner||CEO-CHURU||BDO-SUJANGARH</t>
        </is>
      </c>
      <c r="D2898" t="inlineStr">
        <is>
          <t>20-May-2025 06:00 PM</t>
        </is>
      </c>
      <c r="E2898" t="inlineStr">
        <is>
          <t>9,72,271</t>
        </is>
      </c>
      <c r="F2898" t="inlineStr">
        <is>
          <t>ghar ghar kchara sangran etc</t>
        </is>
      </c>
      <c r="G2898" t="inlineStr">
        <is>
          <t>GP BHIMSAR</t>
        </is>
      </c>
    </row>
    <row r="2899">
      <c r="A2899" s="1" t="n">
        <v>2897</v>
      </c>
      <c r="B2899">
        <f>HYPERLINK("https://eproc.rajasthan.gov.in/nicgep/app?component=%24DirectLink&amp;page=FrontEndViewTender&amp;service=direct&amp;session=T&amp;sp=SwUKpmiJA74ZbpcZKMLN7UA%3D%3D", "ghar ghar kchara sangran etc")</f>
        <v/>
      </c>
      <c r="C2899" t="inlineStr">
        <is>
          <t>Panchayati Raj Department||Secretary and Commissioner||CEO-CHURU||BDO-SUJANGARH</t>
        </is>
      </c>
      <c r="D2899" t="inlineStr">
        <is>
          <t>21-May-2025 11:00 AM</t>
        </is>
      </c>
      <c r="E2899" t="inlineStr">
        <is>
          <t>9,62,330</t>
        </is>
      </c>
      <c r="F2899" t="inlineStr">
        <is>
          <t>ghar ghar kchara sangran etc</t>
        </is>
      </c>
      <c r="G2899" t="inlineStr">
        <is>
          <t>GP KHURI</t>
        </is>
      </c>
    </row>
    <row r="2900">
      <c r="A2900" s="1" t="n">
        <v>2898</v>
      </c>
      <c r="B2900">
        <f>HYPERLINK("https://eproc.rajasthan.gov.in/nicgep/app?component=%24DirectLink&amp;page=FrontEndViewTender&amp;service=direct&amp;session=T&amp;sp=SDQrlIsbT70zNrQ8VoOrtdg%3D%3D", "gpabsar meterial supply for narega and rd")</f>
        <v/>
      </c>
      <c r="C2900" t="inlineStr">
        <is>
          <t>Panchayati Raj Department||Secretary and Commissioner||CEO-CHURU||BDO-SUJANGARH</t>
        </is>
      </c>
      <c r="D2900" t="inlineStr">
        <is>
          <t>19-May-2025 06:00 PM</t>
        </is>
      </c>
      <c r="E2900" t="inlineStr">
        <is>
          <t>1,00,00,000</t>
        </is>
      </c>
      <c r="F2900" t="inlineStr">
        <is>
          <t>gpabsar meterial supply for narega and rd</t>
        </is>
      </c>
      <c r="G2900" t="inlineStr">
        <is>
          <t>gp absar</t>
        </is>
      </c>
    </row>
    <row r="2901">
      <c r="A2901" s="1" t="n">
        <v>2899</v>
      </c>
      <c r="B2901">
        <f>HYPERLINK("https://eproc.rajasthan.gov.in/nicgep/app?component=%24DirectLink&amp;page=FrontEndViewTender&amp;service=direct&amp;session=T&amp;sp=Sn2P1YNAvP%2BVOciQbS6Yz3A%3D%3D", "Rate contract for Work Including Garbage Collection and Separation from Households and Commercial Establishments, Road and Drain cleaning, Cleaning of CSCs in all villages of Gram panchayat Jojawar")</f>
        <v/>
      </c>
      <c r="C2901" t="inlineStr">
        <is>
          <t>Panchayati Raj Department||Secretary and Commissioner||CEO-PALI||BDO-MARWAR JN.</t>
        </is>
      </c>
      <c r="D2901" t="inlineStr">
        <is>
          <t>19-May-2025 09:00 AM</t>
        </is>
      </c>
      <c r="E2901" t="inlineStr">
        <is>
          <t>18,30,960</t>
        </is>
      </c>
      <c r="F2901" t="inlineStr">
        <is>
          <t>Rate contract for Work Including Garbage Collection and Separation from Households and Commercial Establishments, Road and Drain cleaning, Cleaning of CSCs in all villages of Gram panchayat Jojawar</t>
        </is>
      </c>
      <c r="G2901" t="inlineStr">
        <is>
          <t>GP Jojawar</t>
        </is>
      </c>
    </row>
    <row r="2902">
      <c r="A2902" s="1" t="n">
        <v>2900</v>
      </c>
      <c r="B2902">
        <f>HYPERLINK("https://eproc.rajasthan.gov.in/nicgep/app?component=%24DirectLink&amp;page=FrontEndViewTender&amp;service=direct&amp;session=T&amp;sp=S0LU6%2BzbqC3pCC78hNN9U6g%3D%3D", "work construction of gram panchayat bhawan suvidha vistar and sudharidhikarn work gram panchayat bhambhu nagar ps adel")</f>
        <v/>
      </c>
      <c r="C2902" t="inlineStr">
        <is>
          <t>Panchayati Raj Department||Secretary and Commissioner||CEO-BADMER||BDO-AADEL</t>
        </is>
      </c>
      <c r="D2902" t="inlineStr">
        <is>
          <t>20-May-2025 06:00 PM</t>
        </is>
      </c>
      <c r="E2902" t="inlineStr">
        <is>
          <t>10,00,000</t>
        </is>
      </c>
      <c r="F2902" t="inlineStr">
        <is>
          <t>work construction of gram panchayat bhawan suvidha vistar and sudharidhikarn work gram panchayat bhambhu nagar ps adel</t>
        </is>
      </c>
      <c r="G2902" t="inlineStr">
        <is>
          <t>SARPANCH GRAM PANCHAYAT BHAMBHUNAGAR PS ADEL</t>
        </is>
      </c>
    </row>
    <row r="2903">
      <c r="A2903" s="1" t="n">
        <v>2901</v>
      </c>
      <c r="B2903">
        <f>HYPERLINK("https://eproc.rajasthan.gov.in/nicgep/app?component=%24DirectLink&amp;page=FrontEndViewTender&amp;service=direct&amp;session=T&amp;sp=Sg4trGvuej8ebGOm1sF6KlA%3D%3D", "SUPPLY OF CONSTRUCTION MATERIAL AND PROVIDING EQUIPMENT IN GRAM PANCHAYAT DINGAI OF PANCHAYAT SAMITI PALI, DIST.- PALI")</f>
        <v/>
      </c>
      <c r="C2903" t="inlineStr">
        <is>
          <t>Panchayati Raj Department||Secretary and Commissioner||CEO-PALI||BDO-PALI</t>
        </is>
      </c>
      <c r="D2903" t="inlineStr">
        <is>
          <t>19-May-2025 05:00 PM</t>
        </is>
      </c>
      <c r="E2903" t="inlineStr">
        <is>
          <t>35,00,000</t>
        </is>
      </c>
      <c r="F2903" t="inlineStr">
        <is>
          <t>SUPPLY OF CONSTRUCTION MATERIAL AND PROVIDING EQUIPMENT IN GRAM PANCHAYAT DINGAI OF PANCHAYAT SAMITI PALI, DIST.- PALI</t>
        </is>
      </c>
      <c r="G2903" t="inlineStr">
        <is>
          <t>Gram Panchayat Dingai</t>
        </is>
      </c>
    </row>
    <row r="2904">
      <c r="A2904" s="1" t="n">
        <v>2902</v>
      </c>
      <c r="B2904">
        <f>HYPERLINK("https://eproc.rajasthan.gov.in/nicgep/app?component=%24DirectLink&amp;page=FrontEndViewTender&amp;service=direct&amp;session=T&amp;sp=SiOvgPk4F9MpTIEzdCI3TyQ%3D%3D", "ghar ghar kchara sangran etc")</f>
        <v/>
      </c>
      <c r="C2904" t="inlineStr">
        <is>
          <t>Panchayati Raj Department||Secretary and Commissioner||CEO-CHURU||BDO-SUJANGARH</t>
        </is>
      </c>
      <c r="D2904" t="inlineStr">
        <is>
          <t>20-May-2025 06:00 PM</t>
        </is>
      </c>
      <c r="E2904" t="inlineStr">
        <is>
          <t>9,16,883</t>
        </is>
      </c>
      <c r="F2904" t="inlineStr">
        <is>
          <t>ghar ghar kchara sangran etc</t>
        </is>
      </c>
      <c r="G2904" t="inlineStr">
        <is>
          <t>GP AABSAR</t>
        </is>
      </c>
    </row>
    <row r="2905">
      <c r="A2905" s="1" t="n">
        <v>2903</v>
      </c>
      <c r="B2905">
        <f>HYPERLINK("https://eproc.rajasthan.gov.in/nicgep/app?component=%24DirectLink&amp;page=FrontEndViewTender&amp;service=direct&amp;session=T&amp;sp=Sv9OVwIjMn0NFSPS2vnTjvA%3D%3D", "Work of supply of material and equipment for Mgnarega and other development schemes in Gram panchayat GOMI PS Chitalwana For fy 2025-26")</f>
        <v/>
      </c>
      <c r="C2905" t="inlineStr">
        <is>
          <t>Panchayati Raj Department||Secretary and Commissioner||CEO- JALORE||BDO-CHITALWANA</t>
        </is>
      </c>
      <c r="D2905" t="inlineStr">
        <is>
          <t>19-May-2025 12:00 PM</t>
        </is>
      </c>
      <c r="E2905" t="inlineStr">
        <is>
          <t>49,00,000</t>
        </is>
      </c>
      <c r="F2905" t="inlineStr">
        <is>
          <t>Work of supply of material and equipment for Mgnarega and other development schemes in Gram panchayat GOMI PS Chitalwana For fy 2025-26</t>
        </is>
      </c>
      <c r="G2905" t="inlineStr">
        <is>
          <t>GRAM PANCHAYAT GOMI PS CHITALWANA</t>
        </is>
      </c>
    </row>
    <row r="2906">
      <c r="A2906" s="1" t="n">
        <v>2904</v>
      </c>
      <c r="B2906">
        <f>HYPERLINK("https://eproc.rajasthan.gov.in/nicgep/app?component=%24DirectLink&amp;page=FrontEndViewTender&amp;service=direct&amp;session=T&amp;sp=Sc%2Bl%2BggZb%2F%2FNsmME416olJw%3D%3D", "Rate contract for Work Including Garbage Collection and Separation from Households and Commercial Establishments, Road and Drain cleaning, Cleaning of CSCs in all villages of Gram Panchayat Bichpuri Gujran Panchayat Samiti Khandar")</f>
        <v/>
      </c>
      <c r="C2906" t="inlineStr">
        <is>
          <t>Panchayati Raj Department||Secretary and Commissioner||CEO-S.MADHOPUR||BDO-KHANDAR</t>
        </is>
      </c>
      <c r="D2906" t="inlineStr">
        <is>
          <t>18-May-2025 06:00 PM</t>
        </is>
      </c>
      <c r="E2906" t="inlineStr">
        <is>
          <t>21,43,000</t>
        </is>
      </c>
      <c r="F2906" t="inlineStr">
        <is>
          <t>Rate contract for Work Including Garbage Collection and Separation from Households and Commercial Establishments, Road and Drain cleaning, Cleaning of CSCs in all villages of Gram Panchayat Bichpuri Gujran Panchayat Samiti Khandar</t>
        </is>
      </c>
      <c r="G2906" t="inlineStr">
        <is>
          <t>GRAM PANCHAYAT BICHPURI GUJRAN</t>
        </is>
      </c>
    </row>
    <row r="2907">
      <c r="A2907" s="1" t="n">
        <v>2905</v>
      </c>
      <c r="B2907">
        <f>HYPERLINK("https://eproc.rajasthan.gov.in/nicgep/app?component=%24DirectLink&amp;page=FrontEndViewTender&amp;service=direct&amp;session=T&amp;sp=SCl9Qe1H0aJ2zerZjk92mJQ%3D%3D", "Work of supply of material and equipment for Mgnarega and other development schemes in Gram panchayat KESURI PS Chitalwana For fy 2025-26")</f>
        <v/>
      </c>
      <c r="C2907" t="inlineStr">
        <is>
          <t>Panchayati Raj Department||Secretary and Commissioner||CEO- JALORE||BDO-CHITALWANA</t>
        </is>
      </c>
      <c r="D2907" t="inlineStr">
        <is>
          <t>19-May-2025 12:00 PM</t>
        </is>
      </c>
      <c r="E2907" t="inlineStr">
        <is>
          <t>49,00,000</t>
        </is>
      </c>
      <c r="F2907" t="inlineStr">
        <is>
          <t>Work of supply of material and equipment for Mgnarega and other development schemes in Gram panchayat KESURI PS Chitalwana For fy 2025-26</t>
        </is>
      </c>
      <c r="G2907" t="inlineStr">
        <is>
          <t>GRAM PANCHAYAT KESURI PS CHITALWANA</t>
        </is>
      </c>
    </row>
    <row r="2908">
      <c r="A2908" s="1" t="n">
        <v>2906</v>
      </c>
      <c r="B2908">
        <f>HYPERLINK("https://eproc.rajasthan.gov.in/nicgep/app?component=%24DirectLink&amp;page=FrontEndViewTender&amp;service=direct&amp;session=T&amp;sp=SnAXJmgyu3Q1mK5g%2BoHAmTQ%3D%3D", "Gram Panchayat BRAHMAN BAIRADA All village, Home to Home Garbage collection and segregation from(residential and commercial)areas, street and drain cleaning and community sanitation,premises cleaning work,GP BRAHMAN BAIRADA PS SIKANDARA")</f>
        <v/>
      </c>
      <c r="C2908" t="inlineStr">
        <is>
          <t>Panchayati Raj Department||Secretary and Commissioner||CEO-DAUSA||BDO-SIKANDARA</t>
        </is>
      </c>
      <c r="D2908" t="inlineStr">
        <is>
          <t>19-May-2025 05:00 PM</t>
        </is>
      </c>
      <c r="E2908" t="inlineStr">
        <is>
          <t>9,47,486</t>
        </is>
      </c>
      <c r="F2908" t="inlineStr">
        <is>
          <t>Gram Panchayat BRAHMAN BAIRADA All village, Home to Home Garbage collection and segregation from(residential and commercial)areas, street and drain cleaning and community sanitation,premises cleaning work,GP BRAHMAN BAIRADA PS SIKANDARA</t>
        </is>
      </c>
      <c r="G2908" t="inlineStr">
        <is>
          <t>GRAM PACNHAYAT BRAHMAN BAIRADA</t>
        </is>
      </c>
    </row>
    <row r="2909">
      <c r="A2909" s="1" t="n">
        <v>2907</v>
      </c>
      <c r="B2909">
        <f>HYPERLINK("https://eproc.rajasthan.gov.in/nicgep/app?component=%24DirectLink&amp;page=FrontEndViewTender&amp;service=direct&amp;session=T&amp;sp=SSEuCLAJCRVt3ydGTOVMMqw%3D%3D", "GRAM PANCHAY BRAHMAN BAIRADA")</f>
        <v/>
      </c>
      <c r="C2909" t="inlineStr">
        <is>
          <t>Panchayati Raj Department||Secretary and Commissioner||CEO-DAUSA||BDO-SIKANDARA</t>
        </is>
      </c>
      <c r="D2909" t="inlineStr">
        <is>
          <t>19-May-2025 05:00 PM</t>
        </is>
      </c>
      <c r="E2909" t="inlineStr">
        <is>
          <t>21,54,000</t>
        </is>
      </c>
      <c r="F2909" t="inlineStr">
        <is>
          <t>INTERLOKING ROAD NIRMAN BRAHMAN BAIRADA GOLIYA NAHAR SE CHORAHE SE NAYAGAVASI MEENA DHANI KI OR AND OTHER KUP PATAV NIRAM work19,GP BRAHMAN BAIRADAPS SIKANDRA Dist Dausa for the FY-2025-26</t>
        </is>
      </c>
      <c r="G2909" t="inlineStr">
        <is>
          <t>GRAM PACNHAYAT BRAHMAN BAIRADA</t>
        </is>
      </c>
    </row>
    <row r="2910">
      <c r="A2910" s="1" t="n">
        <v>2908</v>
      </c>
      <c r="B2910">
        <f>HYPERLINK("https://eproc.rajasthan.gov.in/nicgep/app?component=%24DirectLink&amp;page=FrontEndViewTender&amp;service=direct&amp;session=T&amp;sp=Sy6oNYkD758R6DjmlzdGFHQ%3D%3D", "Annual Rate Contract of Material Supply and Equipment Arrangement for Year 2025-26 for Gram Panchayat KHEDIYA for MNREGA and All Other Schemes of Panchayati Raj Department")</f>
        <v/>
      </c>
      <c r="C2910" t="inlineStr">
        <is>
          <t>Panchayati Raj Department||Secretary and Commissioner||CEO-KARAULI||BDO-MASALPUR</t>
        </is>
      </c>
      <c r="D2910" t="inlineStr">
        <is>
          <t>20-May-2025 06:00 PM</t>
        </is>
      </c>
      <c r="E2910" t="inlineStr">
        <is>
          <t>1,00,00,000</t>
        </is>
      </c>
      <c r="F2910" t="inlineStr">
        <is>
          <t>Annual Rate Contract of Material Supply and Equipment Arrangement for Year 2025-26 for Gram Panchayat KHEDIYA for MNREGA and All Other Schemes of Panchayati Raj Department</t>
        </is>
      </c>
      <c r="G2910" t="inlineStr">
        <is>
          <t>KHEDIYA</t>
        </is>
      </c>
    </row>
    <row r="2911">
      <c r="A2911" s="1" t="n">
        <v>2909</v>
      </c>
      <c r="B2911">
        <f>HYPERLINK("https://eproc.rajasthan.gov.in/nicgep/app?component=%24DirectLink&amp;page=FrontEndViewTender&amp;service=direct&amp;session=T&amp;sp=Sf0GHadLUcIMK24e68o8ksQ%3D%3D", "GRAM PANCHAY SARUNDLA")</f>
        <v/>
      </c>
      <c r="C2911" t="inlineStr">
        <is>
          <t>Panchayati Raj Department||Secretary and Commissioner||CEO-DAUSA||BDO-SIKARAI</t>
        </is>
      </c>
      <c r="D2911" t="inlineStr">
        <is>
          <t>19-May-2025 05:00 PM</t>
        </is>
      </c>
      <c r="E2911" t="inlineStr">
        <is>
          <t>8,00,000</t>
        </is>
      </c>
      <c r="F2911" t="inlineStr">
        <is>
          <t>Gram Panchayat SARUNDLA All village, Home to Home Garbage collection and segregation from(residential and commercial)areas, street and drain cleaning and community sanitation,premises cleaning work,GP SARUNDLA PS SIKANDARA</t>
        </is>
      </c>
      <c r="G2911" t="inlineStr">
        <is>
          <t>GRAM PACNHAYAT SARUNDLA</t>
        </is>
      </c>
    </row>
    <row r="2912">
      <c r="A2912" s="1" t="n">
        <v>2910</v>
      </c>
      <c r="B2912">
        <f>HYPERLINK("https://eproc.rajasthan.gov.in/nicgep/app?component=%24DirectLink&amp;page=FrontEndViewTender&amp;service=direct&amp;session=T&amp;sp=SbX1eWeLwyvQSfcxsOLKUtw%3D%3D", "GRAM PANCHAYAT GAR")</f>
        <v/>
      </c>
      <c r="C2912" t="inlineStr">
        <is>
          <t>Panchayati Raj Department||Secretary and Commissioner||CEO-DAUSA||BDO-SIKARAI</t>
        </is>
      </c>
      <c r="D2912" t="inlineStr">
        <is>
          <t>19-May-2025 05:00 PM</t>
        </is>
      </c>
      <c r="E2912" t="inlineStr">
        <is>
          <t>9,70,448</t>
        </is>
      </c>
      <c r="F2912" t="inlineStr">
        <is>
          <t>Gram Panchayat GAR All village, Home to Home Garbage collection and segregation from(residential and commercial)areas, street and drain cleaning and community sanitation,premises cleaning work,GP GAR PS SIKANDARA</t>
        </is>
      </c>
      <c r="G2912" t="inlineStr">
        <is>
          <t>GRAM PANCHAYAT GAR</t>
        </is>
      </c>
    </row>
    <row r="2913">
      <c r="A2913" s="1" t="n">
        <v>2911</v>
      </c>
      <c r="B2913">
        <f>HYPERLINK("https://eproc.rajasthan.gov.in/nicgep/app?component=%24DirectLink&amp;page=FrontEndViewTender&amp;service=direct&amp;session=T&amp;sp=Sf8yy3waATgMlzQcaYVWUSw%3D%3D", "SUPPLY OF CONSTRUCTION MATERIAL AND PROVIDING EQUIPMENT IN GRAM PANCHAYAT SODAWAS OF PANCHAYAT SAMITI PALI, DIST.- PALI")</f>
        <v/>
      </c>
      <c r="C2913" t="inlineStr">
        <is>
          <t>Panchayati Raj Department||Secretary and Commissioner||CEO-PALI||BDO-PALI</t>
        </is>
      </c>
      <c r="D2913" t="inlineStr">
        <is>
          <t>19-May-2025 05:00 PM</t>
        </is>
      </c>
      <c r="E2913" t="inlineStr">
        <is>
          <t>35,00,000</t>
        </is>
      </c>
      <c r="F2913" t="inlineStr">
        <is>
          <t>SUPPLY OF CONSTRUCTION MATERIAL AND PROVIDING EQUIPMENT IN GRAM PANCHAYAT SODAWAS OF PANCHAYAT SAMITI PALI, DIST.- PALI</t>
        </is>
      </c>
      <c r="G2913" t="inlineStr">
        <is>
          <t>Gram Panchayat Sodawas</t>
        </is>
      </c>
    </row>
    <row r="2914">
      <c r="A2914" s="1" t="n">
        <v>2912</v>
      </c>
      <c r="B2914">
        <f>HYPERLINK("https://eproc.rajasthan.gov.in/nicgep/app?component=%24DirectLink&amp;page=FrontEndViewTender&amp;service=direct&amp;session=T&amp;sp=SgdnEOFgnZ0RlsxNc9djeQg%3D%3D", "gp norgsar meterial supply for narega and rd")</f>
        <v/>
      </c>
      <c r="C2914" t="inlineStr">
        <is>
          <t>Panchayati Raj Department||Secretary and Commissioner||CEO-CHURU||BDO-SUJANGARH</t>
        </is>
      </c>
      <c r="D2914" t="inlineStr">
        <is>
          <t>19-May-2025 06:00 PM</t>
        </is>
      </c>
      <c r="E2914" t="inlineStr">
        <is>
          <t>50,00,000</t>
        </is>
      </c>
      <c r="F2914" t="inlineStr">
        <is>
          <t>gp norgsar meterial supply for narega and rd</t>
        </is>
      </c>
      <c r="G2914" t="inlineStr">
        <is>
          <t>gp norgsar</t>
        </is>
      </c>
    </row>
    <row r="2915">
      <c r="A2915" s="1" t="n">
        <v>2913</v>
      </c>
      <c r="B2915">
        <f>HYPERLINK("https://eproc.rajasthan.gov.in/nicgep/app?component=%24DirectLink&amp;page=FrontEndViewTender&amp;service=direct&amp;session=T&amp;sp=S5DJyMw7Twlg3K9PIVttQOQ%3D%3D", "Annual Rate Contract of Material Supply and Equipment Arrangement for Year 2025-26 for Gram Panchayat PIPRANI for MNREGA and All Other Schemes of Panchayati Raj Department")</f>
        <v/>
      </c>
      <c r="C2915" t="inlineStr">
        <is>
          <t>Panchayati Raj Department||Secretary and Commissioner||CEO-KARAULI||BDO-MASALPUR</t>
        </is>
      </c>
      <c r="D2915" t="inlineStr">
        <is>
          <t>20-May-2025 06:00 PM</t>
        </is>
      </c>
      <c r="E2915" t="inlineStr">
        <is>
          <t>1,00,00,000</t>
        </is>
      </c>
      <c r="F2915" t="inlineStr">
        <is>
          <t>Annual Rate Contract of Material Supply and Equipment Arrangement for Year 2025-26 for Gram Panchayat PIPRANI for MNREGA and All Other Schemes of Panchayati Raj Department</t>
        </is>
      </c>
      <c r="G2915" t="inlineStr">
        <is>
          <t>PIPRANI</t>
        </is>
      </c>
    </row>
    <row r="2916">
      <c r="A2916" s="1" t="n">
        <v>2914</v>
      </c>
      <c r="B2916">
        <f>HYPERLINK("https://eproc.rajasthan.gov.in/nicgep/app?component=%24DirectLink&amp;page=FrontEndViewTender&amp;service=direct&amp;session=T&amp;sp=SkLtuMEDHnDdX9a7s8PzOXA%3D%3D", "Work of supply of material and equipment for Mgnarega and other development schemes in Gram panchayat KHIRODI PS Chitalwana For fy 2025-26")</f>
        <v/>
      </c>
      <c r="C2916" t="inlineStr">
        <is>
          <t>Panchayati Raj Department||Secretary and Commissioner||CEO- JALORE||BDO-CHITALWANA</t>
        </is>
      </c>
      <c r="D2916" t="inlineStr">
        <is>
          <t>19-May-2025 12:00 PM</t>
        </is>
      </c>
      <c r="E2916" t="inlineStr">
        <is>
          <t>49,00,000</t>
        </is>
      </c>
      <c r="F2916" t="inlineStr">
        <is>
          <t>Work of supply of material and equipment for Mgnarega and other development schemes in Gram panchayat KHIRODI PS Chitalwana For fy 2025-26</t>
        </is>
      </c>
      <c r="G2916" t="inlineStr">
        <is>
          <t>GRAM PANCHAYAT KHIRODI PS CHITALWANA</t>
        </is>
      </c>
    </row>
    <row r="2917">
      <c r="A2917" s="1" t="n">
        <v>2915</v>
      </c>
      <c r="B2917">
        <f>HYPERLINK("https://eproc.rajasthan.gov.in/nicgep/app?component=%24DirectLink&amp;page=FrontEndViewTender&amp;service=direct&amp;session=T&amp;sp=SFre5Q9C1DNeTgvO%2FKPHfGw%3D%3D", "Door to Door residential or community Garbedge collection, street and drain cleaning and community sanitation including street cleaning are carried out in all the villages of panchayat samiti JHALRAPATAN GRAM PANCHAYAT SAMRAI")</f>
        <v/>
      </c>
      <c r="C2917" t="inlineStr">
        <is>
          <t>Panchayati Raj Department||Secretary and Commissioner||CEO- JHALAWAR||BDO-JHALRAPATAN</t>
        </is>
      </c>
      <c r="D2917" t="inlineStr">
        <is>
          <t>19-May-2025 05:00 PM</t>
        </is>
      </c>
      <c r="E2917" t="inlineStr">
        <is>
          <t>12,20,000</t>
        </is>
      </c>
      <c r="F2917" t="inlineStr">
        <is>
          <t>Door to Door residential or community Garbedge collection, street and drain cleaning and community sanitation including street cleaning are carried out in all the villages of panchayat samiti JHALRAPATAN GRAM PANCHAYAT SAMRAI</t>
        </is>
      </c>
      <c r="G2917" t="inlineStr">
        <is>
          <t>JHALRAPATAN</t>
        </is>
      </c>
    </row>
    <row r="2918">
      <c r="A2918" s="1" t="n">
        <v>2916</v>
      </c>
      <c r="B2918">
        <f>HYPERLINK("https://eproc.rajasthan.gov.in/nicgep/app?component=%24DirectLink&amp;page=FrontEndViewTender&amp;service=direct&amp;session=T&amp;sp=SJEO%2Bi1Lho2WUwqUkOhwz4A%3D%3D", "Door to Door residential or community Garbedge collection, street and drain cleaning and community sanitation including street cleaning are carried out in all the villages of panchayat samiti JHALRAPATAN GRAM PANCHAYAT DURAGPURA")</f>
        <v/>
      </c>
      <c r="C2918" t="inlineStr">
        <is>
          <t>Panchayati Raj Department||Secretary and Commissioner||CEO- JHALAWAR||BDO-JHALRAPATAN</t>
        </is>
      </c>
      <c r="D2918" t="inlineStr">
        <is>
          <t>19-May-2025 05:00 PM</t>
        </is>
      </c>
      <c r="E2918" t="inlineStr">
        <is>
          <t>12,60,000</t>
        </is>
      </c>
      <c r="F2918" t="inlineStr">
        <is>
          <t>Door to Door residential or community Garbedge collection, street and drain cleaning and community sanitation including street cleaning are carried out in all the villages of panchayat samiti JHALRAPATAN GRAM PANCHAYAT DURAGPURA</t>
        </is>
      </c>
      <c r="G2918" t="inlineStr">
        <is>
          <t>JHALRAPATAN</t>
        </is>
      </c>
    </row>
    <row r="2919">
      <c r="A2919" s="1" t="n">
        <v>2917</v>
      </c>
      <c r="B2919">
        <f>HYPERLINK("https://eproc.rajasthan.gov.in/nicgep/app?component=%24DirectLink&amp;page=FrontEndViewTender&amp;service=direct&amp;session=T&amp;sp=SMFTwjDSEhdcep0qVbN5v0g%3D%3D", "Door to Door residential or community Garbedge collection, street and drain cleaning and community sanitation including street cleaning are carried out in all the villages of panchayat samiti JHALRAPATAN GRAM PANCHAYAT DOONGAR GAO")</f>
        <v/>
      </c>
      <c r="C2919" t="inlineStr">
        <is>
          <t>Panchayati Raj Department||Secretary and Commissioner||CEO- JHALAWAR||BDO-JHALRAPATAN</t>
        </is>
      </c>
      <c r="D2919" t="inlineStr">
        <is>
          <t>19-May-2025 05:00 PM</t>
        </is>
      </c>
      <c r="E2919" t="inlineStr">
        <is>
          <t>12,20,000</t>
        </is>
      </c>
      <c r="F2919" t="inlineStr">
        <is>
          <t>Door to Door residential or community Garbedge collection, street and drain cleaning and community sanitation including street cleaning are carried out in all the villages of panchayat samiti JHALRAPATAN GRAM PANCHAYAT DOONGAR GAO</t>
        </is>
      </c>
      <c r="G2919" t="inlineStr">
        <is>
          <t>JHALRAPATAN</t>
        </is>
      </c>
    </row>
    <row r="2920">
      <c r="A2920" s="1" t="n">
        <v>2918</v>
      </c>
      <c r="B2920">
        <f>HYPERLINK("https://eproc.rajasthan.gov.in/nicgep/app?component=%24DirectLink&amp;page=FrontEndViewTender&amp;service=direct&amp;session=T&amp;sp=SlvYacCReIixSHM%2BB8XSv7w%3D%3D", "MATERAILS AND EQUIPMENT SUPPLY FOR MGNREGA AT GP DEHRI")</f>
        <v/>
      </c>
      <c r="C2920" t="inlineStr">
        <is>
          <t>Panchayati Raj Department||Secretary and Commissioner||CEO-NAGORE||BDO-JAYAL</t>
        </is>
      </c>
      <c r="D2920" t="inlineStr">
        <is>
          <t>20-May-2025 09:00 AM</t>
        </is>
      </c>
      <c r="E2920" t="inlineStr">
        <is>
          <t>80,00,000</t>
        </is>
      </c>
      <c r="F2920" t="inlineStr">
        <is>
          <t>MATERAILS AND EQUIPMENT SUPPLY FOR MGNREGA AT GP DEHRI</t>
        </is>
      </c>
      <c r="G2920" t="inlineStr">
        <is>
          <t>GP DEHRI</t>
        </is>
      </c>
    </row>
    <row r="2921">
      <c r="A2921" s="1" t="n">
        <v>2919</v>
      </c>
      <c r="B2921">
        <f>HYPERLINK("https://eproc.rajasthan.gov.in/nicgep/app?component=%24DirectLink&amp;page=FrontEndViewTender&amp;service=direct&amp;session=T&amp;sp=SB6wpJ345KE1IJINWGRJHDA%3D%3D", "Supply of Construction Material in Gram Panchayat Bichpuri Gujran In Panchayat Samiti Khandar under MNREGA and RD and Various Scheme for the Year 2025-26")</f>
        <v/>
      </c>
      <c r="C2921" t="inlineStr">
        <is>
          <t>Panchayati Raj Department||Secretary and Commissioner||CEO-S.MADHOPUR||BDO-KHANDAR</t>
        </is>
      </c>
      <c r="D2921" t="inlineStr">
        <is>
          <t>18-May-2025 06:00 PM</t>
        </is>
      </c>
      <c r="E2921" t="inlineStr">
        <is>
          <t>40,00,000</t>
        </is>
      </c>
      <c r="F2921" t="inlineStr">
        <is>
          <t>Supply of Construction Material in Gram Panchayat Bichpuri Gujran In Panchayat Samiti Khandar under MNREGA and RD and Various Scheme for the Year 2025-26</t>
        </is>
      </c>
      <c r="G2921" t="inlineStr">
        <is>
          <t>GRAM PANCHAYAT BICHPURI GUJRAN</t>
        </is>
      </c>
    </row>
    <row r="2922">
      <c r="A2922" s="1" t="n">
        <v>2920</v>
      </c>
      <c r="B2922">
        <f>HYPERLINK("https://eproc.rajasthan.gov.in/nicgep/app?component=%24DirectLink&amp;page=FrontEndViewTender&amp;service=direct&amp;session=T&amp;sp=Sk%2BhHL0QkEKD0zfNpBl9Rpw%3D%3D", "Work of supply of material and equipment for Mgnarega and other development schemes in Gram panchayat SP DHANI PS Chitalwana For fy 2025-26")</f>
        <v/>
      </c>
      <c r="C2922" t="inlineStr">
        <is>
          <t>Panchayati Raj Department||Secretary and Commissioner||CEO- JALORE||BDO-CHITALWANA</t>
        </is>
      </c>
      <c r="D2922" t="inlineStr">
        <is>
          <t>19-May-2025 12:00 PM</t>
        </is>
      </c>
      <c r="E2922" t="inlineStr">
        <is>
          <t>49,00,000</t>
        </is>
      </c>
      <c r="F2922" t="inlineStr">
        <is>
          <t>Work of supply of material and equipment for Mgnarega and other development schemes in Gram panchayat SP DHANI PS Chitalwana For fy 2025-26</t>
        </is>
      </c>
      <c r="G2922" t="inlineStr">
        <is>
          <t>GRAM PANCHAYAT SP DHANI PS CHITALWANA</t>
        </is>
      </c>
    </row>
    <row r="2923">
      <c r="A2923" s="1" t="n">
        <v>2921</v>
      </c>
      <c r="B2923">
        <f>HYPERLINK("https://eproc.rajasthan.gov.in/nicgep/app?component=%24DirectLink&amp;page=FrontEndViewTender&amp;service=direct&amp;session=T&amp;sp=SViqJTetJtDPCVRJKovShsg%3D%3D", "Door to Door residential or community Garbedge collection, street and drain cleaning and community sanitation including street cleaning are carried out in all the villages of panchayat samiti JHALRAPATAN GRAM PANCHAYAT GORDHANPURA")</f>
        <v/>
      </c>
      <c r="C2923" t="inlineStr">
        <is>
          <t>Panchayati Raj Department||Secretary and Commissioner||CEO- JHALAWAR||BDO-JHALRAPATAN</t>
        </is>
      </c>
      <c r="D2923" t="inlineStr">
        <is>
          <t>19-May-2025 05:00 PM</t>
        </is>
      </c>
      <c r="E2923" t="inlineStr">
        <is>
          <t>9,60,000</t>
        </is>
      </c>
      <c r="F2923" t="inlineStr">
        <is>
          <t>Door to Door residential or community Garbedge collection, street and drain cleaning and community sanitation including street cleaning are carried out in all the villages of panchayat samiti JHALRAPATAN GRAM PANCHAYAT GORDHANPURA</t>
        </is>
      </c>
      <c r="G2923" t="inlineStr">
        <is>
          <t>JHALRAPATAN</t>
        </is>
      </c>
    </row>
    <row r="2924">
      <c r="A2924" s="1" t="n">
        <v>2922</v>
      </c>
      <c r="B2924">
        <f>HYPERLINK("https://eproc.rajasthan.gov.in/nicgep/app?component=%24DirectLink&amp;page=FrontEndViewTender&amp;service=direct&amp;session=T&amp;sp=SSdSlf5ZVV576x1GIk1HRHQ%3D%3D", "Door to Door residential or community Garbedge collection, street and drain cleaning and community sanitation including street cleaning are carried out in all the villages of panchayat samiti JHALRAPATAN GRAM PANCHAYAT KALMANDI KALAN")</f>
        <v/>
      </c>
      <c r="C2924" t="inlineStr">
        <is>
          <t>Panchayati Raj Department||Secretary and Commissioner||CEO- JHALAWAR||BDO-JHALRAPATAN</t>
        </is>
      </c>
      <c r="D2924" t="inlineStr">
        <is>
          <t>19-May-2025 05:00 PM</t>
        </is>
      </c>
      <c r="E2924" t="inlineStr">
        <is>
          <t>15,30,000</t>
        </is>
      </c>
      <c r="F2924" t="inlineStr">
        <is>
          <t>Door to Door residential or community Garbedge collection, street and drain cleaning and community sanitation including street cleaning are carried out in all the villages of panchayat samiti JHALRAPATAN GRAM PANCHAYAT KALMANDI KALAN</t>
        </is>
      </c>
      <c r="G2924" t="inlineStr">
        <is>
          <t>JHALRAPATAN</t>
        </is>
      </c>
    </row>
    <row r="2925">
      <c r="A2925" s="1" t="n">
        <v>2923</v>
      </c>
      <c r="B2925">
        <f>HYPERLINK("https://eproc.rajasthan.gov.in/nicgep/app?component=%24DirectLink&amp;page=FrontEndViewTender&amp;service=direct&amp;session=T&amp;sp=Sj16JBOAWNwdmxHl%2FvMBtjg%3D%3D", "Door to Door residential or community Garbedge collection, street and drain cleaning and community sanitation including street cleaning are carried out in all the villages of panchayat samiti JHALRAPATAN GRAM PANCHAYAT KHEDLA")</f>
        <v/>
      </c>
      <c r="C2925" t="inlineStr">
        <is>
          <t>Panchayati Raj Department||Secretary and Commissioner||CEO- JHALAWAR||BDO-JHALRAPATAN</t>
        </is>
      </c>
      <c r="D2925" t="inlineStr">
        <is>
          <t>19-May-2025 05:00 PM</t>
        </is>
      </c>
      <c r="E2925" t="inlineStr">
        <is>
          <t>7,80,000</t>
        </is>
      </c>
      <c r="F2925" t="inlineStr">
        <is>
          <t>Door to Door residential or community Garbedge collection, street and drain cleaning and community sanitation including street cleaning are carried out in all the villages of panchayat samiti JHALRAPATAN GRAM PANCHAYAT KHEDLA</t>
        </is>
      </c>
      <c r="G2925" t="inlineStr">
        <is>
          <t>JHALRAPATAN</t>
        </is>
      </c>
    </row>
    <row r="2926">
      <c r="A2926" s="1" t="n">
        <v>2924</v>
      </c>
      <c r="B2926">
        <f>HYPERLINK("https://eproc.rajasthan.gov.in/nicgep/app?component=%24DirectLink&amp;page=FrontEndViewTender&amp;service=direct&amp;session=T&amp;sp=SCsqHyqs3abkNmXRZxRNKMA%3D%3D", "Door to Door residential or community Garbedge collection, street and drain cleaning and community sanitation including street cleaning are carried out in all the villages of panchayat samiti JHALRAPATAN GRAM PANCHAYAT THANDI SOHANPURA")</f>
        <v/>
      </c>
      <c r="C2926" t="inlineStr">
        <is>
          <t>Panchayati Raj Department||Secretary and Commissioner||CEO- JHALAWAR||BDO-JHALRAPATAN</t>
        </is>
      </c>
      <c r="D2926" t="inlineStr">
        <is>
          <t>19-May-2025 05:00 PM</t>
        </is>
      </c>
      <c r="E2926" t="inlineStr">
        <is>
          <t>8,80,000</t>
        </is>
      </c>
      <c r="F2926" t="inlineStr">
        <is>
          <t>Door to Door residential or community Garbedge collection, street and drain cleaning and community sanitation including street cleaning are carried out in all the villages of panchayat samiti JHALRAPATAN GRAM PANCHAYAT THANDI SOHANPURA</t>
        </is>
      </c>
      <c r="G2926" t="inlineStr">
        <is>
          <t>JHALRAPATAN</t>
        </is>
      </c>
    </row>
    <row r="2927">
      <c r="A2927" s="1" t="n">
        <v>2925</v>
      </c>
      <c r="B2927">
        <f>HYPERLINK("https://eproc.rajasthan.gov.in/nicgep/app?component=%24DirectLink&amp;page=FrontEndViewTender&amp;service=direct&amp;session=T&amp;sp=SdDd43RKEj7b1pTwu8nB89g%3D%3D", "Door to Door residential or community Garbedge collection, street and drain cleaning and community sanitation including street cleaning are carried out in all the villages of panchayat samiti JHALRAPATAN GRAM PANCHAYAT RUNDLAO")</f>
        <v/>
      </c>
      <c r="C2927" t="inlineStr">
        <is>
          <t>Panchayati Raj Department||Secretary and Commissioner||CEO- JHALAWAR||BDO-JHALRAPATAN</t>
        </is>
      </c>
      <c r="D2927" t="inlineStr">
        <is>
          <t>19-May-2025 05:00 PM</t>
        </is>
      </c>
      <c r="E2927" t="inlineStr">
        <is>
          <t>9,90,000</t>
        </is>
      </c>
      <c r="F2927" t="inlineStr">
        <is>
          <t>Door to Door residential or community Garbedge collection, street and drain cleaning and community sanitation including street cleaning are carried out in all the villages of panchayat samiti JHALRAPATAN GRAM PANCHAYAT RUNDLAO</t>
        </is>
      </c>
      <c r="G2927" t="inlineStr">
        <is>
          <t>JHALRAPATAN</t>
        </is>
      </c>
    </row>
    <row r="2928">
      <c r="A2928" s="1" t="n">
        <v>2926</v>
      </c>
      <c r="B2928">
        <f>HYPERLINK("https://eproc.rajasthan.gov.in/nicgep/app?component=%24DirectLink&amp;page=FrontEndViewTender&amp;service=direct&amp;session=T&amp;sp=S75cztpUTeEjGVq0a71oscA%3D%3D", "Door to Door residential or community Garbedge collection, street and drain cleaning and community sanitation including street cleaning are carried out in all the villages of panchayat samiti JHALRAPATAN GRAM PANCHAYAT BORDA")</f>
        <v/>
      </c>
      <c r="C2928" t="inlineStr">
        <is>
          <t>Panchayati Raj Department||Secretary and Commissioner||CEO- JHALAWAR||BDO-JHALRAPATAN</t>
        </is>
      </c>
      <c r="D2928" t="inlineStr">
        <is>
          <t>19-May-2025 05:00 PM</t>
        </is>
      </c>
      <c r="E2928" t="inlineStr">
        <is>
          <t>9,30,000</t>
        </is>
      </c>
      <c r="F2928" t="inlineStr">
        <is>
          <t>Door to Door residential or community Garbedge collection, street and drain cleaning and community sanitation including street cleaning are carried out in all the villages of panchayat samiti JHALRAPATAN GRAM PANCHAYAT BORDA</t>
        </is>
      </c>
      <c r="G2928" t="inlineStr">
        <is>
          <t>JHALRAPATAN</t>
        </is>
      </c>
    </row>
    <row r="2929">
      <c r="A2929" s="1" t="n">
        <v>2927</v>
      </c>
      <c r="B2929">
        <f>HYPERLINK("https://eproc.rajasthan.gov.in/nicgep/app?component=%24DirectLink&amp;page=FrontEndViewTender&amp;service=direct&amp;session=T&amp;sp=SJh1pcscxTnsUL0%2BqP8JOIw%3D%3D", "Door to Door residential or community Garbedge collection, street and drain cleaning and community sanitation including street cleaning are carried out in all the villages of panchayat samiti JHALRAPATAN GRAM PANCHAYAT LAWASAL")</f>
        <v/>
      </c>
      <c r="C2929" t="inlineStr">
        <is>
          <t>Panchayati Raj Department||Secretary and Commissioner||CEO- JHALAWAR||BDO-JHALRAPATAN</t>
        </is>
      </c>
      <c r="D2929" t="inlineStr">
        <is>
          <t>19-May-2025 05:00 PM</t>
        </is>
      </c>
      <c r="E2929" t="inlineStr">
        <is>
          <t>7,80,000</t>
        </is>
      </c>
      <c r="F2929" t="inlineStr">
        <is>
          <t>Door to Door residential or community Garbedge collection, street and drain cleaning and community sanitation including street cleaning are carried out in all the villages of panchayat samiti JHALRAPATAN GRAM PANCHAYAT LAWASAL</t>
        </is>
      </c>
      <c r="G2929" t="inlineStr">
        <is>
          <t>JHALRAPATAN</t>
        </is>
      </c>
    </row>
    <row r="2930">
      <c r="A2930" s="1" t="n">
        <v>2928</v>
      </c>
      <c r="B2930">
        <f>HYPERLINK("https://eproc.rajasthan.gov.in/nicgep/app?component=%24DirectLink&amp;page=FrontEndViewTender&amp;service=direct&amp;session=T&amp;sp=SIRt02IQrCrZarvDRY%2Fzffg%3D%3D", "Door to Door residential or community Garbedge collection, street and drain cleaning and community sanitation including street cleaning are carried out in all the villages of panchayat samiti JHALRAPATAN GRAM PANCHAYAT KOLANA")</f>
        <v/>
      </c>
      <c r="C2930" t="inlineStr">
        <is>
          <t>Panchayati Raj Department||Secretary and Commissioner||CEO- JHALAWAR||BDO-JHALRAPATAN</t>
        </is>
      </c>
      <c r="D2930" t="inlineStr">
        <is>
          <t>19-May-2025 05:00 PM</t>
        </is>
      </c>
      <c r="E2930" t="inlineStr">
        <is>
          <t>8,50,000</t>
        </is>
      </c>
      <c r="F2930" t="inlineStr">
        <is>
          <t>Door to Door residential or community Garbedge collection, street and drain cleaning and community sanitation including street cleaning are carried out in all the villages of panchayat samiti JHALRAPATAN GRAM PANCHAYAT KOLANA</t>
        </is>
      </c>
      <c r="G2930" t="inlineStr">
        <is>
          <t>JHALRAPATAN</t>
        </is>
      </c>
    </row>
    <row r="2931">
      <c r="A2931" s="1" t="n">
        <v>2929</v>
      </c>
      <c r="B2931">
        <f>HYPERLINK("https://eproc.rajasthan.gov.in/nicgep/app?component=%24DirectLink&amp;page=FrontEndViewTender&amp;service=direct&amp;session=T&amp;sp=SHiNXppvZePRLEsSqDr1Ldw%3D%3D", "Work of supply of material and equipment for Mgnarega and other development schemes in Gram panchayat JHAB PS Chitalwana For fy 2025-26")</f>
        <v/>
      </c>
      <c r="C2931" t="inlineStr">
        <is>
          <t>Panchayati Raj Department||Secretary and Commissioner||CEO- JALORE||BDO-CHITALWANA</t>
        </is>
      </c>
      <c r="D2931" t="inlineStr">
        <is>
          <t>19-May-2025 12:00 PM</t>
        </is>
      </c>
      <c r="E2931" t="inlineStr">
        <is>
          <t>49,00,000</t>
        </is>
      </c>
      <c r="F2931" t="inlineStr">
        <is>
          <t>Work of supply of material and equipment for Mgnarega and other development schemes in Gram panchayat JHAB PS Chitalwana For fy 2025-26</t>
        </is>
      </c>
      <c r="G2931" t="inlineStr">
        <is>
          <t>GRAM PANCHAYAT JHAB PS CHITALWANA</t>
        </is>
      </c>
    </row>
    <row r="2932">
      <c r="A2932" s="1" t="n">
        <v>2930</v>
      </c>
      <c r="B2932">
        <f>HYPERLINK("https://eproc.rajasthan.gov.in/nicgep/app?component=%24DirectLink&amp;page=FrontEndViewTender&amp;service=direct&amp;session=T&amp;sp=SS1tces7zg5ePKNYCsaMVdA%3D%3D", "RATE CONTRACT FOR SUPPLY OF CONSTRUCTION MATERIAL AND PROVIDING EQUIPMENT IN GRAM PANCHAYAT MANKADI FOR FY 2025-26 PS NEEMKATHANA")</f>
        <v/>
      </c>
      <c r="C2932" t="inlineStr">
        <is>
          <t>Panchayati Raj Department||Secretary and Commissioner||CEO-SIKAR||BDO-NEEMKATHANA</t>
        </is>
      </c>
      <c r="D2932" t="inlineStr">
        <is>
          <t>19-May-2025 06:00 PM</t>
        </is>
      </c>
      <c r="E2932" t="inlineStr">
        <is>
          <t>60,00,000</t>
        </is>
      </c>
      <c r="F2932" t="inlineStr">
        <is>
          <t>RATE CONTRACT FOR SUPPLY OF CONSTRUCTION MATERIAL AND PROVIDING EQUIPMENT IN GRAM PANCHAYAT MANKADI FOR FY 2025-26 PS NEEMKATHANA</t>
        </is>
      </c>
      <c r="G2932" t="inlineStr">
        <is>
          <t>GP MANKADI</t>
        </is>
      </c>
    </row>
    <row r="2933">
      <c r="A2933" s="1" t="n">
        <v>2931</v>
      </c>
      <c r="B2933">
        <f>HYPERLINK("https://eproc.rajasthan.gov.in/nicgep/app?component=%24DirectLink&amp;page=FrontEndViewTender&amp;service=direct&amp;session=T&amp;sp=SP0kajSmU8r5qGUG20d9ByA%3D%3D", "SUPPLY OF CONSTRUCTION MATERIAL AND PROVIDING EQUIPMENT IN GRAM PANCHAYAT GUDAENDLA OF PANCHAYAT SAMITI PALI, DIST.- PALI")</f>
        <v/>
      </c>
      <c r="C2933" t="inlineStr">
        <is>
          <t>Panchayati Raj Department||Secretary and Commissioner||CEO-PALI||BDO-PALI</t>
        </is>
      </c>
      <c r="D2933" t="inlineStr">
        <is>
          <t>19-May-2025 05:00 PM</t>
        </is>
      </c>
      <c r="E2933" t="inlineStr">
        <is>
          <t>50,00,000</t>
        </is>
      </c>
      <c r="F2933" t="inlineStr">
        <is>
          <t>SUPPLY OF CONSTRUCTION MATERIAL AND PROVIDING EQUIPMENT IN GRAM PANCHAYAT GUDAENDLA OF PANCHAYAT SAMITI PALI, DIST.- PALI</t>
        </is>
      </c>
      <c r="G2933" t="inlineStr">
        <is>
          <t>Gram Panchayat Gudaendla</t>
        </is>
      </c>
    </row>
    <row r="2934">
      <c r="A2934" s="1" t="n">
        <v>2932</v>
      </c>
      <c r="B2934">
        <f>HYPERLINK("https://eproc.rajasthan.gov.in/nicgep/app?component=%24DirectLink&amp;page=FrontEndViewTender&amp;service=direct&amp;session=T&amp;sp=S8GKnL29H6WPMWngzL7Dovw%3D%3D", "Rate Contract for BSR 2025-26 FOR MATERIAL AND EQUIPMENT SUPPLY FOR GRAM PANCHAYAT CHANDHAN")</f>
        <v/>
      </c>
      <c r="C2934" t="inlineStr">
        <is>
          <t>Panchayati Raj Department||Secretary and Commissioner||CEO- JAISALMER||BDO-JAISALMER</t>
        </is>
      </c>
      <c r="D2934" t="inlineStr">
        <is>
          <t>26-May-2025 06:00 PM</t>
        </is>
      </c>
      <c r="E2934" t="inlineStr">
        <is>
          <t>NA</t>
        </is>
      </c>
      <c r="F2934" t="inlineStr">
        <is>
          <t>Rate Contract for BSR 2025-26 FOR MATERIAL AND EQUIPMENT SUPPLY FOR GRAM PANCHAYAT CHANDHAN</t>
        </is>
      </c>
      <c r="G2934" t="inlineStr">
        <is>
          <t>GRAM PANCHAYAT CHANDHAN</t>
        </is>
      </c>
    </row>
    <row r="2935">
      <c r="A2935" s="1" t="n">
        <v>2933</v>
      </c>
      <c r="B2935">
        <f>HYPERLINK("https://eproc.rajasthan.gov.in/nicgep/app?component=%24DirectLink&amp;page=FrontEndViewTender&amp;service=direct&amp;session=T&amp;sp=SYowOAKmIxUdOJVhLHHPgig%3D%3D", "Rate contract For Supply of Construction Material and Providing Equipments for NREGA, RD and PR Schemes at Gram Panchayat Ralawata Panchayat Samiti DAUSA Dist Dausa For FY 2025-26 up to 31 March 2026")</f>
        <v/>
      </c>
      <c r="C2935" t="inlineStr">
        <is>
          <t>Panchayati Raj Department||Secretary and Commissioner||CEO-DAUSA||BDO-DAUSA</t>
        </is>
      </c>
      <c r="D2935" t="inlineStr">
        <is>
          <t>19-May-2025 09:30 AM</t>
        </is>
      </c>
      <c r="E2935" t="inlineStr">
        <is>
          <t>50,00,000</t>
        </is>
      </c>
      <c r="F2935" t="inlineStr">
        <is>
          <t>Rate contract For Supply of Construction Material and Providing Equipments for NREGA, RD and PR Schemes at Gram Panchayat Ralawata Panchayat Samiti DAUSA Dist Dausa For FY 2025-26 up to 31 March 2026</t>
        </is>
      </c>
      <c r="G2935" t="inlineStr">
        <is>
          <t>Ralawata</t>
        </is>
      </c>
    </row>
    <row r="2936">
      <c r="A2936" s="1" t="n">
        <v>2934</v>
      </c>
      <c r="B2936">
        <f>HYPERLINK("https://eproc.rajasthan.gov.in/nicgep/app?component=%24DirectLink&amp;page=FrontEndViewTender&amp;service=direct&amp;session=T&amp;sp=S7wAKQYytvkC2yCTUQAAY8w%3D%3D", "GRAM PANCHAYAT SODER KI DHANI ME RA.U.MA. VI. SODER KI DHANI SE JALELI SARHAD TAK GREWAL SADAK NIRMAN GRAM PANCHAYAT SODER KI DHANI PS MANDORE")</f>
        <v/>
      </c>
      <c r="C2936" t="inlineStr">
        <is>
          <t>Panchayati Raj Department||Secretary and Commissioner||CEO-JODHPUR||BDO-MANDORE</t>
        </is>
      </c>
      <c r="D2936" t="inlineStr">
        <is>
          <t>19-May-2025 09:00 AM</t>
        </is>
      </c>
      <c r="E2936" t="inlineStr">
        <is>
          <t>10,00,000</t>
        </is>
      </c>
      <c r="F2936" t="inlineStr">
        <is>
          <t>GRAM PANCHAYAT SODER KI DHANI ME RA.U.MA. VI. SODER KI DHANI SE JALELI SARHAD TAK GREWAL SADAK NIRMAN GRAM PANCHAYAT SODER KI DHANI PS MANDORE</t>
        </is>
      </c>
      <c r="G2936" t="inlineStr">
        <is>
          <t>GRAM PANCHAYAT SODER KI DHANI ME RA.U.MA. VI. SODE</t>
        </is>
      </c>
    </row>
    <row r="2937">
      <c r="A2937" s="1" t="n">
        <v>2935</v>
      </c>
      <c r="B2937">
        <f>HYPERLINK("https://eproc.rajasthan.gov.in/nicgep/app?component=%24DirectLink&amp;page=FrontEndViewTender&amp;service=direct&amp;session=T&amp;sp=S2U6m1WsGQrhedAzV6r4mjg%3D%3D", "MNREGA AND OTHER YOJNA MAIN GRAM PANCHAYAT UMREND KO NIRMAN SAMAGRI SUPPLY HETU")</f>
        <v/>
      </c>
      <c r="C2937" t="inlineStr">
        <is>
          <t>Panchayati Raj Department||Secretary and Commissioner||CEO-BHARATPUR||BDO-BAIR</t>
        </is>
      </c>
      <c r="D2937" t="inlineStr">
        <is>
          <t>26-May-2025 05:00 PM</t>
        </is>
      </c>
      <c r="E2937" t="inlineStr">
        <is>
          <t>40,00,000</t>
        </is>
      </c>
      <c r="F2937" t="inlineStr">
        <is>
          <t>MNREGA AND OTHER YOJNA MAIN GRAM PANCHAYAT UMREND KO NIRMAN SAMAGRI SUPPLY HETU</t>
        </is>
      </c>
      <c r="G2937" t="inlineStr">
        <is>
          <t>WORK SITE</t>
        </is>
      </c>
    </row>
    <row r="2938">
      <c r="A2938" s="1" t="n">
        <v>2936</v>
      </c>
      <c r="B2938">
        <f>HYPERLINK("https://eproc.rajasthan.gov.in/nicgep/app?component=%24DirectLink&amp;page=FrontEndViewTender&amp;service=direct&amp;session=T&amp;sp=Shan2f4%2F%2BDBKaSHFIbYvctg%3D%3D", "Gram Panchayat SALEMPUR Material Supply All Scheme Works FY 2025-26")</f>
        <v/>
      </c>
      <c r="C2938" t="inlineStr">
        <is>
          <t>Panchayati Raj Department||Secretary and Commissioner||CEO-DAUSA||BDO-MAHUVA</t>
        </is>
      </c>
      <c r="D2938" t="inlineStr">
        <is>
          <t>21-May-2025 05:00 PM</t>
        </is>
      </c>
      <c r="E2938" t="inlineStr">
        <is>
          <t>35,00,000</t>
        </is>
      </c>
      <c r="F2938" t="inlineStr">
        <is>
          <t>Rate contract For supply of Construcation Material and Providing Equipments for MGNREGA in Gram panchayat SALEMPUR Panchayat samiti Mahwa For FY 2025-26 UP to 31 March 2026 (ITEM WISE RATE AS PEAR ATTACHED G SCHEDULE</t>
        </is>
      </c>
      <c r="G2938" t="inlineStr">
        <is>
          <t>Gram panchayat SALEMPUR</t>
        </is>
      </c>
    </row>
    <row r="2939">
      <c r="A2939" s="1" t="n">
        <v>2937</v>
      </c>
      <c r="B2939">
        <f>HYPERLINK("https://eproc.rajasthan.gov.in/nicgep/app?component=%24DirectLink&amp;page=FrontEndViewTender&amp;service=direct&amp;session=T&amp;sp=SkiXbRoRT6NOo6HVYNEsqXQ%3D%3D", "material supply sepur")</f>
        <v/>
      </c>
      <c r="C2939" t="inlineStr">
        <is>
          <t>Panchayati Raj Department||Secretary and Commissioner||CEO-UDAIPUR||BDO-SARADA</t>
        </is>
      </c>
      <c r="D2939" t="inlineStr">
        <is>
          <t>20-May-2025 06:00 PM</t>
        </is>
      </c>
      <c r="E2939" t="inlineStr">
        <is>
          <t>30,00,000</t>
        </is>
      </c>
      <c r="F2939" t="inlineStr">
        <is>
          <t>material supply tender sepur 2025-26</t>
        </is>
      </c>
      <c r="G2939" t="inlineStr">
        <is>
          <t>sepur</t>
        </is>
      </c>
    </row>
    <row r="2940">
      <c r="A2940" s="1" t="n">
        <v>2938</v>
      </c>
      <c r="B2940">
        <f>HYPERLINK("https://eproc.rajasthan.gov.in/nicgep/app?component=%24DirectLink&amp;page=FrontEndViewTender&amp;service=direct&amp;session=T&amp;sp=SOMcSABxDdEAWRi6Wc2C04w%3D%3D", "gplodhsar meterial supply for narega and rd")</f>
        <v/>
      </c>
      <c r="C2940" t="inlineStr">
        <is>
          <t>Panchayati Raj Department||Secretary and Commissioner||CEO-CHURU||BDO-SUJANGARH</t>
        </is>
      </c>
      <c r="D2940" t="inlineStr">
        <is>
          <t>22-May-2025 06:00 PM</t>
        </is>
      </c>
      <c r="E2940" t="inlineStr">
        <is>
          <t>70,00,000</t>
        </is>
      </c>
      <c r="F2940" t="inlineStr">
        <is>
          <t>gplodhsar meterial supply for narega and rd</t>
        </is>
      </c>
      <c r="G2940" t="inlineStr">
        <is>
          <t>gp lodhsar</t>
        </is>
      </c>
    </row>
    <row r="2941">
      <c r="A2941" s="1" t="n">
        <v>2939</v>
      </c>
      <c r="B2941">
        <f>HYPERLINK("https://eproc.rajasthan.gov.in/nicgep/app?component=%24DirectLink&amp;page=FrontEndViewTender&amp;service=direct&amp;session=T&amp;sp=SV82wxEsQlWtFsoElWqFEYQ%3D%3D", "MNREGA AND OTHER YOJNA MAIN GRAM PANCHAYAT SUHANS KO NIRMAN SAMAGRI SUPPLY HETU")</f>
        <v/>
      </c>
      <c r="C2941" t="inlineStr">
        <is>
          <t>Panchayati Raj Department||Secretary and Commissioner||CEO-BHARATPUR||BDO-BAIR</t>
        </is>
      </c>
      <c r="D2941" t="inlineStr">
        <is>
          <t>26-May-2025 05:00 PM</t>
        </is>
      </c>
      <c r="E2941" t="inlineStr">
        <is>
          <t>40,00,000</t>
        </is>
      </c>
      <c r="F2941" t="inlineStr">
        <is>
          <t>MNREGA AND OTHER YOJNA MAIN GRAM PANCHAYAT SUHANS KO NIRMAN SAMAGRI SUPPLY HETU</t>
        </is>
      </c>
      <c r="G2941" t="inlineStr">
        <is>
          <t>WORK SITE</t>
        </is>
      </c>
    </row>
    <row r="2942">
      <c r="A2942" s="1" t="n">
        <v>2940</v>
      </c>
      <c r="B2942">
        <f>HYPERLINK("https://eproc.rajasthan.gov.in/nicgep/app?component=%24DirectLink&amp;page=FrontEndViewTender&amp;service=direct&amp;session=T&amp;sp=SZG%2Bqgxx2bxV%2FeJiNCGXLcQ%3D%3D", "Gram Panchayat KHOHRA MULLA Material Supply All Scheme Works FY 2025-26")</f>
        <v/>
      </c>
      <c r="C2942" t="inlineStr">
        <is>
          <t>Panchayati Raj Department||Secretary and Commissioner||CEO-DAUSA||BDO-MAHUVA</t>
        </is>
      </c>
      <c r="D2942" t="inlineStr">
        <is>
          <t>21-May-2025 05:00 PM</t>
        </is>
      </c>
      <c r="E2942" t="inlineStr">
        <is>
          <t>35,00,000</t>
        </is>
      </c>
      <c r="F2942" t="inlineStr">
        <is>
          <t>Rate contract For supply of Construcation Material and Providing Equipments for MGNREGA in Gram panchayat KHOHRA MULLA Panchayat samiti Mahwa For FY 2025-26 UP to 31 March 2026 (ITEM WISE RATE AS PEAR ATTACHED G SCHEDULE</t>
        </is>
      </c>
      <c r="G2942" t="inlineStr">
        <is>
          <t>Gram panchayat KHOHRA MULLA</t>
        </is>
      </c>
    </row>
    <row r="2943">
      <c r="A2943" s="1" t="n">
        <v>2941</v>
      </c>
      <c r="B2943">
        <f>HYPERLINK("https://eproc.rajasthan.gov.in/nicgep/app?component=%24DirectLink&amp;page=FrontEndViewTender&amp;service=direct&amp;session=T&amp;sp=S1YmARBohgjPL0a%2FpB91KUg%3D%3D", "Suply of Construction Material with POI Driver in Scheme MNREGA, SFC , FFC and other scheme for Financial Year 2025-26 in Gram Panchyat Jeevli PS Gangapur city")</f>
        <v/>
      </c>
      <c r="C2943" t="inlineStr">
        <is>
          <t>Panchayati Raj Department||Secretary and Commissioner||CEO-S.MADHOPUR||BDO-GANGAPUR</t>
        </is>
      </c>
      <c r="D2943" t="inlineStr">
        <is>
          <t>19-May-2025 06:00 PM</t>
        </is>
      </c>
      <c r="E2943" t="inlineStr">
        <is>
          <t>40,00,000</t>
        </is>
      </c>
      <c r="F2943" t="inlineStr">
        <is>
          <t>Suply of Construction Material with POI Driver in Scheme MNREGA, SFC , FFC and other scheme for Financial Year 2025-26 in Gram Panchyat Jeevli PS Gangapur city</t>
        </is>
      </c>
      <c r="G2943" t="inlineStr">
        <is>
          <t>GRAM PANCHAYAT JEEVLI</t>
        </is>
      </c>
    </row>
    <row r="2944">
      <c r="A2944" s="1" t="n">
        <v>2942</v>
      </c>
      <c r="B2944">
        <f>HYPERLINK("https://eproc.rajasthan.gov.in/nicgep/app?component=%24DirectLink&amp;page=FrontEndViewTender&amp;service=direct&amp;session=T&amp;sp=SM8t7Kl79t6m%2BWPER2zKMig%3D%3D", "Gram Panchayat NAHIDA Material Supply All Scheme Works FY 2025-26")</f>
        <v/>
      </c>
      <c r="C2944" t="inlineStr">
        <is>
          <t>Panchayati Raj Department||Secretary and Commissioner||CEO-DAUSA||BDO-MAHUVA</t>
        </is>
      </c>
      <c r="D2944" t="inlineStr">
        <is>
          <t>21-May-2025 05:00 PM</t>
        </is>
      </c>
      <c r="E2944" t="inlineStr">
        <is>
          <t>35,00,000</t>
        </is>
      </c>
      <c r="F2944" t="inlineStr">
        <is>
          <t>Rate contract For supply of Construcation Material and Providing Equipments for MGNREGA in Gram panchayat NAHIDA Panchayat samiti Mahwa For FY 2025-26 UP to 31 March 2026 (ITEM WISE RATE AS PEAR ATTACHED G SCHEDULE</t>
        </is>
      </c>
      <c r="G2944" t="inlineStr">
        <is>
          <t>Gram panchayat NAHIDA</t>
        </is>
      </c>
    </row>
    <row r="2945">
      <c r="A2945" s="1" t="n">
        <v>2943</v>
      </c>
      <c r="B2945">
        <f>HYPERLINK("https://eproc.rajasthan.gov.in/nicgep/app?component=%24DirectLink&amp;page=FrontEndViewTender&amp;service=direct&amp;session=T&amp;sp=SHhA%2BcqvlIYMLfSqc4suEZg%3D%3D", "Material and Sundry Equipment supply under MGNREGA, RD and PRD Schemes in GP SHYAMSAR For Fin. Year 2025-26")</f>
        <v/>
      </c>
      <c r="C2945" t="inlineStr">
        <is>
          <t>Panchayati Raj Department||Secretary and Commissioner||CEO-NAGORE||BDO-NAGORE</t>
        </is>
      </c>
      <c r="D2945" t="inlineStr">
        <is>
          <t>19-May-2025 06:00 PM</t>
        </is>
      </c>
      <c r="E2945" t="inlineStr">
        <is>
          <t>95,00,000</t>
        </is>
      </c>
      <c r="F2945" t="inlineStr">
        <is>
          <t>Material and Sundry Equipment supply under MGNREGA, RD and PRD Schemes in GP SHYAMSAR For Fin. Year 2025-26</t>
        </is>
      </c>
      <c r="G2945" t="inlineStr">
        <is>
          <t>GP SHYAMSAR</t>
        </is>
      </c>
    </row>
    <row r="2946">
      <c r="A2946" s="1" t="n">
        <v>2944</v>
      </c>
      <c r="B2946">
        <f>HYPERLINK("https://eproc.rajasthan.gov.in/nicgep/app?component=%24DirectLink&amp;page=FrontEndViewTender&amp;service=direct&amp;session=T&amp;sp=S01n%2Fm45vn8wAZ6EfzT7pkg%3D%3D", "material supply tender 2025-26 gp khodi mahudi")</f>
        <v/>
      </c>
      <c r="C2946" t="inlineStr">
        <is>
          <t>Panchayati Raj Department||Secretary and Commissioner||CEO-UDAIPUR||BDO-SARADA</t>
        </is>
      </c>
      <c r="D2946" t="inlineStr">
        <is>
          <t>19-May-2025 06:00 PM</t>
        </is>
      </c>
      <c r="E2946" t="inlineStr">
        <is>
          <t>30,00,000</t>
        </is>
      </c>
      <c r="F2946" t="inlineStr">
        <is>
          <t>khodi mahudi</t>
        </is>
      </c>
      <c r="G2946" t="inlineStr">
        <is>
          <t>khodi mahudi</t>
        </is>
      </c>
    </row>
    <row r="2947">
      <c r="A2947" s="1" t="n">
        <v>2945</v>
      </c>
      <c r="B2947">
        <f>HYPERLINK("https://eproc.rajasthan.gov.in/nicgep/app?component=%24DirectLink&amp;page=FrontEndViewTender&amp;service=direct&amp;session=T&amp;sp=SS02XTWD9p4McKgRQa5wWFA%3D%3D", "MNREGA AND OTHER YOJNA MAIN GRAM PANCHAYAT SIRAS KO NIRMAN SAMAGRI SUPPLY HETU")</f>
        <v/>
      </c>
      <c r="C2947" t="inlineStr">
        <is>
          <t>Panchayati Raj Department||Secretary and Commissioner||CEO-BHARATPUR||BDO-BAIR</t>
        </is>
      </c>
      <c r="D2947" t="inlineStr">
        <is>
          <t>26-May-2025 05:00 PM</t>
        </is>
      </c>
      <c r="E2947" t="inlineStr">
        <is>
          <t>40,00,000</t>
        </is>
      </c>
      <c r="F2947" t="inlineStr">
        <is>
          <t>MNREGA AND OTHER YOJNA MAIN GRAM PANCHAYAT SIRAS KO NIRMAN SAMAGRI SUPPLY HETU</t>
        </is>
      </c>
      <c r="G2947" t="inlineStr">
        <is>
          <t>WORK SITE</t>
        </is>
      </c>
    </row>
    <row r="2948">
      <c r="A2948" s="1" t="n">
        <v>2946</v>
      </c>
      <c r="B2948">
        <f>HYPERLINK("https://eproc.rajasthan.gov.in/nicgep/app?component=%24DirectLink&amp;page=FrontEndViewTender&amp;service=direct&amp;session=T&amp;sp=SwGfeEVH5niKAuYylAWZbgQ%3D%3D", "material supply tender gp sagtada")</f>
        <v/>
      </c>
      <c r="C2948" t="inlineStr">
        <is>
          <t>Panchayati Raj Department||Secretary and Commissioner||CEO-UDAIPUR||BDO-SARADA</t>
        </is>
      </c>
      <c r="D2948" t="inlineStr">
        <is>
          <t>20-May-2025 06:00 PM</t>
        </is>
      </c>
      <c r="E2948" t="inlineStr">
        <is>
          <t>30,00,000</t>
        </is>
      </c>
      <c r="F2948" t="inlineStr">
        <is>
          <t>material supply tender gp sagtada</t>
        </is>
      </c>
      <c r="G2948" t="inlineStr">
        <is>
          <t>sagtada</t>
        </is>
      </c>
    </row>
    <row r="2949">
      <c r="A2949" s="1" t="n">
        <v>2947</v>
      </c>
      <c r="B2949">
        <f>HYPERLINK("https://eproc.rajasthan.gov.in/nicgep/app?component=%24DirectLink&amp;page=FrontEndViewTender&amp;service=direct&amp;session=T&amp;sp=SyGAqdIUx2b46FEwuH7mc5A%3D%3D", "MNREGA AND OTHER YOJNA MAIN GRAM PANCHAYAT SARSENA KO NIRMAN SAMAGRI SUPPLY HETU")</f>
        <v/>
      </c>
      <c r="C2949" t="inlineStr">
        <is>
          <t>Panchayati Raj Department||Secretary and Commissioner||CEO-BHARATPUR||BDO-BAIR</t>
        </is>
      </c>
      <c r="D2949" t="inlineStr">
        <is>
          <t>26-May-2025 05:00 PM</t>
        </is>
      </c>
      <c r="E2949" t="inlineStr">
        <is>
          <t>40,00,000</t>
        </is>
      </c>
      <c r="F2949" t="inlineStr">
        <is>
          <t>MNREGA AND OTHER YOJNA MAIN GRAM PANCHAYAT SARSENA KO NIRMAN SAMAGRI SUPPLY HETU</t>
        </is>
      </c>
      <c r="G2949" t="inlineStr">
        <is>
          <t>WORK SITE</t>
        </is>
      </c>
    </row>
    <row r="2950">
      <c r="A2950" s="1" t="n">
        <v>2948</v>
      </c>
      <c r="B2950">
        <f>HYPERLINK("https://eproc.rajasthan.gov.in/nicgep/app?component=%24DirectLink&amp;page=FrontEndViewTender&amp;service=direct&amp;session=T&amp;sp=SrfKnkr4sW4t8FD%2BffJHA6w%3D%3D", "Suply of Construction Material with POI Driver in Scheme MNREGA, SFC , FFC and other scheme for Financial Year 2025-26 in Gram Panchyat Badoli PS Gangapur city")</f>
        <v/>
      </c>
      <c r="C2950" t="inlineStr">
        <is>
          <t>Panchayati Raj Department||Secretary and Commissioner||CEO-S.MADHOPUR||BDO-GANGAPUR</t>
        </is>
      </c>
      <c r="D2950" t="inlineStr">
        <is>
          <t>19-May-2025 06:00 PM</t>
        </is>
      </c>
      <c r="E2950" t="inlineStr">
        <is>
          <t>40,00,000</t>
        </is>
      </c>
      <c r="F2950" t="inlineStr">
        <is>
          <t>Suply of Construction Material with POI Driver in Scheme MNREGA, SFC , FFC and other scheme for Financial Year 2025-26 in Gram Panchyat Badoli PS Gangapur city</t>
        </is>
      </c>
      <c r="G2950" t="inlineStr">
        <is>
          <t>GRAM PANCHAYAT BADOLI</t>
        </is>
      </c>
    </row>
    <row r="2951">
      <c r="A2951" s="1" t="n">
        <v>2949</v>
      </c>
      <c r="B2951">
        <f>HYPERLINK("https://eproc.rajasthan.gov.in/nicgep/app?component=%24DirectLink&amp;page=FrontEndViewTender&amp;service=direct&amp;session=T&amp;sp=S9c%2BvLK1psDW1HOMH6OJyPA%3D%3D", "MNREGA AND OTHER YOJNA MAIN GRAM PANCHAYAT SAMRAYA KO NIRMAN SAMAGRI SUPPLY HETU")</f>
        <v/>
      </c>
      <c r="C2951" t="inlineStr">
        <is>
          <t>Panchayati Raj Department||Secretary and Commissioner||CEO-BHARATPUR||BDO-BAIR</t>
        </is>
      </c>
      <c r="D2951" t="inlineStr">
        <is>
          <t>26-May-2025 05:00 PM</t>
        </is>
      </c>
      <c r="E2951" t="inlineStr">
        <is>
          <t>40,00,000</t>
        </is>
      </c>
      <c r="F2951" t="inlineStr">
        <is>
          <t>MNREGA AND OTHER YOJNA MAIN GRAM PANCHAYAT SAMRAYA KO NIRMAN SAMAGRI SUPPLY HETU</t>
        </is>
      </c>
      <c r="G2951" t="inlineStr">
        <is>
          <t>WORK SITE</t>
        </is>
      </c>
    </row>
    <row r="2952">
      <c r="A2952" s="1" t="n">
        <v>2950</v>
      </c>
      <c r="B2952">
        <f>HYPERLINK("https://eproc.rajasthan.gov.in/nicgep/app?component=%24DirectLink&amp;page=FrontEndViewTender&amp;service=direct&amp;session=T&amp;sp=SWgrrZd8jU%2F9ndiuE29ZtAQ%3D%3D", "Gram Panchayat PALI Material Supply All Scheme Works FY 2025-26")</f>
        <v/>
      </c>
      <c r="C2952" t="inlineStr">
        <is>
          <t>Panchayati Raj Department||Secretary and Commissioner||CEO-DAUSA||BDO-MAHUVA</t>
        </is>
      </c>
      <c r="D2952" t="inlineStr">
        <is>
          <t>21-May-2025 05:00 PM</t>
        </is>
      </c>
      <c r="E2952" t="inlineStr">
        <is>
          <t>35,00,000</t>
        </is>
      </c>
      <c r="F2952" t="inlineStr">
        <is>
          <t>Rate contract For supply of Construcation Material and Providing Equipments for MGNREGA in Gram panchayat PALI Panchayat samiti Mahwa For FY 2025-26 UP to 31 March 2026 (ITEM WISE RATE AS PEAR ATTACHED G SCHEDULE</t>
        </is>
      </c>
      <c r="G2952" t="inlineStr">
        <is>
          <t>Gram panchayat PALI</t>
        </is>
      </c>
    </row>
    <row r="2953">
      <c r="A2953" s="1" t="n">
        <v>2951</v>
      </c>
      <c r="B2953">
        <f>HYPERLINK("https://eproc.rajasthan.gov.in/nicgep/app?component=%24DirectLink&amp;page=FrontEndViewTender&amp;service=direct&amp;session=T&amp;sp=S4ti7svQM1X%2BSFBmq1hJhAQ%3D%3D", "Gram Panchayat KOT Material Supply All Scheme Works FY 2025-26")</f>
        <v/>
      </c>
      <c r="C2953" t="inlineStr">
        <is>
          <t>Panchayati Raj Department||Secretary and Commissioner||CEO-DAUSA||BDO-MAHUVA</t>
        </is>
      </c>
      <c r="D2953" t="inlineStr">
        <is>
          <t>20-May-2025 05:00 PM</t>
        </is>
      </c>
      <c r="E2953" t="inlineStr">
        <is>
          <t>35,00,000</t>
        </is>
      </c>
      <c r="F2953" t="inlineStr">
        <is>
          <t>Rate contract For supply of Construcation Material and Providing Equipments for MGNREGA in Gram panchayat KOT Panchayat samiti Mandawar For FY 2025-26 UP to 31 March 2026 (ITEM WISE RATE AS PEAR ATTACHED G SCHEDULE</t>
        </is>
      </c>
      <c r="G2953" t="inlineStr">
        <is>
          <t>Gram panchayat KOT</t>
        </is>
      </c>
    </row>
    <row r="2954">
      <c r="A2954" s="1" t="n">
        <v>2952</v>
      </c>
      <c r="B2954">
        <f>HYPERLINK("https://eproc.rajasthan.gov.in/nicgep/app?component=%24DirectLink&amp;page=FrontEndViewTender&amp;service=direct&amp;session=T&amp;sp=SZ%2BkkIEYf6yYAyEfUtCXrdw%3D%3D", "MNREGA AND OTHER YOJNA MAIN GRAM PANCHAYAT KHERLI GOOJAR KO NIRMAN SAMAGRI SUPPLY HETU")</f>
        <v/>
      </c>
      <c r="C2954" t="inlineStr">
        <is>
          <t>Panchayati Raj Department||Secretary and Commissioner||CEO-BHARATPUR||BDO-BAIR</t>
        </is>
      </c>
      <c r="D2954" t="inlineStr">
        <is>
          <t>26-May-2025 05:00 PM</t>
        </is>
      </c>
      <c r="E2954" t="inlineStr">
        <is>
          <t>40,00,000</t>
        </is>
      </c>
      <c r="F2954" t="inlineStr">
        <is>
          <t>MNREGA AND OTHER YOJNA MAIN GRAM PANCHAYAT KHERLI GOOJAR KO NIRMAN SAMAGRI SUPPLY HETU</t>
        </is>
      </c>
      <c r="G2954" t="inlineStr">
        <is>
          <t>WORK SITE</t>
        </is>
      </c>
    </row>
    <row r="2955">
      <c r="A2955" s="1" t="n">
        <v>2953</v>
      </c>
      <c r="B2955">
        <f>HYPERLINK("https://eproc.rajasthan.gov.in/nicgep/app?component=%24DirectLink&amp;page=FrontEndViewTender&amp;service=direct&amp;session=T&amp;sp=S4W8wFI1hEAXqpJCmpicJYQ%3D%3D", "rajkiy uchcha prathamik vidhyalay Adakaliya me 2 kaksha kaksh nirman kary")</f>
        <v/>
      </c>
      <c r="C2955" t="inlineStr">
        <is>
          <t>Panchayati Raj Department||Secretary and Commissioner||CEO-UDAIPUR||BDO-JHADOL</t>
        </is>
      </c>
      <c r="D2955" t="inlineStr">
        <is>
          <t>18-May-2025 06:00 PM</t>
        </is>
      </c>
      <c r="E2955" t="inlineStr">
        <is>
          <t>18,66,000</t>
        </is>
      </c>
      <c r="F2955" t="inlineStr">
        <is>
          <t>rajkiy uchcha prathamik vidhyalay Adakaliya me 2 kaksha kaksh nirman kary</t>
        </is>
      </c>
      <c r="G2955" t="inlineStr">
        <is>
          <t>rajkiy uchcha prathamik vidhyalay Adakaliya me 2 k</t>
        </is>
      </c>
    </row>
    <row r="2956">
      <c r="A2956" s="1" t="n">
        <v>2954</v>
      </c>
      <c r="B2956">
        <f>HYPERLINK("https://eproc.rajasthan.gov.in/nicgep/app?component=%24DirectLink&amp;page=FrontEndViewTender&amp;service=direct&amp;session=T&amp;sp=SyBFsw00lpRrau6sypJZo%2FA%3D%3D", "Work including garbage collection and separation from every house (Residential and Commercial), road and drain cleaning and community sanitation complex cleaning in all the villages of Gram Panchayat SAWANBHADO PS SANGOD")</f>
        <v/>
      </c>
      <c r="C2956" t="inlineStr">
        <is>
          <t>Panchayati Raj Department||Secretary and Commissioner||CEO-KOTA||BDO-SANGOD</t>
        </is>
      </c>
      <c r="D2956" t="inlineStr">
        <is>
          <t>19-May-2025 06:00 PM</t>
        </is>
      </c>
      <c r="E2956" t="inlineStr">
        <is>
          <t>10,00,000</t>
        </is>
      </c>
      <c r="F2956" t="inlineStr">
        <is>
          <t>Work including garbage collection and separation from every house (Residential and Commercial), road and drain cleaning and community sanitation complex cleaning in all the villages of Gram Panchayat SAWANBHADO PS SANGOD</t>
        </is>
      </c>
      <c r="G2956" t="inlineStr">
        <is>
          <t>GRAM PANCHAYAT SAWANBHADO</t>
        </is>
      </c>
    </row>
    <row r="2957">
      <c r="A2957" s="1" t="n">
        <v>2955</v>
      </c>
      <c r="B2957">
        <f>HYPERLINK("https://eproc.rajasthan.gov.in/nicgep/app?component=%24DirectLink&amp;page=FrontEndViewTender&amp;service=direct&amp;session=T&amp;sp=SHseEHYN95lgWyoZQxLXDoA%3D%3D", "Work including garbage collection and separation from every house (Residential and Commercial), road and drain cleaning and community sanitation complex cleaning in all the villages of Gram Panchayat KANWAS PS SANGOD")</f>
        <v/>
      </c>
      <c r="C2957" t="inlineStr">
        <is>
          <t>Panchayati Raj Department||Secretary and Commissioner||CEO-KOTA||BDO-SANGOD</t>
        </is>
      </c>
      <c r="D2957" t="inlineStr">
        <is>
          <t>19-May-2025 06:00 PM</t>
        </is>
      </c>
      <c r="E2957" t="inlineStr">
        <is>
          <t>10,00,000</t>
        </is>
      </c>
      <c r="F2957" t="inlineStr">
        <is>
          <t>Work including garbage collection and separation from every house (Residential and Commercial), road and drain cleaning and community sanitation complex cleaning in all the villages of Gram Panchayat KANWAS PS SANGOD</t>
        </is>
      </c>
      <c r="G2957" t="inlineStr">
        <is>
          <t>GRAM PANCHAYAT KANWAS</t>
        </is>
      </c>
    </row>
    <row r="2958">
      <c r="A2958" s="1" t="n">
        <v>2956</v>
      </c>
      <c r="B2958">
        <f>HYPERLINK("https://eproc.rajasthan.gov.in/nicgep/app?component=%24DirectLink&amp;page=FrontEndViewTender&amp;service=direct&amp;session=T&amp;sp=StDDWPEi1Sijy48YuhEfHHQ%3D%3D", "Work including garbage collection and separation from every house (Residential and Commercial), road and drain cleaning and community sanitation complex cleaning in all the villages of Gram Panchayat LODAHEDA PS SANGOD")</f>
        <v/>
      </c>
      <c r="C2958" t="inlineStr">
        <is>
          <t>Panchayati Raj Department||Secretary and Commissioner||CEO-KOTA||BDO-SANGOD</t>
        </is>
      </c>
      <c r="D2958" t="inlineStr">
        <is>
          <t>19-May-2025 06:00 PM</t>
        </is>
      </c>
      <c r="E2958" t="inlineStr">
        <is>
          <t>10,00,000</t>
        </is>
      </c>
      <c r="F2958" t="inlineStr">
        <is>
          <t>Work including garbage collection and separation from every house (Residential and Commercial), road and drain cleaning and community sanitation complex cleaning in all the villages of Gram Panchayat LODAHEDA PS SANGOD</t>
        </is>
      </c>
      <c r="G2958" t="inlineStr">
        <is>
          <t>GRAM PANCHAYAT LODAHEDA</t>
        </is>
      </c>
    </row>
    <row r="2959">
      <c r="A2959" s="1" t="n">
        <v>2957</v>
      </c>
      <c r="B2959">
        <f>HYPERLINK("https://eproc.rajasthan.gov.in/nicgep/app?component=%24DirectLink&amp;page=FrontEndViewTender&amp;service=direct&amp;session=T&amp;sp=SskVpGkbBIFl9gnT4S%2FTi9Q%3D%3D", "Supply of Construction Material with POI Driver in Scheme MNREGA, SFC , FFC and other scheme for Financial Year 2025-26 in Gram Panchyat Ahamadpur PS Gangapur city")</f>
        <v/>
      </c>
      <c r="C2959" t="inlineStr">
        <is>
          <t>Panchayati Raj Department||Secretary and Commissioner||CEO-S.MADHOPUR||BDO-GANGAPUR</t>
        </is>
      </c>
      <c r="D2959" t="inlineStr">
        <is>
          <t>20-May-2025 06:00 PM</t>
        </is>
      </c>
      <c r="E2959" t="inlineStr">
        <is>
          <t>30,00,000</t>
        </is>
      </c>
      <c r="F2959" t="inlineStr">
        <is>
          <t>Supply of Construction Material with POI Driver in Scheme MNREGA, SFC , FFC and other scheme for Financial Year 2025-26 in Gram Panchyat Ahamadpur PS Gangapur city</t>
        </is>
      </c>
      <c r="G2959" t="inlineStr">
        <is>
          <t>gram panchayat ahamdpur</t>
        </is>
      </c>
    </row>
    <row r="2960">
      <c r="A2960" s="1" t="n">
        <v>2958</v>
      </c>
      <c r="B2960">
        <f>HYPERLINK("https://eproc.rajasthan.gov.in/nicgep/app?component=%24DirectLink&amp;page=FrontEndViewTender&amp;service=direct&amp;session=T&amp;sp=SMlULkdI9hsUTQgkAw4LeXw%3D%3D", "Work including garbage collection and separation from every house (Residential and Commercial), road and drain cleaning and community sanitation complex cleaning in all the villages of Gram Panchayat DANTA PS SANGOD")</f>
        <v/>
      </c>
      <c r="C2960" t="inlineStr">
        <is>
          <t>Panchayati Raj Department||Secretary and Commissioner||CEO-KOTA||BDO-SANGOD</t>
        </is>
      </c>
      <c r="D2960" t="inlineStr">
        <is>
          <t>19-May-2025 06:00 PM</t>
        </is>
      </c>
      <c r="E2960" t="inlineStr">
        <is>
          <t>10,00,000</t>
        </is>
      </c>
      <c r="F2960" t="inlineStr">
        <is>
          <t>Work including garbage collection and separation from every house (Residential and Commercial), road and drain cleaning and community sanitation complex cleaning in all the villages of Gram Panchayat DANTA PS SANGOD</t>
        </is>
      </c>
      <c r="G2960" t="inlineStr">
        <is>
          <t>GRAM PANCHAYAT DANTA</t>
        </is>
      </c>
    </row>
    <row r="2961">
      <c r="A2961" s="1" t="n">
        <v>2959</v>
      </c>
      <c r="B2961">
        <f>HYPERLINK("https://eproc.rajasthan.gov.in/nicgep/app?component=%24DirectLink&amp;page=FrontEndViewTender&amp;service=direct&amp;session=T&amp;sp=SOlDYKepo9kod0rWF6f0C0Q%3D%3D", "Work including garbage collection and separation from every house (Residential and Commercial), road and drain cleaning and community sanitation complex cleaning in all the villages of Gram Panchayat DHULET PS SANGOD")</f>
        <v/>
      </c>
      <c r="C2961" t="inlineStr">
        <is>
          <t>Panchayati Raj Department||Secretary and Commissioner||CEO-KOTA||BDO-SANGOD</t>
        </is>
      </c>
      <c r="D2961" t="inlineStr">
        <is>
          <t>19-May-2025 06:00 PM</t>
        </is>
      </c>
      <c r="E2961" t="inlineStr">
        <is>
          <t>10,00,000</t>
        </is>
      </c>
      <c r="F2961" t="inlineStr">
        <is>
          <t>Work including garbage collection and separation from every house (Residential and Commercial), road and drain cleaning and community sanitation complex cleaning in all the villages of Gram Panchayat DHULET PS SANGOD</t>
        </is>
      </c>
      <c r="G2961" t="inlineStr">
        <is>
          <t>GRAM PANCHAYAT DHULET</t>
        </is>
      </c>
    </row>
    <row r="2962">
      <c r="A2962" s="1" t="n">
        <v>2960</v>
      </c>
      <c r="B2962">
        <f>HYPERLINK("https://eproc.rajasthan.gov.in/nicgep/app?component=%24DirectLink&amp;page=FrontEndViewTender&amp;service=direct&amp;session=T&amp;sp=S43MHByrtUwjxBpIaX6gniQ%3D%3D", "Work including garbage collection and separation from every house (Residential and Commercial), road and drain cleaning and community sanitation complex cleaning in all the villages of Gram Panchayat BASHYAHEDI PS SANGOD")</f>
        <v/>
      </c>
      <c r="C2962" t="inlineStr">
        <is>
          <t>Panchayati Raj Department||Secretary and Commissioner||CEO-KOTA||BDO-SANGOD</t>
        </is>
      </c>
      <c r="D2962" t="inlineStr">
        <is>
          <t>19-May-2025 06:00 PM</t>
        </is>
      </c>
      <c r="E2962" t="inlineStr">
        <is>
          <t>10,00,000</t>
        </is>
      </c>
      <c r="F2962" t="inlineStr">
        <is>
          <t>Work including garbage collection and separation from every house (Residential and Commercial), road and drain cleaning and community sanitation complex cleaning in all the villages of Gram Panchayat BASHYAHEDI PS SANGOD</t>
        </is>
      </c>
      <c r="G2962" t="inlineStr">
        <is>
          <t>GRAM PANCHAYAT BASHYAHEDI</t>
        </is>
      </c>
    </row>
    <row r="2963">
      <c r="A2963" s="1" t="n">
        <v>2961</v>
      </c>
      <c r="B2963">
        <f>HYPERLINK("https://eproc.rajasthan.gov.in/nicgep/app?component=%24DirectLink&amp;page=FrontEndViewTender&amp;service=direct&amp;session=T&amp;sp=SHd23MaU%2FQXaB9qv6qTlPQQ%3D%3D", "MNREGA AND OTHER YOJNA MAIN GRAM PANCHAYAT JEEWAD KO NIRMAN SAMAGRI SUPPLY HETU")</f>
        <v/>
      </c>
      <c r="C2963" t="inlineStr">
        <is>
          <t>Panchayati Raj Department||Secretary and Commissioner||CEO-BHARATPUR||BDO-BAIR</t>
        </is>
      </c>
      <c r="D2963" t="inlineStr">
        <is>
          <t>26-May-2025 05:00 PM</t>
        </is>
      </c>
      <c r="E2963" t="inlineStr">
        <is>
          <t>40,00,000</t>
        </is>
      </c>
      <c r="F2963" t="inlineStr">
        <is>
          <t>MNREGA AND OTHER YOJNA MAIN GRAM PANCHAYAT JEEWAD KO NIRMAN SAMAGRI SUPPLY HETU</t>
        </is>
      </c>
      <c r="G2963" t="inlineStr">
        <is>
          <t>WORK SITE</t>
        </is>
      </c>
    </row>
    <row r="2964">
      <c r="A2964" s="1" t="n">
        <v>2962</v>
      </c>
      <c r="B2964">
        <f>HYPERLINK("https://eproc.rajasthan.gov.in/nicgep/app?component=%24DirectLink&amp;page=FrontEndViewTender&amp;service=direct&amp;session=T&amp;sp=SpeHcjoK%2B6HluKbUVIwdXqA%3D%3D", "MNREGA AND OTHER YOJNA MAIN GRAM PANCHAYAT LAKHANPUR KO NIRMAN SAMAGRI SUPPLY HETU")</f>
        <v/>
      </c>
      <c r="C2964" t="inlineStr">
        <is>
          <t>Panchayati Raj Department||Secretary and Commissioner||CEO-BHARATPUR||BDO-BAIR</t>
        </is>
      </c>
      <c r="D2964" t="inlineStr">
        <is>
          <t>26-May-2025 05:00 PM</t>
        </is>
      </c>
      <c r="E2964" t="inlineStr">
        <is>
          <t>40,00,000</t>
        </is>
      </c>
      <c r="F2964" t="inlineStr">
        <is>
          <t>MNREGA AND OTHER YOJNA MAIN GRAM PANCHAYAT LAKHANPUR KO NIRMAN SAMAGRI SUPPLY HETU</t>
        </is>
      </c>
      <c r="G2964" t="inlineStr">
        <is>
          <t>WORK SITE</t>
        </is>
      </c>
    </row>
    <row r="2965">
      <c r="A2965" s="1" t="n">
        <v>2963</v>
      </c>
      <c r="B2965">
        <f>HYPERLINK("https://eproc.rajasthan.gov.in/nicgep/app?component=%24DirectLink&amp;page=FrontEndViewTender&amp;service=direct&amp;session=T&amp;sp=ShYsK%2FmY%2BwF0y78ZANB4JvA%3D%3D", "DEVELOPEMENT WORKS IN GP TULEDA AS PER NIT DOCUMENT")</f>
        <v/>
      </c>
      <c r="C2965" t="inlineStr">
        <is>
          <t>Panchayati Raj Department||Secretary and Commissioner||CEO-ALWAR||BDO-UMRAIN</t>
        </is>
      </c>
      <c r="D2965" t="inlineStr">
        <is>
          <t>19-May-2025 04:00 PM</t>
        </is>
      </c>
      <c r="E2965" t="inlineStr">
        <is>
          <t>20,00,000</t>
        </is>
      </c>
      <c r="F2965" t="inlineStr">
        <is>
          <t>DEVELOPEMENT WORKS IN GP TULEDA AS PER NIT DOCUMENT</t>
        </is>
      </c>
      <c r="G2965" t="inlineStr">
        <is>
          <t>GP TULEDA</t>
        </is>
      </c>
    </row>
    <row r="2966">
      <c r="A2966" s="1" t="n">
        <v>2964</v>
      </c>
      <c r="B2966">
        <f>HYPERLINK("https://eproc.rajasthan.gov.in/nicgep/app?component=%24DirectLink&amp;page=FrontEndViewTender&amp;service=direct&amp;session=T&amp;sp=Styj%2Bz8ROMQKI0M0RzLan2w%3D%3D", "MNREGA AND OTHER YOJNA MAIN GRAM PANCHAYAT JAHANPUR KO NIRMAN SAMAGRI SUPPLY HETU")</f>
        <v/>
      </c>
      <c r="C2966" t="inlineStr">
        <is>
          <t>Panchayati Raj Department||Secretary and Commissioner||CEO-BHARATPUR||BDO-BAIR</t>
        </is>
      </c>
      <c r="D2966" t="inlineStr">
        <is>
          <t>26-May-2025 05:00 PM</t>
        </is>
      </c>
      <c r="E2966" t="inlineStr">
        <is>
          <t>40,00,000</t>
        </is>
      </c>
      <c r="F2966" t="inlineStr">
        <is>
          <t>MNREGA AND OTHER YOJNA MAIN GRAM PANCHAYAT JAHANPUR KO NIRMAN SAMAGRI SUPPLY HETU</t>
        </is>
      </c>
      <c r="G2966" t="inlineStr">
        <is>
          <t>WORK SITE</t>
        </is>
      </c>
    </row>
    <row r="2967">
      <c r="A2967" s="1" t="n">
        <v>2965</v>
      </c>
      <c r="B2967">
        <f>HYPERLINK("https://eproc.rajasthan.gov.in/nicgep/app?component=%24DirectLink&amp;page=FrontEndViewTender&amp;service=direct&amp;session=T&amp;sp=SVo7gMNTDAXXc0x4ZbNARkg%3D%3D", "BALAJI MANDIR KE SAMNE HIGH MASK LIGHT RIPERING KARY PURA BARI AND GRAM RAMPURA KE SARWJANIK CHOK ME HIGH MASK LIGHT LAGANE HETU GRAM PANCHAYAT PURA BARI")</f>
        <v/>
      </c>
      <c r="C2967" t="inlineStr">
        <is>
          <t>Panchayati Raj Department||Secretary and Commissioner||CEO-SIKAR||BDO-DHOD</t>
        </is>
      </c>
      <c r="D2967" t="inlineStr">
        <is>
          <t>19-May-2025 06:00 PM</t>
        </is>
      </c>
      <c r="E2967" t="inlineStr">
        <is>
          <t>7,00,000</t>
        </is>
      </c>
      <c r="F2967" t="inlineStr">
        <is>
          <t>BALAJI MANDIR KE SAMNE HIGH MASK LIGHT RIPERING KARY PURA BARI AND GRAM RAMPURA KE SARWJANIK CHOK ME HIGH MASK LIGHT LAGANE HETU GRAM PANCHAYAT PURA BARI</t>
        </is>
      </c>
      <c r="G2967" t="inlineStr">
        <is>
          <t>PURA BARI</t>
        </is>
      </c>
    </row>
    <row r="2968">
      <c r="A2968" s="1" t="n">
        <v>2966</v>
      </c>
      <c r="B2968">
        <f>HYPERLINK("https://eproc.rajasthan.gov.in/nicgep/app?component=%24DirectLink&amp;page=FrontEndViewTender&amp;service=direct&amp;session=T&amp;sp=SdCZP5Wa%2FFO4D0wYNs8NI2A%3D%3D", "Work including garbage collection and separation from every house (Residential and Commercial), road and drain cleaning and community sanitation complex cleaning in all the villages of Gram Panchayat MORUKALA PS SANGOD")</f>
        <v/>
      </c>
      <c r="C2968" t="inlineStr">
        <is>
          <t>Panchayati Raj Department||Secretary and Commissioner||CEO-KOTA||BDO-SANGOD</t>
        </is>
      </c>
      <c r="D2968" t="inlineStr">
        <is>
          <t>19-May-2025 06:00 PM</t>
        </is>
      </c>
      <c r="E2968" t="inlineStr">
        <is>
          <t>10,00,000</t>
        </is>
      </c>
      <c r="F2968" t="inlineStr">
        <is>
          <t>Work including garbage collection and separation from every house (Residential and Commercial), road and drain cleaning and community sanitation complex cleaning in all the villages of Gram Panchayat MORUKALA PS SANGOD</t>
        </is>
      </c>
      <c r="G2968" t="inlineStr">
        <is>
          <t>GRAM PANCHAYAT MORUKALA</t>
        </is>
      </c>
    </row>
    <row r="2969">
      <c r="A2969" s="1" t="n">
        <v>2967</v>
      </c>
      <c r="B2969">
        <f>HYPERLINK("https://eproc.rajasthan.gov.in/nicgep/app?component=%24DirectLink&amp;page=FrontEndViewTender&amp;service=direct&amp;session=T&amp;sp=SIhpk%2BcIwhhLSphQpuSgFhQ%3D%3D", "MNREGA AND OTHER YOJNA MAIN GRAM PANCHAYAT MUDIYA LALITA KO NIRMAN SAMAGRI SUPPLY HETU")</f>
        <v/>
      </c>
      <c r="C2969" t="inlineStr">
        <is>
          <t>Panchayati Raj Department||Secretary and Commissioner||CEO-BHARATPUR||BDO-BAIR</t>
        </is>
      </c>
      <c r="D2969" t="inlineStr">
        <is>
          <t>26-May-2025 05:00 PM</t>
        </is>
      </c>
      <c r="E2969" t="inlineStr">
        <is>
          <t>40,00,000</t>
        </is>
      </c>
      <c r="F2969" t="inlineStr">
        <is>
          <t>MNREGA AND OTHER YOJNA MAIN GRAM PANCHAYAT MUDIYA LALITA KO NIRMAN SAMAGRI SUPPLY HETU</t>
        </is>
      </c>
      <c r="G2969" t="inlineStr">
        <is>
          <t>WORK SITE</t>
        </is>
      </c>
    </row>
    <row r="2970">
      <c r="A2970" s="1" t="n">
        <v>2968</v>
      </c>
      <c r="B2970">
        <f>HYPERLINK("https://eproc.rajasthan.gov.in/nicgep/app?component=%24DirectLink&amp;page=FrontEndViewTender&amp;service=direct&amp;session=T&amp;sp=SKEtcz%2BMj0mYKmDBEBRdclg%3D%3D", "MNREGA AND OTHER YOJNA MAIN GRAM PANCHAYAT PALI KO NIRMAN SAMAGRI SUPPLY HETU")</f>
        <v/>
      </c>
      <c r="C2970" t="inlineStr">
        <is>
          <t>Panchayati Raj Department||Secretary and Commissioner||CEO-BHARATPUR||BDO-BAIR</t>
        </is>
      </c>
      <c r="D2970" t="inlineStr">
        <is>
          <t>26-May-2025 05:00 PM</t>
        </is>
      </c>
      <c r="E2970" t="inlineStr">
        <is>
          <t>40,00,000</t>
        </is>
      </c>
      <c r="F2970" t="inlineStr">
        <is>
          <t>MNREGA AND OTHER YOJNA MAIN GRAM PANCHAYAT PALI KO NIRMAN SAMAGRI SUPPLY HETU</t>
        </is>
      </c>
      <c r="G2970" t="inlineStr">
        <is>
          <t>WORK SITE</t>
        </is>
      </c>
    </row>
    <row r="2971">
      <c r="A2971" s="1" t="n">
        <v>2969</v>
      </c>
      <c r="B2971">
        <f>HYPERLINK("https://eproc.rajasthan.gov.in/nicgep/app?component=%24DirectLink&amp;page=FrontEndViewTender&amp;service=direct&amp;session=T&amp;sp=SgfquSHx3ssqG6VFsoZcr%2BQ%3D%3D", "Gram Panchayat KHEDLA GADALI Material Supply All Scheme Works FY 2025-26")</f>
        <v/>
      </c>
      <c r="C2971" t="inlineStr">
        <is>
          <t>Panchayati Raj Department||Secretary and Commissioner||CEO-DAUSA||BDO-MAHUVA</t>
        </is>
      </c>
      <c r="D2971" t="inlineStr">
        <is>
          <t>20-May-2025 05:00 PM</t>
        </is>
      </c>
      <c r="E2971" t="inlineStr">
        <is>
          <t>35,00,000</t>
        </is>
      </c>
      <c r="F2971" t="inlineStr">
        <is>
          <t>Rate contract For supply of Construcation Material and Providing Equipments for MGNREGA in Gram panchayat KHEDLA GADALI Panchayat samiti Mahwa For FY 2025-26 UP to 31 March 2026 (ITEM WISE RATE AS PEAR ATTACHED G SCHEDULE</t>
        </is>
      </c>
      <c r="G2971" t="inlineStr">
        <is>
          <t>Gram panchayat KHEDLA GADALI</t>
        </is>
      </c>
    </row>
    <row r="2972">
      <c r="A2972" s="1" t="n">
        <v>2970</v>
      </c>
      <c r="B2972">
        <f>HYPERLINK("https://eproc.rajasthan.gov.in/nicgep/app?component=%24DirectLink&amp;page=FrontEndViewTender&amp;service=direct&amp;session=T&amp;sp=S%2BHmHmU33hgj5%2F9wyvDZwzQ%3D%3D", "MNREGA AND OTHER YOJNA MAIN GRAM PANCHAYAT RAIPUR KO NIRMAN SAMAGRI SUPPLY HETU")</f>
        <v/>
      </c>
      <c r="C2972" t="inlineStr">
        <is>
          <t>Panchayati Raj Department||Secretary and Commissioner||CEO-BHARATPUR||BDO-BAIR</t>
        </is>
      </c>
      <c r="D2972" t="inlineStr">
        <is>
          <t>26-May-2025 05:00 PM</t>
        </is>
      </c>
      <c r="E2972" t="inlineStr">
        <is>
          <t>40,00,000</t>
        </is>
      </c>
      <c r="F2972" t="inlineStr">
        <is>
          <t>MNREGA AND OTHER YOJNA MAIN GRAM PANCHAYAT RAIPUR KO NIRMAN SAMAGRI SUPPLY HETU</t>
        </is>
      </c>
      <c r="G2972" t="inlineStr">
        <is>
          <t>WORK SITE</t>
        </is>
      </c>
    </row>
    <row r="2973">
      <c r="A2973" s="1" t="n">
        <v>2971</v>
      </c>
      <c r="B2973">
        <f>HYPERLINK("https://eproc.rajasthan.gov.in/nicgep/app?component=%24DirectLink&amp;page=FrontEndViewTender&amp;service=direct&amp;session=T&amp;sp=Sfu9YW1VAUcJm%2BDEo8hIrLA%3D%3D", "Work including garbage collection and separation from every house (Residential and Commercial), road and drain cleaning and community sanitation complex cleaning in all the villages of Gram Panchayat JALIMPURA PS SANGOD")</f>
        <v/>
      </c>
      <c r="C2973" t="inlineStr">
        <is>
          <t>Panchayati Raj Department||Secretary and Commissioner||CEO-KOTA||BDO-SANGOD</t>
        </is>
      </c>
      <c r="D2973" t="inlineStr">
        <is>
          <t>19-May-2025 06:00 PM</t>
        </is>
      </c>
      <c r="E2973" t="inlineStr">
        <is>
          <t>10,00,000</t>
        </is>
      </c>
      <c r="F2973" t="inlineStr">
        <is>
          <t>Work including garbage collection and separation from every house (Residential and Commercial), road and drain cleaning and community sanitation complex cleaning in all the villages of Gram Panchayat JALIMPURA PS SANGOD</t>
        </is>
      </c>
      <c r="G2973" t="inlineStr">
        <is>
          <t>GRAM PANCHAYAT JALIMPURA</t>
        </is>
      </c>
    </row>
    <row r="2974">
      <c r="A2974" s="1" t="n">
        <v>2972</v>
      </c>
      <c r="B2974">
        <f>HYPERLINK("https://eproc.rajasthan.gov.in/nicgep/app?component=%24DirectLink&amp;page=FrontEndViewTender&amp;service=direct&amp;session=T&amp;sp=Ski1ChEl8U9msjuT2mfgusw%3D%3D", "MNREGA AND OTHER YOJNA MAIN GRAM PANCHAYAT MOLONI KO NIRMAN SAMAGRI SUPPLY HETU")</f>
        <v/>
      </c>
      <c r="C2974" t="inlineStr">
        <is>
          <t>Panchayati Raj Department||Secretary and Commissioner||CEO-BHARATPUR||BDO-BAIR</t>
        </is>
      </c>
      <c r="D2974" t="inlineStr">
        <is>
          <t>26-May-2025 05:00 PM</t>
        </is>
      </c>
      <c r="E2974" t="inlineStr">
        <is>
          <t>40,00,000</t>
        </is>
      </c>
      <c r="F2974" t="inlineStr">
        <is>
          <t>MNREGA AND OTHER YOJNA MAIN GRAM PANCHAYAT MOLONI KO NIRMAN SAMAGRI SUPPLY HETU</t>
        </is>
      </c>
      <c r="G2974" t="inlineStr">
        <is>
          <t>WORK SITE</t>
        </is>
      </c>
    </row>
    <row r="2975">
      <c r="A2975" s="1" t="n">
        <v>2973</v>
      </c>
      <c r="B2975">
        <f>HYPERLINK("https://eproc.rajasthan.gov.in/nicgep/app?component=%24DirectLink&amp;page=FrontEndViewTender&amp;service=direct&amp;session=T&amp;sp=S%2BWDe7VK8sqHrz0R%2FM4AXSA%3D%3D", "Rate contract For providing Material Supply and Equipments for all construction works conducted in all Schemes of Rural Development and Panchayati Raj Department and MG Nrega in GP lotwada Panchayat Samiti Baijupada Dist.Dausa for FY 2025-26")</f>
        <v/>
      </c>
      <c r="C2975" t="inlineStr">
        <is>
          <t>Panchayati Raj Department||Secretary and Commissioner||CEO-DAUSA||BDO-BAIJUPADA</t>
        </is>
      </c>
      <c r="D2975" t="inlineStr">
        <is>
          <t>19-May-2025 05:00 PM</t>
        </is>
      </c>
      <c r="E2975" t="inlineStr">
        <is>
          <t>35,00,000</t>
        </is>
      </c>
      <c r="F2975" t="inlineStr">
        <is>
          <t>Rate contract For providing Material Supply and Equipments for all construction works conducted in all Schemes of Rural Development and Panchayati Raj Department and MG Nrega in GP lotwada Panchayat Samiti Baijupada Dist.Dausa for FY 2025-26</t>
        </is>
      </c>
      <c r="G2975" t="inlineStr">
        <is>
          <t>gram panchayat lotwada</t>
        </is>
      </c>
    </row>
    <row r="2976">
      <c r="A2976" s="1" t="n">
        <v>2974</v>
      </c>
      <c r="B2976">
        <f>HYPERLINK("https://eproc.rajasthan.gov.in/nicgep/app?component=%24DirectLink&amp;page=FrontEndViewTender&amp;service=direct&amp;session=T&amp;sp=Syf9Lb3e1GVr0uNyCqTdI8Q%3D%3D", "MATERIAL SUPPLY IN GRAM PANCHAYAT PURA BARI PS DHOD FOR MGNREGA AND OTHER SCHEME")</f>
        <v/>
      </c>
      <c r="C2976" t="inlineStr">
        <is>
          <t>Panchayati Raj Department||Secretary and Commissioner||CEO-SIKAR||BDO-DHOD</t>
        </is>
      </c>
      <c r="D2976" t="inlineStr">
        <is>
          <t>19-May-2025 06:00 PM</t>
        </is>
      </c>
      <c r="E2976" t="inlineStr">
        <is>
          <t>45,00,000</t>
        </is>
      </c>
      <c r="F2976" t="inlineStr">
        <is>
          <t>MATERIAL SUPPLY IN GRAM PANCHAYAT PURA BARI PS DHOD FOR MGNREGA AND OTHER SCHEME</t>
        </is>
      </c>
      <c r="G2976" t="inlineStr">
        <is>
          <t>PURA BARI</t>
        </is>
      </c>
    </row>
    <row r="2977">
      <c r="A2977" s="1" t="n">
        <v>2975</v>
      </c>
      <c r="B2977">
        <f>HYPERLINK("https://eproc.rajasthan.gov.in/nicgep/app?component=%24DirectLink&amp;page=FrontEndViewTender&amp;service=direct&amp;session=T&amp;sp=SKWr%2Bw46yKSJwdcEUOGPrwg%3D%3D", "SUPPLY OF BUILDING MATERIAL AND EQUIPMENT IN GP SAGRANIYO KI BERI PS GUDAMALANI")</f>
        <v/>
      </c>
      <c r="C2977" t="inlineStr">
        <is>
          <t>Panchayati Raj Department||Secretary and Commissioner||CEO-BADMER||BDO-GUDHAMALANI</t>
        </is>
      </c>
      <c r="D2977" t="inlineStr">
        <is>
          <t>19-May-2025 06:00 PM</t>
        </is>
      </c>
      <c r="E2977" t="inlineStr">
        <is>
          <t>50,00,000</t>
        </is>
      </c>
      <c r="F2977" t="inlineStr">
        <is>
          <t>SUPPLY OF BUILDING MATERIAL AND EQUIPMENT IN GP SAGRANIYO KI BERI PS GUDAMALANI</t>
        </is>
      </c>
      <c r="G2977" t="inlineStr">
        <is>
          <t>GRAM PANHAYAT SAGRANIYO KI BERI PS GUDAMALANI</t>
        </is>
      </c>
    </row>
    <row r="2978">
      <c r="A2978" s="1" t="n">
        <v>2976</v>
      </c>
      <c r="B2978">
        <f>HYPERLINK("https://eproc.rajasthan.gov.in/nicgep/app?component=%24DirectLink&amp;page=FrontEndViewTender&amp;service=direct&amp;session=T&amp;sp=SPm1KBCK4K3zTDo6m3Fhe4g%3D%3D", "Work/Godia/Laxmnmena/NIT/2/06")</f>
        <v/>
      </c>
      <c r="C2978" t="inlineStr">
        <is>
          <t>Panchayati Raj Department||Secretary and Commissioner||CEO-SIKAR||BDO-FETHEPUR</t>
        </is>
      </c>
      <c r="D2978" t="inlineStr">
        <is>
          <t>19-May-2025 10:00 AM</t>
        </is>
      </c>
      <c r="E2978" t="inlineStr">
        <is>
          <t>6,99,640</t>
        </is>
      </c>
      <c r="F2978" t="inlineStr">
        <is>
          <t>Work/Godia/Laxmnmena/NIT/2/06</t>
        </is>
      </c>
      <c r="G2978" t="inlineStr">
        <is>
          <t>GP GODIA BADA PS FTR</t>
        </is>
      </c>
    </row>
    <row r="2979">
      <c r="A2979" s="1" t="n">
        <v>2977</v>
      </c>
      <c r="B2979">
        <f>HYPERLINK("https://eproc.rajasthan.gov.in/nicgep/app?component=%24DirectLink&amp;page=FrontEndViewTender&amp;service=direct&amp;session=T&amp;sp=SbQGIHXRl1UfkGzgbVta7hg%3D%3D", "Material Supply for Gram Panchayat Palari Kallan P.S. Bherunda")</f>
        <v/>
      </c>
      <c r="C2979" t="inlineStr">
        <is>
          <t>Panchayati Raj Department||Secretary and Commissioner||CEO-NAGORE||BDO-BHERUNDA</t>
        </is>
      </c>
      <c r="D2979" t="inlineStr">
        <is>
          <t>20-May-2025 06:00 PM</t>
        </is>
      </c>
      <c r="E2979" t="inlineStr">
        <is>
          <t>1,00,00,000</t>
        </is>
      </c>
      <c r="F2979" t="inlineStr">
        <is>
          <t>Supply construction of Material and providing equipment in MGNREGA each work in GP Palari Kallan abouT tender notice PS Bherunda</t>
        </is>
      </c>
      <c r="G2979" t="inlineStr">
        <is>
          <t>GRAM PANCHAYAT PALARI KALLAN</t>
        </is>
      </c>
    </row>
    <row r="2980">
      <c r="A2980" s="1" t="n">
        <v>2978</v>
      </c>
      <c r="B2980">
        <f>HYPERLINK("https://eproc.rajasthan.gov.in/nicgep/app?component=%24DirectLink&amp;page=FrontEndViewTender&amp;service=direct&amp;session=T&amp;sp=SJgNPBXqLPzf3P2N2%2BE1Kig%3D%3D", "MNREGA AND OTHER YOJNA MAIN GRAM PANCHAYAT JAGJIWANPUR KO NIRMAN SAMAGRI SUPPLY HETU")</f>
        <v/>
      </c>
      <c r="C2980" t="inlineStr">
        <is>
          <t>Panchayati Raj Department||Secretary and Commissioner||CEO-BHARATPUR||BDO-BAIR</t>
        </is>
      </c>
      <c r="D2980" t="inlineStr">
        <is>
          <t>26-May-2025 05:00 PM</t>
        </is>
      </c>
      <c r="E2980" t="inlineStr">
        <is>
          <t>40,00,000</t>
        </is>
      </c>
      <c r="F2980" t="inlineStr">
        <is>
          <t>MNREGA AND OTHER YOJNA MAIN GRAM PANCHAYAT JAGJIWANPUR KO NIRMAN SAMAGRI SUPPLY HETU</t>
        </is>
      </c>
      <c r="G2980" t="inlineStr">
        <is>
          <t>WORK SITE</t>
        </is>
      </c>
    </row>
    <row r="2981">
      <c r="A2981" s="1" t="n">
        <v>2979</v>
      </c>
      <c r="B2981">
        <f>HYPERLINK("https://eproc.rajasthan.gov.in/nicgep/app?component=%24DirectLink&amp;page=FrontEndViewTender&amp;service=direct&amp;session=T&amp;sp=ShZ6IDPZVNkfbaIhmpq1fPg%3D%3D", "MNREGA AND OTHER YOJNA MAIN GRAM PANCHAYAT HATEEZAR KO NIRMAN SAMAGRI SUPPLY HETU")</f>
        <v/>
      </c>
      <c r="C2981" t="inlineStr">
        <is>
          <t>Panchayati Raj Department||Secretary and Commissioner||CEO-BHARATPUR||BDO-BAIR</t>
        </is>
      </c>
      <c r="D2981" t="inlineStr">
        <is>
          <t>26-May-2025 05:00 PM</t>
        </is>
      </c>
      <c r="E2981" t="inlineStr">
        <is>
          <t>40,00,000</t>
        </is>
      </c>
      <c r="F2981" t="inlineStr">
        <is>
          <t>MNREGA AND OTHER YOJNA MAIN GRAM PANCHAYAT HATEEZAR KO NIRMAN SAMAGRI SUPPLY HETU</t>
        </is>
      </c>
      <c r="G2981" t="inlineStr">
        <is>
          <t>WORK SITE</t>
        </is>
      </c>
    </row>
    <row r="2982">
      <c r="A2982" s="1" t="n">
        <v>2980</v>
      </c>
      <c r="B2982">
        <f>HYPERLINK("https://eproc.rajasthan.gov.in/nicgep/app?component=%24DirectLink&amp;page=FrontEndViewTender&amp;service=direct&amp;session=T&amp;sp=SykxhrG99inSJ1KzoBoo4Sw%3D%3D", "MNREGA AND OTHER YOJNA MAIN GRAM PANCHAYAT HATHODI KO NIRMAN SAMAGRI SUPPLY HETU")</f>
        <v/>
      </c>
      <c r="C2982" t="inlineStr">
        <is>
          <t>Panchayati Raj Department||Secretary and Commissioner||CEO-BHARATPUR||BDO-BAIR</t>
        </is>
      </c>
      <c r="D2982" t="inlineStr">
        <is>
          <t>26-May-2025 05:00 PM</t>
        </is>
      </c>
      <c r="E2982" t="inlineStr">
        <is>
          <t>40,00,000</t>
        </is>
      </c>
      <c r="F2982" t="inlineStr">
        <is>
          <t>MNREGA AND OTHER YOJNA MAIN GRAM PANCHAYAT HATHODI KO NIRMAN SAMAGRI SUPPLY HETU</t>
        </is>
      </c>
      <c r="G2982" t="inlineStr">
        <is>
          <t>WORK SITE</t>
        </is>
      </c>
    </row>
    <row r="2983">
      <c r="A2983" s="1" t="n">
        <v>2981</v>
      </c>
      <c r="B2983">
        <f>HYPERLINK("https://eproc.rajasthan.gov.in/nicgep/app?component=%24DirectLink&amp;page=FrontEndViewTender&amp;service=direct&amp;session=T&amp;sp=Si8Oi6PPJh590wgYbQDFsmQ%3D%3D", "Work including garbage collection and separation from every house (Residential and Commercial), road and drain cleaning and community sanitation complex cleaning in all the villages of Gram Panchayat HINGI PS SANGOD")</f>
        <v/>
      </c>
      <c r="C2983" t="inlineStr">
        <is>
          <t>Panchayati Raj Department||Secretary and Commissioner||CEO-KOTA||BDO-SANGOD</t>
        </is>
      </c>
      <c r="D2983" t="inlineStr">
        <is>
          <t>19-May-2025 06:00 PM</t>
        </is>
      </c>
      <c r="E2983" t="inlineStr">
        <is>
          <t>10,00,000</t>
        </is>
      </c>
      <c r="F2983" t="inlineStr">
        <is>
          <t>Work including garbage collection and separation from every house (Residential and Commercial), road and drain cleaning and community sanitation complex cleaning in all the villages of Gram Panchayat HINGI PS SANGOD</t>
        </is>
      </c>
      <c r="G2983" t="inlineStr">
        <is>
          <t>GRAM PANCHAYAT HINGI</t>
        </is>
      </c>
    </row>
    <row r="2984">
      <c r="A2984" s="1" t="n">
        <v>2982</v>
      </c>
      <c r="B2984">
        <f>HYPERLINK("https://eproc.rajasthan.gov.in/nicgep/app?component=%24DirectLink&amp;page=FrontEndViewTender&amp;service=direct&amp;session=T&amp;sp=SkdB3VTrECrBWiXW%2BAB5TmA%3D%3D", "Work including garbage collection and separation from every house (Residential and Commercial), road and drain cleaning and community sanitation complex cleaning in all the villages of Gram Panchayat KURAD PS SANGOD")</f>
        <v/>
      </c>
      <c r="C2984" t="inlineStr">
        <is>
          <t>Panchayati Raj Department||Secretary and Commissioner||CEO-KOTA||BDO-SANGOD</t>
        </is>
      </c>
      <c r="D2984" t="inlineStr">
        <is>
          <t>19-May-2025 06:00 PM</t>
        </is>
      </c>
      <c r="E2984" t="inlineStr">
        <is>
          <t>10,00,000</t>
        </is>
      </c>
      <c r="F2984" t="inlineStr">
        <is>
          <t>Work including garbage collection and separation from every house (Residential and Commercial), road and drain cleaning and community sanitation complex cleaning in all the villages of Gram Panchayat KURAD PS SANGOD</t>
        </is>
      </c>
      <c r="G2984" t="inlineStr">
        <is>
          <t>GRAM PANCHAYAT KURAD</t>
        </is>
      </c>
    </row>
    <row r="2985">
      <c r="A2985" s="1" t="n">
        <v>2983</v>
      </c>
      <c r="B2985">
        <f>HYPERLINK("https://eproc.rajasthan.gov.in/nicgep/app?component=%24DirectLink&amp;page=FrontEndViewTender&amp;service=direct&amp;session=T&amp;sp=ShBi0q9l9jrQ6yhqZjq%2FJIg%3D%3D", "Work including garbage collection and separation from every house (Residential and Commercial), road and drain cleaning and community sanitation complex cleaning in all the villages of Gram Panchayat KURADIYAKHURAD PS SANGOD")</f>
        <v/>
      </c>
      <c r="C2985" t="inlineStr">
        <is>
          <t>Panchayati Raj Department||Secretary and Commissioner||CEO-KOTA||BDO-SANGOD</t>
        </is>
      </c>
      <c r="D2985" t="inlineStr">
        <is>
          <t>19-May-2025 06:00 PM</t>
        </is>
      </c>
      <c r="E2985" t="inlineStr">
        <is>
          <t>10,00,000</t>
        </is>
      </c>
      <c r="F2985" t="inlineStr">
        <is>
          <t>Work including garbage collection and separation from every house (Residential and Commercial), road and drain cleaning and community sanitation complex cleaning in all the villages of Gram Panchayat KURADIYAKHURAD PS SANGOD</t>
        </is>
      </c>
      <c r="G2985" t="inlineStr">
        <is>
          <t>GRAM PANCHAYAT KURADIYAKHURAD</t>
        </is>
      </c>
    </row>
    <row r="2986">
      <c r="A2986" s="1" t="n">
        <v>2984</v>
      </c>
      <c r="B2986">
        <f>HYPERLINK("https://eproc.rajasthan.gov.in/nicgep/app?component=%24DirectLink&amp;page=FrontEndViewTender&amp;service=direct&amp;session=T&amp;sp=SRpPl3HiT1bzRDXHtl%2FpN9w%3D%3D", "Work including garbage collection and separation from every house (Residential and Commercial), road and drain cleaning and community sanitation complex cleaning in all the villages of Gram Panchayat SHYAMPURA PS SANGOD")</f>
        <v/>
      </c>
      <c r="C2986" t="inlineStr">
        <is>
          <t>Panchayati Raj Department||Secretary and Commissioner||CEO-KOTA||BDO-SANGOD</t>
        </is>
      </c>
      <c r="D2986" t="inlineStr">
        <is>
          <t>19-May-2025 06:00 PM</t>
        </is>
      </c>
      <c r="E2986" t="inlineStr">
        <is>
          <t>10,00,000</t>
        </is>
      </c>
      <c r="F2986" t="inlineStr">
        <is>
          <t>Work including garbage collection and separation from every house (Residential and Commercial), road and drain cleaning and community sanitation complex cleaning in all the villages of Gram Panchayat SHYAMPURA PS SANGOD</t>
        </is>
      </c>
      <c r="G2986" t="inlineStr">
        <is>
          <t>GRAM PANCHAYAT SHYAMPURA</t>
        </is>
      </c>
    </row>
    <row r="2987">
      <c r="A2987" s="1" t="n">
        <v>2985</v>
      </c>
      <c r="B2987">
        <f>HYPERLINK("https://eproc.rajasthan.gov.in/nicgep/app?component=%24DirectLink&amp;page=FrontEndViewTender&amp;service=direct&amp;session=T&amp;sp=SqSie%2FEBlFXPYrGKVTQFP5A%3D%3D", "Work including garbage collection and separation from every house (Residential and Commercial), road and drain cleaning and community sanitation complex cleaning in all the villages of Gram Panchayat BORINAKALA PS SANGOD")</f>
        <v/>
      </c>
      <c r="C2987" t="inlineStr">
        <is>
          <t>Panchayati Raj Department||Secretary and Commissioner||CEO-KOTA||BDO-SANGOD</t>
        </is>
      </c>
      <c r="D2987" t="inlineStr">
        <is>
          <t>19-May-2025 06:00 PM</t>
        </is>
      </c>
      <c r="E2987" t="inlineStr">
        <is>
          <t>10,00,000</t>
        </is>
      </c>
      <c r="F2987" t="inlineStr">
        <is>
          <t>Work including garbage collection and separation from every house (Residential and Commercial), road and drain cleaning and community sanitation complex cleaning in all the villages of Gram Panchayat BORINAKALA PS SANGOD</t>
        </is>
      </c>
      <c r="G2987" t="inlineStr">
        <is>
          <t>GRAM PANCHAYAT BORINAKALA</t>
        </is>
      </c>
    </row>
    <row r="2988">
      <c r="A2988" s="1" t="n">
        <v>2986</v>
      </c>
      <c r="B2988">
        <f>HYPERLINK("https://eproc.rajasthan.gov.in/nicgep/app?component=%24DirectLink&amp;page=FrontEndViewTender&amp;service=direct&amp;session=T&amp;sp=SgpYe1J83AQf8rBND5vokCg%3D%3D", "Work including garbage collection and separation from every house (Residential and Commercial), road and drain cleaning and community sanitation complex cleaning in all the villages of Gram Panchayat AMRATKUWA PS SANGOD")</f>
        <v/>
      </c>
      <c r="C2988" t="inlineStr">
        <is>
          <t>Panchayati Raj Department||Secretary and Commissioner||CEO-KOTA||BDO-SANGOD</t>
        </is>
      </c>
      <c r="D2988" t="inlineStr">
        <is>
          <t>19-May-2025 06:00 PM</t>
        </is>
      </c>
      <c r="E2988" t="inlineStr">
        <is>
          <t>10,00,000</t>
        </is>
      </c>
      <c r="F2988" t="inlineStr">
        <is>
          <t>Work including garbage collection and separation from every house (Residential and Commercial), road and drain cleaning and community sanitation complex cleaning in all the villages of Gram Panchayat AMRATKUWA PS SANGOD</t>
        </is>
      </c>
      <c r="G2988" t="inlineStr">
        <is>
          <t>GRAM PANCHAYAT AMRATKUWA</t>
        </is>
      </c>
    </row>
    <row r="2989">
      <c r="A2989" s="1" t="n">
        <v>2987</v>
      </c>
      <c r="B2989">
        <f>HYPERLINK("https://eproc.rajasthan.gov.in/nicgep/app?component=%24DirectLink&amp;page=FrontEndViewTender&amp;service=direct&amp;session=T&amp;sp=SOxSwUZfLhBzCNrbEcgXVKg%3D%3D", "Work including garbage collection and separation from every house (Residential and Commercial), road and drain cleaning and community sanitation complex cleaning in all the villages of Gram Panchayat AWAN PS SANGOD")</f>
        <v/>
      </c>
      <c r="C2989" t="inlineStr">
        <is>
          <t>Panchayati Raj Department||Secretary and Commissioner||CEO-KOTA||BDO-SANGOD</t>
        </is>
      </c>
      <c r="D2989" t="inlineStr">
        <is>
          <t>19-May-2025 06:00 PM</t>
        </is>
      </c>
      <c r="E2989" t="inlineStr">
        <is>
          <t>10,00,000</t>
        </is>
      </c>
      <c r="F2989" t="inlineStr">
        <is>
          <t>Work including garbage collection and separation from every house (Residential and Commercial), road and drain cleaning and community sanitation complex cleaning in all the villages of Gram Panchayat AWAN PS SANGOD</t>
        </is>
      </c>
      <c r="G2989" t="inlineStr">
        <is>
          <t>GRAM PANCHAYAT AWAN</t>
        </is>
      </c>
    </row>
    <row r="2990">
      <c r="A2990" s="1" t="n">
        <v>2988</v>
      </c>
      <c r="B2990">
        <f>HYPERLINK("https://eproc.rajasthan.gov.in/nicgep/app?component=%24DirectLink&amp;page=FrontEndViewTender&amp;service=direct&amp;session=T&amp;sp=Sj3owhpKGlRvEsu0y7OZwHg%3D%3D", "Work including garbage collection and separation from every house (Residential and Commercial), road and drain cleaning and community sanitation complex cleaning in all the villages of Gram Panchayat DIGOD PS SANGOD")</f>
        <v/>
      </c>
      <c r="C2990" t="inlineStr">
        <is>
          <t>Panchayati Raj Department||Secretary and Commissioner||CEO-KOTA||BDO-SANGOD</t>
        </is>
      </c>
      <c r="D2990" t="inlineStr">
        <is>
          <t>19-May-2025 06:00 PM</t>
        </is>
      </c>
      <c r="E2990" t="inlineStr">
        <is>
          <t>10,00,000</t>
        </is>
      </c>
      <c r="F2990" t="inlineStr">
        <is>
          <t>Work including garbage collection and separation from every house (Residential and Commercial), road and drain cleaning and community sanitation complex cleaning in all the villages of Gram Panchayat DIGOD PS SANGOD</t>
        </is>
      </c>
      <c r="G2990" t="inlineStr">
        <is>
          <t>GRAM PANCHAYAT DIGOD</t>
        </is>
      </c>
    </row>
    <row r="2991">
      <c r="A2991" s="1" t="n">
        <v>2989</v>
      </c>
      <c r="B2991">
        <f>HYPERLINK("https://eproc.rajasthan.gov.in/nicgep/app?component=%24DirectLink&amp;page=FrontEndViewTender&amp;service=direct&amp;session=T&amp;sp=S58TGv86GLBfCIbRl90h7SA%3D%3D", "Work including garbage collection and separation from every house (Residential and Commercial), road and drain cleaning and community sanitation complex cleaning in all the villages of Gram Panchayat DEVLI PS SANGOD")</f>
        <v/>
      </c>
      <c r="C2991" t="inlineStr">
        <is>
          <t>Panchayati Raj Department||Secretary and Commissioner||CEO-KOTA||BDO-SANGOD</t>
        </is>
      </c>
      <c r="D2991" t="inlineStr">
        <is>
          <t>19-May-2025 06:00 PM</t>
        </is>
      </c>
      <c r="E2991" t="inlineStr">
        <is>
          <t>10,00,000</t>
        </is>
      </c>
      <c r="F2991" t="inlineStr">
        <is>
          <t>Work including garbage collection and separation from every house (Residential and Commercial), road and drain cleaning and community sanitation complex cleaning in all the villages of Gram Panchayat DEVLI PS SANGOD</t>
        </is>
      </c>
      <c r="G2991" t="inlineStr">
        <is>
          <t>GRAM PANCHAYAT DEVLI</t>
        </is>
      </c>
    </row>
    <row r="2992">
      <c r="A2992" s="1" t="n">
        <v>2990</v>
      </c>
      <c r="B2992">
        <f>HYPERLINK("https://eproc.rajasthan.gov.in/nicgep/app?component=%24DirectLink&amp;page=FrontEndViewTender&amp;service=direct&amp;session=T&amp;sp=Sox4DyuERJBAWoRKv1iD0SA%3D%3D", "Work including garbage collection and separation from every house (Residential and Commercial), road and drain cleaning and community sanitation complex cleaning in all the villages of Gram Panchayat KAMOLAR PS SANGOD")</f>
        <v/>
      </c>
      <c r="C2992" t="inlineStr">
        <is>
          <t>Panchayati Raj Department||Secretary and Commissioner||CEO-KOTA||BDO-SANGOD</t>
        </is>
      </c>
      <c r="D2992" t="inlineStr">
        <is>
          <t>19-May-2025 06:00 PM</t>
        </is>
      </c>
      <c r="E2992" t="inlineStr">
        <is>
          <t>10,00,000</t>
        </is>
      </c>
      <c r="F2992" t="inlineStr">
        <is>
          <t>Work including garbage collection and separation from every house (Residential and Commercial), road and drain cleaning and community sanitation complex cleaning in all the villages of Gram Panchayat KAMOLAR PS SANGOD</t>
        </is>
      </c>
      <c r="G2992" t="inlineStr">
        <is>
          <t>GRAM PANCHAYAT KAMOLAR</t>
        </is>
      </c>
    </row>
    <row r="2993">
      <c r="A2993" s="1" t="n">
        <v>2991</v>
      </c>
      <c r="B2993">
        <f>HYPERLINK("https://eproc.rajasthan.gov.in/nicgep/app?component=%24DirectLink&amp;page=FrontEndViewTender&amp;service=direct&amp;session=T&amp;sp=SbGaAW6WVaATbETQ08RkACQ%3D%3D", "Work including garbage collection and separation from every house (Residential and Commercial), road and drain cleaning and community sanitation complex cleaning in all the villages of Gram Panchayat KISHANPURA PS SANGOD")</f>
        <v/>
      </c>
      <c r="C2993" t="inlineStr">
        <is>
          <t>Panchayati Raj Department||Secretary and Commissioner||CEO-KOTA||BDO-SANGOD</t>
        </is>
      </c>
      <c r="D2993" t="inlineStr">
        <is>
          <t>19-May-2025 06:00 PM</t>
        </is>
      </c>
      <c r="E2993" t="inlineStr">
        <is>
          <t>10,00,000</t>
        </is>
      </c>
      <c r="F2993" t="inlineStr">
        <is>
          <t>Work including garbage collection and separation from every house (Residential and Commercial), road and drain cleaning and community sanitation complex cleaning in all the villages of Gram Panchayat KISHANPURA PS SANGOD</t>
        </is>
      </c>
      <c r="G2993" t="inlineStr">
        <is>
          <t>GRAM PANCHAYAT KISHANPURA</t>
        </is>
      </c>
    </row>
    <row r="2994">
      <c r="A2994" s="1" t="n">
        <v>2992</v>
      </c>
      <c r="B2994">
        <f>HYPERLINK("https://eproc.rajasthan.gov.in/nicgep/app?component=%24DirectLink&amp;page=FrontEndViewTender&amp;service=direct&amp;session=T&amp;sp=SDh1gNoO4ISXgBKYiOehUiw%3D%3D", "Work including garbage collection and separation from every house (Residential and Commercial), road and drain cleaning and community sanitation complex cleaning in all the villages of Gram Panchayat MANDITA PS SANGOD")</f>
        <v/>
      </c>
      <c r="C2994" t="inlineStr">
        <is>
          <t>Panchayati Raj Department||Secretary and Commissioner||CEO-KOTA||BDO-SANGOD</t>
        </is>
      </c>
      <c r="D2994" t="inlineStr">
        <is>
          <t>19-May-2025 06:00 PM</t>
        </is>
      </c>
      <c r="E2994" t="inlineStr">
        <is>
          <t>10,00,000</t>
        </is>
      </c>
      <c r="F2994" t="inlineStr">
        <is>
          <t>Work including garbage collection and separation from every house (Residential and Commercial), road and drain cleaning and community sanitation complex cleaning in all the villages of Gram Panchayat MANDITA PS SANGOD</t>
        </is>
      </c>
      <c r="G2994" t="inlineStr">
        <is>
          <t>GRAM PANCHAYAT MANDITA</t>
        </is>
      </c>
    </row>
    <row r="2995">
      <c r="A2995" s="1" t="n">
        <v>2993</v>
      </c>
      <c r="B2995">
        <f>HYPERLINK("https://eproc.rajasthan.gov.in/nicgep/app?component=%24DirectLink&amp;page=FrontEndViewTender&amp;service=direct&amp;session=T&amp;sp=S2W%2BRUsj06CDRKIB4eRpLmA%3D%3D", "Work including garbage collection and separation from every house (Residential and Commercial), road and drain cleaning and community sanitation complex cleaning in all the villages of Gram Panchayat KHAJURI PS SANGOD")</f>
        <v/>
      </c>
      <c r="C2995" t="inlineStr">
        <is>
          <t>Panchayati Raj Department||Secretary and Commissioner||CEO-KOTA||BDO-SANGOD</t>
        </is>
      </c>
      <c r="D2995" t="inlineStr">
        <is>
          <t>19-May-2025 06:00 PM</t>
        </is>
      </c>
      <c r="E2995" t="inlineStr">
        <is>
          <t>10,00,000</t>
        </is>
      </c>
      <c r="F2995" t="inlineStr">
        <is>
          <t>Work including garbage collection and separation from every house (Residential and Commercial), road and drain cleaning and community sanitation complex cleaning in all the villages of Gram Panchayat KHAJURI PS SANGOD</t>
        </is>
      </c>
      <c r="G2995" t="inlineStr">
        <is>
          <t>GRAM PANCHAYAT KHAJURI</t>
        </is>
      </c>
    </row>
    <row r="2996">
      <c r="A2996" s="1" t="n">
        <v>2994</v>
      </c>
      <c r="B2996">
        <f>HYPERLINK("https://eproc.rajasthan.gov.in/nicgep/app?component=%24DirectLink&amp;page=FrontEndViewTender&amp;service=direct&amp;session=T&amp;sp=SqZA%2FKvy6z7zeFPUN0ec5xA%3D%3D", "Work including garbage collection and separation from every house (Residential and Commercial), road and drain cleaning and community sanitation complex cleaning in all the villages of Gram Panchayat JHALARI PS SANGOD")</f>
        <v/>
      </c>
      <c r="C2996" t="inlineStr">
        <is>
          <t>Panchayati Raj Department||Secretary and Commissioner||CEO-KOTA||BDO-SANGOD</t>
        </is>
      </c>
      <c r="D2996" t="inlineStr">
        <is>
          <t>19-May-2025 06:00 PM</t>
        </is>
      </c>
      <c r="E2996" t="inlineStr">
        <is>
          <t>10,00,000</t>
        </is>
      </c>
      <c r="F2996" t="inlineStr">
        <is>
          <t>Work including garbage collection and separation from every house (Residential and Commercial), road and drain cleaning and community sanitation complex cleaning in all the villages of Gram Panchayat JHALARI PS SANGOD</t>
        </is>
      </c>
      <c r="G2996" t="inlineStr">
        <is>
          <t>GRAM PANCHAYAT JHALARI</t>
        </is>
      </c>
    </row>
    <row r="2997">
      <c r="A2997" s="1" t="n">
        <v>2995</v>
      </c>
      <c r="B2997">
        <f>HYPERLINK("https://eproc.rajasthan.gov.in/nicgep/app?component=%24DirectLink&amp;page=FrontEndViewTender&amp;service=direct&amp;session=T&amp;sp=SMhY7%2FVk4tk0YOEbM2Tk5tA%3D%3D", "Work including garbage collection and separation from every house (Residential and Commercial), road and drain cleaning and community sanitation complex cleaning in all the villages of Gram Panchayat BALUHEDA PS SANGOD")</f>
        <v/>
      </c>
      <c r="C2997" t="inlineStr">
        <is>
          <t>Panchayati Raj Department||Secretary and Commissioner||CEO-KOTA||BDO-SANGOD</t>
        </is>
      </c>
      <c r="D2997" t="inlineStr">
        <is>
          <t>19-May-2025 06:00 PM</t>
        </is>
      </c>
      <c r="E2997" t="inlineStr">
        <is>
          <t>10,00,000</t>
        </is>
      </c>
      <c r="F2997" t="inlineStr">
        <is>
          <t>Work including garbage collection and separation from every house (Residential and Commercial), road and drain cleaning and community sanitation complex cleaning in all the villages of Gram Panchayat BALUHEDA PS SANGOD</t>
        </is>
      </c>
      <c r="G2997" t="inlineStr">
        <is>
          <t>GRAM PANCHAYAT BALUHEDA</t>
        </is>
      </c>
    </row>
    <row r="2998">
      <c r="A2998" s="1" t="n">
        <v>2996</v>
      </c>
      <c r="B2998">
        <f>HYPERLINK("https://eproc.rajasthan.gov.in/nicgep/app?component=%24DirectLink&amp;page=FrontEndViewTender&amp;service=direct&amp;session=T&amp;sp=SExS0TGrwZFwqNzKeEU1vIg%3D%3D", "Work including garbage collection and separation from every house (Residential and Commercial), road and drain cleaning and community sanitation complex cleaning in all the villages of Gram Panchayat MAMOR PS SANGOD")</f>
        <v/>
      </c>
      <c r="C2998" t="inlineStr">
        <is>
          <t>Panchayati Raj Department||Secretary and Commissioner||CEO-KOTA||BDO-SANGOD</t>
        </is>
      </c>
      <c r="D2998" t="inlineStr">
        <is>
          <t>19-May-2025 06:00 PM</t>
        </is>
      </c>
      <c r="E2998" t="inlineStr">
        <is>
          <t>10,00,000</t>
        </is>
      </c>
      <c r="F2998" t="inlineStr">
        <is>
          <t>Work including garbage collection and separation from every house (Residential and Commercial), road and drain cleaning and community sanitation complex cleaning in all the villages of Gram Panchayat MAMOR PS SANGOD</t>
        </is>
      </c>
      <c r="G2998" t="inlineStr">
        <is>
          <t>GRAM PANCHAYAT MAMOR</t>
        </is>
      </c>
    </row>
    <row r="2999">
      <c r="A2999" s="1" t="n">
        <v>2997</v>
      </c>
      <c r="B2999">
        <f>HYPERLINK("https://eproc.rajasthan.gov.in/nicgep/app?component=%24DirectLink&amp;page=FrontEndViewTender&amp;service=direct&amp;session=T&amp;sp=Sqj7b5z%2FRWWfdyEpP9LA7iQ%3D%3D", "Work including garbage collection and separation from every house (Residential and Commercial), road and drain cleaning and community sanitation complex cleaning in all the villages of Gram Panchayat HINGONIYA PS SANGOD")</f>
        <v/>
      </c>
      <c r="C2999" t="inlineStr">
        <is>
          <t>Panchayati Raj Department||Secretary and Commissioner||CEO-KOTA||BDO-SANGOD</t>
        </is>
      </c>
      <c r="D2999" t="inlineStr">
        <is>
          <t>19-May-2025 06:00 PM</t>
        </is>
      </c>
      <c r="E2999" t="inlineStr">
        <is>
          <t>10,00,000</t>
        </is>
      </c>
      <c r="F2999" t="inlineStr">
        <is>
          <t>Work including garbage collection and separation from every house (Residential and Commercial), road and drain cleaning and community sanitation complex cleaning in all the villages of Gram Panchayat HINGONIYA PS SANGOD</t>
        </is>
      </c>
      <c r="G2999" t="inlineStr">
        <is>
          <t>GRAM PANCHAYAT HINGONIYA</t>
        </is>
      </c>
    </row>
    <row r="3000">
      <c r="A3000" s="1" t="n">
        <v>2998</v>
      </c>
      <c r="B3000">
        <f>HYPERLINK("https://eproc.rajasthan.gov.in/nicgep/app?component=%24DirectLink&amp;page=FrontEndViewTender&amp;service=direct&amp;session=T&amp;sp=S6mQb2PtW8tchydHRy07kIw%3D%3D", "Work including garbage collection and separation from every house (Residential and Commercial), road and drain cleaning and community sanitation complex cleaning in all the villages of Gram Panchayat KHAJURANA PS SANGOD")</f>
        <v/>
      </c>
      <c r="C3000" t="inlineStr">
        <is>
          <t>Panchayati Raj Department||Secretary and Commissioner||CEO-KOTA||BDO-SANGOD</t>
        </is>
      </c>
      <c r="D3000" t="inlineStr">
        <is>
          <t>19-May-2025 06:00 PM</t>
        </is>
      </c>
      <c r="E3000" t="inlineStr">
        <is>
          <t>10,00,000</t>
        </is>
      </c>
      <c r="F3000" t="inlineStr">
        <is>
          <t>Work including garbage collection and separation from every house (Residential and Commercial), road and drain cleaning and community sanitation complex cleaning in all the villages of Gram Panchayat KHAJURANA PS SANGOD</t>
        </is>
      </c>
      <c r="G3000" t="inlineStr">
        <is>
          <t>GRAM PANCHAYAT KHAJURANA</t>
        </is>
      </c>
    </row>
    <row r="3001">
      <c r="A3001" s="1" t="n">
        <v>2999</v>
      </c>
      <c r="B3001">
        <f>HYPERLINK("https://eproc.rajasthan.gov.in/nicgep/app?component=%24DirectLink&amp;page=FrontEndViewTender&amp;service=direct&amp;session=T&amp;sp=SxtVBsj4WFW8Dzj%2F89T8TLw%3D%3D", "Work including garbage collection and separation from every house (Residential and Commercial), road and drain cleaning and community sanitation complex cleaning in all the villages of Gram Panchayat MANDAP PS SANGOD")</f>
        <v/>
      </c>
      <c r="C3001" t="inlineStr">
        <is>
          <t>Panchayati Raj Department||Secretary and Commissioner||CEO-KOTA||BDO-SANGOD</t>
        </is>
      </c>
      <c r="D3001" t="inlineStr">
        <is>
          <t>19-May-2025 06:00 PM</t>
        </is>
      </c>
      <c r="E3001" t="inlineStr">
        <is>
          <t>10,00,000</t>
        </is>
      </c>
      <c r="F3001" t="inlineStr">
        <is>
          <t>Work including garbage collection and separation from every house (Residential and Commercial), road and drain cleaning and community sanitation complex cleaning in all the villages of Gram Panchayat MANDAP PS SANGOD</t>
        </is>
      </c>
      <c r="G3001" t="inlineStr">
        <is>
          <t>GRAM PANCHAYAT MANDAP</t>
        </is>
      </c>
    </row>
    <row r="3002">
      <c r="A3002" s="1" t="n">
        <v>3000</v>
      </c>
      <c r="B3002">
        <f>HYPERLINK("https://eproc.rajasthan.gov.in/nicgep/app?component=%24DirectLink&amp;page=FrontEndViewTender&amp;service=direct&amp;session=T&amp;sp=S0CIKbXeNM44CiH8N2k01nQ%3D%3D", "Work including garbage collection and separation from every house (Residential and Commercial), road and drain cleaning and community sanitation complex cleaning in all the villages of Gram Panchayat DHOTI PS SANGOD")</f>
        <v/>
      </c>
      <c r="C3002" t="inlineStr">
        <is>
          <t>Panchayati Raj Department||Secretary and Commissioner||CEO-KOTA||BDO-SANGOD</t>
        </is>
      </c>
      <c r="D3002" t="inlineStr">
        <is>
          <t>19-May-2025 06:00 PM</t>
        </is>
      </c>
      <c r="E3002" t="inlineStr">
        <is>
          <t>10,00,000</t>
        </is>
      </c>
      <c r="F3002" t="inlineStr">
        <is>
          <t>Work including garbage collection and separation from every house (Residential and Commercial), road and drain cleaning and community sanitation complex cleaning in all the villages of Gram Panchayat DHOTI PS SANGOD</t>
        </is>
      </c>
      <c r="G3002" t="inlineStr">
        <is>
          <t>GRAM PANCHAYAT DHOTI</t>
        </is>
      </c>
    </row>
    <row r="3003">
      <c r="A3003" s="1" t="n">
        <v>3001</v>
      </c>
      <c r="B3003">
        <f>HYPERLINK("https://eproc.rajasthan.gov.in/nicgep/app?component=%24DirectLink&amp;page=FrontEndViewTender&amp;service=direct&amp;session=T&amp;sp=SrkpTFGL3oLgpFENOMdP83A%3D%3D", "Work including garbage collection and separation from every house (Residential and Commercial), road and drain cleaning and community sanitation complex cleaning in all the villages of Gram Panchayat VINODKHURAD PS SANGOD")</f>
        <v/>
      </c>
      <c r="C3003" t="inlineStr">
        <is>
          <t>Panchayati Raj Department||Secretary and Commissioner||CEO-KOTA||BDO-SANGOD</t>
        </is>
      </c>
      <c r="D3003" t="inlineStr">
        <is>
          <t>19-May-2025 06:00 PM</t>
        </is>
      </c>
      <c r="E3003" t="inlineStr">
        <is>
          <t>10,00,000</t>
        </is>
      </c>
      <c r="F3003" t="inlineStr">
        <is>
          <t>Work including garbage collection and separation from every house (Residential and Commercial), road and drain cleaning and community sanitation complex cleaning in all the villages of Gram Panchayat VINODKHURAD PS SANGOD</t>
        </is>
      </c>
      <c r="G3003" t="inlineStr">
        <is>
          <t>GRAM PANCHAYAT VINODKHURAD</t>
        </is>
      </c>
    </row>
    <row r="3004">
      <c r="A3004" s="1" t="n">
        <v>3002</v>
      </c>
      <c r="B3004">
        <f>HYPERLINK("https://eproc.rajasthan.gov.in/nicgep/app?component=%24DirectLink&amp;page=FrontEndViewTender&amp;service=direct&amp;session=T&amp;sp=SQBJra6LnpyDHklgn4dZh9w%3D%3D", "Work including garbage collection and separation from every house (Residential and Commercial), road and drain cleaning and community sanitation complex cleaning in all the villages of Gram Panchayat KUNDANPUR PS SANGOD")</f>
        <v/>
      </c>
      <c r="C3004" t="inlineStr">
        <is>
          <t>Panchayati Raj Department||Secretary and Commissioner||CEO-KOTA||BDO-SANGOD</t>
        </is>
      </c>
      <c r="D3004" t="inlineStr">
        <is>
          <t>19-May-2025 06:00 PM</t>
        </is>
      </c>
      <c r="E3004" t="inlineStr">
        <is>
          <t>10,00,000</t>
        </is>
      </c>
      <c r="F3004" t="inlineStr">
        <is>
          <t>Work including garbage collection and separation from every house (Residential and Commercial), road and drain cleaning and community sanitation complex cleaning in all the villages of Gram Panchayat KUNDANPUR PS SANGOD</t>
        </is>
      </c>
      <c r="G3004" t="inlineStr">
        <is>
          <t>GRAM PANCHAYAT KUNDANPUR</t>
        </is>
      </c>
    </row>
    <row r="3005">
      <c r="A3005" s="1" t="n">
        <v>3003</v>
      </c>
      <c r="B3005">
        <f>HYPERLINK("https://eproc.rajasthan.gov.in/nicgep/app?component=%24DirectLink&amp;page=FrontEndViewTender&amp;service=direct&amp;session=T&amp;sp=S26TXZAUrIvHzt8cqLvYzHg%3D%3D", "Work including garbage collection and separation from every house (Residential and Commercial), road and drain cleaning and community sanitation complex cleaning in all the villages of Gram Panchayat MOIKALA PS SANGOD")</f>
        <v/>
      </c>
      <c r="C3005" t="inlineStr">
        <is>
          <t>Panchayati Raj Department||Secretary and Commissioner||CEO-KOTA||BDO-SANGOD</t>
        </is>
      </c>
      <c r="D3005" t="inlineStr">
        <is>
          <t>19-May-2025 06:00 PM</t>
        </is>
      </c>
      <c r="E3005" t="inlineStr">
        <is>
          <t>10,00,000</t>
        </is>
      </c>
      <c r="F3005" t="inlineStr">
        <is>
          <t>Work including garbage collection and separation from every house (Residential and Commercial), road and drain cleaning and community sanitation complex cleaning in all the villages of Gram Panchayat MOIKALA PS SANGOD</t>
        </is>
      </c>
      <c r="G3005" t="inlineStr">
        <is>
          <t>GRAM PANCHAYAT MOIKALA</t>
        </is>
      </c>
    </row>
    <row r="3006">
      <c r="A3006" s="1" t="n">
        <v>3004</v>
      </c>
      <c r="B3006">
        <f>HYPERLINK("https://eproc.rajasthan.gov.in/nicgep/app?component=%24DirectLink&amp;page=FrontEndViewTender&amp;service=direct&amp;session=T&amp;sp=S%2FAD%2FRNvQWV8DjCgy5kjJVw%3D%3D", "Work including garbage collection and separation from every house (Residential and Commercial), road and drain cleaning and community sanitation complex cleaning in all the villages of Gram Panchayat DILLIPURA PS SANGOD")</f>
        <v/>
      </c>
      <c r="C3006" t="inlineStr">
        <is>
          <t>Panchayati Raj Department||Secretary and Commissioner||CEO-KOTA||BDO-SANGOD</t>
        </is>
      </c>
      <c r="D3006" t="inlineStr">
        <is>
          <t>19-May-2025 06:00 PM</t>
        </is>
      </c>
      <c r="E3006" t="inlineStr">
        <is>
          <t>10,00,000</t>
        </is>
      </c>
      <c r="F3006" t="inlineStr">
        <is>
          <t>Work including garbage collection and separation from every house (Residential and Commercial), road and drain cleaning and community sanitation complex cleaning in all the villages of Gram Panchayat DILLIPURA PS SANGOD</t>
        </is>
      </c>
      <c r="G3006" t="inlineStr">
        <is>
          <t>GRAM PANCHAYAT DILLIPURA</t>
        </is>
      </c>
    </row>
    <row r="3007">
      <c r="A3007" s="1" t="n">
        <v>3005</v>
      </c>
      <c r="B3007">
        <f>HYPERLINK("https://eproc.rajasthan.gov.in/nicgep/app?component=%24DirectLink&amp;page=FrontEndViewTender&amp;service=direct&amp;session=T&amp;sp=SBqQ80lq%2FIl4g%2Btj4t3dZ%2BQ%3D%3D", "Annual Rate Contract FY 2025-26 for Drilling of Hand Pump and Tube well bore and Installation of Hand Pump, Tube well in various Gram Panchayat area of PS SANGOD Dist Kota")</f>
        <v/>
      </c>
      <c r="C3007" t="inlineStr">
        <is>
          <t>Panchayati Raj Department||Secretary and Commissioner||CEO-KOTA||BDO-SANGOD</t>
        </is>
      </c>
      <c r="D3007" t="inlineStr">
        <is>
          <t>19-May-2025 06:00 PM</t>
        </is>
      </c>
      <c r="E3007" t="inlineStr">
        <is>
          <t>30,00,000</t>
        </is>
      </c>
      <c r="F3007" t="inlineStr">
        <is>
          <t>Annual Rate Contract FY 2025-26 for Drilling of Hand Pump and Tube well bore and Installation of Hand Pump, Tube well in various Gram Panchayat area of PS SANGOD Dist Kota</t>
        </is>
      </c>
      <c r="G3007" t="inlineStr">
        <is>
          <t>VARIOUS GRAM PANCHAYAT OF PS SANGOD</t>
        </is>
      </c>
    </row>
    <row r="3008">
      <c r="A3008" s="1" t="n">
        <v>3006</v>
      </c>
      <c r="B3008">
        <f>HYPERLINK("https://eproc.rajasthan.gov.in/nicgep/app?component=%24DirectLink&amp;page=FrontEndViewTender&amp;service=direct&amp;session=T&amp;sp=SyyUO1fhTAJ%2F8LJqXZvXtTg%3D%3D", "Work including garbage collection and separation from every house (Residential and Commercial), road and drain cleaning and community sanitation complex cleaning in all the villages of Gram Panchayat BAPAWARKALA PS SANGOD")</f>
        <v/>
      </c>
      <c r="C3008" t="inlineStr">
        <is>
          <t>Panchayati Raj Department||Secretary and Commissioner||CEO-KOTA||BDO-SANGOD</t>
        </is>
      </c>
      <c r="D3008" t="inlineStr">
        <is>
          <t>19-May-2025 06:00 PM</t>
        </is>
      </c>
      <c r="E3008" t="inlineStr">
        <is>
          <t>10,00,000</t>
        </is>
      </c>
      <c r="F3008" t="inlineStr">
        <is>
          <t>Work including garbage collection and separation from every house (Residential and Commercial), road and drain cleaning and community sanitation complex cleaning in all the villages of Gram Panchayat BAPAWARKALA PS SANGOD</t>
        </is>
      </c>
      <c r="G3008" t="inlineStr">
        <is>
          <t>GRAM PANCHAYAT BAPAWARKALA</t>
        </is>
      </c>
    </row>
    <row r="3009">
      <c r="A3009" s="1" t="n">
        <v>3007</v>
      </c>
      <c r="B3009">
        <f>HYPERLINK("https://eproc.rajasthan.gov.in/nicgep/app?component=%24DirectLink&amp;page=FrontEndViewTender&amp;service=direct&amp;session=T&amp;sp=Sz0H57LLcFHo0LqmWaeiKYQ%3D%3D", "Work including garbage collection and separation from every house (Residential and Commercial), road and drain cleaning and community sanitation complex cleaning in all the villages of Gram Panchayat LATURI PS SANGOD")</f>
        <v/>
      </c>
      <c r="C3009" t="inlineStr">
        <is>
          <t>Panchayati Raj Department||Secretary and Commissioner||CEO-KOTA||BDO-SANGOD</t>
        </is>
      </c>
      <c r="D3009" t="inlineStr">
        <is>
          <t>19-May-2025 06:00 PM</t>
        </is>
      </c>
      <c r="E3009" t="inlineStr">
        <is>
          <t>10,00,000</t>
        </is>
      </c>
      <c r="F3009" t="inlineStr">
        <is>
          <t>Work including garbage collection and separation from every house (Residential and Commercial), road and drain cleaning and community sanitation complex cleaning in all the villages of Gram Panchayat LATURI PS SANGOD</t>
        </is>
      </c>
      <c r="G3009" t="inlineStr">
        <is>
          <t>GRAM PANCHAYAT LATURI</t>
        </is>
      </c>
    </row>
    <row r="3010">
      <c r="A3010" s="1" t="n">
        <v>3008</v>
      </c>
      <c r="B3010">
        <f>HYPERLINK("https://eproc.rajasthan.gov.in/nicgep/app?component=%24DirectLink&amp;page=FrontEndViewTender&amp;service=direct&amp;session=T&amp;sp=SjWxuushYOe32%2FT24HI%2FwZQ%3D%3D", "Work including garbage collection and separation from every house (Residential and Commercial), road and drain cleaning and community sanitation complex cleaning in all the villages of Gram Panchayat KHADIYA PS SANGOD")</f>
        <v/>
      </c>
      <c r="C3010" t="inlineStr">
        <is>
          <t>Panchayati Raj Department||Secretary and Commissioner||CEO-KOTA||BDO-SANGOD</t>
        </is>
      </c>
      <c r="D3010" t="inlineStr">
        <is>
          <t>19-May-2025 06:00 PM</t>
        </is>
      </c>
      <c r="E3010" t="inlineStr">
        <is>
          <t>10,00,000</t>
        </is>
      </c>
      <c r="F3010" t="inlineStr">
        <is>
          <t>Work including garbage collection and separation from every house (Residential and Commercial), road and drain cleaning and community sanitation complex cleaning in all the villages of Gram Panchayat KHADIYA PS SANGOD</t>
        </is>
      </c>
      <c r="G3010" t="inlineStr">
        <is>
          <t>GRAM PANCHAYAT KHADIYA</t>
        </is>
      </c>
    </row>
    <row r="3011">
      <c r="A3011" s="1" t="n">
        <v>3009</v>
      </c>
      <c r="B3011">
        <f>HYPERLINK("https://eproc.rajasthan.gov.in/nicgep/app?component=%24DirectLink&amp;page=FrontEndViewTender&amp;service=direct&amp;session=T&amp;sp=SBG%2B2tb39MZnoX1VvElk5vQ%3D%3D", "Work including garbage collection and separation from every house (Residential and Commercial), road and drain cleaning and community sanitation complex cleaning in all the villages of Gram Panchayat LABANIYA PS SANGOD")</f>
        <v/>
      </c>
      <c r="C3011" t="inlineStr">
        <is>
          <t>Panchayati Raj Department||Secretary and Commissioner||CEO-KOTA||BDO-SANGOD</t>
        </is>
      </c>
      <c r="D3011" t="inlineStr">
        <is>
          <t>19-May-2025 06:00 PM</t>
        </is>
      </c>
      <c r="E3011" t="inlineStr">
        <is>
          <t>10,00,000</t>
        </is>
      </c>
      <c r="F3011" t="inlineStr">
        <is>
          <t>Work including garbage collection and separation from every house (Residential and Commercial), road and drain cleaning and community sanitation complex cleaning in all the villages of Gram Panchayat LABANIYA PS SANGOD</t>
        </is>
      </c>
      <c r="G3011" t="inlineStr">
        <is>
          <t>GRAM PANCHAYATLABANIYA</t>
        </is>
      </c>
    </row>
    <row r="3012">
      <c r="A3012" s="1" t="n">
        <v>3010</v>
      </c>
      <c r="B3012">
        <f>HYPERLINK("https://eproc.rajasthan.gov.in/nicgep/app?component=%24DirectLink&amp;page=FrontEndViewTender&amp;service=direct&amp;session=T&amp;sp=S1DVAoqo42miAmj%2BRCvPA%2BA%3D%3D", "Gram Panchayat SHEKHPURA All village, Home to Home Garbage collection and segregation from(residential and commercial)areas, street and drain cleaning and community sanitation,premises cleaning work,GP SHEKHPURA PS SIKANDARA")</f>
        <v/>
      </c>
      <c r="C3012" t="inlineStr">
        <is>
          <t>Panchayati Raj Department||Secretary and Commissioner||CEO-DAUSA||BDO-SIKARAI</t>
        </is>
      </c>
      <c r="D3012" t="inlineStr">
        <is>
          <t>19-May-2025 05:00 PM</t>
        </is>
      </c>
      <c r="E3012" t="inlineStr">
        <is>
          <t>9,75,273</t>
        </is>
      </c>
      <c r="F3012" t="inlineStr">
        <is>
          <t>Gram Panchayat SHEKHPURA All village, Home to Home Garbage collection and segregation from(residential and commercial)areas, street and drain cleaning and community sanitation,premises cleaning work,GP SHEKHPURA PS SIKANDARA</t>
        </is>
      </c>
      <c r="G3012" t="inlineStr">
        <is>
          <t>GRAM PACNHAYAT SHEKHPURA</t>
        </is>
      </c>
    </row>
    <row r="3013">
      <c r="A3013" s="1" t="n">
        <v>3011</v>
      </c>
      <c r="B3013">
        <f>HYPERLINK("https://eproc.rajasthan.gov.in/nicgep/app?component=%24DirectLink&amp;page=FrontEndViewTender&amp;service=direct&amp;session=T&amp;sp=SUb1%2BI6IuqineJiVnVnJtiw%3D%3D", "Rate contract For providing Material Supply and Equipments for all construction works conducted in all Schemes of Rural Development and Panchayati Raj Department and MG Nrega in GP khedi Panchayat Samiti Baijupada Dist.Dausa for FY 2025-26")</f>
        <v/>
      </c>
      <c r="C3013" t="inlineStr">
        <is>
          <t>Panchayati Raj Department||Secretary and Commissioner||CEO-DAUSA||BDO-BAIJUPADA</t>
        </is>
      </c>
      <c r="D3013" t="inlineStr">
        <is>
          <t>19-May-2025 05:00 PM</t>
        </is>
      </c>
      <c r="E3013" t="inlineStr">
        <is>
          <t>35,00,000</t>
        </is>
      </c>
      <c r="F3013" t="inlineStr">
        <is>
          <t>Rate contract For providing Material Supply and Equipments for all construction works conducted in all Schemes of Rural Development and Panchayati Raj Department and MG Nrega in GP khedi Panchayat Samiti Baijupada Dist.Dausa for FY 2025-26</t>
        </is>
      </c>
      <c r="G3013" t="inlineStr">
        <is>
          <t>gram panchayat khedi</t>
        </is>
      </c>
    </row>
    <row r="3014">
      <c r="A3014" s="1" t="n">
        <v>3012</v>
      </c>
      <c r="B3014">
        <f>HYPERLINK("https://eproc.rajasthan.gov.in/nicgep/app?component=%24DirectLink&amp;page=FrontEndViewTender&amp;service=direct&amp;session=T&amp;sp=SMZ21EUHPKwQs%2F9%2B%2B31bgqQ%3D%3D", "Supply of Construction Material in Gram Panchayat Kundali Nadi In Panchayat Samiti Malarna Doongar under MNREGA and RD and Various Scheme for the Year 2025-26")</f>
        <v/>
      </c>
      <c r="C3014" t="inlineStr">
        <is>
          <t>Panchayati Raj Department||Secretary and Commissioner||CEO-S.MADHOPUR||BDO-MALARANA DUNGAR</t>
        </is>
      </c>
      <c r="D3014" t="inlineStr">
        <is>
          <t>20-May-2025 06:00 PM</t>
        </is>
      </c>
      <c r="E3014" t="inlineStr">
        <is>
          <t>50,00,000</t>
        </is>
      </c>
      <c r="F3014" t="inlineStr">
        <is>
          <t>Supply of Construction Material in Gram Panchayat Kundali Nadi In Panchayat Samiti Malarna Doongar under MNREGA and RD and Various Scheme for the Year 2025-26</t>
        </is>
      </c>
      <c r="G3014" t="inlineStr">
        <is>
          <t>GRAM PANCHAYAT KUNDALI NADI</t>
        </is>
      </c>
    </row>
    <row r="3015">
      <c r="A3015" s="1" t="n">
        <v>3013</v>
      </c>
      <c r="B3015">
        <f>HYPERLINK("https://eproc.rajasthan.gov.in/nicgep/app?component=%24DirectLink&amp;page=FrontEndViewTender&amp;service=direct&amp;session=T&amp;sp=Sq5zhLFricvqsqRVYrcYM8Q%3D%3D", "41 GRAM PANCHAYAT MNAREGA AND OTHER SCHEMS MATERIAL SUPPLY IN PANCHAYAT SAMITI UDAIPURWATI")</f>
        <v/>
      </c>
      <c r="C3015" t="inlineStr">
        <is>
          <t>Panchayati Raj Department||Secretary and Commissioner||CEO-JHUNJHUNU||BDO-SINGHANA</t>
        </is>
      </c>
      <c r="D3015" t="inlineStr">
        <is>
          <t>23-May-2025 06:00 PM</t>
        </is>
      </c>
      <c r="E3015" t="inlineStr">
        <is>
          <t>22,65,00,000</t>
        </is>
      </c>
      <c r="F3015" t="inlineStr">
        <is>
          <t>41 GRAM PANCHAYAT MNAREGA AND OTHER SCHEMS MATERIAL SUPPLY IN PANCHAYAT SAMITI UDAIPURWATI</t>
        </is>
      </c>
      <c r="G3015" t="inlineStr">
        <is>
          <t>41 GRAM PANCHAYAT MNAREGA AND OTHER SCHEMS MATERIA</t>
        </is>
      </c>
    </row>
    <row r="3016">
      <c r="A3016" s="1" t="n">
        <v>3014</v>
      </c>
      <c r="B3016">
        <f>HYPERLINK("https://eproc.rajasthan.gov.in/nicgep/app?component=%24DirectLink&amp;page=FrontEndViewTender&amp;service=direct&amp;session=T&amp;sp=S47mk056ECYedVKv1kJs5tw%3D%3D", "RATE CONTRACT FOR SUPPLY OF CONSTRUCTION MATERIAL AND PROVIDING EQUIPMENT IN GRAM PANCHAYAT NARSINGHPURI FOR FY 2025-26 PS NEEMKATHANA")</f>
        <v/>
      </c>
      <c r="C3016" t="inlineStr">
        <is>
          <t>Panchayati Raj Department||Secretary and Commissioner||CEO-SIKAR||BDO-NEEMKATHANA</t>
        </is>
      </c>
      <c r="D3016" t="inlineStr">
        <is>
          <t>19-May-2025 06:00 PM</t>
        </is>
      </c>
      <c r="E3016" t="inlineStr">
        <is>
          <t>40,00,000</t>
        </is>
      </c>
      <c r="F3016" t="inlineStr">
        <is>
          <t>RATE CONTRACT FOR SUPPLY OF CONSTRUCTION MATERIAL AND PROVIDING EQUIPMENT IN GRAM PANCHAYAT NARSINGHPURI FOR FY 2025-26 PS NEEMKATHANA</t>
        </is>
      </c>
      <c r="G3016" t="inlineStr">
        <is>
          <t>GP NARSINGHPURI</t>
        </is>
      </c>
    </row>
    <row r="3017">
      <c r="A3017" s="1" t="n">
        <v>3015</v>
      </c>
      <c r="B3017">
        <f>HYPERLINK("https://eproc.rajasthan.gov.in/nicgep/app?component=%24DirectLink&amp;page=FrontEndViewTender&amp;service=direct&amp;session=T&amp;sp=SqywEjYJXyWoetTIgAw46DQ%3D%3D", "MATERIAL AND EQUIPMENT SUPPLY UNDER MNREGA AND OTHER GOVT RD SCHEMES AT GP DHORU FOR F.Y.-2025-2026")</f>
        <v/>
      </c>
      <c r="C3017" t="inlineStr">
        <is>
          <t>Panchayati Raj Department||Secretary and Commissioner||CEO-JODHPUR||BDO-BHOPALGARH</t>
        </is>
      </c>
      <c r="D3017" t="inlineStr">
        <is>
          <t>20-May-2025 11:00 AM</t>
        </is>
      </c>
      <c r="E3017" t="inlineStr">
        <is>
          <t>1,00,00,000</t>
        </is>
      </c>
      <c r="F3017" t="inlineStr">
        <is>
          <t>MATERIAL AND EQUIPMENT SUPPLY UNDER MNREGA AND OTHER GOVT RD SCHEMES AT GP DHORU FOR F.Y.-2025-2026</t>
        </is>
      </c>
      <c r="G3017" t="inlineStr">
        <is>
          <t>GP DHORU</t>
        </is>
      </c>
    </row>
    <row r="3018">
      <c r="A3018" s="1" t="n">
        <v>3016</v>
      </c>
      <c r="B3018">
        <f>HYPERLINK("https://eproc.rajasthan.gov.in/nicgep/app?component=%24DirectLink&amp;page=FrontEndViewTender&amp;service=direct&amp;session=T&amp;sp=S0dYxkLyY7Cg3CH0zDBrZ7g%3D%3D", "Rate contract For providing Material Supply and Equipments for all construction works conducted in all Schemes of Rural Development and Panchayati Raj Department and MG Nrega in GP golada Panchayat Samiti Baijupada Dist.Dausa for FY 2025-26")</f>
        <v/>
      </c>
      <c r="C3018" t="inlineStr">
        <is>
          <t>Panchayati Raj Department||Secretary and Commissioner||CEO-DAUSA||BDO-BAIJUPADA</t>
        </is>
      </c>
      <c r="D3018" t="inlineStr">
        <is>
          <t>19-May-2025 05:00 PM</t>
        </is>
      </c>
      <c r="E3018" t="inlineStr">
        <is>
          <t>35,00,000</t>
        </is>
      </c>
      <c r="F3018" t="inlineStr">
        <is>
          <t>Rate contract For providing Material Supply and Equipments for all construction works conducted in all Schemes of Rural Development and Panchayati Raj Department and MG Nrega in GP golada Panchayat Samiti Baijupada Dist.Dausa for FY 2025-26</t>
        </is>
      </c>
      <c r="G3018" t="inlineStr">
        <is>
          <t>gram panchayat golada</t>
        </is>
      </c>
    </row>
    <row r="3019">
      <c r="A3019" s="1" t="n">
        <v>3017</v>
      </c>
      <c r="B3019">
        <f>HYPERLINK("https://eproc.rajasthan.gov.in/nicgep/app?component=%24DirectLink&amp;page=FrontEndViewTender&amp;service=direct&amp;session=T&amp;sp=SHKkKo7Afz2XI2ZE%2FMLDnqg%3D%3D", "Gram Panchayat devori All village, Home to Home Garbage collection and segregation from(residential and commercial)areas, street and drain cleaning and community sanitation,premises cleaning work,GP devori PS SIKANDARA")</f>
        <v/>
      </c>
      <c r="C3019" t="inlineStr">
        <is>
          <t>Panchayati Raj Department||Secretary and Commissioner||CEO-DAUSA||BDO-SIKANDARA</t>
        </is>
      </c>
      <c r="D3019" t="inlineStr">
        <is>
          <t>19-May-2025 05:00 PM</t>
        </is>
      </c>
      <c r="E3019" t="inlineStr">
        <is>
          <t>6,90,896</t>
        </is>
      </c>
      <c r="F3019" t="inlineStr">
        <is>
          <t>Gram Panchayat devori All village, Home to Home Garbage collection and segregation from(residential and commercial)areas, street and drain cleaning and community sanitation,premises cleaning work,GP devori PS SIKANDARA</t>
        </is>
      </c>
      <c r="G3019" t="inlineStr">
        <is>
          <t>GRAM PANCHAYAT DEVORI</t>
        </is>
      </c>
    </row>
    <row r="3020">
      <c r="A3020" s="1" t="n">
        <v>3018</v>
      </c>
      <c r="B3020">
        <f>HYPERLINK("https://eproc.rajasthan.gov.in/nicgep/app?component=%24DirectLink&amp;page=FrontEndViewTender&amp;service=direct&amp;session=T&amp;sp=SAe3zD%2B%2FSKTAZVtcnVYQcFA%3D%3D", "MATERIAL SUPPLY IN GRAM PANCHAYAT KIRDOLI PS DHOD FOR MGNREGA AND OTHER SCHEME")</f>
        <v/>
      </c>
      <c r="C3020" t="inlineStr">
        <is>
          <t>Panchayati Raj Department||Secretary and Commissioner||CEO-SIKAR||BDO-DHOD</t>
        </is>
      </c>
      <c r="D3020" t="inlineStr">
        <is>
          <t>27-May-2025 06:00 PM</t>
        </is>
      </c>
      <c r="E3020" t="inlineStr">
        <is>
          <t>45,00,000</t>
        </is>
      </c>
      <c r="F3020" t="inlineStr">
        <is>
          <t>MATERIAL SUPPLY IN GRAM PANCHAYAT KIRDOLI PS DHOD FOR MGNREGA AND OTHER SCHEME</t>
        </is>
      </c>
      <c r="G3020" t="inlineStr">
        <is>
          <t>KIRDOLI</t>
        </is>
      </c>
    </row>
    <row r="3021">
      <c r="A3021" s="1" t="n">
        <v>3019</v>
      </c>
      <c r="B3021">
        <f>HYPERLINK("https://eproc.rajasthan.gov.in/nicgep/app?component=%24DirectLink&amp;page=FrontEndViewTender&amp;service=direct&amp;session=T&amp;sp=S0QjitLclKQ%2B1A72pX101uw%3D%3D", "MATERIAL AND EQUIPMENT SUPPLY UNDER MNREGA AND OTHER GOVT RD SCHEMES AT GP PALDI RANAWATA FOR F.Y.-2025-2026")</f>
        <v/>
      </c>
      <c r="C3021" t="inlineStr">
        <is>
          <t>Panchayati Raj Department||Secretary and Commissioner||CEO-JODHPUR||BDO-BHOPALGARH</t>
        </is>
      </c>
      <c r="D3021" t="inlineStr">
        <is>
          <t>20-May-2025 11:00 AM</t>
        </is>
      </c>
      <c r="E3021" t="inlineStr">
        <is>
          <t>50,00,000</t>
        </is>
      </c>
      <c r="F3021" t="inlineStr">
        <is>
          <t>MATERIAL AND EQUIPMENT SUPPLY UNDER MNREGA AND OTHER GOVT RD SCHEMES AT GP PALDI RANAWATA FOR F.Y.-2025-2026</t>
        </is>
      </c>
      <c r="G3021" t="inlineStr">
        <is>
          <t>GP PALDI RANAWATA</t>
        </is>
      </c>
    </row>
    <row r="3022">
      <c r="A3022" s="1" t="n">
        <v>3020</v>
      </c>
      <c r="B3022">
        <f>HYPERLINK("https://eproc.rajasthan.gov.in/nicgep/app?component=%24DirectLink&amp;page=FrontEndViewTender&amp;service=direct&amp;session=T&amp;sp=SwpNdk%2FJweHpaPp47qsZKCw%3D%3D", "MATERIAL AND EQUIPMENT SUPPLY UNDER MNREGA AND OTHER GOVT RD SCHEMES AT GP BAGORIYA FOR F.Y.-2025-2026")</f>
        <v/>
      </c>
      <c r="C3022" t="inlineStr">
        <is>
          <t>Panchayati Raj Department||Secretary and Commissioner||CEO-JODHPUR||BDO-BHOPALGARH</t>
        </is>
      </c>
      <c r="D3022" t="inlineStr">
        <is>
          <t>20-May-2025 11:00 AM</t>
        </is>
      </c>
      <c r="E3022" t="inlineStr">
        <is>
          <t>1,00,00,000</t>
        </is>
      </c>
      <c r="F3022" t="inlineStr">
        <is>
          <t>MATERIAL AND EQUIPMENT SUPPLY UNDER MNREGA AND OTHER GOVT RD SCHEMES AT GP BAGORIYA FOR F.Y.-2025-2026</t>
        </is>
      </c>
      <c r="G3022" t="inlineStr">
        <is>
          <t>GP BAGORIYA</t>
        </is>
      </c>
    </row>
    <row r="3023">
      <c r="A3023" s="1" t="n">
        <v>3021</v>
      </c>
      <c r="B3023">
        <f>HYPERLINK("https://eproc.rajasthan.gov.in/nicgep/app?component=%24DirectLink&amp;page=FrontEndViewTender&amp;service=direct&amp;session=T&amp;sp=SC2U5LnqB4GGRBzVuTrbCow%3D%3D", "Material Tender For Year 2025-26 In G P Jawasiya")</f>
        <v/>
      </c>
      <c r="C3023" t="inlineStr">
        <is>
          <t>Panchayati Raj Department||Secretary and Commissioner||CEO-RAJSAMAND||BDO-RAILMAGARA</t>
        </is>
      </c>
      <c r="D3023" t="inlineStr">
        <is>
          <t>18-May-2025 06:00 PM</t>
        </is>
      </c>
      <c r="E3023" t="inlineStr">
        <is>
          <t>50,00,000</t>
        </is>
      </c>
      <c r="F3023" t="inlineStr">
        <is>
          <t>Material Tender For Year 2025-26 In G P Jawasiya</t>
        </is>
      </c>
      <c r="G3023" t="inlineStr">
        <is>
          <t>G P JAWASIYA</t>
        </is>
      </c>
    </row>
    <row r="3024">
      <c r="A3024" s="1" t="n">
        <v>3022</v>
      </c>
      <c r="B3024">
        <f>HYPERLINK("https://eproc.rajasthan.gov.in/nicgep/app?component=%24DirectLink&amp;page=FrontEndViewTender&amp;service=direct&amp;session=T&amp;sp=SM1izwZAzSqE%2FSMYpx%2BlXXQ%3D%3D", "01/2025-26 GP SINGRAWATKALLAN")</f>
        <v/>
      </c>
      <c r="C3024" t="inlineStr">
        <is>
          <t>Panchayati Raj Department||Secretary and Commissioner||CEO-NAGORE||BDO-DIDWANA</t>
        </is>
      </c>
      <c r="D3024" t="inlineStr">
        <is>
          <t>27-May-2025 06:00 PM</t>
        </is>
      </c>
      <c r="E3024" t="inlineStr">
        <is>
          <t>1,00,00,000</t>
        </is>
      </c>
      <c r="F3024" t="inlineStr">
        <is>
          <t>Material and Equipment supply under MGNREGA RD and PRD Schemes in GP Singrawatkallan</t>
        </is>
      </c>
      <c r="G3024" t="inlineStr">
        <is>
          <t>GP SINGRAWATKALLAN</t>
        </is>
      </c>
    </row>
    <row r="3025">
      <c r="A3025" s="1" t="n">
        <v>3023</v>
      </c>
      <c r="B3025">
        <f>HYPERLINK("https://eproc.rajasthan.gov.in/nicgep/app?component=%24DirectLink&amp;page=FrontEndViewTender&amp;service=direct&amp;session=T&amp;sp=SLiTS%2BT8nCU3k0i7cSbU9ew%3D%3D", "GP HANUTIYA ITEM WISE WORK OPEN TENDER FOE MGNREGA 2025-26")</f>
        <v/>
      </c>
      <c r="C3025" t="inlineStr">
        <is>
          <t>Panchayati Raj Department||Secretary and Commissioner||CEO-AJMER||BDO-MASUDA</t>
        </is>
      </c>
      <c r="D3025" t="inlineStr">
        <is>
          <t>20-May-2025 06:00 PM</t>
        </is>
      </c>
      <c r="E3025" t="inlineStr">
        <is>
          <t>80,00,000</t>
        </is>
      </c>
      <c r="F3025" t="inlineStr">
        <is>
          <t>GP HANUTIYA ITEM WISE WORK OPEN TENDER FOE MGNREGA 2025-26</t>
        </is>
      </c>
      <c r="G3025" t="inlineStr">
        <is>
          <t>HANUTIYA</t>
        </is>
      </c>
    </row>
    <row r="3026">
      <c r="A3026" s="1" t="n">
        <v>3024</v>
      </c>
      <c r="B3026">
        <f>HYPERLINK("https://eproc.rajasthan.gov.in/nicgep/app?component=%24DirectLink&amp;page=FrontEndViewTender&amp;service=direct&amp;session=T&amp;sp=SkKdwWjIMf%2Fu%2BrbVZlLHi2g%3D%3D", "GP SATHANA ITEM WISE WORK OPEN TENDER FOE MGNREGA 2025-26")</f>
        <v/>
      </c>
      <c r="C3026" t="inlineStr">
        <is>
          <t>Panchayati Raj Department||Secretary and Commissioner||CEO-AJMER||BDO-MASUDA</t>
        </is>
      </c>
      <c r="D3026" t="inlineStr">
        <is>
          <t>20-May-2025 06:00 PM</t>
        </is>
      </c>
      <c r="E3026" t="inlineStr">
        <is>
          <t>80,00,000</t>
        </is>
      </c>
      <c r="F3026" t="inlineStr">
        <is>
          <t>GP SATHANA ITEM WISE WORK OPEN TENDER FOE MGNREGA 2025-26</t>
        </is>
      </c>
      <c r="G3026" t="inlineStr">
        <is>
          <t>SATHANA</t>
        </is>
      </c>
    </row>
    <row r="3027">
      <c r="A3027" s="1" t="n">
        <v>3025</v>
      </c>
      <c r="B3027">
        <f>HYPERLINK("https://eproc.rajasthan.gov.in/nicgep/app?component=%24DirectLink&amp;page=FrontEndViewTender&amp;service=direct&amp;session=T&amp;sp=SjMLUIzUu70FhhNRGOp4Olw%3D%3D", "GP HARRAJPURA ITEM WISE WORK OPEN TENDER FOE MGNREGA 2025-26")</f>
        <v/>
      </c>
      <c r="C3027" t="inlineStr">
        <is>
          <t>Panchayati Raj Department||Secretary and Commissioner||CEO-AJMER||BDO-MASUDA</t>
        </is>
      </c>
      <c r="D3027" t="inlineStr">
        <is>
          <t>20-May-2025 06:00 PM</t>
        </is>
      </c>
      <c r="E3027" t="inlineStr">
        <is>
          <t>80,00,000</t>
        </is>
      </c>
      <c r="F3027" t="inlineStr">
        <is>
          <t>GP HARRAJPURA ITEM WISE WORK OPEN TENDER FOE MGNREGA 2025-26</t>
        </is>
      </c>
      <c r="G3027" t="inlineStr">
        <is>
          <t>HARRAJPURA</t>
        </is>
      </c>
    </row>
    <row r="3028">
      <c r="A3028" s="1" t="n">
        <v>3026</v>
      </c>
      <c r="B3028">
        <f>HYPERLINK("https://eproc.rajasthan.gov.in/nicgep/app?component=%24DirectLink&amp;page=FrontEndViewTender&amp;service=direct&amp;session=T&amp;sp=SPSTDYCEnUDiRNjfkaOoXjA%3D%3D", "GP MOYANA ITEM WISE WORK OPEN TENDER FOE MGNREGA 2025-26")</f>
        <v/>
      </c>
      <c r="C3028" t="inlineStr">
        <is>
          <t>Panchayati Raj Department||Secretary and Commissioner||CEO-AJMER||BDO-MASUDA</t>
        </is>
      </c>
      <c r="D3028" t="inlineStr">
        <is>
          <t>20-May-2025 06:00 PM</t>
        </is>
      </c>
      <c r="E3028" t="inlineStr">
        <is>
          <t>80,00,000</t>
        </is>
      </c>
      <c r="F3028" t="inlineStr">
        <is>
          <t>GP MOYANA ITEM WISE WORK OPEN TENDER FOE MGNREGA 2025-26</t>
        </is>
      </c>
      <c r="G3028" t="inlineStr">
        <is>
          <t>MOYANA</t>
        </is>
      </c>
    </row>
    <row r="3029">
      <c r="A3029" s="1" t="n">
        <v>3027</v>
      </c>
      <c r="B3029">
        <f>HYPERLINK("https://eproc.rajasthan.gov.in/nicgep/app?component=%24DirectLink&amp;page=FrontEndViewTender&amp;service=direct&amp;session=T&amp;sp=SMNMNH5K7tr1n5I3IU6serQ%3D%3D", "GP MAYALA ITEM WISE WORK OPEN TENDER FOE MGNREGA 2025-26")</f>
        <v/>
      </c>
      <c r="C3029" t="inlineStr">
        <is>
          <t>Panchayati Raj Department||Secretary and Commissioner||CEO-AJMER||BDO-MASUDA</t>
        </is>
      </c>
      <c r="D3029" t="inlineStr">
        <is>
          <t>20-May-2025 06:00 PM</t>
        </is>
      </c>
      <c r="E3029" t="inlineStr">
        <is>
          <t>80,00,000</t>
        </is>
      </c>
      <c r="F3029" t="inlineStr">
        <is>
          <t>GP MAYALA ITEM WISE WORK OPEN TENDER FOE MGNREGA 2025-26</t>
        </is>
      </c>
      <c r="G3029" t="inlineStr">
        <is>
          <t>MAYALA</t>
        </is>
      </c>
    </row>
    <row r="3030">
      <c r="A3030" s="1" t="n">
        <v>3028</v>
      </c>
      <c r="B3030">
        <f>HYPERLINK("https://eproc.rajasthan.gov.in/nicgep/app?component=%24DirectLink&amp;page=FrontEndViewTender&amp;service=direct&amp;session=T&amp;sp=Sis8rzy5D3alrofBQZJqhYw%3D%3D", "GP PIPLAJ ITEM WISE WORK OPEN TENDER FOE MGNREGA 2025-26")</f>
        <v/>
      </c>
      <c r="C3030" t="inlineStr">
        <is>
          <t>Panchayati Raj Department||Secretary and Commissioner||CEO-AJMER||BDO-MASUDA</t>
        </is>
      </c>
      <c r="D3030" t="inlineStr">
        <is>
          <t>20-May-2025 06:00 PM</t>
        </is>
      </c>
      <c r="E3030" t="inlineStr">
        <is>
          <t>80,00,000</t>
        </is>
      </c>
      <c r="F3030" t="inlineStr">
        <is>
          <t>GP PIPLAJ ITEM WISE WORK OPEN TENDER FOE MGNREGA 2025-26</t>
        </is>
      </c>
      <c r="G3030" t="inlineStr">
        <is>
          <t>PIPLAJ</t>
        </is>
      </c>
    </row>
    <row r="3031">
      <c r="A3031" s="1" t="n">
        <v>3029</v>
      </c>
      <c r="B3031">
        <f>HYPERLINK("https://eproc.rajasthan.gov.in/nicgep/app?component=%24DirectLink&amp;page=FrontEndViewTender&amp;service=direct&amp;session=T&amp;sp=SYzvc0H%2Bcmvgb7bAozx7rYA%3D%3D", "Supply of Construction Material with POI Driver in Scheme MNREGA, SFC , FFC and other scheme for Financial Year 2025-26 in Gram Panchyat Udai Kalan PS Gangapur city")</f>
        <v/>
      </c>
      <c r="C3031" t="inlineStr">
        <is>
          <t>Panchayati Raj Department||Secretary and Commissioner||CEO-S.MADHOPUR||BDO-GANGAPUR</t>
        </is>
      </c>
      <c r="D3031" t="inlineStr">
        <is>
          <t>20-May-2025 06:00 PM</t>
        </is>
      </c>
      <c r="E3031" t="inlineStr">
        <is>
          <t>80,00,000</t>
        </is>
      </c>
      <c r="F3031" t="inlineStr">
        <is>
          <t>Supply of Construction Material with POI Driver in Scheme MNREGA, SFC , FFC and other scheme for Financial Year 2025-26 in Gram Panchyat Udai Kalan PS Gangapur city</t>
        </is>
      </c>
      <c r="G3031" t="inlineStr">
        <is>
          <t>GRAM PANCHAYAT UDAI KALAN</t>
        </is>
      </c>
    </row>
    <row r="3032">
      <c r="A3032" s="1" t="n">
        <v>3030</v>
      </c>
      <c r="B3032">
        <f>HYPERLINK("https://eproc.rajasthan.gov.in/nicgep/app?component=%24DirectLink&amp;page=FrontEndViewTender&amp;service=direct&amp;session=T&amp;sp=Sz7rLVDoPNiauvhBnK9nxPQ%3D%3D", "MATERIAL SUPPLY IN GRAM PANCHAYAT PURANPURA PS DHOD FOR MGNREGA AND OTHER SCHEME")</f>
        <v/>
      </c>
      <c r="C3032" t="inlineStr">
        <is>
          <t>Panchayati Raj Department||Secretary and Commissioner||CEO-SIKAR||BDO-DHOD</t>
        </is>
      </c>
      <c r="D3032" t="inlineStr">
        <is>
          <t>19-May-2025 06:00 PM</t>
        </is>
      </c>
      <c r="E3032" t="inlineStr">
        <is>
          <t>45,00,000</t>
        </is>
      </c>
      <c r="F3032" t="inlineStr">
        <is>
          <t>MATERIAL SUPPLY IN GRAM PANCHAYAT PURANPURA PS DHOD FOR MGNREGA AND OTHER SCHEME</t>
        </is>
      </c>
      <c r="G3032" t="inlineStr">
        <is>
          <t>PURANPURA</t>
        </is>
      </c>
    </row>
    <row r="3033">
      <c r="A3033" s="1" t="n">
        <v>3031</v>
      </c>
      <c r="B3033">
        <f>HYPERLINK("https://eproc.rajasthan.gov.in/nicgep/app?component=%24DirectLink&amp;page=FrontEndViewTender&amp;service=direct&amp;session=T&amp;sp=S6VCNTqLQNAubdm75iTuITg%3D%3D", "Supply of Construction Material with POI Driver in Scheme MNREGA, SFC , FFC and other scheme for Financial Year 2025-26 in Gram Panchyat Shyaroli PS Gangapur city")</f>
        <v/>
      </c>
      <c r="C3033" t="inlineStr">
        <is>
          <t>Panchayati Raj Department||Secretary and Commissioner||CEO-S.MADHOPUR||BDO-GANGAPUR</t>
        </is>
      </c>
      <c r="D3033" t="inlineStr">
        <is>
          <t>20-May-2025 06:00 PM</t>
        </is>
      </c>
      <c r="E3033" t="inlineStr">
        <is>
          <t>80,00,000</t>
        </is>
      </c>
      <c r="F3033" t="inlineStr">
        <is>
          <t>Supply of Construction Material with POI Driver in Scheme MNREGA, SFC , FFC and other scheme for Financial Year 2025-26 in Gram Panchyat Shyaroli PS Gangapur city</t>
        </is>
      </c>
      <c r="G3033" t="inlineStr">
        <is>
          <t>GRAM PANCHAYAT SHYAROLI</t>
        </is>
      </c>
    </row>
    <row r="3034">
      <c r="A3034" s="1" t="n">
        <v>3032</v>
      </c>
      <c r="B3034">
        <f>HYPERLINK("https://eproc.rajasthan.gov.in/nicgep/app?component=%24DirectLink&amp;page=FrontEndViewTender&amp;service=direct&amp;session=T&amp;sp=StVV8Z1c0IWxycXss0RrcIg%3D%3D", "MNREGA AND OTHER YOJNA MAIN GRAM PANCHAYAT HALENA KO NIRMAN SAMAGRI SUPPLY HETU")</f>
        <v/>
      </c>
      <c r="C3034" t="inlineStr">
        <is>
          <t>Panchayati Raj Department||Secretary and Commissioner||CEO-BHARATPUR||BDO-BAIR</t>
        </is>
      </c>
      <c r="D3034" t="inlineStr">
        <is>
          <t>26-May-2025 05:00 PM</t>
        </is>
      </c>
      <c r="E3034" t="inlineStr">
        <is>
          <t>40,00,000</t>
        </is>
      </c>
      <c r="F3034" t="inlineStr">
        <is>
          <t>MNREGA AND OTHER YOJNA MAIN GRAM PANCHAYAT HALENA KO NIRMAN SAMAGRI SUPPLY HETU</t>
        </is>
      </c>
      <c r="G3034" t="inlineStr">
        <is>
          <t>WORK SITE</t>
        </is>
      </c>
    </row>
    <row r="3035">
      <c r="A3035" s="1" t="n">
        <v>3033</v>
      </c>
      <c r="B3035">
        <f>HYPERLINK("https://eproc.rajasthan.gov.in/nicgep/app?component=%24DirectLink&amp;page=FrontEndViewTender&amp;service=direct&amp;session=T&amp;sp=S0VRpNsa2MDfFIkCWo4jzrQ%3D%3D", "Supply of Construction Material with POI Driver in Scheme MNREGA, SFC , FFC and other scheme for Financial Year 2025-26 in Gram Panchyat Hingotiya PS Gangapur city")</f>
        <v/>
      </c>
      <c r="C3035" t="inlineStr">
        <is>
          <t>Panchayati Raj Department||Secretary and Commissioner||CEO-S.MADHOPUR||BDO-GANGAPUR</t>
        </is>
      </c>
      <c r="D3035" t="inlineStr">
        <is>
          <t>19-May-2025 06:00 PM</t>
        </is>
      </c>
      <c r="E3035" t="inlineStr">
        <is>
          <t>40,00,000</t>
        </is>
      </c>
      <c r="F3035" t="inlineStr">
        <is>
          <t>Supply of Construction Material with POI Driver in Scheme MNREGA, SFC , FFC and other scheme for Financial Year 2025-26 in Gram Panchyat Hingotiya PS Gangapur city</t>
        </is>
      </c>
      <c r="G3035" t="inlineStr">
        <is>
          <t>GRM PANCHAYAT HINGOTIYA</t>
        </is>
      </c>
    </row>
    <row r="3036">
      <c r="A3036" s="1" t="n">
        <v>3034</v>
      </c>
      <c r="B3036">
        <f>HYPERLINK("https://eproc.rajasthan.gov.in/nicgep/app?component=%24DirectLink&amp;page=FrontEndViewTender&amp;service=direct&amp;session=T&amp;sp=SEz%2FUkN%2Bn48%2BPGOnjXkp7xQ%3D%3D", "MNREGA AND OTHER YOJNA MAIN GRAM PANCHAYAT RAHEEMGARH KO NIRMAN SAMAGRI SUPPLY HETU")</f>
        <v/>
      </c>
      <c r="C3036" t="inlineStr">
        <is>
          <t>Panchayati Raj Department||Secretary and Commissioner||CEO-BHARATPUR||BDO-BAIR</t>
        </is>
      </c>
      <c r="D3036" t="inlineStr">
        <is>
          <t>26-May-2025 05:00 PM</t>
        </is>
      </c>
      <c r="E3036" t="inlineStr">
        <is>
          <t>40,00,000</t>
        </is>
      </c>
      <c r="F3036" t="inlineStr">
        <is>
          <t>MNREGA AND OTHER YOJNA MAIN GRAM PANCHAYAT RAHEEMGARH KO NIRMAN SAMAGRI SUPPLY HETU</t>
        </is>
      </c>
      <c r="G3036" t="inlineStr">
        <is>
          <t>WORK SITE</t>
        </is>
      </c>
    </row>
    <row r="3037">
      <c r="A3037" s="1" t="n">
        <v>3035</v>
      </c>
      <c r="B3037">
        <f>HYPERLINK("https://eproc.rajasthan.gov.in/nicgep/app?component=%24DirectLink&amp;page=FrontEndViewTender&amp;service=direct&amp;session=T&amp;sp=SgaGHrmdQLGzVPd2xj%2FYSRw%3D%3D", "MNREGA AND OTHER YOJNA MAIN GRAM PANCHAYAT AMOLI KO NIRMAN SAMAGRI SUPPLY HETU")</f>
        <v/>
      </c>
      <c r="C3037" t="inlineStr">
        <is>
          <t>Panchayati Raj Department||Secretary and Commissioner||CEO-BHARATPUR||BDO-BAIR</t>
        </is>
      </c>
      <c r="D3037" t="inlineStr">
        <is>
          <t>26-May-2025 05:00 PM</t>
        </is>
      </c>
      <c r="E3037" t="inlineStr">
        <is>
          <t>40,00,000</t>
        </is>
      </c>
      <c r="F3037" t="inlineStr">
        <is>
          <t>MNREGA AND OTHER YOJNA MAIN GRAM PANCHAYAT AMOLI KO NIRMAN SAMAGRI SUPPLY HETU</t>
        </is>
      </c>
      <c r="G3037" t="inlineStr">
        <is>
          <t>WORK SITE</t>
        </is>
      </c>
    </row>
    <row r="3038">
      <c r="A3038" s="1" t="n">
        <v>3036</v>
      </c>
      <c r="B3038">
        <f>HYPERLINK("https://eproc.rajasthan.gov.in/nicgep/app?component=%24DirectLink&amp;page=FrontEndViewTender&amp;service=direct&amp;session=T&amp;sp=SWNMSJ7m0crWQYg2D2CUodA%3D%3D", "GP SHERGARH ITEM WISE WORK OPEN TENDER FOE MGNREGA 2025-26")</f>
        <v/>
      </c>
      <c r="C3038" t="inlineStr">
        <is>
          <t>Panchayati Raj Department||Secretary and Commissioner||CEO-AJMER||BDO-MASUDA</t>
        </is>
      </c>
      <c r="D3038" t="inlineStr">
        <is>
          <t>20-May-2025 06:00 PM</t>
        </is>
      </c>
      <c r="E3038" t="inlineStr">
        <is>
          <t>80,00,000</t>
        </is>
      </c>
      <c r="F3038" t="inlineStr">
        <is>
          <t>GP SHERGARH ITEM WISE WORK OPEN TENDER FOE MGNREGA 2025-26</t>
        </is>
      </c>
      <c r="G3038" t="inlineStr">
        <is>
          <t>SHERGARH</t>
        </is>
      </c>
    </row>
    <row r="3039">
      <c r="A3039" s="1" t="n">
        <v>3037</v>
      </c>
      <c r="B3039">
        <f>HYPERLINK("https://eproc.rajasthan.gov.in/nicgep/app?component=%24DirectLink&amp;page=FrontEndViewTender&amp;service=direct&amp;session=T&amp;sp=SX8IL7%2BmLjirruje8KlaeEg%3D%3D", "GP SHIKHRANI ITEM WISE WORK OPEN TENDER FOE MGNREGA 2025-26")</f>
        <v/>
      </c>
      <c r="C3039" t="inlineStr">
        <is>
          <t>Panchayati Raj Department||Secretary and Commissioner||CEO-AJMER||BDO-MASUDA</t>
        </is>
      </c>
      <c r="D3039" t="inlineStr">
        <is>
          <t>20-May-2025 06:00 PM</t>
        </is>
      </c>
      <c r="E3039" t="inlineStr">
        <is>
          <t>80,00,000</t>
        </is>
      </c>
      <c r="F3039" t="inlineStr">
        <is>
          <t>GP SHIKHRANI ITEM WISE WORK OPEN TENDER FOE MGNREGA 2025-26</t>
        </is>
      </c>
      <c r="G3039" t="inlineStr">
        <is>
          <t>SHIKHRANI</t>
        </is>
      </c>
    </row>
    <row r="3040">
      <c r="A3040" s="1" t="n">
        <v>3038</v>
      </c>
      <c r="B3040">
        <f>HYPERLINK("https://eproc.rajasthan.gov.in/nicgep/app?component=%24DirectLink&amp;page=FrontEndViewTender&amp;service=direct&amp;session=T&amp;sp=SYUwRGjksCVQTEJ5JUhvjig%3D%3D", "Supply of Construction Material with POI Driver in Scheme MNREGA, SFC , FFC and other scheme for Financial Year 2025-26 in Gram Panchyat Shiwala PS Gangapur city")</f>
        <v/>
      </c>
      <c r="C3040" t="inlineStr">
        <is>
          <t>Panchayati Raj Department||Secretary and Commissioner||CEO-S.MADHOPUR||BDO-GANGAPUR</t>
        </is>
      </c>
      <c r="D3040" t="inlineStr">
        <is>
          <t>20-May-2025 06:00 PM</t>
        </is>
      </c>
      <c r="E3040" t="inlineStr">
        <is>
          <t>50,00,000</t>
        </is>
      </c>
      <c r="F3040" t="inlineStr">
        <is>
          <t>Supply of Construction Material with POI Driver in Scheme MNREGA, SFC , FFC and other scheme for Financial Year 2025-26 in Gram Panchyat Shiwala PS Gangapur city</t>
        </is>
      </c>
      <c r="G3040" t="inlineStr">
        <is>
          <t>GRAM PANCHAYAT SHIWALA</t>
        </is>
      </c>
    </row>
    <row r="3041">
      <c r="A3041" s="1" t="n">
        <v>3039</v>
      </c>
      <c r="B3041">
        <f>HYPERLINK("https://eproc.rajasthan.gov.in/nicgep/app?component=%24DirectLink&amp;page=FrontEndViewTender&amp;service=direct&amp;session=T&amp;sp=SEuUnQl1XJeK3wudViKfoew%3D%3D", "MNREGA AND OTHER YOJNA MAIN GRAM PANCHAYAT GOVINDPURA KO NIRMAN SAMAGRI SUPPLY HETU")</f>
        <v/>
      </c>
      <c r="C3041" t="inlineStr">
        <is>
          <t>Panchayati Raj Department||Secretary and Commissioner||CEO-BHARATPUR||BDO-BAIR</t>
        </is>
      </c>
      <c r="D3041" t="inlineStr">
        <is>
          <t>26-May-2025 05:00 PM</t>
        </is>
      </c>
      <c r="E3041" t="inlineStr">
        <is>
          <t>40,00,000</t>
        </is>
      </c>
      <c r="F3041" t="inlineStr">
        <is>
          <t>MNREGA AND OTHER YOJNA MAIN GRAM PANCHAYAT GOVINDPURA KO NIRMAN SAMAGRI SUPPLY HETU</t>
        </is>
      </c>
      <c r="G3041" t="inlineStr">
        <is>
          <t>WORK SITE</t>
        </is>
      </c>
    </row>
    <row r="3042">
      <c r="A3042" s="1" t="n">
        <v>3040</v>
      </c>
      <c r="B3042">
        <f>HYPERLINK("https://eproc.rajasthan.gov.in/nicgep/app?component=%24DirectLink&amp;page=FrontEndViewTender&amp;service=direct&amp;session=T&amp;sp=SWE8bFJNWoZN%2FAwZGnngpnA%3D%3D", "GP LODIYANA ITEM WISE WORK OPEN TENDER FOE MGNREGA 2025-26")</f>
        <v/>
      </c>
      <c r="C3042" t="inlineStr">
        <is>
          <t>Panchayati Raj Department||Secretary and Commissioner||CEO-AJMER||BDO-MASUDA</t>
        </is>
      </c>
      <c r="D3042" t="inlineStr">
        <is>
          <t>20-May-2025 06:00 PM</t>
        </is>
      </c>
      <c r="E3042" t="inlineStr">
        <is>
          <t>80,00,000</t>
        </is>
      </c>
      <c r="F3042" t="inlineStr">
        <is>
          <t>GP LODIYANA ITEM WISE WORK OPEN TENDER FOE MGNREGA 2025-26</t>
        </is>
      </c>
      <c r="G3042" t="inlineStr">
        <is>
          <t>LODIYANA</t>
        </is>
      </c>
    </row>
    <row r="3043">
      <c r="A3043" s="1" t="n">
        <v>3041</v>
      </c>
      <c r="B3043">
        <f>HYPERLINK("https://eproc.rajasthan.gov.in/nicgep/app?component=%24DirectLink&amp;page=FrontEndViewTender&amp;service=direct&amp;session=T&amp;sp=S8wo%2B%2BEcspPmpbWSxlPedRQ%3D%3D", "GP SATAWADIYA ITEM WISE WORK OPEN TENDER FOE MGNREGA 2025-26")</f>
        <v/>
      </c>
      <c r="C3043" t="inlineStr">
        <is>
          <t>Panchayati Raj Department||Secretary and Commissioner||CEO-AJMER||BDO-MASUDA</t>
        </is>
      </c>
      <c r="D3043" t="inlineStr">
        <is>
          <t>20-May-2025 06:00 PM</t>
        </is>
      </c>
      <c r="E3043" t="inlineStr">
        <is>
          <t>80,00,000</t>
        </is>
      </c>
      <c r="F3043" t="inlineStr">
        <is>
          <t>GP SATAWADIYA ITEM WISE WORK OPEN TENDER FOE MGNREGA 2025-26</t>
        </is>
      </c>
      <c r="G3043" t="inlineStr">
        <is>
          <t>SATAWADIYA</t>
        </is>
      </c>
    </row>
    <row r="3044">
      <c r="A3044" s="1" t="n">
        <v>3042</v>
      </c>
      <c r="B3044">
        <f>HYPERLINK("https://eproc.rajasthan.gov.in/nicgep/app?component=%24DirectLink&amp;page=FrontEndViewTender&amp;service=direct&amp;session=T&amp;sp=S5w4B6yVMDb4bZv554Hk8jg%3D%3D", "MNREGA AND OTHER YOJNA MAIN GRAM PANCHAYAT GANGROLI KO NIRMAN SAMAGRI SUPPLY HETU")</f>
        <v/>
      </c>
      <c r="C3044" t="inlineStr">
        <is>
          <t>Panchayati Raj Department||Secretary and Commissioner||CEO-BHARATPUR||BDO-BAIR</t>
        </is>
      </c>
      <c r="D3044" t="inlineStr">
        <is>
          <t>26-May-2025 05:00 PM</t>
        </is>
      </c>
      <c r="E3044" t="inlineStr">
        <is>
          <t>40,00,000</t>
        </is>
      </c>
      <c r="F3044" t="inlineStr">
        <is>
          <t>MNREGA AND OTHER YOJNA MAIN GRAM PANCHAYAT GANGROLI KO NIRMAN SAMAGRI SUPPLY HETU</t>
        </is>
      </c>
      <c r="G3044" t="inlineStr">
        <is>
          <t>WORK SITE</t>
        </is>
      </c>
    </row>
    <row r="3045">
      <c r="A3045" s="1" t="n">
        <v>3043</v>
      </c>
      <c r="B3045">
        <f>HYPERLINK("https://eproc.rajasthan.gov.in/nicgep/app?component=%24DirectLink&amp;page=FrontEndViewTender&amp;service=direct&amp;session=T&amp;sp=SQ5fse8NXpmybN8nPI0zhsg%3D%3D", "MNREGA AND OTHER YOJNA MAIN GRAM PANCHAYAT DHARSONI KO NIRMAN SAMAGRI SUPPLY HETU")</f>
        <v/>
      </c>
      <c r="C3045" t="inlineStr">
        <is>
          <t>Panchayati Raj Department||Secretary and Commissioner||CEO-BHARATPUR||BDO-BAIR</t>
        </is>
      </c>
      <c r="D3045" t="inlineStr">
        <is>
          <t>26-May-2025 05:00 PM</t>
        </is>
      </c>
      <c r="E3045" t="inlineStr">
        <is>
          <t>40,00,000</t>
        </is>
      </c>
      <c r="F3045" t="inlineStr">
        <is>
          <t>MNREGA AND OTHER YOJNA MAIN GRAM PANCHAYAT DHARSONI KO NIRMAN SAMAGRI SUPPLY HETU</t>
        </is>
      </c>
      <c r="G3045" t="inlineStr">
        <is>
          <t>WORK SITE</t>
        </is>
      </c>
    </row>
    <row r="3046">
      <c r="A3046" s="1" t="n">
        <v>3044</v>
      </c>
      <c r="B3046">
        <f>HYPERLINK("https://eproc.rajasthan.gov.in/nicgep/app?component=%24DirectLink&amp;page=FrontEndViewTender&amp;service=direct&amp;session=T&amp;sp=SSnvPSuxeej9wXtuf%2FdIsvQ%3D%3D", "MNREGA AND OTHER YOJNA MAIN GRAM PANCHAYAT CHAKDHARSONI KO NIRMAN SAMAGRI SUPPLY HETU")</f>
        <v/>
      </c>
      <c r="C3046" t="inlineStr">
        <is>
          <t>Panchayati Raj Department||Secretary and Commissioner||CEO-BHARATPUR||BDO-BAIR</t>
        </is>
      </c>
      <c r="D3046" t="inlineStr">
        <is>
          <t>26-May-2025 05:00 PM</t>
        </is>
      </c>
      <c r="E3046" t="inlineStr">
        <is>
          <t>40,00,000</t>
        </is>
      </c>
      <c r="F3046" t="inlineStr">
        <is>
          <t>MNREGA AND OTHER YOJNA MAIN GRAM PANCHAYAT CHAKDHARSONI KO NIRMAN SAMAGRI SUPPLY HETU</t>
        </is>
      </c>
      <c r="G3046" t="inlineStr">
        <is>
          <t>WORK SITE</t>
        </is>
      </c>
    </row>
    <row r="3047">
      <c r="A3047" s="1" t="n">
        <v>3045</v>
      </c>
      <c r="B3047">
        <f>HYPERLINK("https://eproc.rajasthan.gov.in/nicgep/app?component=%24DirectLink&amp;page=FrontEndViewTender&amp;service=direct&amp;session=T&amp;sp=S0wmF7atZVEk0%2FM3KTdGsXQ%3D%3D", "MNREGA AND OTHER YOJNA MAIN GRAM PANCHAYAT BAJHERAKALA KO NIRMAN SAMAGRI SUPPLY HETU")</f>
        <v/>
      </c>
      <c r="C3047" t="inlineStr">
        <is>
          <t>Panchayati Raj Department||Secretary and Commissioner||CEO-BHARATPUR||BDO-BAIR</t>
        </is>
      </c>
      <c r="D3047" t="inlineStr">
        <is>
          <t>26-May-2025 05:00 PM</t>
        </is>
      </c>
      <c r="E3047" t="inlineStr">
        <is>
          <t>40,00,000</t>
        </is>
      </c>
      <c r="F3047" t="inlineStr">
        <is>
          <t>MNREGA AND OTHER YOJNA MAIN GRAM PANCHAYAT BAJHERAKALA KO NIRMAN SAMAGRI SUPPLY HETU</t>
        </is>
      </c>
      <c r="G3047" t="inlineStr">
        <is>
          <t>WORK SITE</t>
        </is>
      </c>
    </row>
    <row r="3048">
      <c r="A3048" s="1" t="n">
        <v>3046</v>
      </c>
      <c r="B3048">
        <f>HYPERLINK("https://eproc.rajasthan.gov.in/nicgep/app?component=%24DirectLink&amp;page=FrontEndViewTender&amp;service=direct&amp;session=T&amp;sp=S1%2FwuJjAFYAD0eNnlAHFfbA%3D%3D", "MNREGA AND OTHER YOJNA MAIN GRAM PANCHAYAT BHUTOLI KO NIRMAN SAMAGRI SUPPLY HETU")</f>
        <v/>
      </c>
      <c r="C3048" t="inlineStr">
        <is>
          <t>Panchayati Raj Department||Secretary and Commissioner||CEO-BHARATPUR||BDO-BAIR</t>
        </is>
      </c>
      <c r="D3048" t="inlineStr">
        <is>
          <t>26-May-2025 05:00 PM</t>
        </is>
      </c>
      <c r="E3048" t="inlineStr">
        <is>
          <t>40,00,000</t>
        </is>
      </c>
      <c r="F3048" t="inlineStr">
        <is>
          <t>MNREGA AND OTHER YOJNA MAIN GRAM PANCHAYAT BHUTOLI KO NIRMAN SAMAGRI SUPPLY HETU</t>
        </is>
      </c>
      <c r="G3048" t="inlineStr">
        <is>
          <t>WORK SITE</t>
        </is>
      </c>
    </row>
    <row r="3049">
      <c r="A3049" s="1" t="n">
        <v>3047</v>
      </c>
      <c r="B3049">
        <f>HYPERLINK("https://eproc.rajasthan.gov.in/nicgep/app?component=%24DirectLink&amp;page=FrontEndViewTender&amp;service=direct&amp;session=T&amp;sp=SwiMxRinZlG%2FpG0VgNNY5xg%3D%3D", "MATERIAL SUPPLY IN GRAM PANCHAYAT HARSH PS DHOD FOR MGNREGA AND OTHER SCHEME")</f>
        <v/>
      </c>
      <c r="C3049" t="inlineStr">
        <is>
          <t>Panchayati Raj Department||Secretary and Commissioner||CEO-SIKAR||BDO-DHOD</t>
        </is>
      </c>
      <c r="D3049" t="inlineStr">
        <is>
          <t>20-May-2025 06:00 PM</t>
        </is>
      </c>
      <c r="E3049" t="inlineStr">
        <is>
          <t>45,00,000</t>
        </is>
      </c>
      <c r="F3049" t="inlineStr">
        <is>
          <t>MATERIAL SUPPLY IN GRAM PANCHAYAT HARSH PS DHOD FOR MGNREGA AND OTHER SCHEME</t>
        </is>
      </c>
      <c r="G3049" t="inlineStr">
        <is>
          <t>HARSH</t>
        </is>
      </c>
    </row>
    <row r="3050">
      <c r="A3050" s="1" t="n">
        <v>3048</v>
      </c>
      <c r="B3050">
        <f>HYPERLINK("https://eproc.rajasthan.gov.in/nicgep/app?component=%24DirectLink&amp;page=FrontEndViewTender&amp;service=direct&amp;session=T&amp;sp=SJVkVGwV9vuy034DtwJUFXA%3D%3D", "SHMSHAN BHUMI PALSIYA JOHARA CHHOTA HARSH KI CHAR DIWARI V TINSHED NIRMAN GRAM PANCHAYAT HARSH")</f>
        <v/>
      </c>
      <c r="C3050" t="inlineStr">
        <is>
          <t>Panchayati Raj Department||Secretary and Commissioner||CEO-SIKAR||BDO-DHOD</t>
        </is>
      </c>
      <c r="D3050" t="inlineStr">
        <is>
          <t>20-May-2025 06:00 PM</t>
        </is>
      </c>
      <c r="E3050" t="inlineStr">
        <is>
          <t>9,10,000</t>
        </is>
      </c>
      <c r="F3050" t="inlineStr">
        <is>
          <t>SHMSHAN BHUMI PALSIYA JOHARA CHHOTA HARSH KI CHAR DIWARI V TINSHED NIRMAN GRAM PANCHAYAT HARSH</t>
        </is>
      </c>
      <c r="G3050" t="inlineStr">
        <is>
          <t>HARSH</t>
        </is>
      </c>
    </row>
    <row r="3051">
      <c r="A3051" s="1" t="n">
        <v>3049</v>
      </c>
      <c r="B3051">
        <f>HYPERLINK("https://eproc.rajasthan.gov.in/nicgep/app?component=%24DirectLink&amp;page=FrontEndViewTender&amp;service=direct&amp;session=T&amp;sp=SOAewcgmzXyk7uw3rdEiB9w%3D%3D", "GP LULWA ITEM WISE WORK OPEN TENDER FOE MGNREGA 2025-26")</f>
        <v/>
      </c>
      <c r="C3051" t="inlineStr">
        <is>
          <t>Panchayati Raj Department||Secretary and Commissioner||CEO-AJMER||BDO-MASUDA</t>
        </is>
      </c>
      <c r="D3051" t="inlineStr">
        <is>
          <t>20-May-2025 06:00 PM</t>
        </is>
      </c>
      <c r="E3051" t="inlineStr">
        <is>
          <t>80,00,000</t>
        </is>
      </c>
      <c r="F3051" t="inlineStr">
        <is>
          <t>GP LULWA ITEM WISE WORK OPEN TENDER FOE MGNREGA 2025-26</t>
        </is>
      </c>
      <c r="G3051" t="inlineStr">
        <is>
          <t>LULWA</t>
        </is>
      </c>
    </row>
    <row r="3052">
      <c r="A3052" s="1" t="n">
        <v>3050</v>
      </c>
      <c r="B3052">
        <f>HYPERLINK("https://eproc.rajasthan.gov.in/nicgep/app?component=%24DirectLink&amp;page=FrontEndViewTender&amp;service=direct&amp;session=T&amp;sp=Sc%2BFOzrqScUrC8yaarfBAyw%3D%3D", "SUPPLY OF BUILDING MATERIAL AND EQUIPMENT IN GP DABAD PS GUDAMALANI")</f>
        <v/>
      </c>
      <c r="C3052" t="inlineStr">
        <is>
          <t>Panchayati Raj Department||Secretary and Commissioner||CEO-BADMER||BDO-GUDHAMALANI</t>
        </is>
      </c>
      <c r="D3052" t="inlineStr">
        <is>
          <t>19-May-2025 06:00 PM</t>
        </is>
      </c>
      <c r="E3052" t="inlineStr">
        <is>
          <t>50,00,000</t>
        </is>
      </c>
      <c r="F3052" t="inlineStr">
        <is>
          <t>SUPPLY OF BUILDING MATERIAL AND EQUIPMENT IN GP DABAD PS GUDAMALANI</t>
        </is>
      </c>
      <c r="G3052" t="inlineStr">
        <is>
          <t>GRAM PANCHAYAT DABAD PS GUDAMALANI</t>
        </is>
      </c>
    </row>
    <row r="3053">
      <c r="A3053" s="1" t="n">
        <v>3051</v>
      </c>
      <c r="B3053">
        <f>HYPERLINK("https://eproc.rajasthan.gov.in/nicgep/app?component=%24DirectLink&amp;page=FrontEndViewTender&amp;service=direct&amp;session=T&amp;sp=SOibB2kzfSoiYzRlw%2FaY%2Brg%3D%3D", "GP RAMAGRH ITEM WISE WORK OPEN TENDER FOE MGNREGA 2025-26")</f>
        <v/>
      </c>
      <c r="C3053" t="inlineStr">
        <is>
          <t>Panchayati Raj Department||Secretary and Commissioner||CEO-AJMER||BDO-MASUDA</t>
        </is>
      </c>
      <c r="D3053" t="inlineStr">
        <is>
          <t>20-May-2025 06:00 PM</t>
        </is>
      </c>
      <c r="E3053" t="inlineStr">
        <is>
          <t>80,00,000</t>
        </is>
      </c>
      <c r="F3053" t="inlineStr">
        <is>
          <t>GP RAMAGRH ITEM WISE WORK OPEN TENDER FOE MGNREGA 2025-26</t>
        </is>
      </c>
      <c r="G3053" t="inlineStr">
        <is>
          <t>RAMGARH</t>
        </is>
      </c>
    </row>
    <row r="3054">
      <c r="A3054" s="1" t="n">
        <v>3052</v>
      </c>
      <c r="B3054">
        <f>HYPERLINK("https://eproc.rajasthan.gov.in/nicgep/app?component=%24DirectLink&amp;page=FrontEndViewTender&amp;service=direct&amp;session=T&amp;sp=STiyn1bdyQI9TEuP%2FKD3K%2BQ%3D%3D", "Supply of Construction Material with POI Driver in Scheme MNREGA, SFC , FFC and other scheme for Fin Yr 2025-26 in Gram Panchyat BUCHOLAI PS Gangapur city")</f>
        <v/>
      </c>
      <c r="C3054" t="inlineStr">
        <is>
          <t>Panchayati Raj Department||Secretary and Commissioner||CEO-S.MADHOPUR||BDO-GANGAPUR</t>
        </is>
      </c>
      <c r="D3054" t="inlineStr">
        <is>
          <t>21-May-2025 06:00 PM</t>
        </is>
      </c>
      <c r="E3054" t="inlineStr">
        <is>
          <t>40,00,000</t>
        </is>
      </c>
      <c r="F3054" t="inlineStr">
        <is>
          <t>Supply of Construction Material with POI Driver in Scheme MNREGA, SFC , FFC and other scheme for Fin Yr 2025-26 in Gram Panchyat BUCHOLAI PS Gangapur city</t>
        </is>
      </c>
      <c r="G3054" t="inlineStr">
        <is>
          <t>GRAM PANCHYAT BUCHOLAI</t>
        </is>
      </c>
    </row>
    <row r="3055">
      <c r="A3055" s="1" t="n">
        <v>3053</v>
      </c>
      <c r="B3055">
        <f>HYPERLINK("https://eproc.rajasthan.gov.in/nicgep/app?component=%24DirectLink&amp;page=FrontEndViewTender&amp;service=direct&amp;session=T&amp;sp=SMR6fHV5tgGsftFPDkVmc8g%3D%3D", "GP NAYAGANV ITEM WISE WORK OPEN TENDER FOE MGNREGA 2025-26")</f>
        <v/>
      </c>
      <c r="C3055" t="inlineStr">
        <is>
          <t>Panchayati Raj Department||Secretary and Commissioner||CEO-AJMER||BDO-MASUDA</t>
        </is>
      </c>
      <c r="D3055" t="inlineStr">
        <is>
          <t>20-May-2025 06:00 PM</t>
        </is>
      </c>
      <c r="E3055" t="inlineStr">
        <is>
          <t>80,00,000</t>
        </is>
      </c>
      <c r="F3055" t="inlineStr">
        <is>
          <t>GP NAYAGANV ITEM WISE WORK OPEN TENDER FOE MGNREGA 2025-26</t>
        </is>
      </c>
      <c r="G3055" t="inlineStr">
        <is>
          <t>NAYAGANV</t>
        </is>
      </c>
    </row>
    <row r="3056">
      <c r="A3056" s="1" t="n">
        <v>3054</v>
      </c>
      <c r="B3056">
        <f>HYPERLINK("https://eproc.rajasthan.gov.in/nicgep/app?component=%24DirectLink&amp;page=FrontEndViewTender&amp;service=direct&amp;session=T&amp;sp=SLO7pSb%2Bvu2VSg2rxddDp2Q%3D%3D", "GP BADI ITEM WISE WORK OPEN TENDER FOE MGNREGA 2025-26")</f>
        <v/>
      </c>
      <c r="C3056" t="inlineStr">
        <is>
          <t>Panchayati Raj Department||Secretary and Commissioner||CEO-AJMER||BDO-MASUDA</t>
        </is>
      </c>
      <c r="D3056" t="inlineStr">
        <is>
          <t>20-May-2025 06:00 PM</t>
        </is>
      </c>
      <c r="E3056" t="inlineStr">
        <is>
          <t>80,00,000</t>
        </is>
      </c>
      <c r="F3056" t="inlineStr">
        <is>
          <t>GP BADI ITEM WISE WORK OPEN TENDER FOE MGNREGA 2025-26</t>
        </is>
      </c>
      <c r="G3056" t="inlineStr">
        <is>
          <t>BADI</t>
        </is>
      </c>
    </row>
    <row r="3057">
      <c r="A3057" s="1" t="n">
        <v>3055</v>
      </c>
      <c r="B3057">
        <f>HYPERLINK("https://eproc.rajasthan.gov.in/nicgep/app?component=%24DirectLink&amp;page=FrontEndViewTender&amp;service=direct&amp;session=T&amp;sp=SBn7buQWrxdPL8M%2BrVfHysA%3D%3D", "GP NADI ITEM WISE WORK OPEN TENDER FOE MGNREGA 2025-26")</f>
        <v/>
      </c>
      <c r="C3057" t="inlineStr">
        <is>
          <t>Panchayati Raj Department||Secretary and Commissioner||CEO-AJMER||BDO-MASUDA</t>
        </is>
      </c>
      <c r="D3057" t="inlineStr">
        <is>
          <t>20-May-2025 06:00 PM</t>
        </is>
      </c>
      <c r="E3057" t="inlineStr">
        <is>
          <t>80,00,000</t>
        </is>
      </c>
      <c r="F3057" t="inlineStr">
        <is>
          <t>GP NADI ITEM WISE WORK OPEN TENDER FOE MGNREGA 2025-26</t>
        </is>
      </c>
      <c r="G3057" t="inlineStr">
        <is>
          <t>NADI</t>
        </is>
      </c>
    </row>
    <row r="3058">
      <c r="A3058" s="1" t="n">
        <v>3056</v>
      </c>
      <c r="B3058">
        <f>HYPERLINK("https://eproc.rajasthan.gov.in/nicgep/app?component=%24DirectLink&amp;page=FrontEndViewTender&amp;service=direct&amp;session=T&amp;sp=SKkpy%2FBMbPUFBQej%2BCIJOpA%3D%3D", "GP NANDWADA ITEM WISE WORK OPEN TENDER FOE MGNREGA 2025-26")</f>
        <v/>
      </c>
      <c r="C3058" t="inlineStr">
        <is>
          <t>Panchayati Raj Department||Secretary and Commissioner||CEO-AJMER||BDO-MASUDA</t>
        </is>
      </c>
      <c r="D3058" t="inlineStr">
        <is>
          <t>20-May-2025 06:00 PM</t>
        </is>
      </c>
      <c r="E3058" t="inlineStr">
        <is>
          <t>80,00,000</t>
        </is>
      </c>
      <c r="F3058" t="inlineStr">
        <is>
          <t>GP NANDWADA ITEM WISE WORK OPEN TENDER FOE MGNREGA 2025-26</t>
        </is>
      </c>
      <c r="G3058" t="inlineStr">
        <is>
          <t>NANDWADA</t>
        </is>
      </c>
    </row>
    <row r="3059">
      <c r="A3059" s="1" t="n">
        <v>3057</v>
      </c>
      <c r="B3059">
        <f>HYPERLINK("https://eproc.rajasthan.gov.in/nicgep/app?component=%24DirectLink&amp;page=FrontEndViewTender&amp;service=direct&amp;session=T&amp;sp=SRZZWUFKxMJZFTiDboCYqDQ%3D%3D", "GP DEVMALI ITEM WISE WORK OPEN TENDER FOE MGNREGA 2025-26")</f>
        <v/>
      </c>
      <c r="C3059" t="inlineStr">
        <is>
          <t>Panchayati Raj Department||Secretary and Commissioner||CEO-AJMER||BDO-MASUDA</t>
        </is>
      </c>
      <c r="D3059" t="inlineStr">
        <is>
          <t>20-May-2025 06:00 PM</t>
        </is>
      </c>
      <c r="E3059" t="inlineStr">
        <is>
          <t>80,00,000</t>
        </is>
      </c>
      <c r="F3059" t="inlineStr">
        <is>
          <t>GP DEVMALI ITEM WISE WORK OPEN TENDER FOE MGNREGA 2025-26</t>
        </is>
      </c>
      <c r="G3059" t="inlineStr">
        <is>
          <t>DEVMALI</t>
        </is>
      </c>
    </row>
    <row r="3060">
      <c r="A3060" s="1" t="n">
        <v>3058</v>
      </c>
      <c r="B3060">
        <f>HYPERLINK("https://eproc.rajasthan.gov.in/nicgep/app?component=%24DirectLink&amp;page=FrontEndViewTender&amp;service=direct&amp;session=T&amp;sp=S%2B8SHu36bk3XvVLDQ%2Bo45cQ%3D%3D", "GP KHIMPURA ITEM WISE WORK OPEN TENDER FOE MGNREGA")</f>
        <v/>
      </c>
      <c r="C3060" t="inlineStr">
        <is>
          <t>Panchayati Raj Department||Secretary and Commissioner||CEO-AJMER||BDO-MASUDA</t>
        </is>
      </c>
      <c r="D3060" t="inlineStr">
        <is>
          <t>20-May-2025 06:00 PM</t>
        </is>
      </c>
      <c r="E3060" t="inlineStr">
        <is>
          <t>80,00,000</t>
        </is>
      </c>
      <c r="F3060" t="inlineStr">
        <is>
          <t>GP KHIMPURA ITEM WISE WORK OPEN TENDER FOE MGNREGA</t>
        </is>
      </c>
      <c r="G3060" t="inlineStr">
        <is>
          <t>GP KHIMPURA</t>
        </is>
      </c>
    </row>
    <row r="3061">
      <c r="A3061" s="1" t="n">
        <v>3059</v>
      </c>
      <c r="B3061">
        <f>HYPERLINK("https://eproc.rajasthan.gov.in/nicgep/app?component=%24DirectLink&amp;page=FrontEndViewTender&amp;service=direct&amp;session=T&amp;sp=SfEKRQsfz1Iz5AMCfUZG7lA%3D%3D", "GP KANAKHERA ITEM WISE WORK OPEN TENDER FOE MGNREGA 2025-26")</f>
        <v/>
      </c>
      <c r="C3061" t="inlineStr">
        <is>
          <t>Panchayati Raj Department||Secretary and Commissioner||CEO-AJMER||BDO-MASUDA</t>
        </is>
      </c>
      <c r="D3061" t="inlineStr">
        <is>
          <t>20-May-2025 06:00 PM</t>
        </is>
      </c>
      <c r="E3061" t="inlineStr">
        <is>
          <t>80,00,000</t>
        </is>
      </c>
      <c r="F3061" t="inlineStr">
        <is>
          <t>GP KANAKHERA ITEM WISE WORK OPEN TENDER FOE MGNREGA 2025-26</t>
        </is>
      </c>
      <c r="G3061" t="inlineStr">
        <is>
          <t>KANAKHERA</t>
        </is>
      </c>
    </row>
    <row r="3062">
      <c r="A3062" s="1" t="n">
        <v>3060</v>
      </c>
      <c r="B3062">
        <f>HYPERLINK("https://eproc.rajasthan.gov.in/nicgep/app?component=%24DirectLink&amp;page=FrontEndViewTender&amp;service=direct&amp;session=T&amp;sp=SeiBG30otYoCGXI0vn09HtA%3D%3D", "GP JEEWANA ITEM WISE WORK OPEN TENDER FOE MGNREGA 2025-26")</f>
        <v/>
      </c>
      <c r="C3062" t="inlineStr">
        <is>
          <t>Panchayati Raj Department||Secretary and Commissioner||CEO-AJMER||BDO-MASUDA</t>
        </is>
      </c>
      <c r="D3062" t="inlineStr">
        <is>
          <t>20-May-2025 06:00 PM</t>
        </is>
      </c>
      <c r="E3062" t="inlineStr">
        <is>
          <t>80,00,000</t>
        </is>
      </c>
      <c r="F3062" t="inlineStr">
        <is>
          <t>GP JEEWANA ITEM WISE WORK OPEN TENDER FOE MGNREGA 2025-26</t>
        </is>
      </c>
      <c r="G3062" t="inlineStr">
        <is>
          <t>JEEWANA</t>
        </is>
      </c>
    </row>
    <row r="3063">
      <c r="A3063" s="1" t="n">
        <v>3061</v>
      </c>
      <c r="B3063">
        <f>HYPERLINK("https://eproc.rajasthan.gov.in/nicgep/app?component=%24DirectLink&amp;page=FrontEndViewTender&amp;service=direct&amp;session=T&amp;sp=SZwpNLra4I%2Bfbn3HJpfSY0A%3D%3D", "GP SHIVPURAGHATA ITEM WISE WORK OPEN TENDER FOE MGNREGA")</f>
        <v/>
      </c>
      <c r="C3063" t="inlineStr">
        <is>
          <t>Panchayati Raj Department||Secretary and Commissioner||CEO-AJMER||BDO-MASUDA</t>
        </is>
      </c>
      <c r="D3063" t="inlineStr">
        <is>
          <t>20-May-2025 06:00 PM</t>
        </is>
      </c>
      <c r="E3063" t="inlineStr">
        <is>
          <t>80,00,000</t>
        </is>
      </c>
      <c r="F3063" t="inlineStr">
        <is>
          <t>GP SHIVPURAGHATA ITEM WISE WORK OPEN TENDER FOE MGNREGA</t>
        </is>
      </c>
      <c r="G3063" t="inlineStr">
        <is>
          <t>SHIVPURAGHATA</t>
        </is>
      </c>
    </row>
    <row r="3064">
      <c r="A3064" s="1" t="n">
        <v>3062</v>
      </c>
      <c r="B3064">
        <f>HYPERLINK("https://eproc.rajasthan.gov.in/nicgep/app?component=%24DirectLink&amp;page=FrontEndViewTender&amp;service=direct&amp;session=T&amp;sp=S6rFaNSezqjGx6fbsDlLCXw%3D%3D", "GP KIRAP ITEM WISE WORK OPEN TENDER FOE MGNREGA 2025-26")</f>
        <v/>
      </c>
      <c r="C3064" t="inlineStr">
        <is>
          <t>Panchayati Raj Department||Secretary and Commissioner||CEO-AJMER||BDO-MASUDA</t>
        </is>
      </c>
      <c r="D3064" t="inlineStr">
        <is>
          <t>20-May-2025 06:00 PM</t>
        </is>
      </c>
      <c r="E3064" t="inlineStr">
        <is>
          <t>80,00,000</t>
        </is>
      </c>
      <c r="F3064" t="inlineStr">
        <is>
          <t>GP KIRAP ITEM WISE WORK OPEN TENDER FOE MGNREGA 2025-26</t>
        </is>
      </c>
      <c r="G3064" t="inlineStr">
        <is>
          <t>KIRAP</t>
        </is>
      </c>
    </row>
    <row r="3065">
      <c r="A3065" s="1" t="n">
        <v>3063</v>
      </c>
      <c r="B3065">
        <f>HYPERLINK("https://eproc.rajasthan.gov.in/nicgep/app?component=%24DirectLink&amp;page=FrontEndViewTender&amp;service=direct&amp;session=T&amp;sp=SiWexzxz%2BJ9S0z5%2F1wZuN8Q%3D%3D", "Supply Of Various Construction Materials In Gram Panchayat For MG Nrega and Rural Development and Panchayati raj Departments Schemes for Financial Year 2025-26 thali")</f>
        <v/>
      </c>
      <c r="C3065" t="inlineStr">
        <is>
          <t>Panchayati Raj Department||Secretary and Commissioner||CEO-JHUNJHUNU||BDO-SURAJGARH</t>
        </is>
      </c>
      <c r="D3065" t="inlineStr">
        <is>
          <t>20-May-2025 05:00 PM</t>
        </is>
      </c>
      <c r="E3065" t="inlineStr">
        <is>
          <t>50,00,000</t>
        </is>
      </c>
      <c r="F3065" t="inlineStr">
        <is>
          <t>Supply Of Various Construction Materials In Gram Panchayat For MG Nrega and Rural Development and Panchayati raj Departments Schemes for Financial Year 2025-26 thali</t>
        </is>
      </c>
      <c r="G3065" t="inlineStr">
        <is>
          <t>gp thali</t>
        </is>
      </c>
    </row>
    <row r="3066">
      <c r="A3066" s="1" t="n">
        <v>3064</v>
      </c>
      <c r="B3066">
        <f>HYPERLINK("https://eproc.rajasthan.gov.in/nicgep/app?component=%24DirectLink&amp;page=FrontEndViewTender&amp;service=direct&amp;session=T&amp;sp=SRwJaRDIqeTPeCMSD3ERUWw%3D%3D", "Supply Of Various Construction Materials In Gram Panchayat For MG Nrega and Rural Development and Panchayati raj Departments Schemes for Financial Year 2025-26 shyampura")</f>
        <v/>
      </c>
      <c r="C3066" t="inlineStr">
        <is>
          <t>Panchayati Raj Department||Secretary and Commissioner||CEO-JHUNJHUNU||BDO-SURAJGARH</t>
        </is>
      </c>
      <c r="D3066" t="inlineStr">
        <is>
          <t>20-May-2025 05:00 PM</t>
        </is>
      </c>
      <c r="E3066" t="inlineStr">
        <is>
          <t>50,00,000</t>
        </is>
      </c>
      <c r="F3066" t="inlineStr">
        <is>
          <t>Supply Of Various Construction Materials In Gram Panchayat For MG Nrega and Rural Development and Panchayati raj Departments Schemes for Financial Year 2025-26 shyampura</t>
        </is>
      </c>
      <c r="G3066" t="inlineStr">
        <is>
          <t>gp shyampura</t>
        </is>
      </c>
    </row>
    <row r="3067">
      <c r="A3067" s="1" t="n">
        <v>3065</v>
      </c>
      <c r="B3067">
        <f>HYPERLINK("https://eproc.rajasthan.gov.in/nicgep/app?component=%24DirectLink&amp;page=FrontEndViewTender&amp;service=direct&amp;session=T&amp;sp=SAaDpo9MputjE5CXZeM7Mlg%3D%3D", "Supply Of Various Construction Materials In Gram Panchayat For MG Nrega and Rural Development and Panchayati raj Departments Schemes for Financial Year 2025-26 shahpur")</f>
        <v/>
      </c>
      <c r="C3067" t="inlineStr">
        <is>
          <t>Panchayati Raj Department||Secretary and Commissioner||CEO-JHUNJHUNU||BDO-SURAJGARH</t>
        </is>
      </c>
      <c r="D3067" t="inlineStr">
        <is>
          <t>20-May-2025 05:00 PM</t>
        </is>
      </c>
      <c r="E3067" t="inlineStr">
        <is>
          <t>50,00,000</t>
        </is>
      </c>
      <c r="F3067" t="inlineStr">
        <is>
          <t>Supply Of Various Construction Materials In Gram Panchayat For MG Nrega and Rural Development and Panchayati raj Departments Schemes for Financial Year 2025-26 shahpur</t>
        </is>
      </c>
      <c r="G3067" t="inlineStr">
        <is>
          <t>gp sahpur</t>
        </is>
      </c>
    </row>
    <row r="3068">
      <c r="A3068" s="1" t="n">
        <v>3066</v>
      </c>
      <c r="B3068">
        <f>HYPERLINK("https://eproc.rajasthan.gov.in/nicgep/app?component=%24DirectLink&amp;page=FrontEndViewTender&amp;service=direct&amp;session=T&amp;sp=SgYAGowptokQD9yA71r4f0A%3D%3D", "Supply Of Various Construction Materials In Gram Panchayat For MG Nrega and Rural Development and Panchayati raj Departments Schemes for Financial Year 2025-26 sanwlod")</f>
        <v/>
      </c>
      <c r="C3068" t="inlineStr">
        <is>
          <t>Panchayati Raj Department||Secretary and Commissioner||CEO-JHUNJHUNU||BDO-SURAJGARH</t>
        </is>
      </c>
      <c r="D3068" t="inlineStr">
        <is>
          <t>20-May-2025 05:00 PM</t>
        </is>
      </c>
      <c r="E3068" t="inlineStr">
        <is>
          <t>50,00,000</t>
        </is>
      </c>
      <c r="F3068" t="inlineStr">
        <is>
          <t>Supply Of Various Construction Materials In Gram Panchayat For MG Nrega and Rural Development and Panchayati raj Departments Schemes for Financial Year 2025-26 sanwlod</t>
        </is>
      </c>
      <c r="G3068" t="inlineStr">
        <is>
          <t>gpsanwlod</t>
        </is>
      </c>
    </row>
    <row r="3069">
      <c r="A3069" s="1" t="n">
        <v>3067</v>
      </c>
      <c r="B3069">
        <f>HYPERLINK("https://eproc.rajasthan.gov.in/nicgep/app?component=%24DirectLink&amp;page=FrontEndViewTender&amp;service=direct&amp;session=T&amp;sp=S4Jef5WsUGXwgzkc7epoEog%3D%3D", "Supply Of Various Construction Materials In Gram Panchayat For MG Nrega and Rural Development and Panchayati raj Departments Schemes for Financial Year 2025-26 puhania")</f>
        <v/>
      </c>
      <c r="C3069" t="inlineStr">
        <is>
          <t>Panchayati Raj Department||Secretary and Commissioner||CEO-JHUNJHUNU||BDO-SURAJGARH</t>
        </is>
      </c>
      <c r="D3069" t="inlineStr">
        <is>
          <t>20-May-2025 05:00 PM</t>
        </is>
      </c>
      <c r="E3069" t="inlineStr">
        <is>
          <t>50,00,000</t>
        </is>
      </c>
      <c r="F3069" t="inlineStr">
        <is>
          <t>Supply Of Various Construction Materials In Gram Panchayat For MG Nrega and Rural Development and Panchayati raj Departments Schemes for Financial Year 2025-26puhania</t>
        </is>
      </c>
      <c r="G3069" t="inlineStr">
        <is>
          <t>gp puhania</t>
        </is>
      </c>
    </row>
    <row r="3070">
      <c r="A3070" s="1" t="n">
        <v>3068</v>
      </c>
      <c r="B3070">
        <f>HYPERLINK("https://eproc.rajasthan.gov.in/nicgep/app?component=%24DirectLink&amp;page=FrontEndViewTender&amp;service=direct&amp;session=T&amp;sp=S0dMEZltiJmOGNYcWK%2F%2FNig%3D%3D", "Supply Of Various Construction Materials In Gram Panchayat For MG Nrega and Rural Development and Panchayati raj Departments Schemes for Financial Year 2025-26 pacheri khurd")</f>
        <v/>
      </c>
      <c r="C3070" t="inlineStr">
        <is>
          <t>Panchayati Raj Department||Secretary and Commissioner||CEO-JHUNJHUNU||BDO-SURAJGARH</t>
        </is>
      </c>
      <c r="D3070" t="inlineStr">
        <is>
          <t>20-May-2025 05:00 PM</t>
        </is>
      </c>
      <c r="E3070" t="inlineStr">
        <is>
          <t>50,00,000</t>
        </is>
      </c>
      <c r="F3070" t="inlineStr">
        <is>
          <t>Supply Of Various Construction Materials In Gram Panchayat For MG Nrega and Rural Development and Panchayati raj Departments Schemes for Financial Year 2025-26 pacheri khurd</t>
        </is>
      </c>
      <c r="G3070" t="inlineStr">
        <is>
          <t>gp pacheri khurd</t>
        </is>
      </c>
    </row>
    <row r="3071">
      <c r="A3071" s="1" t="n">
        <v>3069</v>
      </c>
      <c r="B3071">
        <f>HYPERLINK("https://eproc.rajasthan.gov.in/nicgep/app?component=%24DirectLink&amp;page=FrontEndViewTender&amp;service=direct&amp;session=T&amp;sp=SzDf3WFwRlCQr7DsHionALA%3D%3D", "Supply Of Various Construction Materials In Gram Panchayat For MG Nrega and Rural Development and Panchayati raj Departments Schemes for Financial Year 2025-26 murdpur")</f>
        <v/>
      </c>
      <c r="C3071" t="inlineStr">
        <is>
          <t>Panchayati Raj Department||Secretary and Commissioner||CEO-JHUNJHUNU||BDO-SURAJGARH</t>
        </is>
      </c>
      <c r="D3071" t="inlineStr">
        <is>
          <t>20-May-2025 05:00 PM</t>
        </is>
      </c>
      <c r="E3071" t="inlineStr">
        <is>
          <t>50,00,000</t>
        </is>
      </c>
      <c r="F3071" t="inlineStr">
        <is>
          <t>Supply Of Various Construction Materials In Gram Panchayat For MG Nrega and Rural Development and Panchayati raj Departments Schemes for Financial Year 2025-26 muradpur</t>
        </is>
      </c>
      <c r="G3071" t="inlineStr">
        <is>
          <t>gpmuradpur</t>
        </is>
      </c>
    </row>
    <row r="3072">
      <c r="A3072" s="1" t="n">
        <v>3070</v>
      </c>
      <c r="B3072">
        <f>HYPERLINK("https://eproc.rajasthan.gov.in/nicgep/app?component=%24DirectLink&amp;page=FrontEndViewTender&amp;service=direct&amp;session=T&amp;sp=S3QhE9SsjBMi%2BBM7ZSlUk8Q%3D%3D", "Supply Of Various Construction Materials In Gram Panchayat For MG Nrega and Rural Development and Panchayati raj Departments Schemes for Financial Year 2025-26 moi sadda")</f>
        <v/>
      </c>
      <c r="C3072" t="inlineStr">
        <is>
          <t>Panchayati Raj Department||Secretary and Commissioner||CEO-JHUNJHUNU||BDO-SURAJGARH</t>
        </is>
      </c>
      <c r="D3072" t="inlineStr">
        <is>
          <t>20-May-2025 05:00 PM</t>
        </is>
      </c>
      <c r="E3072" t="inlineStr">
        <is>
          <t>50,00,000</t>
        </is>
      </c>
      <c r="F3072" t="inlineStr">
        <is>
          <t>Supply Of Various Construction Materials In Gram Panchayat For MG Nrega and Rural Development and Panchayati raj Departments Schemes for Financial Year 2025-26 moi sadda</t>
        </is>
      </c>
      <c r="G3072" t="inlineStr">
        <is>
          <t>gp moi sadda</t>
        </is>
      </c>
    </row>
    <row r="3073">
      <c r="A3073" s="1" t="n">
        <v>3071</v>
      </c>
      <c r="B3073">
        <f>HYPERLINK("https://eproc.rajasthan.gov.in/nicgep/app?component=%24DirectLink&amp;page=FrontEndViewTender&amp;service=direct&amp;session=T&amp;sp=Sip7Bq57m9cV%2Fm%2Ftk%2Bs3D6Q%3D%3D", "Supply Of Various Construction Materials In Gram Panchayat For MG Nrega and Rural Development and Panchayati raj Departments Schemes for Financial Year 2025-26 moi bharu")</f>
        <v/>
      </c>
      <c r="C3073" t="inlineStr">
        <is>
          <t>Panchayati Raj Department||Secretary and Commissioner||CEO-JHUNJHUNU||BDO-SURAJGARH</t>
        </is>
      </c>
      <c r="D3073" t="inlineStr">
        <is>
          <t>20-May-2025 05:00 PM</t>
        </is>
      </c>
      <c r="E3073" t="inlineStr">
        <is>
          <t>50,00,000</t>
        </is>
      </c>
      <c r="F3073" t="inlineStr">
        <is>
          <t>Supply Of Various Construction Materials In Gram Panchayat For MG Nrega and Rural Development and Panchayati raj Departments Schemes for Financial Year 2025-26 moi bharu</t>
        </is>
      </c>
      <c r="G3073" t="inlineStr">
        <is>
          <t>gpmoi bharu</t>
        </is>
      </c>
    </row>
    <row r="3074">
      <c r="A3074" s="1" t="n">
        <v>3072</v>
      </c>
      <c r="B3074">
        <f>HYPERLINK("https://eproc.rajasthan.gov.in/nicgep/app?component=%24DirectLink&amp;page=FrontEndViewTender&amp;service=direct&amp;session=T&amp;sp=SgBAO1vSavVAE%2FJW9sj3llA%3D%3D", "Supply Of Various Construction Materials In Gram Panchayat For MG Nrega and Rural Development and Panchayati raj Departments Schemes for Financial Year 2025-26 makdo")</f>
        <v/>
      </c>
      <c r="C3074" t="inlineStr">
        <is>
          <t>Panchayati Raj Department||Secretary and Commissioner||CEO-JHUNJHUNU||BDO-SURAJGARH</t>
        </is>
      </c>
      <c r="D3074" t="inlineStr">
        <is>
          <t>20-May-2025 05:00 PM</t>
        </is>
      </c>
      <c r="E3074" t="inlineStr">
        <is>
          <t>50,00,000</t>
        </is>
      </c>
      <c r="F3074" t="inlineStr">
        <is>
          <t>Supply Of Various Construction Materials In Gram Panchayat For MG Nrega and Rural Development and Panchayati raj Departments Schemes for Financial Year 2025-26 makdo</t>
        </is>
      </c>
      <c r="G3074" t="inlineStr">
        <is>
          <t>gp makdo</t>
        </is>
      </c>
    </row>
    <row r="3075">
      <c r="A3075" s="1" t="n">
        <v>3073</v>
      </c>
      <c r="B3075">
        <f>HYPERLINK("https://eproc.rajasthan.gov.in/nicgep/app?component=%24DirectLink&amp;page=FrontEndViewTender&amp;service=direct&amp;session=T&amp;sp=SEdZ6tmmvVBB2HqWpYAJhLQ%3D%3D", "Supply Of Various Construction Materials In Gram Panchayat For MG Nrega and Rural Development and Panchayati raj Departments Schemes for Financial Year 2025-26 KHANPUR")</f>
        <v/>
      </c>
      <c r="C3075" t="inlineStr">
        <is>
          <t>Panchayati Raj Department||Secretary and Commissioner||CEO-JHUNJHUNU||BDO-SURAJGARH</t>
        </is>
      </c>
      <c r="D3075" t="inlineStr">
        <is>
          <t>20-May-2025 05:00 PM</t>
        </is>
      </c>
      <c r="E3075" t="inlineStr">
        <is>
          <t>50,00,000</t>
        </is>
      </c>
      <c r="F3075" t="inlineStr">
        <is>
          <t>Supply Of Various Construction Materials In Gram Panchayat For MG Nrega and Rural Development and Panchayati raj Departments Schemes for Financial Year 2025-26 KHANPUR</t>
        </is>
      </c>
      <c r="G3075" t="inlineStr">
        <is>
          <t>GP KHANPUR</t>
        </is>
      </c>
    </row>
    <row r="3076">
      <c r="A3076" s="1" t="n">
        <v>3074</v>
      </c>
      <c r="B3076">
        <f>HYPERLINK("https://eproc.rajasthan.gov.in/nicgep/app?component=%24DirectLink&amp;page=FrontEndViewTender&amp;service=direct&amp;session=T&amp;sp=Slm9%2FJkUdsu3fSieZcnOLaA%3D%3D", "Supply Of Various Construction Materials In Gram Panchayat For MG Nrega and Rural Development and Panchayati raj Departments Schemes for Financial Year 2025-26silarpuri")</f>
        <v/>
      </c>
      <c r="C3076" t="inlineStr">
        <is>
          <t>Panchayati Raj Department||Secretary and Commissioner||CEO-JHUNJHUNU||BDO-SURAJGARH</t>
        </is>
      </c>
      <c r="D3076" t="inlineStr">
        <is>
          <t>20-May-2025 05:00 PM</t>
        </is>
      </c>
      <c r="E3076" t="inlineStr">
        <is>
          <t>50,00,000</t>
        </is>
      </c>
      <c r="F3076" t="inlineStr">
        <is>
          <t>Supply Of Various Construction Materials In Gram Panchayat For MG Nrega and Rural Development and Panchayati raj Departments Schemes for Financial Year 2025-26 silarpuri</t>
        </is>
      </c>
      <c r="G3076" t="inlineStr">
        <is>
          <t>gp silarpuri</t>
        </is>
      </c>
    </row>
    <row r="3077">
      <c r="A3077" s="1" t="n">
        <v>3075</v>
      </c>
      <c r="B3077">
        <f>HYPERLINK("https://eproc.rajasthan.gov.in/nicgep/app?component=%24DirectLink&amp;page=FrontEndViewTender&amp;service=direct&amp;session=T&amp;sp=St4jNKb1tnZlzgWL1BnDn3g%3D%3D", "Supply Of Various Construction Materials In Gram Panchayat For MG Nrega and Rural Development and Panchayati raj Departments Schemes for Financial Year 2025-26")</f>
        <v/>
      </c>
      <c r="C3077" t="inlineStr">
        <is>
          <t>Panchayati Raj Department||Secretary and Commissioner||CEO-JHUNJHUNU||BDO-SURAJGARH</t>
        </is>
      </c>
      <c r="D3077" t="inlineStr">
        <is>
          <t>20-May-2025 05:00 PM</t>
        </is>
      </c>
      <c r="E3077" t="inlineStr">
        <is>
          <t>50,00,000</t>
        </is>
      </c>
      <c r="F3077" t="inlineStr">
        <is>
          <t>Supply Of Various Construction Materials In Gram Panchayat For MG Nrega and Rural Development and Panchayati raj Departments Schemes for Financial Year 2025-26</t>
        </is>
      </c>
      <c r="G3077" t="inlineStr">
        <is>
          <t>GP HEERWA</t>
        </is>
      </c>
    </row>
    <row r="3078">
      <c r="A3078" s="1" t="n">
        <v>3076</v>
      </c>
      <c r="B3078">
        <f>HYPERLINK("https://eproc.rajasthan.gov.in/nicgep/app?component=%24DirectLink&amp;page=FrontEndViewTender&amp;service=direct&amp;session=T&amp;sp=Syi2E8z95I8O0Pm5xmOL7fQ%3D%3D", "GP KHARWA ITEM WISE WORK OPEN TENDER FOE MGNREGA 2025-26")</f>
        <v/>
      </c>
      <c r="C3078" t="inlineStr">
        <is>
          <t>Panchayati Raj Department||Secretary and Commissioner||CEO-AJMER||BDO-MASUDA</t>
        </is>
      </c>
      <c r="D3078" t="inlineStr">
        <is>
          <t>20-May-2025 06:00 PM</t>
        </is>
      </c>
      <c r="E3078" t="inlineStr">
        <is>
          <t>80,00,000</t>
        </is>
      </c>
      <c r="F3078" t="inlineStr">
        <is>
          <t>GP KHARWA ITEM WISE WORK OPEN TENDER FOE MGNREGA 2025-26</t>
        </is>
      </c>
      <c r="G3078" t="inlineStr">
        <is>
          <t>KHARWA</t>
        </is>
      </c>
    </row>
    <row r="3079">
      <c r="A3079" s="1" t="n">
        <v>3077</v>
      </c>
      <c r="B3079">
        <f>HYPERLINK("https://eproc.rajasthan.gov.in/nicgep/app?component=%24DirectLink&amp;page=FrontEndViewTender&amp;service=direct&amp;session=T&amp;sp=S5dd6Bc3Oj%2FBfbghgJMi7uA%3D%3D", "Supply Of Various Construction Materials In Gram Panchayat For MG Nrega and Rural Development and Panchayati raj Departments Schemes for Financial Year 2025-26")</f>
        <v/>
      </c>
      <c r="C3079" t="inlineStr">
        <is>
          <t>Panchayati Raj Department||Secretary and Commissioner||CEO-JHUNJHUNU||BDO-SURAJGARH</t>
        </is>
      </c>
      <c r="D3079" t="inlineStr">
        <is>
          <t>20-May-2025 05:00 PM</t>
        </is>
      </c>
      <c r="E3079" t="inlineStr">
        <is>
          <t>50,00,000</t>
        </is>
      </c>
      <c r="F3079" t="inlineStr">
        <is>
          <t>Supply Of Various Construction Materials In Gram Panchayat For MG Nrega and Rural Development and Panchayati raj Departments Schemes for Financial Year 2025-26</t>
        </is>
      </c>
      <c r="G3079" t="inlineStr">
        <is>
          <t>gp ghardana khurd</t>
        </is>
      </c>
    </row>
    <row r="3080">
      <c r="A3080" s="1" t="n">
        <v>3078</v>
      </c>
      <c r="B3080">
        <f>HYPERLINK("https://eproc.rajasthan.gov.in/nicgep/app?component=%24DirectLink&amp;page=FrontEndViewTender&amp;service=direct&amp;session=T&amp;sp=ScMDy%2Bq1GiluSLzGi1br68A%3D%3D", "GP JHAK ITEM WISE WORK OPEN TENDER FOE MGNREGA 2025-26")</f>
        <v/>
      </c>
      <c r="C3080" t="inlineStr">
        <is>
          <t>Panchayati Raj Department||Secretary and Commissioner||CEO-AJMER||BDO-MASUDA</t>
        </is>
      </c>
      <c r="D3080" t="inlineStr">
        <is>
          <t>20-May-2025 06:00 PM</t>
        </is>
      </c>
      <c r="E3080" t="inlineStr">
        <is>
          <t>80,00,000</t>
        </is>
      </c>
      <c r="F3080" t="inlineStr">
        <is>
          <t>GP JHAK ITEM WISE WORK OPEN TENDER FOE MGNREGA 2025-26</t>
        </is>
      </c>
      <c r="G3080" t="inlineStr">
        <is>
          <t>JHAK</t>
        </is>
      </c>
    </row>
    <row r="3081">
      <c r="A3081" s="1" t="n">
        <v>3079</v>
      </c>
      <c r="B3081">
        <f>HYPERLINK("https://eproc.rajasthan.gov.in/nicgep/app?component=%24DirectLink&amp;page=FrontEndViewTender&amp;service=direct&amp;session=T&amp;sp=S7nlh%2Bc7vUWREo0wbHBgPsA%3D%3D", "GP SHIVNAGAR ITEM WISE WORK OPEN TENDER FOE MGNREGA")</f>
        <v/>
      </c>
      <c r="C3081" t="inlineStr">
        <is>
          <t>Panchayati Raj Department||Secretary and Commissioner||CEO-AJMER||BDO-MASUDA</t>
        </is>
      </c>
      <c r="D3081" t="inlineStr">
        <is>
          <t>20-May-2025 06:00 PM</t>
        </is>
      </c>
      <c r="E3081" t="inlineStr">
        <is>
          <t>80,00,000</t>
        </is>
      </c>
      <c r="F3081" t="inlineStr">
        <is>
          <t>GP SHIVNAGAR ITEM WISE WORK OPEN TENDER FOE MGNREGA</t>
        </is>
      </c>
      <c r="G3081" t="inlineStr">
        <is>
          <t>SHIVNAGAR</t>
        </is>
      </c>
    </row>
    <row r="3082">
      <c r="A3082" s="1" t="n">
        <v>3080</v>
      </c>
      <c r="B3082">
        <f>HYPERLINK("https://eproc.rajasthan.gov.in/nicgep/app?component=%24DirectLink&amp;page=FrontEndViewTender&amp;service=direct&amp;session=T&amp;sp=S6bUntCcQDpBqH%2FesBQazoA%3D%3D", "GP JAMOLA ITEM WISE WORK OPEN TENDER FOE MGNREGA 2025-26")</f>
        <v/>
      </c>
      <c r="C3082" t="inlineStr">
        <is>
          <t>Panchayati Raj Department||Secretary and Commissioner||CEO-AJMER||BDO-MASUDA</t>
        </is>
      </c>
      <c r="D3082" t="inlineStr">
        <is>
          <t>20-May-2025 06:00 PM</t>
        </is>
      </c>
      <c r="E3082" t="inlineStr">
        <is>
          <t>80,00,000</t>
        </is>
      </c>
      <c r="F3082" t="inlineStr">
        <is>
          <t>GP JAMOLA ITEM WISE WORK OPEN TENDER FOE MGNREGA 2025-26</t>
        </is>
      </c>
      <c r="G3082" t="inlineStr">
        <is>
          <t>JAMOLA</t>
        </is>
      </c>
    </row>
    <row r="3083">
      <c r="A3083" s="1" t="n">
        <v>3081</v>
      </c>
      <c r="B3083">
        <f>HYPERLINK("https://eproc.rajasthan.gov.in/nicgep/app?component=%24DirectLink&amp;page=FrontEndViewTender&amp;service=direct&amp;session=T&amp;sp=SFIh8wrcl0OpcdnBOTbyEmQ%3D%3D", "GP DEVMAGARI ITEM WISE WORK OPEN TENDER FOE MGNREGA")</f>
        <v/>
      </c>
      <c r="C3083" t="inlineStr">
        <is>
          <t>Panchayati Raj Department||Secretary and Commissioner||CEO-AJMER||BDO-MASUDA</t>
        </is>
      </c>
      <c r="D3083" t="inlineStr">
        <is>
          <t>20-May-2025 06:00 PM</t>
        </is>
      </c>
      <c r="E3083" t="inlineStr">
        <is>
          <t>80,00,000</t>
        </is>
      </c>
      <c r="F3083" t="inlineStr">
        <is>
          <t>GP DEVMAGARI ITEM WISE WORK OPEN TENDER FOE MGNREGA</t>
        </is>
      </c>
      <c r="G3083" t="inlineStr">
        <is>
          <t>DEVMAGARI</t>
        </is>
      </c>
    </row>
    <row r="3084">
      <c r="A3084" s="1" t="n">
        <v>3082</v>
      </c>
      <c r="B3084">
        <f>HYPERLINK("https://eproc.rajasthan.gov.in/nicgep/app?component=%24DirectLink&amp;page=FrontEndViewTender&amp;service=direct&amp;session=T&amp;sp=SsWSRR94TnYspaLuv4gvAJg%3D%3D", "GP JALIYA-2 ITEM WISE WORK OPEN TENDER FOE MGNREGA 2025-26")</f>
        <v/>
      </c>
      <c r="C3084" t="inlineStr">
        <is>
          <t>Panchayati Raj Department||Secretary and Commissioner||CEO-AJMER||BDO-MASUDA</t>
        </is>
      </c>
      <c r="D3084" t="inlineStr">
        <is>
          <t>20-May-2025 06:00 PM</t>
        </is>
      </c>
      <c r="E3084" t="inlineStr">
        <is>
          <t>80,00,000</t>
        </is>
      </c>
      <c r="F3084" t="inlineStr">
        <is>
          <t>GP JALIYA-2 ITEM WISE WORK OPEN TENDER FOE MGNREGA 2025-26</t>
        </is>
      </c>
      <c r="G3084" t="inlineStr">
        <is>
          <t>JALIYA-2</t>
        </is>
      </c>
    </row>
    <row r="3085">
      <c r="A3085" s="1" t="n">
        <v>3083</v>
      </c>
      <c r="B3085">
        <f>HYPERLINK("https://eproc.rajasthan.gov.in/nicgep/app?component=%24DirectLink&amp;page=FrontEndViewTender&amp;service=direct&amp;session=T&amp;sp=SE9L1%2FRmI1iOBlkEZzPvESg%3D%3D", "GP DOULATPURA-2 ITEM WISE WORK OPEN TENDER FOE MGNREGA 2025-26")</f>
        <v/>
      </c>
      <c r="C3085" t="inlineStr">
        <is>
          <t>Panchayati Raj Department||Secretary and Commissioner||CEO-AJMER||BDO-MASUDA</t>
        </is>
      </c>
      <c r="D3085" t="inlineStr">
        <is>
          <t>20-May-2025 06:00 PM</t>
        </is>
      </c>
      <c r="E3085" t="inlineStr">
        <is>
          <t>80,00,000</t>
        </is>
      </c>
      <c r="F3085" t="inlineStr">
        <is>
          <t>GP DOULATPURA-2 ITEM WISE WORK OPEN TENDER FOE MGNREGA 2025-26</t>
        </is>
      </c>
      <c r="G3085" t="inlineStr">
        <is>
          <t>DOULATPURA-2</t>
        </is>
      </c>
    </row>
    <row r="3086">
      <c r="A3086" s="1" t="n">
        <v>3084</v>
      </c>
      <c r="B3086">
        <f>HYPERLINK("https://eproc.rajasthan.gov.in/nicgep/app?component=%24DirectLink&amp;page=FrontEndViewTender&amp;service=direct&amp;session=T&amp;sp=SCVdRIqN7BGCu4xSv9hGfsg%3D%3D", "Supply Of Various Construction Materials In Gram Panchayat For MG Nrega and Rural Development and Panchayati raj Departments Schemes for Financial Year 2025-26")</f>
        <v/>
      </c>
      <c r="C3086" t="inlineStr">
        <is>
          <t>Panchayati Raj Department||Secretary and Commissioner||CEO-JHUNJHUNU||BDO-SURAJGARH</t>
        </is>
      </c>
      <c r="D3086" t="inlineStr">
        <is>
          <t>20-May-2025 05:00 PM</t>
        </is>
      </c>
      <c r="E3086" t="inlineStr">
        <is>
          <t>50,00,000</t>
        </is>
      </c>
      <c r="F3086" t="inlineStr">
        <is>
          <t>Supply Of Various Construction Materials In Gram Panchayat For MG Nrega and Rural Development and Panchayati raj Departments Schemes for Financial Year 2025-26</t>
        </is>
      </c>
      <c r="G3086" t="inlineStr">
        <is>
          <t>PS DHADHOT KALAN</t>
        </is>
      </c>
    </row>
    <row r="3087">
      <c r="A3087" s="1" t="n">
        <v>3085</v>
      </c>
      <c r="B3087">
        <f>HYPERLINK("https://eproc.rajasthan.gov.in/nicgep/app?component=%24DirectLink&amp;page=FrontEndViewTender&amp;service=direct&amp;session=T&amp;sp=SfIs3JQhyUESoY6sen6Wqqw%3D%3D", "Supply Of Various Construction Materials In Gram Panchayat For MG Nrega and Rural Development and Panchayati raj Departments Schemes for Financial Year 2025-26")</f>
        <v/>
      </c>
      <c r="C3087" t="inlineStr">
        <is>
          <t>Panchayati Raj Department||Secretary and Commissioner||CEO-JHUNJHUNU||BDO-SURAJGARH</t>
        </is>
      </c>
      <c r="D3087" t="inlineStr">
        <is>
          <t>20-May-2025 05:00 PM</t>
        </is>
      </c>
      <c r="E3087" t="inlineStr">
        <is>
          <t>50,00,000</t>
        </is>
      </c>
      <c r="F3087" t="inlineStr">
        <is>
          <t>Supply Of Various Construction Materials In Gram Panchayat For MG Nrega and Rural Development and Panchayati raj Departments Schemes for Financial Year 2025-26</t>
        </is>
      </c>
      <c r="G3087" t="inlineStr">
        <is>
          <t>GP GHARDA KALAN</t>
        </is>
      </c>
    </row>
    <row r="3088">
      <c r="A3088" s="1" t="n">
        <v>3086</v>
      </c>
      <c r="B3088">
        <f>HYPERLINK("https://eproc.rajasthan.gov.in/nicgep/app?component=%24DirectLink&amp;page=FrontEndViewTender&amp;service=direct&amp;session=T&amp;sp=SovscKgAiKScIPCFy2oee0A%3D%3D", "Supply Of Various Construction Materials In Gram Panchayat For MG Nrega and Rural Development and Panchayati raj Departments Schemes for Financial Year 2025-26")</f>
        <v/>
      </c>
      <c r="C3088" t="inlineStr">
        <is>
          <t>Panchayati Raj Department||Secretary and Commissioner||CEO-JHUNJHUNU||BDO-SURAJGARH</t>
        </is>
      </c>
      <c r="D3088" t="inlineStr">
        <is>
          <t>20-May-2025 05:00 PM</t>
        </is>
      </c>
      <c r="E3088" t="inlineStr">
        <is>
          <t>50,00,000</t>
        </is>
      </c>
      <c r="F3088" t="inlineStr">
        <is>
          <t>Supply Of Various Construction Materials In Gram Panchayat For MG Nrega and Rural Development and Panchayati raj Departments Schemes for Financial Year 2025-26</t>
        </is>
      </c>
      <c r="G3088" t="inlineStr">
        <is>
          <t>bhainsawat khurd</t>
        </is>
      </c>
    </row>
    <row r="3089">
      <c r="A3089" s="1" t="n">
        <v>3087</v>
      </c>
      <c r="B3089">
        <f>HYPERLINK("https://eproc.rajasthan.gov.in/nicgep/app?component=%24DirectLink&amp;page=FrontEndViewTender&amp;service=direct&amp;session=T&amp;sp=StgJJnWX3bJweywqDagG6YQ%3D%3D", "Supply Of Various Construction Materials In Gram Panchayat For MG Nrega and Rural Development and Panchayati raj Departments Schemes for Financial Year 2025-26")</f>
        <v/>
      </c>
      <c r="C3089" t="inlineStr">
        <is>
          <t>Panchayati Raj Department||Secretary and Commissioner||CEO-JHUNJHUNU||BDO-SURAJGARH</t>
        </is>
      </c>
      <c r="D3089" t="inlineStr">
        <is>
          <t>20-May-2025 05:00 PM</t>
        </is>
      </c>
      <c r="E3089" t="inlineStr">
        <is>
          <t>50,00,000</t>
        </is>
      </c>
      <c r="F3089" t="inlineStr">
        <is>
          <t>Supply Of Various Construction Materials In Gram Panchayat For MG Nrega and Rural Development and Panchayati raj Departments Schemes for Financial Year 2025-26</t>
        </is>
      </c>
      <c r="G3089" t="inlineStr">
        <is>
          <t>GP GADA KHERA</t>
        </is>
      </c>
    </row>
    <row r="3090">
      <c r="A3090" s="1" t="n">
        <v>3088</v>
      </c>
      <c r="B3090">
        <f>HYPERLINK("https://eproc.rajasthan.gov.in/nicgep/app?component=%24DirectLink&amp;page=FrontEndViewTender&amp;service=direct&amp;session=T&amp;sp=ShK709akYBOLwwhEsnNmgNQ%3D%3D", "Supply Of Various Construction Materials In Gram Panchayat For MG Nrega and Rural Development and Panchayati raj Departments Schemes for Financial Year 2025-26")</f>
        <v/>
      </c>
      <c r="C3090" t="inlineStr">
        <is>
          <t>Panchayati Raj Department||Secretary and Commissioner||CEO-JHUNJHUNU||BDO-SURAJGARH</t>
        </is>
      </c>
      <c r="D3090" t="inlineStr">
        <is>
          <t>20-May-2025 05:00 PM</t>
        </is>
      </c>
      <c r="E3090" t="inlineStr">
        <is>
          <t>50,00,000</t>
        </is>
      </c>
      <c r="F3090" t="inlineStr">
        <is>
          <t>Supply Of Various Construction Materials In Gram Panchayat For MG Nrega and Rural Development and Panchayati raj Departments Schemes for Financial Year 2025-26</t>
        </is>
      </c>
      <c r="G3090" t="inlineStr">
        <is>
          <t>GP DHANA</t>
        </is>
      </c>
    </row>
    <row r="3091">
      <c r="A3091" s="1" t="n">
        <v>3089</v>
      </c>
      <c r="B3091">
        <f>HYPERLINK("https://eproc.rajasthan.gov.in/nicgep/app?component=%24DirectLink&amp;page=FrontEndViewTender&amp;service=direct&amp;session=T&amp;sp=StXDTNoQI%2F0Yw0Jg%2By4CVew%3D%3D", "Supply Of Various Construction Materials In Gram Panchayat For MG Nrega and Rural Development and Panchayati raj Departments Schemes for Financial Year 2025-26")</f>
        <v/>
      </c>
      <c r="C3091" t="inlineStr">
        <is>
          <t>Panchayati Raj Department||Secretary and Commissioner||CEO-JHUNJHUNU||BDO-SURAJGARH</t>
        </is>
      </c>
      <c r="D3091" t="inlineStr">
        <is>
          <t>20-May-2025 05:00 PM</t>
        </is>
      </c>
      <c r="E3091" t="inlineStr">
        <is>
          <t>50,00,000</t>
        </is>
      </c>
      <c r="F3091" t="inlineStr">
        <is>
          <t>Supply Of Various Construction Materials In Gram Panchayat For MG Nrega and Rural Development and Panchayati raj Departments Schemes for Financial Year 2025-26</t>
        </is>
      </c>
      <c r="G3091" t="inlineStr">
        <is>
          <t>GP DOMOLI KHURD</t>
        </is>
      </c>
    </row>
    <row r="3092">
      <c r="A3092" s="1" t="n">
        <v>3090</v>
      </c>
      <c r="B3092">
        <f>HYPERLINK("https://eproc.rajasthan.gov.in/nicgep/app?component=%24DirectLink&amp;page=FrontEndViewTender&amp;service=direct&amp;session=T&amp;sp=Skj8VNj9OZd%2B4CU9tK0Fpng%3D%3D", "Supply Of Various Construction Materials In Gram Panchayat For MG Nrega and Rural Development and Panchayati raj Departments Schemes for Financial Year 2025-26")</f>
        <v/>
      </c>
      <c r="C3092" t="inlineStr">
        <is>
          <t>Panchayati Raj Department||Secretary and Commissioner||CEO-JHUNJHUNU||BDO-SURAJGARH</t>
        </is>
      </c>
      <c r="D3092" t="inlineStr">
        <is>
          <t>20-May-2025 05:00 PM</t>
        </is>
      </c>
      <c r="E3092" t="inlineStr">
        <is>
          <t>50,00,000</t>
        </is>
      </c>
      <c r="F3092" t="inlineStr">
        <is>
          <t>Supply Of Various Construction Materials In Gram Panchayat For MG Nrega and Rural Development and Panchayati raj Departments Schemes for Financial Year 2025-26</t>
        </is>
      </c>
      <c r="G3092" t="inlineStr">
        <is>
          <t>GP DOMOLI KALAN</t>
        </is>
      </c>
    </row>
    <row r="3093">
      <c r="A3093" s="1" t="n">
        <v>3091</v>
      </c>
      <c r="B3093">
        <f>HYPERLINK("https://eproc.rajasthan.gov.in/nicgep/app?component=%24DirectLink&amp;page=FrontEndViewTender&amp;service=direct&amp;session=T&amp;sp=SfUk5QDmOunL3A%2BdQgJQ90A%3D%3D", "GP DOULATPURA-1 ITEM WISE WORK OPEN TENDER FOE MGNREGA 2025-26")</f>
        <v/>
      </c>
      <c r="C3093" t="inlineStr">
        <is>
          <t>Panchayati Raj Department||Secretary and Commissioner||CEO-AJMER||BDO-MASUDA</t>
        </is>
      </c>
      <c r="D3093" t="inlineStr">
        <is>
          <t>20-May-2025 06:00 PM</t>
        </is>
      </c>
      <c r="E3093" t="inlineStr">
        <is>
          <t>80,00,000</t>
        </is>
      </c>
      <c r="F3093" t="inlineStr">
        <is>
          <t>GP DOULATPURA-1 ITEM WISE WORK OPEN TENDER FOE MGNREGA 2025-26</t>
        </is>
      </c>
      <c r="G3093" t="inlineStr">
        <is>
          <t>DOULATPURA-1</t>
        </is>
      </c>
    </row>
    <row r="3094">
      <c r="A3094" s="1" t="n">
        <v>3092</v>
      </c>
      <c r="B3094">
        <f>HYPERLINK("https://eproc.rajasthan.gov.in/nicgep/app?component=%24DirectLink&amp;page=FrontEndViewTender&amp;service=direct&amp;session=T&amp;sp=SKAkRIELWEiC%2Fe8AGwrI6Uw%3D%3D", "Supply Of Various Construction Materials In Gram Panchayat For MG Nrega and Rural Development and Panchayati raj Departments Schemes for Financial Year 2025-26")</f>
        <v/>
      </c>
      <c r="C3094" t="inlineStr">
        <is>
          <t>Panchayati Raj Department||Secretary and Commissioner||CEO-JHUNJHUNU||BDO-SURAJGARH</t>
        </is>
      </c>
      <c r="D3094" t="inlineStr">
        <is>
          <t>20-May-2025 05:00 PM</t>
        </is>
      </c>
      <c r="E3094" t="inlineStr">
        <is>
          <t>50,00,000</t>
        </is>
      </c>
      <c r="F3094" t="inlineStr">
        <is>
          <t>Supply Of Various Construction Materials In Gram Panchayat For MG Nrega and Rural Development and Panchayati raj Departments Schemes for Financial Year 2025-26</t>
        </is>
      </c>
      <c r="G3094" t="inlineStr">
        <is>
          <t>GP BHDAN</t>
        </is>
      </c>
    </row>
    <row r="3095">
      <c r="A3095" s="1" t="n">
        <v>3093</v>
      </c>
      <c r="B3095">
        <f>HYPERLINK("https://eproc.rajasthan.gov.in/nicgep/app?component=%24DirectLink&amp;page=FrontEndViewTender&amp;service=direct&amp;session=T&amp;sp=SSakWoRXUlGd3q7GQuJqTSQ%3D%3D", "GP DEVPURA ITEM WISE WORK OPEN TENDER FOE MGNREGA 2025-26")</f>
        <v/>
      </c>
      <c r="C3095" t="inlineStr">
        <is>
          <t>Panchayati Raj Department||Secretary and Commissioner||CEO-AJMER||BDO-MASUDA</t>
        </is>
      </c>
      <c r="D3095" t="inlineStr">
        <is>
          <t>20-May-2025 06:00 PM</t>
        </is>
      </c>
      <c r="E3095" t="inlineStr">
        <is>
          <t>80,00,000</t>
        </is>
      </c>
      <c r="F3095" t="inlineStr">
        <is>
          <t>GP DEVPURA ITEM WISE WORK OPEN TENDER FOE MGNREGA 2025-26</t>
        </is>
      </c>
      <c r="G3095" t="inlineStr">
        <is>
          <t>DEVPURA</t>
        </is>
      </c>
    </row>
    <row r="3096">
      <c r="A3096" s="1" t="n">
        <v>3094</v>
      </c>
      <c r="B3096">
        <f>HYPERLINK("https://eproc.rajasthan.gov.in/nicgep/app?component=%24DirectLink&amp;page=FrontEndViewTender&amp;service=direct&amp;session=T&amp;sp=SUpN%2FYSbXuGo1%2FmmXPu%2BeTw%3D%3D", "GP BEGLIYAWAS WORK OPEN TENDER FOR MG NREGA")</f>
        <v/>
      </c>
      <c r="C3096" t="inlineStr">
        <is>
          <t>Panchayati Raj Department||Secretary and Commissioner||CEO-AJMER||BDO-MASUDA</t>
        </is>
      </c>
      <c r="D3096" t="inlineStr">
        <is>
          <t>20-May-2025 06:00 PM</t>
        </is>
      </c>
      <c r="E3096" t="inlineStr">
        <is>
          <t>80,00,000</t>
        </is>
      </c>
      <c r="F3096" t="inlineStr">
        <is>
          <t>GP BEGLIYAWAS WORK OPEN TENDER FOR MG NREGA</t>
        </is>
      </c>
      <c r="G3096" t="inlineStr">
        <is>
          <t>GP BEGLIYAWAS</t>
        </is>
      </c>
    </row>
    <row r="3097">
      <c r="A3097" s="1" t="n">
        <v>3095</v>
      </c>
      <c r="B3097">
        <f>HYPERLINK("https://eproc.rajasthan.gov.in/nicgep/app?component=%24DirectLink&amp;page=FrontEndViewTender&amp;service=direct&amp;session=T&amp;sp=SXhjqJR2b79wXk%2BVnRi90CA%3D%3D", "GP DHOLADATA ITEM WISE WORK OPEN TENDER FOE MGNREGA 2025-26")</f>
        <v/>
      </c>
      <c r="C3097" t="inlineStr">
        <is>
          <t>Panchayati Raj Department||Secretary and Commissioner||CEO-AJMER||BDO-MASUDA</t>
        </is>
      </c>
      <c r="D3097" t="inlineStr">
        <is>
          <t>20-May-2025 06:00 PM</t>
        </is>
      </c>
      <c r="E3097" t="inlineStr">
        <is>
          <t>80,00,000</t>
        </is>
      </c>
      <c r="F3097" t="inlineStr">
        <is>
          <t>GP DHOLADATA ITEM WISE WORK OPEN TENDER FOE MGNREGA 2025-26</t>
        </is>
      </c>
      <c r="G3097" t="inlineStr">
        <is>
          <t>DHOLADATA</t>
        </is>
      </c>
    </row>
    <row r="3098">
      <c r="A3098" s="1" t="n">
        <v>3096</v>
      </c>
      <c r="B3098">
        <f>HYPERLINK("https://eproc.rajasthan.gov.in/nicgep/app?component=%24DirectLink&amp;page=FrontEndViewTender&amp;service=direct&amp;session=T&amp;sp=S9YBNmy4O%2FNTTEJeJfemcnA%3D%3D", "GP UTTAMI ITEM WISE WORK OPEN TENDER FOE MGNREGA 2025-26")</f>
        <v/>
      </c>
      <c r="C3098" t="inlineStr">
        <is>
          <t>Panchayati Raj Department||Secretary and Commissioner||CEO-AJMER||BDO-MASUDA</t>
        </is>
      </c>
      <c r="D3098" t="inlineStr">
        <is>
          <t>20-May-2025 06:00 PM</t>
        </is>
      </c>
      <c r="E3098" t="inlineStr">
        <is>
          <t>80,00,000</t>
        </is>
      </c>
      <c r="F3098" t="inlineStr">
        <is>
          <t>GP UTTAMI ITEM WISE WORK OPEN TENDER FOE MGNREGA 2025-26</t>
        </is>
      </c>
      <c r="G3098" t="inlineStr">
        <is>
          <t>UTTAMI</t>
        </is>
      </c>
    </row>
    <row r="3099">
      <c r="A3099" s="1" t="n">
        <v>3097</v>
      </c>
      <c r="B3099">
        <f>HYPERLINK("https://eproc.rajasthan.gov.in/nicgep/app?component=%24DirectLink&amp;page=FrontEndViewTender&amp;service=direct&amp;session=T&amp;sp=Sniv26fumFQXkdoHw1jNcQg%3D%3D", "GP MANPURA ITEM WISE WORK OPEN TENDER FOE MGNREGA")</f>
        <v/>
      </c>
      <c r="C3099" t="inlineStr">
        <is>
          <t>Panchayati Raj Department||Secretary and Commissioner||CEO-AJMER||BDO-MASUDA</t>
        </is>
      </c>
      <c r="D3099" t="inlineStr">
        <is>
          <t>20-May-2025 06:00 PM</t>
        </is>
      </c>
      <c r="E3099" t="inlineStr">
        <is>
          <t>80,00,000</t>
        </is>
      </c>
      <c r="F3099" t="inlineStr">
        <is>
          <t>GP MANPURA ITEM WISE WORK OPEN TENDER FOE MGNREGA</t>
        </is>
      </c>
      <c r="G3099" t="inlineStr">
        <is>
          <t>GP MANPURA</t>
        </is>
      </c>
    </row>
    <row r="3100">
      <c r="A3100" s="1" t="n">
        <v>3098</v>
      </c>
      <c r="B3100">
        <f>HYPERLINK("https://eproc.rajasthan.gov.in/nicgep/app?component=%24DirectLink&amp;page=FrontEndViewTender&amp;service=direct&amp;session=T&amp;sp=SU49B5hiVPGIQYD6vjHKe5g%3D%3D", "GP SHYAMAGRH ITEM WISE WORK OPEN TENDER FOE MGNREGA")</f>
        <v/>
      </c>
      <c r="C3100" t="inlineStr">
        <is>
          <t>Panchayati Raj Department||Secretary and Commissioner||CEO-AJMER||BDO-MASUDA</t>
        </is>
      </c>
      <c r="D3100" t="inlineStr">
        <is>
          <t>20-May-2025 06:00 PM</t>
        </is>
      </c>
      <c r="E3100" t="inlineStr">
        <is>
          <t>80,00,000</t>
        </is>
      </c>
      <c r="F3100" t="inlineStr">
        <is>
          <t>GP SHYAMAGRH ITEM WISE WORK OPEN TENDER FOE MGNREGA</t>
        </is>
      </c>
      <c r="G3100" t="inlineStr">
        <is>
          <t>GP SHYAMAGRH</t>
        </is>
      </c>
    </row>
    <row r="3101">
      <c r="A3101" s="1" t="n">
        <v>3099</v>
      </c>
      <c r="B3101">
        <f>HYPERLINK("https://eproc.rajasthan.gov.in/nicgep/app?component=%24DirectLink&amp;page=FrontEndViewTender&amp;service=direct&amp;session=T&amp;sp=SwCk%2BGH%2Bdy2pOj%2FKUZPFMwA%3D%3D", "WORK OPEN TENDER FOR MGNREGA")</f>
        <v/>
      </c>
      <c r="C3101" t="inlineStr">
        <is>
          <t>Panchayati Raj Department||Secretary and Commissioner||CEO-AJMER||BDO-MASUDA</t>
        </is>
      </c>
      <c r="D3101" t="inlineStr">
        <is>
          <t>20-May-2025 06:00 PM</t>
        </is>
      </c>
      <c r="E3101" t="inlineStr">
        <is>
          <t>80,00,000</t>
        </is>
      </c>
      <c r="F3101" t="inlineStr">
        <is>
          <t>WORK OPEN TENDER FOR MGNREGA</t>
        </is>
      </c>
      <c r="G3101" t="inlineStr">
        <is>
          <t>GP ANDHERIDEORY</t>
        </is>
      </c>
    </row>
    <row r="3102">
      <c r="A3102" s="1" t="n">
        <v>3100</v>
      </c>
      <c r="B3102">
        <f>HYPERLINK("https://eproc.rajasthan.gov.in/nicgep/app?component=%24DirectLink&amp;page=FrontEndViewTender&amp;service=direct&amp;session=T&amp;sp=SN%2FDZyzgbqc3TYLzwQMd4PA%3D%3D", "Sanitation of Residencial House, CSC and Cleanliness Of Drains in Gram Panchayat Agewa PS JAITARAN")</f>
        <v/>
      </c>
      <c r="C3102" t="inlineStr">
        <is>
          <t>Panchayati Raj Department||Secretary and Commissioner||CEO-PALI||BDO-JAIATARAN</t>
        </is>
      </c>
      <c r="D3102" t="inlineStr">
        <is>
          <t>19-May-2025 10:00 AM</t>
        </is>
      </c>
      <c r="E3102" t="inlineStr">
        <is>
          <t>7,18,000</t>
        </is>
      </c>
      <c r="F3102" t="inlineStr">
        <is>
          <t>Sanitation of Residencial House, CSC and Cleanliness Of Drains in Gram Panchayat Agewa PS JAITARAN</t>
        </is>
      </c>
      <c r="G3102" t="inlineStr">
        <is>
          <t>Gram Panchyat Aagewa</t>
        </is>
      </c>
    </row>
    <row r="3103">
      <c r="A3103" s="1" t="n">
        <v>3101</v>
      </c>
      <c r="B3103">
        <f>HYPERLINK("https://eproc.rajasthan.gov.in/nicgep/app?component=%24DirectLink&amp;page=FrontEndViewTender&amp;service=direct&amp;session=T&amp;sp=SBm1OTzci7%2BXTkxHkh%2B3wMg%3D%3D", "Sanitation of Residencial House, CSC and Cleanliness Of Drains in Gram Panchayat Asarlai PS JAITARAN")</f>
        <v/>
      </c>
      <c r="C3103" t="inlineStr">
        <is>
          <t>Panchayati Raj Department||Secretary and Commissioner||CEO-PALI||BDO-JAIATARAN</t>
        </is>
      </c>
      <c r="D3103" t="inlineStr">
        <is>
          <t>19-May-2025 10:00 AM</t>
        </is>
      </c>
      <c r="E3103" t="inlineStr">
        <is>
          <t>11,25,000</t>
        </is>
      </c>
      <c r="F3103" t="inlineStr">
        <is>
          <t>Sanitation of Residencial House, CSC and Cleanliness Of Drains in Gram Panchayat Asarlai PS JAITARAN</t>
        </is>
      </c>
      <c r="G3103" t="inlineStr">
        <is>
          <t>Gram Panchyat Aasarlai</t>
        </is>
      </c>
    </row>
    <row r="3104">
      <c r="A3104" s="1" t="n">
        <v>3102</v>
      </c>
      <c r="B3104">
        <f>HYPERLINK("https://eproc.rajasthan.gov.in/nicgep/app?component=%24DirectLink&amp;page=FrontEndViewTender&amp;service=direct&amp;session=T&amp;sp=So4V5JNCRIK80sDqCuniIgw%3D%3D", "Sanitation of Residencial House, CSC and Cleanliness Of Drains in Gram Panchayat Balara PS JAITARAN")</f>
        <v/>
      </c>
      <c r="C3104" t="inlineStr">
        <is>
          <t>Panchayati Raj Department||Secretary and Commissioner||CEO-PALI||BDO-JAIATARAN</t>
        </is>
      </c>
      <c r="D3104" t="inlineStr">
        <is>
          <t>19-May-2025 10:00 AM</t>
        </is>
      </c>
      <c r="E3104" t="inlineStr">
        <is>
          <t>18,69,000</t>
        </is>
      </c>
      <c r="F3104" t="inlineStr">
        <is>
          <t>Sanitation of Residencial House, CSC and Cleanliness Of Drains in Gram Panchayat Balara PS JAITARAN</t>
        </is>
      </c>
      <c r="G3104" t="inlineStr">
        <is>
          <t>Gram Panchyat Balara</t>
        </is>
      </c>
    </row>
    <row r="3105">
      <c r="A3105" s="1" t="n">
        <v>3103</v>
      </c>
      <c r="B3105">
        <f>HYPERLINK("https://eproc.rajasthan.gov.in/nicgep/app?component=%24DirectLink&amp;page=FrontEndViewTender&amp;service=direct&amp;session=T&amp;sp=S3Y44KzeKScAHzKLDE1zgcQ%3D%3D", "Sanitation of Residencial House, CSC and Cleanliness Of Drains in Gram Panchayat Balunda PS JAITARAN")</f>
        <v/>
      </c>
      <c r="C3105" t="inlineStr">
        <is>
          <t>Panchayati Raj Department||Secretary and Commissioner||CEO-PALI||BDO-JAIATARAN</t>
        </is>
      </c>
      <c r="D3105" t="inlineStr">
        <is>
          <t>19-May-2025 10:00 AM</t>
        </is>
      </c>
      <c r="E3105" t="inlineStr">
        <is>
          <t>16,80,000</t>
        </is>
      </c>
      <c r="F3105" t="inlineStr">
        <is>
          <t>Sanitation of Residencial House, CSC and Cleanliness Of Drains in Gram Panchayat Balunda PS JAITARAN</t>
        </is>
      </c>
      <c r="G3105" t="inlineStr">
        <is>
          <t>Gram Panchyat Balunda</t>
        </is>
      </c>
    </row>
    <row r="3106">
      <c r="A3106" s="1" t="n">
        <v>3104</v>
      </c>
      <c r="B3106">
        <f>HYPERLINK("https://eproc.rajasthan.gov.in/nicgep/app?component=%24DirectLink&amp;page=FrontEndViewTender&amp;service=direct&amp;session=T&amp;sp=Snph2cDmX6J8frR45cBEM3g%3D%3D", "Sanitation of Residencial House, CSC and Cleanliness Of Drains in Gram Panchayat AP KALU PS JAITARAN")</f>
        <v/>
      </c>
      <c r="C3106" t="inlineStr">
        <is>
          <t>Panchayati Raj Department||Secretary and Commissioner||CEO-PALI||BDO-JAIATARAN</t>
        </is>
      </c>
      <c r="D3106" t="inlineStr">
        <is>
          <t>19-May-2025 10:00 AM</t>
        </is>
      </c>
      <c r="E3106" t="inlineStr">
        <is>
          <t>24,83,000</t>
        </is>
      </c>
      <c r="F3106" t="inlineStr">
        <is>
          <t>Sanitation of Residencial House, CSC and Cleanliness Of Drains in Gram Panchayat AP KALU PS JAITARAN</t>
        </is>
      </c>
      <c r="G3106" t="inlineStr">
        <is>
          <t>Gram panchyat AP KALU</t>
        </is>
      </c>
    </row>
    <row r="3107">
      <c r="A3107" s="1" t="n">
        <v>3105</v>
      </c>
      <c r="B3107">
        <f>HYPERLINK("https://eproc.rajasthan.gov.in/nicgep/app?component=%24DirectLink&amp;page=FrontEndViewTender&amp;service=direct&amp;session=T&amp;sp=SCmD4rWZRqLFQXBh5Ts1tHw%3D%3D", "Sanitation of Residencial House, CSC and Cleanliness Of Drains in Panchyat samiti parisar PS JAITARAN")</f>
        <v/>
      </c>
      <c r="C3107" t="inlineStr">
        <is>
          <t>Panchayati Raj Department||Secretary and Commissioner||CEO-PALI||BDO-JAIATARAN</t>
        </is>
      </c>
      <c r="D3107" t="inlineStr">
        <is>
          <t>19-May-2025 10:00 AM</t>
        </is>
      </c>
      <c r="E3107" t="inlineStr">
        <is>
          <t>2,71,000</t>
        </is>
      </c>
      <c r="F3107" t="inlineStr">
        <is>
          <t>Sanitation of Residencial House, CSC and Cleanliness Of Drains in Panchyat samiti parisar PS JAITARAN</t>
        </is>
      </c>
      <c r="G3107" t="inlineStr">
        <is>
          <t>Panchyat samiti parisar PS JAITARAN</t>
        </is>
      </c>
    </row>
    <row r="3108">
      <c r="A3108" s="1" t="n">
        <v>3106</v>
      </c>
      <c r="B3108">
        <f>HYPERLINK("https://eproc.rajasthan.gov.in/nicgep/app?component=%24DirectLink&amp;page=FrontEndViewTender&amp;service=direct&amp;session=T&amp;sp=S8Hmbu%2B0uflnO0HTQ7g4Z3A%3D%3D", "Sanitation of Residencial House, CSC and Cleanliness Of Drains in Gram Panchayat Birol PS JAITARAN")</f>
        <v/>
      </c>
      <c r="C3108" t="inlineStr">
        <is>
          <t>Panchayati Raj Department||Secretary and Commissioner||CEO-PALI||BDO-JAIATARAN</t>
        </is>
      </c>
      <c r="D3108" t="inlineStr">
        <is>
          <t>19-May-2025 10:00 AM</t>
        </is>
      </c>
      <c r="E3108" t="inlineStr">
        <is>
          <t>14,36,000</t>
        </is>
      </c>
      <c r="F3108" t="inlineStr">
        <is>
          <t>Sanitation of Residencial House, CSC and Cleanliness Of Drains in Gram Panchayat Birol PS JAITARAN</t>
        </is>
      </c>
      <c r="G3108" t="inlineStr">
        <is>
          <t>Gram Panchayat Birol</t>
        </is>
      </c>
    </row>
    <row r="3109">
      <c r="A3109" s="1" t="n">
        <v>3107</v>
      </c>
      <c r="B3109">
        <f>HYPERLINK("https://eproc.rajasthan.gov.in/nicgep/app?component=%24DirectLink&amp;page=FrontEndViewTender&amp;service=direct&amp;session=T&amp;sp=SJZdHZYNjYTYh2bAZpOo5vQ%3D%3D", "Sanitation of Residencial House, CSC and Cleanliness Of Drains in Gram Panchayat Bhumbaliya PS JAITARAN")</f>
        <v/>
      </c>
      <c r="C3109" t="inlineStr">
        <is>
          <t>Panchayati Raj Department||Secretary and Commissioner||CEO-PALI||BDO-JAIATARAN</t>
        </is>
      </c>
      <c r="D3109" t="inlineStr">
        <is>
          <t>19-May-2025 10:00 AM</t>
        </is>
      </c>
      <c r="E3109" t="inlineStr">
        <is>
          <t>15,00,000</t>
        </is>
      </c>
      <c r="F3109" t="inlineStr">
        <is>
          <t>Sanitation of Residencial House, CSC and Cleanliness Of Drains in Gram Panchayat Bhumbaliya PS JAITARAN</t>
        </is>
      </c>
      <c r="G3109" t="inlineStr">
        <is>
          <t>Gram Panchyat Bhumbaliya</t>
        </is>
      </c>
    </row>
    <row r="3110">
      <c r="A3110" s="1" t="n">
        <v>3108</v>
      </c>
      <c r="B3110">
        <f>HYPERLINK("https://eproc.rajasthan.gov.in/nicgep/app?component=%24DirectLink&amp;page=FrontEndViewTender&amp;service=direct&amp;session=T&amp;sp=SwlGlLaMXf5%2Fp7X67mKgd0Q%3D%3D", "Sanitation of Residencial House, CSC and Cleanliness Of Drains in Gram Panchayat Banjakuri PS JAITARAN")</f>
        <v/>
      </c>
      <c r="C3110" t="inlineStr">
        <is>
          <t>Panchayati Raj Department||Secretary and Commissioner||CEO-PALI||BDO-JAIATARAN</t>
        </is>
      </c>
      <c r="D3110" t="inlineStr">
        <is>
          <t>19-May-2025 10:00 AM</t>
        </is>
      </c>
      <c r="E3110" t="inlineStr">
        <is>
          <t>14,00,000</t>
        </is>
      </c>
      <c r="F3110" t="inlineStr">
        <is>
          <t>Sanitation of Residencial House, CSC and Cleanliness Of Drains in Gram Panchayat Banjakuri PS JAITARAN</t>
        </is>
      </c>
      <c r="G3110" t="inlineStr">
        <is>
          <t>Gram panchyat Banjakuri</t>
        </is>
      </c>
    </row>
    <row r="3111">
      <c r="A3111" s="1" t="n">
        <v>3109</v>
      </c>
      <c r="B3111">
        <f>HYPERLINK("https://eproc.rajasthan.gov.in/nicgep/app?component=%24DirectLink&amp;page=FrontEndViewTender&amp;service=direct&amp;session=T&amp;sp=SoSXeC23tIIV3lOVAjb%2B61g%3D%3D", "Sanitation of Residencial House, CSC and Cleanliness Of Drains in Gram Panchayat Baidkalla PS JAITARAN")</f>
        <v/>
      </c>
      <c r="C3111" t="inlineStr">
        <is>
          <t>Panchayati Raj Department||Secretary and Commissioner||CEO-PALI||BDO-JAIATARAN</t>
        </is>
      </c>
      <c r="D3111" t="inlineStr">
        <is>
          <t>19-May-2025 10:00 AM</t>
        </is>
      </c>
      <c r="E3111" t="inlineStr">
        <is>
          <t>14,65,000</t>
        </is>
      </c>
      <c r="F3111" t="inlineStr">
        <is>
          <t>Sanitation of Residencial House, CSC and Cleanliness Of Drains in Gram Panchayat Baidkalla PS JAITARAN</t>
        </is>
      </c>
      <c r="G3111" t="inlineStr">
        <is>
          <t>Gram panchyat Baidkalla</t>
        </is>
      </c>
    </row>
    <row r="3112">
      <c r="A3112" s="1" t="n">
        <v>3110</v>
      </c>
      <c r="B3112">
        <f>HYPERLINK("https://eproc.rajasthan.gov.in/nicgep/app?component=%24DirectLink&amp;page=FrontEndViewTender&amp;service=direct&amp;session=T&amp;sp=S9weRz%2BVuSkktvc1PTLMVHg%3D%3D", "Sanitation of Residencial House, CSC and Cleanliness Of Drains in Gram Panchayat Nimbol PS JAITARAN")</f>
        <v/>
      </c>
      <c r="C3112" t="inlineStr">
        <is>
          <t>Panchayati Raj Department||Secretary and Commissioner||CEO-PALI||BDO-JAIATARAN</t>
        </is>
      </c>
      <c r="D3112" t="inlineStr">
        <is>
          <t>19-May-2025 10:00 AM</t>
        </is>
      </c>
      <c r="E3112" t="inlineStr">
        <is>
          <t>17,31,000</t>
        </is>
      </c>
      <c r="F3112" t="inlineStr">
        <is>
          <t>Sanitation of Residencial House, CSC and Cleanliness Of Drains in Gram Panchayat Nimbol PS JAITARAN</t>
        </is>
      </c>
      <c r="G3112" t="inlineStr">
        <is>
          <t>Gram Panchayat Nimbol</t>
        </is>
      </c>
    </row>
    <row r="3113">
      <c r="A3113" s="1" t="n">
        <v>3111</v>
      </c>
      <c r="B3113">
        <f>HYPERLINK("https://eproc.rajasthan.gov.in/nicgep/app?component=%24DirectLink&amp;page=FrontEndViewTender&amp;service=direct&amp;session=T&amp;sp=S7CmphZyc9VO%2FnY9GBegGsw%3D%3D", "Sanitation of Residencial House, CSC and Cleanliness Of Drains in Gram Panchayat Kharadi PS JAITARAN")</f>
        <v/>
      </c>
      <c r="C3113" t="inlineStr">
        <is>
          <t>Panchayati Raj Department||Secretary and Commissioner||CEO-PALI||BDO-JAIATARAN</t>
        </is>
      </c>
      <c r="D3113" t="inlineStr">
        <is>
          <t>19-May-2025 10:00 AM</t>
        </is>
      </c>
      <c r="E3113" t="inlineStr">
        <is>
          <t>10,03,000</t>
        </is>
      </c>
      <c r="F3113" t="inlineStr">
        <is>
          <t>Sanitation of Residencial House, CSC and Cleanliness Of Drains in Gram Panchayat Kharadi PS JAITARAN</t>
        </is>
      </c>
      <c r="G3113" t="inlineStr">
        <is>
          <t>Gram Panchayat Kharadi</t>
        </is>
      </c>
    </row>
    <row r="3114">
      <c r="A3114" s="1" t="n">
        <v>3112</v>
      </c>
      <c r="B3114">
        <f>HYPERLINK("https://eproc.rajasthan.gov.in/nicgep/app?component=%24DirectLink&amp;page=FrontEndViewTender&amp;service=direct&amp;session=T&amp;sp=SFDXmHSv0C2F71t3GrWfSnA%3D%3D", "Sanitation of Residencial House, CSC and Cleanliness Of Drains in Gram Panchayat Pipada PS JAITARAN")</f>
        <v/>
      </c>
      <c r="C3114" t="inlineStr">
        <is>
          <t>Panchayati Raj Department||Secretary and Commissioner||CEO-PALI||BDO-JAIATARAN</t>
        </is>
      </c>
      <c r="D3114" t="inlineStr">
        <is>
          <t>19-May-2025 10:00 AM</t>
        </is>
      </c>
      <c r="E3114" t="inlineStr">
        <is>
          <t>18,41,000</t>
        </is>
      </c>
      <c r="F3114" t="inlineStr">
        <is>
          <t>Sanitation of Residencial House, CSC and Cleanliness Of Drains in Gram Panchayat Pipada PS JAITARAN</t>
        </is>
      </c>
      <c r="G3114" t="inlineStr">
        <is>
          <t>Gram Panchayat Pipada</t>
        </is>
      </c>
    </row>
    <row r="3115">
      <c r="A3115" s="1" t="n">
        <v>3113</v>
      </c>
      <c r="B3115">
        <f>HYPERLINK("https://eproc.rajasthan.gov.in/nicgep/app?component=%24DirectLink&amp;page=FrontEndViewTender&amp;service=direct&amp;session=T&amp;sp=SHUSR01zqatNUHiax371m%2Bw%3D%3D", "Sanitation of Residencial House, CSC and Cleanliness Of Drains in Gram Panchayat Bagatpura Mandi Chorha PS JAITARAN")</f>
        <v/>
      </c>
      <c r="C3115" t="inlineStr">
        <is>
          <t>Panchayati Raj Department||Secretary and Commissioner||CEO-PALI||BDO-JAIATARAN</t>
        </is>
      </c>
      <c r="D3115" t="inlineStr">
        <is>
          <t>19-May-2025 10:00 AM</t>
        </is>
      </c>
      <c r="E3115" t="inlineStr">
        <is>
          <t>9,47,000</t>
        </is>
      </c>
      <c r="F3115" t="inlineStr">
        <is>
          <t>Sanitation of Residencial House, CSC and Cleanliness Of Drains in Gram Panchayat Bagatpura Mandi Chorha PS JAITARAN</t>
        </is>
      </c>
      <c r="G3115" t="inlineStr">
        <is>
          <t>Gram Panchayat Bagatpura Mandi Chorha</t>
        </is>
      </c>
    </row>
    <row r="3116">
      <c r="A3116" s="1" t="n">
        <v>3114</v>
      </c>
      <c r="B3116">
        <f>HYPERLINK("https://eproc.rajasthan.gov.in/nicgep/app?component=%24DirectLink&amp;page=FrontEndViewTender&amp;service=direct&amp;session=T&amp;sp=S8HGyUbC0EIaWty%2F7qy4uRw%3D%3D", "Sanitation of Residencial House, CSC and Cleanliness Of Drains in Gram Panchayat Amarpura PS JAITARAN")</f>
        <v/>
      </c>
      <c r="C3116" t="inlineStr">
        <is>
          <t>Panchayati Raj Department||Secretary and Commissioner||CEO-PALI||BDO-JAIATARAN</t>
        </is>
      </c>
      <c r="D3116" t="inlineStr">
        <is>
          <t>19-May-2025 10:00 AM</t>
        </is>
      </c>
      <c r="E3116" t="inlineStr">
        <is>
          <t>12,34,000</t>
        </is>
      </c>
      <c r="F3116" t="inlineStr">
        <is>
          <t>Sanitation of Residencial House, CSC and Cleanliness Of Drains in Gram Panchayat Amarpura PS JAITARAN</t>
        </is>
      </c>
      <c r="G3116" t="inlineStr">
        <is>
          <t>Gram Panchayat Amarpura</t>
        </is>
      </c>
    </row>
    <row r="3117">
      <c r="A3117" s="1" t="n">
        <v>3115</v>
      </c>
      <c r="B3117">
        <f>HYPERLINK("https://eproc.rajasthan.gov.in/nicgep/app?component=%24DirectLink&amp;page=FrontEndViewTender&amp;service=direct&amp;session=T&amp;sp=S6J5rO4voS4fSdbUZkK3YWw%3D%3D", "Sanitation of Residencial House, CSC and Cleanliness Of Drains in Gram Panchayat Paliyawa PS JAITARAN")</f>
        <v/>
      </c>
      <c r="C3117" t="inlineStr">
        <is>
          <t>Panchayati Raj Department||Secretary and Commissioner||CEO-PALI||BDO-JAIATARAN</t>
        </is>
      </c>
      <c r="D3117" t="inlineStr">
        <is>
          <t>19-May-2025 10:00 AM</t>
        </is>
      </c>
      <c r="E3117" t="inlineStr">
        <is>
          <t>9,37,000</t>
        </is>
      </c>
      <c r="F3117" t="inlineStr">
        <is>
          <t>Sanitation of Residencial House, CSC and Cleanliness Of Drains in Gram Panchayat Paliyawas PS JAITARAN</t>
        </is>
      </c>
      <c r="G3117" t="inlineStr">
        <is>
          <t>Gram Panchayat Paliyawas</t>
        </is>
      </c>
    </row>
    <row r="3118">
      <c r="A3118" s="1" t="n">
        <v>3116</v>
      </c>
      <c r="B3118">
        <f>HYPERLINK("https://eproc.rajasthan.gov.in/nicgep/app?component=%24DirectLink&amp;page=FrontEndViewTender&amp;service=direct&amp;session=T&amp;sp=SVPZsCoYNt9VSOIzwIdbzkg%3D%3D", "Sanitation of Residencial House, CSC and Cleanliness Of Drains in Gram Panchayat Tunkra PS JAITARAN")</f>
        <v/>
      </c>
      <c r="C3118" t="inlineStr">
        <is>
          <t>Panchayati Raj Department||Secretary and Commissioner||CEO-PALI||BDO-JAIATARAN</t>
        </is>
      </c>
      <c r="D3118" t="inlineStr">
        <is>
          <t>19-May-2025 10:00 AM</t>
        </is>
      </c>
      <c r="E3118" t="inlineStr">
        <is>
          <t>8,58,000</t>
        </is>
      </c>
      <c r="F3118" t="inlineStr">
        <is>
          <t>Sanitation of Residencial House, CSC and Cleanliness Of Drains in Gram Panchayat Tunkra PS JAITARAN</t>
        </is>
      </c>
      <c r="G3118" t="inlineStr">
        <is>
          <t>Gram Panchayat Tunkra</t>
        </is>
      </c>
    </row>
    <row r="3119">
      <c r="A3119" s="1" t="n">
        <v>3117</v>
      </c>
      <c r="B3119">
        <f>HYPERLINK("https://eproc.rajasthan.gov.in/nicgep/app?component=%24DirectLink&amp;page=FrontEndViewTender&amp;service=direct&amp;session=T&amp;sp=SiMZmVtHtNXCoEl6GzSiEbQ%3D%3D", "Sanitation of Residencial House, CSC and Cleanliness Of Drains in Gram Panchayat Sewriya PS JAITARAN")</f>
        <v/>
      </c>
      <c r="C3119" t="inlineStr">
        <is>
          <t>Panchayati Raj Department||Secretary and Commissioner||CEO-PALI||BDO-JAIATARAN</t>
        </is>
      </c>
      <c r="D3119" t="inlineStr">
        <is>
          <t>19-May-2025 10:00 AM</t>
        </is>
      </c>
      <c r="E3119" t="inlineStr">
        <is>
          <t>15,09,000</t>
        </is>
      </c>
      <c r="F3119" t="inlineStr">
        <is>
          <t>Sanitation of Residencial House, CSC and Cleanliness Of Drains in Gram Panchayat Sewriya PS JAITARAN</t>
        </is>
      </c>
      <c r="G3119" t="inlineStr">
        <is>
          <t>Gram Panchayat Sewriya</t>
        </is>
      </c>
    </row>
    <row r="3120">
      <c r="A3120" s="1" t="n">
        <v>3118</v>
      </c>
      <c r="B3120">
        <f>HYPERLINK("https://eproc.rajasthan.gov.in/nicgep/app?component=%24DirectLink&amp;page=FrontEndViewTender&amp;service=direct&amp;session=T&amp;sp=S970iTgF6jfrRmmRI%2B27kIA%3D%3D", "Sanitation of Residencial House, CSC and Cleanliness Of Drains in Gram Panchayat Sangawas PS JAITARAN")</f>
        <v/>
      </c>
      <c r="C3120" t="inlineStr">
        <is>
          <t>Panchayati Raj Department||Secretary and Commissioner||CEO-PALI||BDO-JAIATARAN</t>
        </is>
      </c>
      <c r="D3120" t="inlineStr">
        <is>
          <t>19-May-2025 10:00 AM</t>
        </is>
      </c>
      <c r="E3120" t="inlineStr">
        <is>
          <t>14,05,000</t>
        </is>
      </c>
      <c r="F3120" t="inlineStr">
        <is>
          <t>Sanitation of Residencial House, CSC and Cleanliness Of Drains in Gram Panchayat Sangawas PS JAITARAN</t>
        </is>
      </c>
      <c r="G3120" t="inlineStr">
        <is>
          <t>Gram Panchayat Sangawas</t>
        </is>
      </c>
    </row>
    <row r="3121">
      <c r="A3121" s="1" t="n">
        <v>3119</v>
      </c>
      <c r="B3121">
        <f>HYPERLINK("https://eproc.rajasthan.gov.in/nicgep/app?component=%24DirectLink&amp;page=FrontEndViewTender&amp;service=direct&amp;session=T&amp;sp=SnjRqU9ALF9zCDczXMax%2Fdw%3D%3D", "Sanitation of Residencial House, CSC and Cleanliness Of Drains in Gram Panchayat Ras PS JAITARAN")</f>
        <v/>
      </c>
      <c r="C3121" t="inlineStr">
        <is>
          <t>Panchayati Raj Department||Secretary and Commissioner||CEO-PALI||BDO-JAIATARAN</t>
        </is>
      </c>
      <c r="D3121" t="inlineStr">
        <is>
          <t>19-May-2025 10:00 AM</t>
        </is>
      </c>
      <c r="E3121" t="inlineStr">
        <is>
          <t>23,27,000</t>
        </is>
      </c>
      <c r="F3121" t="inlineStr">
        <is>
          <t>Sanitation of Residencial House, CSC and Cleanliness Of Drains in Gram Panchayat Ras PS JAITARAN</t>
        </is>
      </c>
      <c r="G3121" t="inlineStr">
        <is>
          <t>Gram Panchayat Ras</t>
        </is>
      </c>
    </row>
    <row r="3122">
      <c r="A3122" s="1" t="n">
        <v>3120</v>
      </c>
      <c r="B3122">
        <f>HYPERLINK("https://eproc.rajasthan.gov.in/nicgep/app?component=%24DirectLink&amp;page=FrontEndViewTender&amp;service=direct&amp;session=T&amp;sp=STJLSXKpqlmJ0XS%2FgNKKBiQ%3D%3D", "Sanitation of Residencial House, CSC and Cleanliness Of Drains in Gram Panchayat Ramawas PS JAITARAN")</f>
        <v/>
      </c>
      <c r="C3122" t="inlineStr">
        <is>
          <t>Panchayati Raj Department||Secretary and Commissioner||CEO-PALI||BDO-JAIATARAN</t>
        </is>
      </c>
      <c r="D3122" t="inlineStr">
        <is>
          <t>19-May-2025 10:00 AM</t>
        </is>
      </c>
      <c r="E3122" t="inlineStr">
        <is>
          <t>12,27,000</t>
        </is>
      </c>
      <c r="F3122" t="inlineStr">
        <is>
          <t>Sanitation of Residencial House, CSC and Cleanliness Of Drains in Gram Panchayat Ramawas PS JAITARAN</t>
        </is>
      </c>
      <c r="G3122" t="inlineStr">
        <is>
          <t>Gram Panchayat Ramawas</t>
        </is>
      </c>
    </row>
    <row r="3123">
      <c r="A3123" s="1" t="n">
        <v>3121</v>
      </c>
      <c r="B3123">
        <f>HYPERLINK("https://eproc.rajasthan.gov.in/nicgep/app?component=%24DirectLink&amp;page=FrontEndViewTender&amp;service=direct&amp;session=T&amp;sp=SrCi5XI6Zer8O9fEtfZEyeA%3D%3D", "Sanitation of Residencial House, CSC and Cleanliness Of Drains in Gram Panchayat Rabriywas PS JAITARAN")</f>
        <v/>
      </c>
      <c r="C3123" t="inlineStr">
        <is>
          <t>Panchayati Raj Department||Secretary and Commissioner||CEO-PALI||BDO-JAIATARAN</t>
        </is>
      </c>
      <c r="D3123" t="inlineStr">
        <is>
          <t>19-May-2025 10:00 AM</t>
        </is>
      </c>
      <c r="E3123" t="inlineStr">
        <is>
          <t>14,49,000</t>
        </is>
      </c>
      <c r="F3123" t="inlineStr">
        <is>
          <t>Sanitation of Residencial House, CSC and Cleanliness Of Drains in Gram Panchayat Rabriywas PS JAITARAN</t>
        </is>
      </c>
      <c r="G3123" t="inlineStr">
        <is>
          <t>Gram Panchayat Rabriywas</t>
        </is>
      </c>
    </row>
    <row r="3124">
      <c r="A3124" s="1" t="n">
        <v>3122</v>
      </c>
      <c r="B3124">
        <f>HYPERLINK("https://eproc.rajasthan.gov.in/nicgep/app?component=%24DirectLink&amp;page=FrontEndViewTender&amp;service=direct&amp;session=T&amp;sp=SNASRMVg9XAK5OK6CPK%2FVAA%3D%3D", "Sanitation of Residencial House, CSC and Cleanliness Of Drains in Gram Panchayat Pipliya Khurd PS JAITARAN")</f>
        <v/>
      </c>
      <c r="C3124" t="inlineStr">
        <is>
          <t>Panchayati Raj Department||Secretary and Commissioner||CEO-PALI||BDO-JAIATARAN</t>
        </is>
      </c>
      <c r="D3124" t="inlineStr">
        <is>
          <t>19-May-2025 10:00 AM</t>
        </is>
      </c>
      <c r="E3124" t="inlineStr">
        <is>
          <t>10,29,000</t>
        </is>
      </c>
      <c r="F3124" t="inlineStr">
        <is>
          <t>Sanitation of Residencial House, CSC and Cleanliness Of Drains in Gram Panchayat Pipliya Khurd PS JAITARAN</t>
        </is>
      </c>
      <c r="G3124" t="inlineStr">
        <is>
          <t>Gram Panchayat Pipliya Khurd</t>
        </is>
      </c>
    </row>
    <row r="3125">
      <c r="A3125" s="1" t="n">
        <v>3123</v>
      </c>
      <c r="B3125">
        <f>HYPERLINK("https://eproc.rajasthan.gov.in/nicgep/app?component=%24DirectLink&amp;page=FrontEndViewTender&amp;service=direct&amp;session=T&amp;sp=SM4I87jj6LAW6SzlycQ7edg%3D%3D", "Sanitation of Residencial House, CSC and Cleanliness Of Drains in Gram Panchayat Kavliya Kalla PS JAITARAN")</f>
        <v/>
      </c>
      <c r="C3125" t="inlineStr">
        <is>
          <t>Panchayati Raj Department||Secretary and Commissioner||CEO-PALI||BDO-JAIATARAN</t>
        </is>
      </c>
      <c r="D3125" t="inlineStr">
        <is>
          <t>19-May-2025 10:00 AM</t>
        </is>
      </c>
      <c r="E3125" t="inlineStr">
        <is>
          <t>10,50,000</t>
        </is>
      </c>
      <c r="F3125" t="inlineStr">
        <is>
          <t>Sanitation of Residencial House, CSC and Cleanliness Of Drains in Gram Panchayat Kavliya Kalla PS JAITARAN</t>
        </is>
      </c>
      <c r="G3125" t="inlineStr">
        <is>
          <t>Gram Panchayat Kavliya Kalla</t>
        </is>
      </c>
    </row>
    <row r="3126">
      <c r="A3126" s="1" t="n">
        <v>3124</v>
      </c>
      <c r="B3126">
        <f>HYPERLINK("https://eproc.rajasthan.gov.in/nicgep/app?component=%24DirectLink&amp;page=FrontEndViewTender&amp;service=direct&amp;session=T&amp;sp=SzWjzPNfklA0kejSgSJuyXg%3D%3D", "Sanitation of Residencial House, CSC and Cleanliness Of Drains in Gram Panchayat Fulmal PS JAITARAN")</f>
        <v/>
      </c>
      <c r="C3126" t="inlineStr">
        <is>
          <t>Panchayati Raj Department||Secretary and Commissioner||CEO-PALI||BDO-JAIATARAN</t>
        </is>
      </c>
      <c r="D3126" t="inlineStr">
        <is>
          <t>19-May-2025 10:00 AM</t>
        </is>
      </c>
      <c r="E3126" t="inlineStr">
        <is>
          <t>9,84,000</t>
        </is>
      </c>
      <c r="F3126" t="inlineStr">
        <is>
          <t>Sanitation of Residencial House, CSC and Cleanliness Of Drains in Gram Panchayat Fulmal PS JAITARAN</t>
        </is>
      </c>
      <c r="G3126" t="inlineStr">
        <is>
          <t>Gram Panchayat Fulmal</t>
        </is>
      </c>
    </row>
    <row r="3127">
      <c r="A3127" s="1" t="n">
        <v>3125</v>
      </c>
      <c r="B3127">
        <f>HYPERLINK("https://eproc.rajasthan.gov.in/nicgep/app?component=%24DirectLink&amp;page=FrontEndViewTender&amp;service=direct&amp;session=T&amp;sp=SWVgsGMOGgY9wk4srfuUBqg%3D%3D", "Sanitation of Residencial House, CSC and Cleanliness Of Drains in Gram Panchayat Patwa PS JAITARAN")</f>
        <v/>
      </c>
      <c r="C3127" t="inlineStr">
        <is>
          <t>Panchayati Raj Department||Secretary and Commissioner||CEO-PALI||BDO-JAIATARAN</t>
        </is>
      </c>
      <c r="D3127" t="inlineStr">
        <is>
          <t>19-May-2025 10:00 AM</t>
        </is>
      </c>
      <c r="E3127" t="inlineStr">
        <is>
          <t>17,03,000</t>
        </is>
      </c>
      <c r="F3127" t="inlineStr">
        <is>
          <t>Sanitation of Residencial House, CSC and Cleanliness Of Drains in Gram Panchayat Patwa PS JAITARAN</t>
        </is>
      </c>
      <c r="G3127" t="inlineStr">
        <is>
          <t>Gram Panchayat Patwa</t>
        </is>
      </c>
    </row>
    <row r="3128">
      <c r="A3128" s="1" t="n">
        <v>3126</v>
      </c>
      <c r="B3128">
        <f>HYPERLINK("https://eproc.rajasthan.gov.in/nicgep/app?component=%24DirectLink&amp;page=FrontEndViewTender&amp;service=direct&amp;session=T&amp;sp=SCR%2FKvIwUv627Y4SmDkNSgw%3D%3D", "Sanitation of Residencial House, CSC and Cleanliness Of Drains in Gram Panchayat Nimaj PS JAITARAN")</f>
        <v/>
      </c>
      <c r="C3128" t="inlineStr">
        <is>
          <t>Panchayati Raj Department||Secretary and Commissioner||CEO-PALI||BDO-JAIATARAN</t>
        </is>
      </c>
      <c r="D3128" t="inlineStr">
        <is>
          <t>19-May-2025 10:00 AM</t>
        </is>
      </c>
      <c r="E3128" t="inlineStr">
        <is>
          <t>42,89,000</t>
        </is>
      </c>
      <c r="F3128" t="inlineStr">
        <is>
          <t>Sanitation of Residencial House, CSC and Cleanliness Of Drains in Gram Panchayat Nimaj PS JAITARAN</t>
        </is>
      </c>
      <c r="G3128" t="inlineStr">
        <is>
          <t>Gram Panchayat Nimaj</t>
        </is>
      </c>
    </row>
    <row r="3129">
      <c r="A3129" s="1" t="n">
        <v>3127</v>
      </c>
      <c r="B3129">
        <f>HYPERLINK("https://eproc.rajasthan.gov.in/nicgep/app?component=%24DirectLink&amp;page=FrontEndViewTender&amp;service=direct&amp;session=T&amp;sp=SK0Av3eRFbzeaF5Tr2Q8K%2Bg%3D%3D", "Sanitation of Residencial House, CSC and Cleanliness Of Drains in Gram Panchayat Lototi PS JAITARAN")</f>
        <v/>
      </c>
      <c r="C3129" t="inlineStr">
        <is>
          <t>Panchayati Raj Department||Secretary and Commissioner||CEO-PALI||BDO-JAIATARAN</t>
        </is>
      </c>
      <c r="D3129" t="inlineStr">
        <is>
          <t>19-May-2025 10:00 AM</t>
        </is>
      </c>
      <c r="E3129" t="inlineStr">
        <is>
          <t>9,81,000</t>
        </is>
      </c>
      <c r="F3129" t="inlineStr">
        <is>
          <t>Sanitation of Residencial House, CSC and Cleanliness Of Drains in Gram Panchayat Lototi PS JAITARAN</t>
        </is>
      </c>
      <c r="G3129" t="inlineStr">
        <is>
          <t>Gram Panchayat Lototi</t>
        </is>
      </c>
    </row>
    <row r="3130">
      <c r="A3130" s="1" t="n">
        <v>3128</v>
      </c>
      <c r="B3130">
        <f>HYPERLINK("https://eproc.rajasthan.gov.in/nicgep/app?component=%24DirectLink&amp;page=FrontEndViewTender&amp;service=direct&amp;session=T&amp;sp=SZT3uWKkBo87bfQenJXUEcA%3D%3D", "Sanitation of Residencial House, CSC and Cleanliness Of Drains in Gram Panchayat Mohrai PS JAITARAN")</f>
        <v/>
      </c>
      <c r="C3130" t="inlineStr">
        <is>
          <t>Panchayati Raj Department||Secretary and Commissioner||CEO-PALI||BDO-JAIATARAN</t>
        </is>
      </c>
      <c r="D3130" t="inlineStr">
        <is>
          <t>19-May-2025 10:00 AM</t>
        </is>
      </c>
      <c r="E3130" t="inlineStr">
        <is>
          <t>11,49,000</t>
        </is>
      </c>
      <c r="F3130" t="inlineStr">
        <is>
          <t>Sanitation of Residencial House, CSC and Cleanliness Of Drains in Gram Panchayat Mohrai PS JAITARAN</t>
        </is>
      </c>
      <c r="G3130" t="inlineStr">
        <is>
          <t>Gram Panchayat Mohrai</t>
        </is>
      </c>
    </row>
    <row r="3131">
      <c r="A3131" s="1" t="n">
        <v>3129</v>
      </c>
      <c r="B3131">
        <f>HYPERLINK("https://eproc.rajasthan.gov.in/nicgep/app?component=%24DirectLink&amp;page=FrontEndViewTender&amp;service=direct&amp;session=T&amp;sp=SHmWlCMuVQOClSJHmqJUn7g%3D%3D", "Sanitation of Residencial House, CSC and Cleanliness Of Drains in Gram Panchayat Kekindra PS JAITARAN")</f>
        <v/>
      </c>
      <c r="C3131" t="inlineStr">
        <is>
          <t>Panchayati Raj Department||Secretary and Commissioner||CEO-PALI||BDO-JAIATARAN</t>
        </is>
      </c>
      <c r="D3131" t="inlineStr">
        <is>
          <t>19-May-2025 10:00 AM</t>
        </is>
      </c>
      <c r="E3131" t="inlineStr">
        <is>
          <t>15,10,000</t>
        </is>
      </c>
      <c r="F3131" t="inlineStr">
        <is>
          <t>Sanitation of Residencial House, CSC and Cleanliness Of Drains in Gram Panchayat Kekindra PS JAITARAN</t>
        </is>
      </c>
      <c r="G3131" t="inlineStr">
        <is>
          <t>Gram Panchayat Kekindra</t>
        </is>
      </c>
    </row>
    <row r="3132">
      <c r="A3132" s="1" t="n">
        <v>3130</v>
      </c>
      <c r="B3132">
        <f>HYPERLINK("https://eproc.rajasthan.gov.in/nicgep/app?component=%24DirectLink&amp;page=FrontEndViewTender&amp;service=direct&amp;session=T&amp;sp=SPL2HQoZv%2BG7jXrJ2MlgOPw%3D%3D", "Sanitation of Residencial House, CSC and Cleanliness Of Drains in Gram Panchayat Kanecha PS JAITARAN")</f>
        <v/>
      </c>
      <c r="C3132" t="inlineStr">
        <is>
          <t>Panchayati Raj Department||Secretary and Commissioner||CEO-PALI||BDO-JAIATARAN</t>
        </is>
      </c>
      <c r="D3132" t="inlineStr">
        <is>
          <t>19-May-2025 10:00 AM</t>
        </is>
      </c>
      <c r="E3132" t="inlineStr">
        <is>
          <t>8,49,000</t>
        </is>
      </c>
      <c r="F3132" t="inlineStr">
        <is>
          <t>Sanitation of Residencial House, CSC and Cleanliness Of Drains in Gram Panchayat Kanecha PS JAITARAN</t>
        </is>
      </c>
      <c r="G3132" t="inlineStr">
        <is>
          <t>Gram Panchayat Kanecha</t>
        </is>
      </c>
    </row>
    <row r="3133">
      <c r="A3133" s="1" t="n">
        <v>3131</v>
      </c>
      <c r="B3133">
        <f>HYPERLINK("https://eproc.rajasthan.gov.in/nicgep/app?component=%24DirectLink&amp;page=FrontEndViewTender&amp;service=direct&amp;session=T&amp;sp=SfM2spXwSaNArHMbxGOmFHg%3D%3D", "Sanitation of Residencial House, CSC and Cleanliness Of Drains in Gram Panchayat Kurki PS JAITARAN")</f>
        <v/>
      </c>
      <c r="C3133" t="inlineStr">
        <is>
          <t>Panchayati Raj Department||Secretary and Commissioner||CEO-PALI||BDO-JAIATARAN</t>
        </is>
      </c>
      <c r="D3133" t="inlineStr">
        <is>
          <t>19-May-2025 10:00 AM</t>
        </is>
      </c>
      <c r="E3133" t="inlineStr">
        <is>
          <t>25,32,000</t>
        </is>
      </c>
      <c r="F3133" t="inlineStr">
        <is>
          <t>Sanitation of Residencial House, CSC and Cleanliness Of Drains in Gram Panchayat Kurki PS JAITARAN</t>
        </is>
      </c>
      <c r="G3133" t="inlineStr">
        <is>
          <t>Gram Panchayat Kurki</t>
        </is>
      </c>
    </row>
    <row r="3134">
      <c r="A3134" s="1" t="n">
        <v>3132</v>
      </c>
      <c r="B3134">
        <f>HYPERLINK("https://eproc.rajasthan.gov.in/nicgep/app?component=%24DirectLink&amp;page=FrontEndViewTender&amp;service=direct&amp;session=T&amp;sp=SFVzbvVF1jDnPOnK9UTKdcA%3D%3D", "Sanitation of Residencial House, CSC and Cleanliness Of Drains in Gram Panchayat Godawad PS JAITARAN")</f>
        <v/>
      </c>
      <c r="C3134" t="inlineStr">
        <is>
          <t>Panchayati Raj Department||Secretary and Commissioner||CEO-PALI||BDO-JAIATARAN</t>
        </is>
      </c>
      <c r="D3134" t="inlineStr">
        <is>
          <t>19-May-2025 10:00 AM</t>
        </is>
      </c>
      <c r="E3134" t="inlineStr">
        <is>
          <t>11,38,000</t>
        </is>
      </c>
      <c r="F3134" t="inlineStr">
        <is>
          <t>Sanitation of Residencial House, CSC and Cleanliness Of Drains in Gram Panchayat Godawad PS JAITARAN</t>
        </is>
      </c>
      <c r="G3134" t="inlineStr">
        <is>
          <t>Gram Panchayat Godawad</t>
        </is>
      </c>
    </row>
    <row r="3135">
      <c r="A3135" s="1" t="n">
        <v>3133</v>
      </c>
      <c r="B3135">
        <f>HYPERLINK("https://eproc.rajasthan.gov.in/nicgep/app?component=%24DirectLink&amp;page=FrontEndViewTender&amp;service=direct&amp;session=T&amp;sp=SaZkqZjMSi8pjxuUA30%2BxgA%3D%3D", "Sanitation of Residencial House, CSC and Cleanliness Of Drains in Gram Panchayat Garniya PS JAITARAN")</f>
        <v/>
      </c>
      <c r="C3135" t="inlineStr">
        <is>
          <t>Panchayati Raj Department||Secretary and Commissioner||CEO-PALI||BDO-JAIATARAN</t>
        </is>
      </c>
      <c r="D3135" t="inlineStr">
        <is>
          <t>19-May-2025 10:00 AM</t>
        </is>
      </c>
      <c r="E3135" t="inlineStr">
        <is>
          <t>12,92,000</t>
        </is>
      </c>
      <c r="F3135" t="inlineStr">
        <is>
          <t>Sanitation of Residencial House, CSC and Cleanliness Of Drains in Gram Panchayat Garniya PS JAITARAN</t>
        </is>
      </c>
      <c r="G3135" t="inlineStr">
        <is>
          <t>Gram Panchayat Garniya</t>
        </is>
      </c>
    </row>
    <row r="3136">
      <c r="A3136" s="1" t="n">
        <v>3134</v>
      </c>
      <c r="B3136">
        <f>HYPERLINK("https://eproc.rajasthan.gov.in/nicgep/app?component=%24DirectLink&amp;page=FrontEndViewTender&amp;service=direct&amp;session=T&amp;sp=SPFdTaaGgFcs6iJOwEWouPg%3D%3D", "Sanitation of Residencial House, CSC and Cleanliness Of Drains in Gram Panchayat Falka PS JAITARAN")</f>
        <v/>
      </c>
      <c r="C3136" t="inlineStr">
        <is>
          <t>Panchayati Raj Department||Secretary and Commissioner||CEO-PALI||BDO-JAIATARAN</t>
        </is>
      </c>
      <c r="D3136" t="inlineStr">
        <is>
          <t>19-May-2025 10:00 AM</t>
        </is>
      </c>
      <c r="E3136" t="inlineStr">
        <is>
          <t>11,85,000</t>
        </is>
      </c>
      <c r="F3136" t="inlineStr">
        <is>
          <t>Sanitation of Residencial House, CSC and Cleanliness Of Drains in Gram Panchayat Falka PS JAITARAN</t>
        </is>
      </c>
      <c r="G3136" t="inlineStr">
        <is>
          <t>Gram Panchayat Falka</t>
        </is>
      </c>
    </row>
    <row r="3137">
      <c r="A3137" s="1" t="n">
        <v>3135</v>
      </c>
      <c r="B3137">
        <f>HYPERLINK("https://eproc.rajasthan.gov.in/nicgep/app?component=%24DirectLink&amp;page=FrontEndViewTender&amp;service=direct&amp;session=T&amp;sp=S3N7yL0D36ccUzLsjpr7LSA%3D%3D", "Sanitation of Residencial House, CSC and Cleanliness Of Drains in Gram Panchayat Digarana PS JAITARAN")</f>
        <v/>
      </c>
      <c r="C3137" t="inlineStr">
        <is>
          <t>Panchayati Raj Department||Secretary and Commissioner||CEO-PALI||BDO-JAIATARAN</t>
        </is>
      </c>
      <c r="D3137" t="inlineStr">
        <is>
          <t>19-May-2025 10:00 AM</t>
        </is>
      </c>
      <c r="E3137" t="inlineStr">
        <is>
          <t>11,13,000</t>
        </is>
      </c>
      <c r="F3137" t="inlineStr">
        <is>
          <t>Sanitation of Residencial House, CSC and Cleanliness Of Drains in Gram Panchayat Digarana PS JAITARAN</t>
        </is>
      </c>
      <c r="G3137" t="inlineStr">
        <is>
          <t>Gram Panchayat Digarana</t>
        </is>
      </c>
    </row>
    <row r="3138">
      <c r="A3138" s="1" t="n">
        <v>3136</v>
      </c>
      <c r="B3138">
        <f>HYPERLINK("https://eproc.rajasthan.gov.in/nicgep/app?component=%24DirectLink&amp;page=FrontEndViewTender&amp;service=direct&amp;session=T&amp;sp=SgZFGD%2BGTk0X4bB5PMfzfpA%3D%3D", "Sanitation of Residencial House, CSC and Cleanliness Of Drains in Gram Panchayat Lambiya PS JAITARAN")</f>
        <v/>
      </c>
      <c r="C3138" t="inlineStr">
        <is>
          <t>Panchayati Raj Department||Secretary and Commissioner||CEO-PALI||BDO-JAIATARAN</t>
        </is>
      </c>
      <c r="D3138" t="inlineStr">
        <is>
          <t>19-May-2025 10:00 AM</t>
        </is>
      </c>
      <c r="E3138" t="inlineStr">
        <is>
          <t>29,46,000</t>
        </is>
      </c>
      <c r="F3138" t="inlineStr">
        <is>
          <t>Sanitation of Residencial House, CSC and Cleanliness Of Drains in Gram Panchayat Lambiya PS JAITARAN</t>
        </is>
      </c>
      <c r="G3138" t="inlineStr">
        <is>
          <t>Gram Panchayat Lambiya</t>
        </is>
      </c>
    </row>
    <row r="3139">
      <c r="A3139" s="1" t="n">
        <v>3137</v>
      </c>
      <c r="B3139">
        <f>HYPERLINK("https://eproc.rajasthan.gov.in/nicgep/app?component=%24DirectLink&amp;page=FrontEndViewTender&amp;service=direct&amp;session=T&amp;sp=SceIpwmsdpM2wmSBYORe6Hg%3D%3D", "Sanitation of Residencial House, CSC and Cleanliness Of Drains in Gram Panchayat Devriya PS JAITARAN")</f>
        <v/>
      </c>
      <c r="C3139" t="inlineStr">
        <is>
          <t>Panchayati Raj Department||Secretary and Commissioner||CEO-PALI||BDO-JAIATARAN</t>
        </is>
      </c>
      <c r="D3139" t="inlineStr">
        <is>
          <t>19-May-2025 10:00 AM</t>
        </is>
      </c>
      <c r="E3139" t="inlineStr">
        <is>
          <t>15,12,000</t>
        </is>
      </c>
      <c r="F3139" t="inlineStr">
        <is>
          <t>Sanitation of Residencial House, CSC and Cleanliness Of Drains in Gram Panchayat Devriya PS JAITARAN</t>
        </is>
      </c>
      <c r="G3139" t="inlineStr">
        <is>
          <t>Gram Panchayat Devriya</t>
        </is>
      </c>
    </row>
    <row r="3140">
      <c r="A3140" s="1" t="n">
        <v>3138</v>
      </c>
      <c r="B3140">
        <f>HYPERLINK("https://eproc.rajasthan.gov.in/nicgep/app?component=%24DirectLink&amp;page=FrontEndViewTender&amp;service=direct&amp;session=T&amp;sp=SZtHhGtvPRqli0DlSSk6ArQ%3D%3D", "Sanitation of Residencial House, CSC and Cleanliness Of Drains in Gram Panchayat Chawandiya PS JAITARAN")</f>
        <v/>
      </c>
      <c r="C3140" t="inlineStr">
        <is>
          <t>Panchayati Raj Department||Secretary and Commissioner||CEO-PALI||BDO-JAIATARAN</t>
        </is>
      </c>
      <c r="D3140" t="inlineStr">
        <is>
          <t>19-May-2025 10:00 AM</t>
        </is>
      </c>
      <c r="E3140" t="inlineStr">
        <is>
          <t>6,88,000</t>
        </is>
      </c>
      <c r="F3140" t="inlineStr">
        <is>
          <t>Sanitation of Residencial House, CSC and Cleanliness Of Drains in Gram Panchayat Chawandiya PS JAITARAN</t>
        </is>
      </c>
      <c r="G3140" t="inlineStr">
        <is>
          <t>Gram Panchayat Chawandiya</t>
        </is>
      </c>
    </row>
    <row r="3141">
      <c r="A3141" s="1" t="n">
        <v>3139</v>
      </c>
      <c r="B3141">
        <f>HYPERLINK("https://eproc.rajasthan.gov.in/nicgep/app?component=%24DirectLink&amp;page=FrontEndViewTender&amp;service=direct&amp;session=T&amp;sp=SLWBVa6h60VcxovAdM9Kq5g%3D%3D", "Annual Rate Contract for Drilling of Hand Pump Tube well bore and Installation of Hand pump Tube well in various Gram Panchayat area of Panchayat Samiti Sultanpur District Kota")</f>
        <v/>
      </c>
      <c r="C3141" t="inlineStr">
        <is>
          <t>Panchayati Raj Department||Secretary and Commissioner||CEO-KOTA||BDO-SULTANPUR</t>
        </is>
      </c>
      <c r="D3141" t="inlineStr">
        <is>
          <t>20-May-2025 05:00 PM</t>
        </is>
      </c>
      <c r="E3141" t="inlineStr">
        <is>
          <t>75,00,000</t>
        </is>
      </c>
      <c r="F3141" t="inlineStr">
        <is>
          <t>Annual Rate Contract for Drilling of Hand Pump Tube well bore and Installation of Hand pump Tube well in various Gram Panchayat area of Panchayat Samiti Sultanpur District Kota</t>
        </is>
      </c>
      <c r="G3141" t="inlineStr">
        <is>
          <t>PS Sultanpur</t>
        </is>
      </c>
    </row>
    <row r="3142">
      <c r="A3142" s="1" t="n">
        <v>3140</v>
      </c>
      <c r="B3142">
        <f>HYPERLINK("https://eproc.rajasthan.gov.in/nicgep/app?component=%24DirectLink&amp;page=FrontEndViewTender&amp;service=direct&amp;session=T&amp;sp=SgIaWVzT6ZlxKPApf74321Q%3D%3D", "Security Guard for Each GP of PS Sultanpur including PS Headquarter in Bharat Nirman Rajiv Gandhi Sewa Kendra")</f>
        <v/>
      </c>
      <c r="C3142" t="inlineStr">
        <is>
          <t>Panchayati Raj Department||Secretary and Commissioner||CEO-KOTA||BDO-SULTANPUR</t>
        </is>
      </c>
      <c r="D3142" t="inlineStr">
        <is>
          <t>20-May-2025 05:00 PM</t>
        </is>
      </c>
      <c r="E3142" t="inlineStr">
        <is>
          <t>50,00,000</t>
        </is>
      </c>
      <c r="F3142" t="inlineStr">
        <is>
          <t>Security Guard for Each GP of PS Sultanpur including PS Headquarter in Bharat Nirman Rajiv Gandhi Sewa Kendra</t>
        </is>
      </c>
      <c r="G3142" t="inlineStr">
        <is>
          <t>PS Sultanpur</t>
        </is>
      </c>
    </row>
    <row r="3143">
      <c r="A3143" s="1" t="n">
        <v>3141</v>
      </c>
      <c r="B3143">
        <f>HYPERLINK("https://eproc.rajasthan.gov.in/nicgep/app?component=%24DirectLink&amp;page=FrontEndViewTender&amp;service=direct&amp;session=T&amp;sp=SUQOp9HDLfStc1SBL7hEMow%3D%3D", "Man With Machine (Computer Operator with Machine)")</f>
        <v/>
      </c>
      <c r="C3143" t="inlineStr">
        <is>
          <t>Panchayati Raj Department||Secretary and Commissioner||CEO-KOTA||BDO-SULTANPUR</t>
        </is>
      </c>
      <c r="D3143" t="inlineStr">
        <is>
          <t>20-May-2025 05:00 PM</t>
        </is>
      </c>
      <c r="E3143" t="inlineStr">
        <is>
          <t>10,00,000</t>
        </is>
      </c>
      <c r="F3143" t="inlineStr">
        <is>
          <t>Man With Machine (Computer Operator with Machine)</t>
        </is>
      </c>
      <c r="G3143" t="inlineStr">
        <is>
          <t>PS Sultanpur</t>
        </is>
      </c>
    </row>
    <row r="3144">
      <c r="A3144" s="1" t="n">
        <v>3142</v>
      </c>
      <c r="B3144">
        <f>HYPERLINK("https://eproc.rajasthan.gov.in/nicgep/app?component=%24DirectLink&amp;page=FrontEndViewTender&amp;service=direct&amp;session=T&amp;sp=SCGEpqKeG%2BnKhQRGG1V5A9Q%3D%3D", "Supply of material for works in Gram panchayat Baroda, Panchayat samiti Salumbar Dist.-Salumbar (Raj.) for F.Y. 2025-26")</f>
        <v/>
      </c>
      <c r="C3144" t="inlineStr">
        <is>
          <t>Panchayati Raj Department||Secretary and Commissioner||CEO-UDAIPUR||BDO-GIRVA</t>
        </is>
      </c>
      <c r="D3144" t="inlineStr">
        <is>
          <t>25-May-2025 06:00 PM</t>
        </is>
      </c>
      <c r="E3144" t="inlineStr">
        <is>
          <t>65,00,000</t>
        </is>
      </c>
      <c r="F3144" t="inlineStr">
        <is>
          <t>Supply of material for works in Gram panchayat Baroda, Panchayat samiti Salumbar Dist.-Salumbar (Raj.) for F.Y. 2025-26</t>
        </is>
      </c>
      <c r="G3144" t="inlineStr">
        <is>
          <t>Gram panchayat Baroda, Panchayat samiti Salumbar</t>
        </is>
      </c>
    </row>
    <row r="3145">
      <c r="A3145" s="1" t="n">
        <v>3143</v>
      </c>
      <c r="B3145">
        <f>HYPERLINK("https://eproc.rajasthan.gov.in/nicgep/app?component=%24DirectLink&amp;page=FrontEndViewTender&amp;service=direct&amp;session=T&amp;sp=SpDtXCwm6m0Me5ZyF3yUkGQ%3D%3D", "Supply of material for works in Gram panchayat Noli, Panchayat samiti Salumbar Dist.-Salumbar (Raj.) for F.Y. 2025-26")</f>
        <v/>
      </c>
      <c r="C3145" t="inlineStr">
        <is>
          <t>Panchayati Raj Department||Secretary and Commissioner||CEO-UDAIPUR||BDO-GIRVA</t>
        </is>
      </c>
      <c r="D3145" t="inlineStr">
        <is>
          <t>25-May-2025 06:00 PM</t>
        </is>
      </c>
      <c r="E3145" t="inlineStr">
        <is>
          <t>50,00,000</t>
        </is>
      </c>
      <c r="F3145" t="inlineStr">
        <is>
          <t>Supply of material for works in Gram panchayat Noli, Panchayat samiti Salumbar Dist.-Salumbar (Raj.) for F.Y. 2025-26</t>
        </is>
      </c>
      <c r="G3145" t="inlineStr">
        <is>
          <t>Gram panchayat Noli, Panchayat samiti Salumbar</t>
        </is>
      </c>
    </row>
    <row r="3146">
      <c r="A3146" s="1" t="n">
        <v>3144</v>
      </c>
      <c r="B3146">
        <f>HYPERLINK("https://eproc.rajasthan.gov.in/nicgep/app?component=%24DirectLink&amp;page=FrontEndViewTender&amp;service=direct&amp;session=T&amp;sp=S6g7T2iW%2Bzpi2yCPCj%2FB3WA%3D%3D", "Supply of Various Material at Gram Panchayat BAN KA KHEDA, Panchayat Samiti Kotri 2025-26 (Yearly Rate Contract)")</f>
        <v/>
      </c>
      <c r="C3146" t="inlineStr">
        <is>
          <t>Panchayati Raj Department||Secretary and Commissioner||CEO-PRATAPGARH||BDO-PIPALKHOONT</t>
        </is>
      </c>
      <c r="D3146" t="inlineStr">
        <is>
          <t>18-May-2025 06:00 PM</t>
        </is>
      </c>
      <c r="E3146" t="inlineStr">
        <is>
          <t>1,00,00,000</t>
        </is>
      </c>
      <c r="F3146" t="inlineStr">
        <is>
          <t>Supply of Various Material at Gram Panchayat BAN KA KHEDA, Panchayat Samiti Kotri 2025-26 (Yearly Rate Contract)</t>
        </is>
      </c>
      <c r="G3146" t="inlineStr">
        <is>
          <t>GP BAN KA KHEDA PS KOTRI</t>
        </is>
      </c>
    </row>
    <row r="3147">
      <c r="A3147" s="1" t="n">
        <v>3145</v>
      </c>
      <c r="B3147">
        <f>HYPERLINK("https://eproc.rajasthan.gov.in/nicgep/app?component=%24DirectLink&amp;page=FrontEndViewTender&amp;service=direct&amp;session=T&amp;sp=SJXBbzPyjvNyUkH8vbRvKWA%3D%3D", "Supply of Various Material at Gram Panchayat KISHANGARH, Panchayat Samiti Kotri 2025-26 (Yearly Rate Contract)")</f>
        <v/>
      </c>
      <c r="C3147" t="inlineStr">
        <is>
          <t>Panchayati Raj Department||Secretary and Commissioner||CEO-PRATAPGARH||BDO-PIPALKHOONT</t>
        </is>
      </c>
      <c r="D3147" t="inlineStr">
        <is>
          <t>18-May-2025 06:00 PM</t>
        </is>
      </c>
      <c r="E3147" t="inlineStr">
        <is>
          <t>1,00,00,000</t>
        </is>
      </c>
      <c r="F3147" t="inlineStr">
        <is>
          <t>Supply of Various Material at Gram Panchayat KISHANGARH, Panchayat Samiti Kotri 2025-26 (Yearly Rate Contract)</t>
        </is>
      </c>
      <c r="G3147" t="inlineStr">
        <is>
          <t>GP KISHANGARH PS KOTRI</t>
        </is>
      </c>
    </row>
    <row r="3148">
      <c r="A3148" s="1" t="n">
        <v>3146</v>
      </c>
      <c r="B3148">
        <f>HYPERLINK("https://eproc.rajasthan.gov.in/nicgep/app?component=%24DirectLink&amp;page=FrontEndViewTender&amp;service=direct&amp;session=T&amp;sp=SDbLWa3h9Aru2gqX%2BISbHdA%3D%3D", "MATERIAL SUPPLY IN GRAM PANCHAYAT MANDOTA PS DHOD FOR MGNREGA AND OTHER SCHEME")</f>
        <v/>
      </c>
      <c r="C3148" t="inlineStr">
        <is>
          <t>Panchayati Raj Department||Secretary and Commissioner||CEO-SIKAR||BDO-DHOD</t>
        </is>
      </c>
      <c r="D3148" t="inlineStr">
        <is>
          <t>19-May-2025 06:00 PM</t>
        </is>
      </c>
      <c r="E3148" t="inlineStr">
        <is>
          <t>50,00,000</t>
        </is>
      </c>
      <c r="F3148" t="inlineStr">
        <is>
          <t>MATERIAL SUPPLY IN GRAM PANCHAYAT MANDOTA PS DHOD FOR MGNREGA AND OTHER SCHEME</t>
        </is>
      </c>
      <c r="G3148" t="inlineStr">
        <is>
          <t>MANDOTA</t>
        </is>
      </c>
    </row>
    <row r="3149">
      <c r="A3149" s="1" t="n">
        <v>3147</v>
      </c>
      <c r="B3149">
        <f>HYPERLINK("https://eproc.rajasthan.gov.in/nicgep/app?component=%24DirectLink&amp;page=FrontEndViewTender&amp;service=direct&amp;session=T&amp;sp=SMAeQ1iy%2FxG8qPyUTpceDeQ%3D%3D", "CONSTRUCTION OF Works related to construction of 125 mm dia hund pump ,200 mm dia nominal bore ,solar dfu with cement concretw platefrom by DTH drilling with long casing and commission with required materials for Hund PUMP ,200mm dia niminal bore")</f>
        <v/>
      </c>
      <c r="C3149" t="inlineStr">
        <is>
          <t>Panchayati Raj Department||Secretary and Commissioner||CEO-SIROHI||BDO-ABUROAD</t>
        </is>
      </c>
      <c r="D3149" t="inlineStr">
        <is>
          <t>23-May-2025 06:00 PM</t>
        </is>
      </c>
      <c r="E3149" t="inlineStr">
        <is>
          <t>2,50,00,000</t>
        </is>
      </c>
      <c r="F3149" t="inlineStr">
        <is>
          <t>CONSTRUCTION OF Works related to construction of 125 mm dia hund pump ,200 mm dia nominal bore ,solar dfu with cement concretw platefrom by DTH drilling with long casing and commission with required materials for Hund PUMP ,200mm dia niminal bore</t>
        </is>
      </c>
      <c r="G3149" t="inlineStr">
        <is>
          <t>ps aburoad</t>
        </is>
      </c>
    </row>
    <row r="3150">
      <c r="A3150" s="1" t="n">
        <v>3148</v>
      </c>
      <c r="B3150">
        <f>HYPERLINK("https://eproc.rajasthan.gov.in/nicgep/app?component=%24DirectLink&amp;page=FrontEndViewTender&amp;service=direct&amp;session=T&amp;sp=SF8cgdISaK%2BA3Tk9IfzR%2BsQ%3D%3D", "MATERIAL SUPPLY TENDER GP BALIYA")</f>
        <v/>
      </c>
      <c r="C3150" t="inlineStr">
        <is>
          <t>Panchayati Raj Department||Secretary and Commissioner||CEO-NAGORE||BDO-DIDWANA</t>
        </is>
      </c>
      <c r="D3150" t="inlineStr">
        <is>
          <t>28-May-2025 06:00 PM</t>
        </is>
      </c>
      <c r="E3150" t="inlineStr">
        <is>
          <t>1,00,00,000</t>
        </is>
      </c>
      <c r="F3150" t="inlineStr">
        <is>
          <t>Material and Equipment supply under MGNREGA RD and PRD Schemes in GP BALIYA year 2025-26</t>
        </is>
      </c>
      <c r="G3150" t="inlineStr">
        <is>
          <t>GP BALIYA</t>
        </is>
      </c>
    </row>
    <row r="3151">
      <c r="A3151" s="1" t="n">
        <v>3149</v>
      </c>
      <c r="B3151">
        <f>HYPERLINK("https://eproc.rajasthan.gov.in/nicgep/app?component=%24DirectLink&amp;page=FrontEndViewTender&amp;service=direct&amp;session=T&amp;sp=S67CiKCTuo3sD8El6%2FvrdUQ%3D%3D", "GRAM PANCHAYAT JHANWAR ME PURANI PASHU FATAK KE PAS VACHNALAY KA NIRMAN KARYA")</f>
        <v/>
      </c>
      <c r="C3151" t="inlineStr">
        <is>
          <t>Panchayati Raj Department||Secretary and Commissioner||CEO-JODHPUR||BDO-DHAWA</t>
        </is>
      </c>
      <c r="D3151" t="inlineStr">
        <is>
          <t>19-May-2025 11:00 AM</t>
        </is>
      </c>
      <c r="E3151" t="inlineStr">
        <is>
          <t>8,00,000</t>
        </is>
      </c>
      <c r="F3151" t="inlineStr">
        <is>
          <t>GRAM PANCHAYAT JHANWAR ME PURANI PASHU FATAK KE PAS VACHNALAY KA NIRMAN KARYA</t>
        </is>
      </c>
      <c r="G3151" t="inlineStr">
        <is>
          <t>GRAM PANCHAYAT JHANWAR PANCHAYAT SAMITI DHAWA</t>
        </is>
      </c>
    </row>
    <row r="3152">
      <c r="A3152" s="1" t="n">
        <v>3150</v>
      </c>
      <c r="B3152">
        <f>HYPERLINK("https://eproc.rajasthan.gov.in/nicgep/app?component=%24DirectLink&amp;page=FrontEndViewTender&amp;service=direct&amp;session=T&amp;sp=SjB0FU4bdmdJRDtIFLrSdEQ%3D%3D", "Material Supply GP raiyatunda")</f>
        <v/>
      </c>
      <c r="C3152" t="inlineStr">
        <is>
          <t>Panchayati Raj Department||Secretary and Commissioner||CEO-CHURU||BDO-TARANAGAR</t>
        </is>
      </c>
      <c r="D3152" t="inlineStr">
        <is>
          <t>22-May-2025 06:00 PM</t>
        </is>
      </c>
      <c r="E3152" t="inlineStr">
        <is>
          <t>1,50,00,000</t>
        </is>
      </c>
      <c r="F3152" t="inlineStr">
        <is>
          <t>Material Supply in GP Raiyatunda in MGNAREGA and other PRD Scheme</t>
        </is>
      </c>
      <c r="G3152" t="inlineStr">
        <is>
          <t>GP Raiyatunda</t>
        </is>
      </c>
    </row>
    <row r="3153">
      <c r="A3153" s="1" t="n">
        <v>3151</v>
      </c>
      <c r="B3153">
        <f>HYPERLINK("https://eproc.rajasthan.gov.in/nicgep/app?component=%24DirectLink&amp;page=FrontEndViewTender&amp;service=direct&amp;session=T&amp;sp=Sex6P1xh7ev011S1dx2kofA%3D%3D", "Material Supply GP Kohina")</f>
        <v/>
      </c>
      <c r="C3153" t="inlineStr">
        <is>
          <t>Panchayati Raj Department||Secretary and Commissioner||CEO-CHURU||BDO-TARANAGAR</t>
        </is>
      </c>
      <c r="D3153" t="inlineStr">
        <is>
          <t>22-May-2025 06:00 PM</t>
        </is>
      </c>
      <c r="E3153" t="inlineStr">
        <is>
          <t>1,50,00,000</t>
        </is>
      </c>
      <c r="F3153" t="inlineStr">
        <is>
          <t>Materia Supply in GP Kohina in MGNAREGA Scheme and Other PRD Schemes</t>
        </is>
      </c>
      <c r="G3153" t="inlineStr">
        <is>
          <t>GP Kohina</t>
        </is>
      </c>
    </row>
    <row r="3154">
      <c r="A3154" s="1" t="n">
        <v>3152</v>
      </c>
      <c r="B3154">
        <f>HYPERLINK("https://eproc.rajasthan.gov.in/nicgep/app?component=%24DirectLink&amp;page=FrontEndViewTender&amp;service=direct&amp;session=T&amp;sp=S5mrsSutZzNpKd5enVUQ6MA%3D%3D", "Material Supply GP Jhothda")</f>
        <v/>
      </c>
      <c r="C3154" t="inlineStr">
        <is>
          <t>Panchayati Raj Department||Secretary and Commissioner||CEO-CHURU||BDO-TARANAGAR</t>
        </is>
      </c>
      <c r="D3154" t="inlineStr">
        <is>
          <t>22-May-2025 06:00 PM</t>
        </is>
      </c>
      <c r="E3154" t="inlineStr">
        <is>
          <t>1,50,00,000</t>
        </is>
      </c>
      <c r="F3154" t="inlineStr">
        <is>
          <t>Material Supply in GP Jhothda in MGNAREGA and Other PRD Scheme</t>
        </is>
      </c>
      <c r="G3154" t="inlineStr">
        <is>
          <t>GP Jhothra</t>
        </is>
      </c>
    </row>
    <row r="3155">
      <c r="A3155" s="1" t="n">
        <v>3153</v>
      </c>
      <c r="B3155">
        <f>HYPERLINK("https://eproc.rajasthan.gov.in/nicgep/app?component=%24DirectLink&amp;page=FrontEndViewTender&amp;service=direct&amp;session=T&amp;sp=SQq3VnbgnRFbt9wGPjOGzHQ%3D%3D", "Material Supply GP Togawas")</f>
        <v/>
      </c>
      <c r="C3155" t="inlineStr">
        <is>
          <t>Panchayati Raj Department||Secretary and Commissioner||CEO-CHURU||BDO-TARANAGAR</t>
        </is>
      </c>
      <c r="D3155" t="inlineStr">
        <is>
          <t>22-May-2025 06:00 PM</t>
        </is>
      </c>
      <c r="E3155" t="inlineStr">
        <is>
          <t>1,50,00,000</t>
        </is>
      </c>
      <c r="F3155" t="inlineStr">
        <is>
          <t>Material Supply in GP Togawas in MGNREGA and other PRD Schemes</t>
        </is>
      </c>
      <c r="G3155" t="inlineStr">
        <is>
          <t>GP Togawas</t>
        </is>
      </c>
    </row>
    <row r="3156">
      <c r="A3156" s="1" t="n">
        <v>3154</v>
      </c>
      <c r="B3156">
        <f>HYPERLINK("https://eproc.rajasthan.gov.in/nicgep/app?component=%24DirectLink&amp;page=FrontEndViewTender&amp;service=direct&amp;session=T&amp;sp=S3nbzrMmQJqSUCwV9vtPhGA%3D%3D", "Garbage collection, separation, road and drain cleaning and community sanitation, campus cleaning work GP BAGADWA PS PEEPLU")</f>
        <v/>
      </c>
      <c r="C3156" t="inlineStr">
        <is>
          <t>Panchayati Raj Department||Secretary and Commissioner||CEO-TONK||BDO-PEEPLU</t>
        </is>
      </c>
      <c r="D3156" t="inlineStr">
        <is>
          <t>21-May-2025 06:00 PM</t>
        </is>
      </c>
      <c r="E3156" t="inlineStr">
        <is>
          <t>19,00,000</t>
        </is>
      </c>
      <c r="F3156" t="inlineStr">
        <is>
          <t>Garbage collection, separation, road and drain cleaning and community sanitation, campus cleaning work GP BAGADWA PS PEEPLU</t>
        </is>
      </c>
      <c r="G3156" t="inlineStr">
        <is>
          <t>GP BAGADWA</t>
        </is>
      </c>
    </row>
    <row r="3157">
      <c r="A3157" s="1" t="n">
        <v>3155</v>
      </c>
      <c r="B3157">
        <f>HYPERLINK("https://eproc.rajasthan.gov.in/nicgep/app?component=%24DirectLink&amp;page=FrontEndViewTender&amp;service=direct&amp;session=T&amp;sp=S0kiiiAZRCUOf920VkVen4A%3D%3D", "Garbage collection, separation, road and drain cleaning and community sanitation, campus cleaning work GP Pyawadi PS PEEPLU")</f>
        <v/>
      </c>
      <c r="C3157" t="inlineStr">
        <is>
          <t>Panchayati Raj Department||Secretary and Commissioner||CEO-TONK||BDO-PEEPLU</t>
        </is>
      </c>
      <c r="D3157" t="inlineStr">
        <is>
          <t>21-May-2025 06:00 PM</t>
        </is>
      </c>
      <c r="E3157" t="inlineStr">
        <is>
          <t>21,00,000</t>
        </is>
      </c>
      <c r="F3157" t="inlineStr">
        <is>
          <t>Garbage collection, separation, road and drain cleaning and community sanitation, campus cleaning work GP Pyawadi PS PEEPLU</t>
        </is>
      </c>
      <c r="G3157" t="inlineStr">
        <is>
          <t>GP Pyawadi</t>
        </is>
      </c>
    </row>
    <row r="3158">
      <c r="A3158" s="1" t="n">
        <v>3156</v>
      </c>
      <c r="B3158">
        <f>HYPERLINK("https://eproc.rajasthan.gov.in/nicgep/app?component=%24DirectLink&amp;page=FrontEndViewTender&amp;service=direct&amp;session=T&amp;sp=SnWZgZbi9S9vcnHo1EhS03g%3D%3D", "Garbage collection, separation, road and drain cleaning and community sanitation, campus cleaning work GP DARDATURKI PS PEEPLU")</f>
        <v/>
      </c>
      <c r="C3158" t="inlineStr">
        <is>
          <t>Panchayati Raj Department||Secretary and Commissioner||CEO-TONK||BDO-PEEPLU</t>
        </is>
      </c>
      <c r="D3158" t="inlineStr">
        <is>
          <t>21-May-2025 06:00 PM</t>
        </is>
      </c>
      <c r="E3158" t="inlineStr">
        <is>
          <t>21,00,000</t>
        </is>
      </c>
      <c r="F3158" t="inlineStr">
        <is>
          <t>Garbage collection, separation, road and drain cleaning and community sanitation, campus cleaning work GP DARDATURKI PS PEEPLU</t>
        </is>
      </c>
      <c r="G3158" t="inlineStr">
        <is>
          <t>GP DARDATURKI</t>
        </is>
      </c>
    </row>
    <row r="3159">
      <c r="A3159" s="1" t="n">
        <v>3157</v>
      </c>
      <c r="B3159">
        <f>HYPERLINK("https://eproc.rajasthan.gov.in/nicgep/app?component=%24DirectLink&amp;page=FrontEndViewTender&amp;service=direct&amp;session=T&amp;sp=SdYKOJ9WyvXSSWOLfy8Zp%2BQ%3D%3D", "Garbage collection, separation, road and drain cleaning and community sanitation, campus cleaning work GP BANWADA PS PEEPLU")</f>
        <v/>
      </c>
      <c r="C3159" t="inlineStr">
        <is>
          <t>Panchayati Raj Department||Secretary and Commissioner||CEO-TONK||BDO-PEEPLU</t>
        </is>
      </c>
      <c r="D3159" t="inlineStr">
        <is>
          <t>21-May-2025 06:00 PM</t>
        </is>
      </c>
      <c r="E3159" t="inlineStr">
        <is>
          <t>20,00,000</t>
        </is>
      </c>
      <c r="F3159" t="inlineStr">
        <is>
          <t>Garbage collection, separation, road and drain cleaning and community sanitation, campus cleaning work GP BANWADA PS PEEPLU</t>
        </is>
      </c>
      <c r="G3159" t="inlineStr">
        <is>
          <t>GP BANWADA</t>
        </is>
      </c>
    </row>
    <row r="3160">
      <c r="A3160" s="1" t="n">
        <v>3158</v>
      </c>
      <c r="B3160">
        <f>HYPERLINK("https://eproc.rajasthan.gov.in/nicgep/app?component=%24DirectLink&amp;page=FrontEndViewTender&amp;service=direct&amp;session=T&amp;sp=SBmT02NHrHnjPeOfi8QZSRw%3D%3D", "Garbage collection, separation, road and drain cleaning and community sanitation, campus cleaning work GP SOHELA PS PEEPLU")</f>
        <v/>
      </c>
      <c r="C3160" t="inlineStr">
        <is>
          <t>Panchayati Raj Department||Secretary and Commissioner||CEO-TONK||BDO-PEEPLU</t>
        </is>
      </c>
      <c r="D3160" t="inlineStr">
        <is>
          <t>21-May-2025 06:00 PM</t>
        </is>
      </c>
      <c r="E3160" t="inlineStr">
        <is>
          <t>18,00,000</t>
        </is>
      </c>
      <c r="F3160" t="inlineStr">
        <is>
          <t>Garbage collection, separation, road and drain cleaning and community sanitation, campus cleaning work GP SOHELA PS PEEPLU</t>
        </is>
      </c>
      <c r="G3160" t="inlineStr">
        <is>
          <t>GP SOHELA</t>
        </is>
      </c>
    </row>
    <row r="3161">
      <c r="A3161" s="1" t="n">
        <v>3159</v>
      </c>
      <c r="B3161">
        <f>HYPERLINK("https://eproc.rajasthan.gov.in/nicgep/app?component=%24DirectLink&amp;page=FrontEndViewTender&amp;service=direct&amp;session=T&amp;sp=SPwLZp%2FSd4SplL7jURqEllw%3D%3D", "Gram Panchayat Chhatra me Niyamit Saf Safai avam Swachhta Karye Gram Panchayat Bishanpura")</f>
        <v/>
      </c>
      <c r="C3161" t="inlineStr">
        <is>
          <t>Panchayati Raj Department||Secretary and Commissioner||CEO-DAUSA||BDO-DAUSA</t>
        </is>
      </c>
      <c r="D3161" t="inlineStr">
        <is>
          <t>22-May-2025 02:00 PM</t>
        </is>
      </c>
      <c r="E3161" t="inlineStr">
        <is>
          <t>5,00,000</t>
        </is>
      </c>
      <c r="F3161" t="inlineStr">
        <is>
          <t>Gram Panchayat Chhatra me Niyamit Saf Safai avam Swachhta Karye Gram Panchayat Bishanpura</t>
        </is>
      </c>
      <c r="G3161" t="inlineStr">
        <is>
          <t>Bishanpura</t>
        </is>
      </c>
    </row>
    <row r="3162">
      <c r="A3162" s="1" t="n">
        <v>3160</v>
      </c>
      <c r="B3162">
        <f>HYPERLINK("https://eproc.rajasthan.gov.in/nicgep/app?component=%24DirectLink&amp;page=FrontEndViewTender&amp;service=direct&amp;session=T&amp;sp=Slc9nRZ%2FPta%2FaLj6D7DIplA%3D%3D", "Work including door-to-door residential and commercial garbage collection and separation road and drain cleaning and community sanitation premises cleaning in all villages of Gram Panchayat BAMNOR AMIRSHAH As per the G schedule atteched")</f>
        <v/>
      </c>
      <c r="C3162" t="inlineStr">
        <is>
          <t>Panchayati Raj Department||Secretary and Commissioner||CEO-BADMER||BDO-DHANAU</t>
        </is>
      </c>
      <c r="D3162" t="inlineStr">
        <is>
          <t>19-May-2025 06:00 PM</t>
        </is>
      </c>
      <c r="E3162" t="inlineStr">
        <is>
          <t>8,99,395</t>
        </is>
      </c>
      <c r="F3162" t="inlineStr">
        <is>
          <t>Work including door-to-door residential and commercial garbage collection and separation road and drain cleaning and community sanitation premises cleaning in all villages of Gram Panchayat BAMNOR AMIRSHAH As per the G schedule atteched</t>
        </is>
      </c>
      <c r="G3162" t="inlineStr">
        <is>
          <t>Work including door-to-door residential and commer</t>
        </is>
      </c>
    </row>
    <row r="3163">
      <c r="A3163" s="1" t="n">
        <v>3161</v>
      </c>
      <c r="B3163">
        <f>HYPERLINK("https://eproc.rajasthan.gov.in/nicgep/app?component=%24DirectLink&amp;page=FrontEndViewTender&amp;service=direct&amp;session=T&amp;sp=SO8K2JbMDT%2FIKPYi63Pw43w%3D%3D", "Construction Material supplie work gram panchyat laxmipura")</f>
        <v/>
      </c>
      <c r="C3163" t="inlineStr">
        <is>
          <t>Panchayati Raj Department||Secretary and Commissioner||CEO-BUNDI||BDO-TALERA</t>
        </is>
      </c>
      <c r="D3163" t="inlineStr">
        <is>
          <t>19-May-2025 06:00 PM</t>
        </is>
      </c>
      <c r="E3163" t="inlineStr">
        <is>
          <t>90,00,000</t>
        </is>
      </c>
      <c r="F3163" t="inlineStr">
        <is>
          <t>Construction Material supplie work gram panchyat laxmipura</t>
        </is>
      </c>
      <c r="G3163" t="inlineStr">
        <is>
          <t>gp laxmiipura</t>
        </is>
      </c>
    </row>
    <row r="3164">
      <c r="A3164" s="1" t="n">
        <v>3162</v>
      </c>
      <c r="B3164">
        <f>HYPERLINK("https://eproc.rajasthan.gov.in/nicgep/app?component=%24DirectLink&amp;page=FrontEndViewTender&amp;service=direct&amp;session=T&amp;sp=SMKiH5n08T4umsfYhvFGhLA%3D%3D", "Construction Material supplie work gram panchyat raghunathpura")</f>
        <v/>
      </c>
      <c r="C3164" t="inlineStr">
        <is>
          <t>Panchayati Raj Department||Secretary and Commissioner||CEO-BUNDI||BDO-TALERA</t>
        </is>
      </c>
      <c r="D3164" t="inlineStr">
        <is>
          <t>19-May-2025 06:00 PM</t>
        </is>
      </c>
      <c r="E3164" t="inlineStr">
        <is>
          <t>90,00,000</t>
        </is>
      </c>
      <c r="F3164" t="inlineStr">
        <is>
          <t>Construction Material supplie work gram panchyat raghunathpura</t>
        </is>
      </c>
      <c r="G3164" t="inlineStr">
        <is>
          <t>pss raghunathpura</t>
        </is>
      </c>
    </row>
    <row r="3165">
      <c r="A3165" s="1" t="n">
        <v>3163</v>
      </c>
      <c r="B3165">
        <f>HYPERLINK("https://eproc.rajasthan.gov.in/nicgep/app?component=%24DirectLink&amp;page=FrontEndViewTender&amp;service=direct&amp;session=T&amp;sp=SpBoM9DDoqPhpCQtn89EDkA%3D%3D", "Construction Material supplie work gram panchyat jameetpura")</f>
        <v/>
      </c>
      <c r="C3165" t="inlineStr">
        <is>
          <t>Panchayati Raj Department||Secretary and Commissioner||CEO-BUNDI||BDO-TALERA</t>
        </is>
      </c>
      <c r="D3165" t="inlineStr">
        <is>
          <t>19-May-2025 06:00 PM</t>
        </is>
      </c>
      <c r="E3165" t="inlineStr">
        <is>
          <t>90,00,000</t>
        </is>
      </c>
      <c r="F3165" t="inlineStr">
        <is>
          <t>Construction Material supplie work gram panchyat jameetpura</t>
        </is>
      </c>
      <c r="G3165" t="inlineStr">
        <is>
          <t>gp jameetpura</t>
        </is>
      </c>
    </row>
    <row r="3166">
      <c r="A3166" s="1" t="n">
        <v>3164</v>
      </c>
      <c r="B3166">
        <f>HYPERLINK("https://eproc.rajasthan.gov.in/nicgep/app?component=%24DirectLink&amp;page=FrontEndViewTender&amp;service=direct&amp;session=T&amp;sp=SYVKOu2B8mr70al2O4qlRpw%3D%3D", "Construction Material supplie work gram panchyat Dehit")</f>
        <v/>
      </c>
      <c r="C3166" t="inlineStr">
        <is>
          <t>Panchayati Raj Department||Secretary and Commissioner||CEO-BUNDI||BDO-TALERA</t>
        </is>
      </c>
      <c r="D3166" t="inlineStr">
        <is>
          <t>19-May-2025 06:00 PM</t>
        </is>
      </c>
      <c r="E3166" t="inlineStr">
        <is>
          <t>9,00,000</t>
        </is>
      </c>
      <c r="F3166" t="inlineStr">
        <is>
          <t>Construction Material supplie work gram panchyat Dehit</t>
        </is>
      </c>
      <c r="G3166" t="inlineStr">
        <is>
          <t>gp dehit</t>
        </is>
      </c>
    </row>
    <row r="3167">
      <c r="A3167" s="1" t="n">
        <v>3165</v>
      </c>
      <c r="B3167">
        <f>HYPERLINK("https://eproc.rajasthan.gov.in/nicgep/app?component=%24DirectLink&amp;page=FrontEndViewTender&amp;service=direct&amp;session=T&amp;sp=SwtOfnMNK2F8OsgDWJsUi9w%3D%3D", "Construction Material supplie work gram panchyat gamech")</f>
        <v/>
      </c>
      <c r="C3167" t="inlineStr">
        <is>
          <t>Panchayati Raj Department||Secretary and Commissioner||CEO-BUNDI||BDO-TALERA</t>
        </is>
      </c>
      <c r="D3167" t="inlineStr">
        <is>
          <t>19-May-2025 06:00 PM</t>
        </is>
      </c>
      <c r="E3167" t="inlineStr">
        <is>
          <t>90,00,000</t>
        </is>
      </c>
      <c r="F3167" t="inlineStr">
        <is>
          <t>Construction Material supplie work gram panchyat gamech</t>
        </is>
      </c>
      <c r="G3167" t="inlineStr">
        <is>
          <t>gram panchyat gamech</t>
        </is>
      </c>
    </row>
    <row r="3168">
      <c r="A3168" s="1" t="n">
        <v>3166</v>
      </c>
      <c r="B3168">
        <f>HYPERLINK("https://eproc.rajasthan.gov.in/nicgep/app?component=%24DirectLink&amp;page=FrontEndViewTender&amp;service=direct&amp;session=T&amp;sp=Shdrc2WZ8wJ6Cz6bjrv4SyA%3D%3D", "Construction Material supplie work gram panchyat talera")</f>
        <v/>
      </c>
      <c r="C3168" t="inlineStr">
        <is>
          <t>Panchayati Raj Department||Secretary and Commissioner||CEO-BUNDI||BDO-TALERA</t>
        </is>
      </c>
      <c r="D3168" t="inlineStr">
        <is>
          <t>19-May-2025 06:00 PM</t>
        </is>
      </c>
      <c r="E3168" t="inlineStr">
        <is>
          <t>8,50,000</t>
        </is>
      </c>
      <c r="F3168" t="inlineStr">
        <is>
          <t>Construction Material supplie work gram panchyat talera</t>
        </is>
      </c>
      <c r="G3168" t="inlineStr">
        <is>
          <t>ps talera</t>
        </is>
      </c>
    </row>
    <row r="3169">
      <c r="A3169" s="1" t="n">
        <v>3167</v>
      </c>
      <c r="B3169">
        <f>HYPERLINK("https://eproc.rajasthan.gov.in/nicgep/app?component=%24DirectLink&amp;page=FrontEndViewTender&amp;service=direct&amp;session=T&amp;sp=SZWSZyo3zqXHeN0%2Bj%2FQd%2FRg%3D%3D", "Construction Material supplie work gram panchyat lilera vyasan")</f>
        <v/>
      </c>
      <c r="C3169" t="inlineStr">
        <is>
          <t>Panchayati Raj Department||Secretary and Commissioner||CEO-BUNDI||BDO-TALERA</t>
        </is>
      </c>
      <c r="D3169" t="inlineStr">
        <is>
          <t>19-May-2025 06:00 PM</t>
        </is>
      </c>
      <c r="E3169" t="inlineStr">
        <is>
          <t>80,00,000</t>
        </is>
      </c>
      <c r="F3169" t="inlineStr">
        <is>
          <t>Construction Material supplie work gram panchyat lilera vyasan</t>
        </is>
      </c>
      <c r="G3169" t="inlineStr">
        <is>
          <t>gp lilera vyasan</t>
        </is>
      </c>
    </row>
    <row r="3170">
      <c r="A3170" s="1" t="n">
        <v>3168</v>
      </c>
      <c r="B3170">
        <f>HYPERLINK("https://eproc.rajasthan.gov.in/nicgep/app?component=%24DirectLink&amp;page=FrontEndViewTender&amp;service=direct&amp;session=T&amp;sp=SNt5m4IqxmwT%2Bo%2FAlUWvq4w%3D%3D", "Construction Material supplie work gram panchyat Dhaneshwar")</f>
        <v/>
      </c>
      <c r="C3170" t="inlineStr">
        <is>
          <t>Panchayati Raj Department||Secretary and Commissioner||CEO-BUNDI||BDO-TALERA</t>
        </is>
      </c>
      <c r="D3170" t="inlineStr">
        <is>
          <t>19-May-2025 06:00 PM</t>
        </is>
      </c>
      <c r="E3170" t="inlineStr">
        <is>
          <t>80,00,000</t>
        </is>
      </c>
      <c r="F3170" t="inlineStr">
        <is>
          <t>Construction Material supplie work gram panchyat Dhaneshwar</t>
        </is>
      </c>
      <c r="G3170" t="inlineStr">
        <is>
          <t>gp dhaneshwar</t>
        </is>
      </c>
    </row>
    <row r="3171">
      <c r="A3171" s="1" t="n">
        <v>3169</v>
      </c>
      <c r="B3171">
        <f>HYPERLINK("https://eproc.rajasthan.gov.in/nicgep/app?component=%24DirectLink&amp;page=FrontEndViewTender&amp;service=direct&amp;session=T&amp;sp=SuZQihtDNdGf6SlpLvvOY%2BA%3D%3D", "Work including door-to-door residential and commercial garbage collection and separation road and drain cleaning and community sanitation premises cleaning in all villages of Gram Panchayat Amimohmad Shah Ki basti As per the G schedule atteched")</f>
        <v/>
      </c>
      <c r="C3171" t="inlineStr">
        <is>
          <t>Panchayati Raj Department||Secretary and Commissioner||CEO-BADMER||BDO-DHANAU</t>
        </is>
      </c>
      <c r="D3171" t="inlineStr">
        <is>
          <t>19-May-2025 06:00 PM</t>
        </is>
      </c>
      <c r="E3171" t="inlineStr">
        <is>
          <t>3,60,799</t>
        </is>
      </c>
      <c r="F3171" t="inlineStr">
        <is>
          <t>Work including door-to-door residential and commercial garbage collection and separation road and drain cleaning and community sanitation premises cleaning in all villages of Gram Panchayat Amimohmad Shah Ki basti As per the G schedule atteched</t>
        </is>
      </c>
      <c r="G3171" t="inlineStr">
        <is>
          <t>Work including door-to-door residential and commer</t>
        </is>
      </c>
    </row>
    <row r="3172">
      <c r="A3172" s="1" t="n">
        <v>3170</v>
      </c>
      <c r="B3172">
        <f>HYPERLINK("https://eproc.rajasthan.gov.in/nicgep/app?component=%24DirectLink&amp;page=FrontEndViewTender&amp;service=direct&amp;session=T&amp;sp=SYM0rqW%2Bscdh28rlA518HEA%3D%3D", "Work including door-to-door residential and commercial garbage collection and separation road and drain cleaning and community sanitation premises cleaning in all villages of Gram Panchayat SANWA As per the G schedule atteched")</f>
        <v/>
      </c>
      <c r="C3172" t="inlineStr">
        <is>
          <t>Panchayati Raj Department||Secretary and Commissioner||CEO-BADMER||BDO-DHANAU</t>
        </is>
      </c>
      <c r="D3172" t="inlineStr">
        <is>
          <t>19-May-2025 06:00 PM</t>
        </is>
      </c>
      <c r="E3172" t="inlineStr">
        <is>
          <t>8,63,647</t>
        </is>
      </c>
      <c r="F3172" t="inlineStr">
        <is>
          <t>Work including door-to-door residential and commercial garbage collection and separation road and drain cleaning and community sanitation premises cleaning in all villages of Gram Panchayat SANWA As per the G schedule atteched</t>
        </is>
      </c>
      <c r="G3172" t="inlineStr">
        <is>
          <t>Work including door-to-door residential and commer</t>
        </is>
      </c>
    </row>
    <row r="3173">
      <c r="A3173" s="1" t="n">
        <v>3171</v>
      </c>
      <c r="B3173">
        <f>HYPERLINK("https://eproc.rajasthan.gov.in/nicgep/app?component=%24DirectLink&amp;page=FrontEndViewTender&amp;service=direct&amp;session=T&amp;sp=SZC5x4EJSnb7K3QaBKglbvA%3D%3D", "Work including door-to-door residential and commercial garbage collection and separation road and drain cleaning and community sanitation premises cleaning in all villages of Gram Panchayat POONJASAR As per the G schedule atteched")</f>
        <v/>
      </c>
      <c r="C3173" t="inlineStr">
        <is>
          <t>Panchayati Raj Department||Secretary and Commissioner||CEO-BADMER||BDO-DHANAU</t>
        </is>
      </c>
      <c r="D3173" t="inlineStr">
        <is>
          <t>19-May-2025 06:00 PM</t>
        </is>
      </c>
      <c r="E3173" t="inlineStr">
        <is>
          <t>6,47,834</t>
        </is>
      </c>
      <c r="F3173" t="inlineStr">
        <is>
          <t>Work including door-to-door residential and commercial garbage collection and separation road and drain cleaning and community sanitation premises cleaning in all villages of Gram Panchayat POONJASAR As per the G schedule atteched</t>
        </is>
      </c>
      <c r="G3173" t="inlineStr">
        <is>
          <t>Work including door-to-door residential and commer</t>
        </is>
      </c>
    </row>
    <row r="3174">
      <c r="A3174" s="1" t="n">
        <v>3172</v>
      </c>
      <c r="B3174">
        <f>HYPERLINK("https://eproc.rajasthan.gov.in/nicgep/app?component=%24DirectLink&amp;page=FrontEndViewTender&amp;service=direct&amp;session=T&amp;sp=SZh8OpS2dUQG82i2cx2AC7g%3D%3D", "Work including door-to-door residential and commercial garbage collection and separation road and drain cleaning and community sanitation premises cleaning in all villages of Gram Panchayat SAROOPE KA TALA As per the G schedule atteched")</f>
        <v/>
      </c>
      <c r="C3174" t="inlineStr">
        <is>
          <t>Panchayati Raj Department||Secretary and Commissioner||CEO-BADMER||BDO-DHANAU</t>
        </is>
      </c>
      <c r="D3174" t="inlineStr">
        <is>
          <t>19-May-2025 06:00 PM</t>
        </is>
      </c>
      <c r="E3174" t="inlineStr">
        <is>
          <t>8,63,647</t>
        </is>
      </c>
      <c r="F3174" t="inlineStr">
        <is>
          <t>Work including door-to-door residential and commercial garbage collection and separation road and drain cleaning and community sanitation premises cleaning in all villages of Gram Panchayat SAROOPE KA TALA As per the G schedule atteched</t>
        </is>
      </c>
      <c r="G3174" t="inlineStr">
        <is>
          <t>Work including door-to-door residential and commer</t>
        </is>
      </c>
    </row>
    <row r="3175">
      <c r="A3175" s="1" t="n">
        <v>3173</v>
      </c>
      <c r="B3175">
        <f>HYPERLINK("https://eproc.rajasthan.gov.in/nicgep/app?component=%24DirectLink&amp;page=FrontEndViewTender&amp;service=direct&amp;session=T&amp;sp=SQLN%2F5beTSUkLo0b1%2Bvhv2Q%3D%3D", "Construction Material supplie work gram panchyat thikriya charnann")</f>
        <v/>
      </c>
      <c r="C3175" t="inlineStr">
        <is>
          <t>Panchayati Raj Department||Secretary and Commissioner||CEO-BUNDI||BDO-TALERA</t>
        </is>
      </c>
      <c r="D3175" t="inlineStr">
        <is>
          <t>19-May-2025 06:00 PM</t>
        </is>
      </c>
      <c r="E3175" t="inlineStr">
        <is>
          <t>85,00,000</t>
        </is>
      </c>
      <c r="F3175" t="inlineStr">
        <is>
          <t>Construction Material supplie work gram panchyat thikriya charnann</t>
        </is>
      </c>
      <c r="G3175" t="inlineStr">
        <is>
          <t>gp thikriya charnan</t>
        </is>
      </c>
    </row>
    <row r="3176">
      <c r="A3176" s="1" t="n">
        <v>3174</v>
      </c>
      <c r="B3176">
        <f>HYPERLINK("https://eproc.rajasthan.gov.in/nicgep/app?component=%24DirectLink&amp;page=FrontEndViewTender&amp;service=direct&amp;session=T&amp;sp=S%2BAlyKBvJk7Q1aG3BOhIeYQ%3D%3D", "Construction Material supplie work gram panchyat Sutra")</f>
        <v/>
      </c>
      <c r="C3176" t="inlineStr">
        <is>
          <t>Panchayati Raj Department||Secretary and Commissioner||CEO-BUNDI||BDO-TALERA</t>
        </is>
      </c>
      <c r="D3176" t="inlineStr">
        <is>
          <t>19-May-2025 06:00 PM</t>
        </is>
      </c>
      <c r="E3176" t="inlineStr">
        <is>
          <t>85,00,000</t>
        </is>
      </c>
      <c r="F3176" t="inlineStr">
        <is>
          <t>Construction Material supplie work gram panchyat Sutra</t>
        </is>
      </c>
      <c r="G3176" t="inlineStr">
        <is>
          <t>gp sutra</t>
        </is>
      </c>
    </row>
    <row r="3177">
      <c r="A3177" s="1" t="n">
        <v>3175</v>
      </c>
      <c r="B3177">
        <f>HYPERLINK("https://eproc.rajasthan.gov.in/nicgep/app?component=%24DirectLink&amp;page=FrontEndViewTender&amp;service=direct&amp;session=T&amp;sp=SFlVLdR8Ijqo0GDzcz%2BE%2Fxw%3D%3D", "Construction Material supplie work gram panchyat SINTA")</f>
        <v/>
      </c>
      <c r="C3177" t="inlineStr">
        <is>
          <t>Panchayati Raj Department||Secretary and Commissioner||CEO-BUNDI||BDO-TALERA</t>
        </is>
      </c>
      <c r="D3177" t="inlineStr">
        <is>
          <t>19-May-2025 06:00 PM</t>
        </is>
      </c>
      <c r="E3177" t="inlineStr">
        <is>
          <t>85,00,000</t>
        </is>
      </c>
      <c r="F3177" t="inlineStr">
        <is>
          <t>Construction Material supplie work gram panchyat SINTA</t>
        </is>
      </c>
      <c r="G3177" t="inlineStr">
        <is>
          <t>GP SINTA</t>
        </is>
      </c>
    </row>
    <row r="3178">
      <c r="A3178" s="1" t="n">
        <v>3176</v>
      </c>
      <c r="B3178">
        <f>HYPERLINK("https://eproc.rajasthan.gov.in/nicgep/app?component=%24DirectLink&amp;page=FrontEndViewTender&amp;service=direct&amp;session=T&amp;sp=SlusUpEU4l7%2B7gegD0D78wQ%3D%3D", "Construction Material supplie work gram panchyat bazar")</f>
        <v/>
      </c>
      <c r="C3178" t="inlineStr">
        <is>
          <t>Panchayati Raj Department||Secretary and Commissioner||CEO-BUNDI||BDO-TALERA</t>
        </is>
      </c>
      <c r="D3178" t="inlineStr">
        <is>
          <t>19-May-2025 06:00 PM</t>
        </is>
      </c>
      <c r="E3178" t="inlineStr">
        <is>
          <t>85,00,000</t>
        </is>
      </c>
      <c r="F3178" t="inlineStr">
        <is>
          <t>Construction Material supplie work gram panchyat bazar</t>
        </is>
      </c>
      <c r="G3178" t="inlineStr">
        <is>
          <t>gp bazar</t>
        </is>
      </c>
    </row>
    <row r="3179">
      <c r="A3179" s="1" t="n">
        <v>3177</v>
      </c>
      <c r="B3179">
        <f>HYPERLINK("https://eproc.rajasthan.gov.in/nicgep/app?component=%24DirectLink&amp;page=FrontEndViewTender&amp;service=direct&amp;session=T&amp;sp=SVAUqK40bqRwItfqnl2UO4g%3D%3D", "Construction Material supplie work gram panchyat Alaphanagar")</f>
        <v/>
      </c>
      <c r="C3179" t="inlineStr">
        <is>
          <t>Panchayati Raj Department||Secretary and Commissioner||CEO-BUNDI||BDO-TALERA</t>
        </is>
      </c>
      <c r="D3179" t="inlineStr">
        <is>
          <t>19-May-2025 06:00 PM</t>
        </is>
      </c>
      <c r="E3179" t="inlineStr">
        <is>
          <t>80,00,000</t>
        </is>
      </c>
      <c r="F3179" t="inlineStr">
        <is>
          <t>Construction Material supplie work gram panchyat Alaphanagar</t>
        </is>
      </c>
      <c r="G3179" t="inlineStr">
        <is>
          <t>gp alphanagar</t>
        </is>
      </c>
    </row>
    <row r="3180">
      <c r="A3180" s="1" t="n">
        <v>3178</v>
      </c>
      <c r="B3180">
        <f>HYPERLINK("https://eproc.rajasthan.gov.in/nicgep/app?component=%24DirectLink&amp;page=FrontEndViewTender&amp;service=direct&amp;session=T&amp;sp=SultbOaK5KmqBK%2FhrGNN88w%3D%3D", "Construction Material supplie work gram panchyat Dabi")</f>
        <v/>
      </c>
      <c r="C3180" t="inlineStr">
        <is>
          <t>Panchayati Raj Department||Secretary and Commissioner||CEO-BUNDI||BDO-TALERA</t>
        </is>
      </c>
      <c r="D3180" t="inlineStr">
        <is>
          <t>19-May-2025 06:00 PM</t>
        </is>
      </c>
      <c r="E3180" t="inlineStr">
        <is>
          <t>9,00,000</t>
        </is>
      </c>
      <c r="F3180" t="inlineStr">
        <is>
          <t>Construction Material supplie work gram panchyat Dabi</t>
        </is>
      </c>
      <c r="G3180" t="inlineStr">
        <is>
          <t>gp dabi</t>
        </is>
      </c>
    </row>
    <row r="3181">
      <c r="A3181" s="1" t="n">
        <v>3179</v>
      </c>
      <c r="B3181">
        <f>HYPERLINK("https://eproc.rajasthan.gov.in/nicgep/app?component=%24DirectLink&amp;page=FrontEndViewTender&amp;service=direct&amp;session=T&amp;sp=Sqb68i0NoyVna6q5PYQSRpw%3D%3D", "Construction Material supplie work gram panchyat rajpura")</f>
        <v/>
      </c>
      <c r="C3181" t="inlineStr">
        <is>
          <t>Panchayati Raj Department||Secretary and Commissioner||CEO-BUNDI||BDO-TALERA</t>
        </is>
      </c>
      <c r="D3181" t="inlineStr">
        <is>
          <t>19-May-2025 06:00 PM</t>
        </is>
      </c>
      <c r="E3181" t="inlineStr">
        <is>
          <t>80,00,000</t>
        </is>
      </c>
      <c r="F3181" t="inlineStr">
        <is>
          <t>Construction Material supplie work gram panchyat rajpura</t>
        </is>
      </c>
      <c r="G3181" t="inlineStr">
        <is>
          <t>gp rajpura</t>
        </is>
      </c>
    </row>
    <row r="3182">
      <c r="A3182" s="1" t="n">
        <v>3180</v>
      </c>
      <c r="B3182">
        <f>HYPERLINK("https://eproc.rajasthan.gov.in/nicgep/app?component=%24DirectLink&amp;page=FrontEndViewTender&amp;service=direct&amp;session=T&amp;sp=SLMgLqNhbnssDdCksdPMrqQ%3D%3D", "Construction Material supplie work gram panchyat kethuda")</f>
        <v/>
      </c>
      <c r="C3182" t="inlineStr">
        <is>
          <t>Panchayati Raj Department||Secretary and Commissioner||CEO-BUNDI||BDO-TALERA</t>
        </is>
      </c>
      <c r="D3182" t="inlineStr">
        <is>
          <t>19-May-2025 06:00 PM</t>
        </is>
      </c>
      <c r="E3182" t="inlineStr">
        <is>
          <t>80,00,000</t>
        </is>
      </c>
      <c r="F3182" t="inlineStr">
        <is>
          <t>Construction Material supplie work gram panchyat kethuda</t>
        </is>
      </c>
      <c r="G3182" t="inlineStr">
        <is>
          <t>gp kethuda</t>
        </is>
      </c>
    </row>
    <row r="3183">
      <c r="A3183" s="1" t="n">
        <v>3181</v>
      </c>
      <c r="B3183">
        <f>HYPERLINK("https://eproc.rajasthan.gov.in/nicgep/app?component=%24DirectLink&amp;page=FrontEndViewTender&amp;service=direct&amp;session=T&amp;sp=S55mDrYKbY7ba9z0J3SvtxA%3D%3D", "Construction Material supplie work gram panchyat aktasa")</f>
        <v/>
      </c>
      <c r="C3183" t="inlineStr">
        <is>
          <t>Panchayati Raj Department||Secretary and Commissioner||CEO-BUNDI||BDO-TALERA</t>
        </is>
      </c>
      <c r="D3183" t="inlineStr">
        <is>
          <t>19-May-2025 06:00 PM</t>
        </is>
      </c>
      <c r="E3183" t="inlineStr">
        <is>
          <t>80,00,000</t>
        </is>
      </c>
      <c r="F3183" t="inlineStr">
        <is>
          <t>Construction Material supplie work gram panchyat aktasa</t>
        </is>
      </c>
      <c r="G3183" t="inlineStr">
        <is>
          <t>gp aktasa</t>
        </is>
      </c>
    </row>
    <row r="3184">
      <c r="A3184" s="1" t="n">
        <v>3182</v>
      </c>
      <c r="B3184">
        <f>HYPERLINK("https://eproc.rajasthan.gov.in/nicgep/app?component=%24DirectLink&amp;page=FrontEndViewTender&amp;service=direct&amp;session=T&amp;sp=SyuNKc%2FHLheAhGx1gKgUL5Q%3D%3D", "Construction Material supplie work gram panchyat badunda")</f>
        <v/>
      </c>
      <c r="C3184" t="inlineStr">
        <is>
          <t>Panchayati Raj Department||Secretary and Commissioner||CEO-BUNDI||BDO-TALERA</t>
        </is>
      </c>
      <c r="D3184" t="inlineStr">
        <is>
          <t>19-May-2025 06:00 PM</t>
        </is>
      </c>
      <c r="E3184" t="inlineStr">
        <is>
          <t>80,00,000</t>
        </is>
      </c>
      <c r="F3184" t="inlineStr">
        <is>
          <t>Construction Material supplie work gram panchyat badunda</t>
        </is>
      </c>
      <c r="G3184" t="inlineStr">
        <is>
          <t>gp badunda</t>
        </is>
      </c>
    </row>
    <row r="3185">
      <c r="A3185" s="1" t="n">
        <v>3183</v>
      </c>
      <c r="B3185">
        <f>HYPERLINK("https://eproc.rajasthan.gov.in/nicgep/app?component=%24DirectLink&amp;page=FrontEndViewTender&amp;service=direct&amp;session=T&amp;sp=S96BcBVGEvW2pjPSN5YbdiA%3D%3D", "Construction Material supplie work gram panchyat barundhan")</f>
        <v/>
      </c>
      <c r="C3185" t="inlineStr">
        <is>
          <t>Panchayati Raj Department||Secretary and Commissioner||CEO-BUNDI||BDO-TALERA</t>
        </is>
      </c>
      <c r="D3185" t="inlineStr">
        <is>
          <t>19-May-2025 06:00 PM</t>
        </is>
      </c>
      <c r="E3185" t="inlineStr">
        <is>
          <t>80,00,000</t>
        </is>
      </c>
      <c r="F3185" t="inlineStr">
        <is>
          <t>Construction Material supplie work gram panchyat barundhan</t>
        </is>
      </c>
      <c r="G3185" t="inlineStr">
        <is>
          <t>gp barundhan</t>
        </is>
      </c>
    </row>
    <row r="3186">
      <c r="A3186" s="1" t="n">
        <v>3184</v>
      </c>
      <c r="B3186">
        <f>HYPERLINK("https://eproc.rajasthan.gov.in/nicgep/app?component=%24DirectLink&amp;page=FrontEndViewTender&amp;service=direct&amp;session=T&amp;sp=SaELD75GK10h2T3AVp73Y0A%3D%3D", "Construction Material supplie work gram panchyat thirath")</f>
        <v/>
      </c>
      <c r="C3186" t="inlineStr">
        <is>
          <t>Panchayati Raj Department||Secretary and Commissioner||CEO-BUNDI||BDO-TALERA</t>
        </is>
      </c>
      <c r="D3186" t="inlineStr">
        <is>
          <t>19-May-2025 06:00 PM</t>
        </is>
      </c>
      <c r="E3186" t="inlineStr">
        <is>
          <t>80,00,000</t>
        </is>
      </c>
      <c r="F3186" t="inlineStr">
        <is>
          <t>Construction Material supplie work gram panchyat thirath</t>
        </is>
      </c>
      <c r="G3186" t="inlineStr">
        <is>
          <t>gp thirath</t>
        </is>
      </c>
    </row>
    <row r="3187">
      <c r="A3187" s="1" t="n">
        <v>3185</v>
      </c>
      <c r="B3187">
        <f>HYPERLINK("https://eproc.rajasthan.gov.in/nicgep/app?component=%24DirectLink&amp;page=FrontEndViewTender&amp;service=direct&amp;session=T&amp;sp=SW2uam5CvYT5QEwnNuVCcyQ%3D%3D", "Construction Material supplie work gram panchyat suwansa")</f>
        <v/>
      </c>
      <c r="C3187" t="inlineStr">
        <is>
          <t>Panchayati Raj Department||Secretary and Commissioner||CEO-BUNDI||BDO-TALERA</t>
        </is>
      </c>
      <c r="D3187" t="inlineStr">
        <is>
          <t>19-May-2025 06:00 PM</t>
        </is>
      </c>
      <c r="E3187" t="inlineStr">
        <is>
          <t>80,00,000</t>
        </is>
      </c>
      <c r="F3187" t="inlineStr">
        <is>
          <t>Construction Material supplie work gram panchyat suwansa</t>
        </is>
      </c>
      <c r="G3187" t="inlineStr">
        <is>
          <t>gp suwansa</t>
        </is>
      </c>
    </row>
    <row r="3188">
      <c r="A3188" s="1" t="n">
        <v>3186</v>
      </c>
      <c r="B3188">
        <f>HYPERLINK("https://eproc.rajasthan.gov.in/nicgep/app?component=%24DirectLink&amp;page=FrontEndViewTender&amp;service=direct&amp;session=T&amp;sp=SQ%2FZBre5YjHMghZV0Y1Slew%3D%3D", "Construction Material supplie work gram panchyat notara")</f>
        <v/>
      </c>
      <c r="C3188" t="inlineStr">
        <is>
          <t>Panchayati Raj Department||Secretary and Commissioner||CEO-BUNDI||BDO-TALERA</t>
        </is>
      </c>
      <c r="D3188" t="inlineStr">
        <is>
          <t>19-May-2025 06:00 PM</t>
        </is>
      </c>
      <c r="E3188" t="inlineStr">
        <is>
          <t>80,00,000</t>
        </is>
      </c>
      <c r="F3188" t="inlineStr">
        <is>
          <t>Construction Material supplie work gram panchyat notara</t>
        </is>
      </c>
      <c r="G3188" t="inlineStr">
        <is>
          <t>gp notara</t>
        </is>
      </c>
    </row>
    <row r="3189">
      <c r="A3189" s="1" t="n">
        <v>3187</v>
      </c>
      <c r="B3189">
        <f>HYPERLINK("https://eproc.rajasthan.gov.in/nicgep/app?component=%24DirectLink&amp;page=FrontEndViewTender&amp;service=direct&amp;session=T&amp;sp=S3kq6PgVVOO10DnrsSXNnSQ%3D%3D", "Construction Material supplie work gram panchyat budhpura")</f>
        <v/>
      </c>
      <c r="C3189" t="inlineStr">
        <is>
          <t>Panchayati Raj Department||Secretary and Commissioner||CEO-BUNDI||BDO-TALERA</t>
        </is>
      </c>
      <c r="D3189" t="inlineStr">
        <is>
          <t>19-May-2025 06:00 PM</t>
        </is>
      </c>
      <c r="E3189" t="inlineStr">
        <is>
          <t>80,00,000</t>
        </is>
      </c>
      <c r="F3189" t="inlineStr">
        <is>
          <t>Construction Material supplie work gram panchyat budhpura</t>
        </is>
      </c>
      <c r="G3189" t="inlineStr">
        <is>
          <t>gp budhpura</t>
        </is>
      </c>
    </row>
    <row r="3190">
      <c r="A3190" s="1" t="n">
        <v>3188</v>
      </c>
      <c r="B3190">
        <f>HYPERLINK("https://eproc.rajasthan.gov.in/nicgep/app?component=%24DirectLink&amp;page=FrontEndViewTender&amp;service=direct&amp;session=T&amp;sp=SI3EFpWylwTYmtTt%2BmXWZSQ%3D%3D", "Construction Material supplie work gram panchyat khadipura")</f>
        <v/>
      </c>
      <c r="C3190" t="inlineStr">
        <is>
          <t>Panchayati Raj Department||Secretary and Commissioner||CEO-BUNDI||BDO-TALERA</t>
        </is>
      </c>
      <c r="D3190" t="inlineStr">
        <is>
          <t>19-May-2025 06:00 PM</t>
        </is>
      </c>
      <c r="E3190" t="inlineStr">
        <is>
          <t>80,00,000</t>
        </is>
      </c>
      <c r="F3190" t="inlineStr">
        <is>
          <t>Construction Material supplie work gram panchyat khadipura</t>
        </is>
      </c>
      <c r="G3190" t="inlineStr">
        <is>
          <t>gp kahadipur</t>
        </is>
      </c>
    </row>
    <row r="3191">
      <c r="A3191" s="1" t="n">
        <v>3189</v>
      </c>
      <c r="B3191">
        <f>HYPERLINK("https://eproc.rajasthan.gov.in/nicgep/app?component=%24DirectLink&amp;page=FrontEndViewTender&amp;service=direct&amp;session=T&amp;sp=SOJZ0BG01D8LrpJCFIGMT4w%3D%3D", "Construction Material supplie work gram panchyat ballop")</f>
        <v/>
      </c>
      <c r="C3191" t="inlineStr">
        <is>
          <t>Panchayati Raj Department||Secretary and Commissioner||CEO-BUNDI||BDO-TALERA</t>
        </is>
      </c>
      <c r="D3191" t="inlineStr">
        <is>
          <t>19-May-2025 06:00 PM</t>
        </is>
      </c>
      <c r="E3191" t="inlineStr">
        <is>
          <t>80,00,000</t>
        </is>
      </c>
      <c r="F3191" t="inlineStr">
        <is>
          <t>Construction Material supplie work gram panchyat ballop</t>
        </is>
      </c>
      <c r="G3191" t="inlineStr">
        <is>
          <t>gp ballop</t>
        </is>
      </c>
    </row>
    <row r="3192">
      <c r="A3192" s="1" t="n">
        <v>3190</v>
      </c>
      <c r="B3192">
        <f>HYPERLINK("https://eproc.rajasthan.gov.in/nicgep/app?component=%24DirectLink&amp;page=FrontEndViewTender&amp;service=direct&amp;session=T&amp;sp=SKjKb%2BmxEYJSPSpRr3GjkCA%3D%3D", "Construction Material supplie work gram panchyat ladpur")</f>
        <v/>
      </c>
      <c r="C3192" t="inlineStr">
        <is>
          <t>Panchayati Raj Department||Secretary and Commissioner||CEO-BUNDI||BDO-TALERA</t>
        </is>
      </c>
      <c r="D3192" t="inlineStr">
        <is>
          <t>19-May-2025 06:00 PM</t>
        </is>
      </c>
      <c r="E3192" t="inlineStr">
        <is>
          <t>80,00,000</t>
        </is>
      </c>
      <c r="F3192" t="inlineStr">
        <is>
          <t>Construction Material supplie work gram panchyat ladpur</t>
        </is>
      </c>
      <c r="G3192" t="inlineStr">
        <is>
          <t>gp ladpur</t>
        </is>
      </c>
    </row>
    <row r="3193">
      <c r="A3193" s="1" t="n">
        <v>3191</v>
      </c>
      <c r="B3193">
        <f>HYPERLINK("https://eproc.rajasthan.gov.in/nicgep/app?component=%24DirectLink&amp;page=FrontEndViewTender&amp;service=direct&amp;session=T&amp;sp=SGuq55%2FfS1%2FDNYlqLkuj11g%3D%3D", "Construction Material supplie work gram panchyat Jakhmund")</f>
        <v/>
      </c>
      <c r="C3193" t="inlineStr">
        <is>
          <t>Panchayati Raj Department||Secretary and Commissioner||CEO-BUNDI||BDO-TALERA</t>
        </is>
      </c>
      <c r="D3193" t="inlineStr">
        <is>
          <t>19-May-2025 06:00 PM</t>
        </is>
      </c>
      <c r="E3193" t="inlineStr">
        <is>
          <t>80,00,000</t>
        </is>
      </c>
      <c r="F3193" t="inlineStr">
        <is>
          <t>Construction Material supplie work gram panchyat Jakhmund</t>
        </is>
      </c>
      <c r="G3193" t="inlineStr">
        <is>
          <t>gp jakhmund</t>
        </is>
      </c>
    </row>
    <row r="3194">
      <c r="A3194" s="1" t="n">
        <v>3192</v>
      </c>
      <c r="B3194">
        <f>HYPERLINK("https://eproc.rajasthan.gov.in/nicgep/app?component=%24DirectLink&amp;page=FrontEndViewTender&amp;service=direct&amp;session=T&amp;sp=SnREYAvv0xEyEwLNvQ9dKuQ%3D%3D", "Construction Material supplie work gram panchyat Ganeshpura")</f>
        <v/>
      </c>
      <c r="C3194" t="inlineStr">
        <is>
          <t>Panchayati Raj Department||Secretary and Commissioner||CEO-BUNDI||BDO-TALERA</t>
        </is>
      </c>
      <c r="D3194" t="inlineStr">
        <is>
          <t>19-May-2025 06:00 PM</t>
        </is>
      </c>
      <c r="E3194" t="inlineStr">
        <is>
          <t>80,00,000</t>
        </is>
      </c>
      <c r="F3194" t="inlineStr">
        <is>
          <t>Construction Material supplie work gram panchyat Ganeshpura</t>
        </is>
      </c>
      <c r="G3194" t="inlineStr">
        <is>
          <t>gp ganeshpura</t>
        </is>
      </c>
    </row>
    <row r="3195">
      <c r="A3195" s="1" t="n">
        <v>3193</v>
      </c>
      <c r="B3195">
        <f>HYPERLINK("https://eproc.rajasthan.gov.in/nicgep/app?component=%24DirectLink&amp;page=FrontEndViewTender&amp;service=direct&amp;session=T&amp;sp=SP9%2FsldkLToKecmPKV4o2Jw%3D%3D", "Construction Material supplie work gram panchyat Delunda")</f>
        <v/>
      </c>
      <c r="C3195" t="inlineStr">
        <is>
          <t>Panchayati Raj Department||Secretary and Commissioner||CEO-BUNDI||BDO-TALERA</t>
        </is>
      </c>
      <c r="D3195" t="inlineStr">
        <is>
          <t>19-May-2025 06:00 PM</t>
        </is>
      </c>
      <c r="E3195" t="inlineStr">
        <is>
          <t>80,00,000</t>
        </is>
      </c>
      <c r="F3195" t="inlineStr">
        <is>
          <t>Construction Material supplie work gram panchyat Delunda</t>
        </is>
      </c>
      <c r="G3195" t="inlineStr">
        <is>
          <t>gp delunda</t>
        </is>
      </c>
    </row>
    <row r="3196">
      <c r="A3196" s="1" t="n">
        <v>3194</v>
      </c>
      <c r="B3196">
        <f>HYPERLINK("https://eproc.rajasthan.gov.in/nicgep/app?component=%24DirectLink&amp;page=FrontEndViewTender&amp;service=direct&amp;session=T&amp;sp=SUSYuk7SO9iiEVqgbdZhfIg%3D%3D", "Construction Material supplie work gram panchyat lambakho")</f>
        <v/>
      </c>
      <c r="C3196" t="inlineStr">
        <is>
          <t>Panchayati Raj Department||Secretary and Commissioner||CEO-BUNDI||BDO-TALERA</t>
        </is>
      </c>
      <c r="D3196" t="inlineStr">
        <is>
          <t>19-May-2025 06:00 PM</t>
        </is>
      </c>
      <c r="E3196" t="inlineStr">
        <is>
          <t>80,00,000</t>
        </is>
      </c>
      <c r="F3196" t="inlineStr">
        <is>
          <t>Construction Material supplie work gram panchyat lambakho</t>
        </is>
      </c>
      <c r="G3196" t="inlineStr">
        <is>
          <t>gp lambakho</t>
        </is>
      </c>
    </row>
    <row r="3197">
      <c r="A3197" s="1" t="n">
        <v>3195</v>
      </c>
      <c r="B3197">
        <f>HYPERLINK("https://eproc.rajasthan.gov.in/nicgep/app?component=%24DirectLink&amp;page=FrontEndViewTender&amp;service=direct&amp;session=T&amp;sp=S%2B0rnXscxGIkfkXIiZPFNfQ%3D%3D", "Construction Material supplie work gram panchyat jawarsagar")</f>
        <v/>
      </c>
      <c r="C3197" t="inlineStr">
        <is>
          <t>Panchayati Raj Department||Secretary and Commissioner||CEO-BUNDI||BDO-TALERA</t>
        </is>
      </c>
      <c r="D3197" t="inlineStr">
        <is>
          <t>19-May-2025 06:00 PM</t>
        </is>
      </c>
      <c r="E3197" t="inlineStr">
        <is>
          <t>30,00,000</t>
        </is>
      </c>
      <c r="F3197" t="inlineStr">
        <is>
          <t>Construction Material supplie work gram panchyat jawarsagar</t>
        </is>
      </c>
      <c r="G3197" t="inlineStr">
        <is>
          <t>gp jawarsagar</t>
        </is>
      </c>
    </row>
    <row r="3198">
      <c r="A3198" s="1" t="n">
        <v>3196</v>
      </c>
      <c r="B3198">
        <f>HYPERLINK("https://eproc.rajasthan.gov.in/nicgep/app?component=%24DirectLink&amp;page=FrontEndViewTender&amp;service=direct&amp;session=T&amp;sp=Sy2PlJUJ60ZqY9QxXvIor0g%3D%3D", "Construction Material supplie work gram panchyat gopalpura")</f>
        <v/>
      </c>
      <c r="C3198" t="inlineStr">
        <is>
          <t>Panchayati Raj Department||Secretary and Commissioner||CEO-BUNDI||BDO-TALERA</t>
        </is>
      </c>
      <c r="D3198" t="inlineStr">
        <is>
          <t>19-May-2025 06:00 PM</t>
        </is>
      </c>
      <c r="E3198" t="inlineStr">
        <is>
          <t>80,00,000</t>
        </is>
      </c>
      <c r="F3198" t="inlineStr">
        <is>
          <t>Construction Material supplie work gram panchyat gopalpura</t>
        </is>
      </c>
      <c r="G3198" t="inlineStr">
        <is>
          <t>gp gopalpura</t>
        </is>
      </c>
    </row>
    <row r="3199">
      <c r="A3199" s="1" t="n">
        <v>3197</v>
      </c>
      <c r="B3199">
        <f>HYPERLINK("https://eproc.rajasthan.gov.in/nicgep/app?component=%24DirectLink&amp;page=FrontEndViewTender&amp;service=direct&amp;session=T&amp;sp=SlhnuCusrTMi2%2FEWaHbNmaw%3D%3D", "Construction Material supplie work gram panchyat dora")</f>
        <v/>
      </c>
      <c r="C3199" t="inlineStr">
        <is>
          <t>Panchayati Raj Department||Secretary and Commissioner||CEO-BUNDI||BDO-TALERA</t>
        </is>
      </c>
      <c r="D3199" t="inlineStr">
        <is>
          <t>19-May-2025 06:00 PM</t>
        </is>
      </c>
      <c r="E3199" t="inlineStr">
        <is>
          <t>80,00,000</t>
        </is>
      </c>
      <c r="F3199" t="inlineStr">
        <is>
          <t>Construction Material supplie work gram panchyat dora</t>
        </is>
      </c>
      <c r="G3199" t="inlineStr">
        <is>
          <t>gp dora</t>
        </is>
      </c>
    </row>
    <row r="3200">
      <c r="A3200" s="1" t="n">
        <v>3198</v>
      </c>
      <c r="B3200">
        <f>HYPERLINK("https://eproc.rajasthan.gov.in/nicgep/app?component=%24DirectLink&amp;page=FrontEndViewTender&amp;service=direct&amp;session=T&amp;sp=SlHmnR3JfAcIGEo1fdbprEA%3D%3D", "Work including door-to-door residential and commercial garbage collection and separation road and drain cleaning and community sanitation premises cleaning in all villages of Gram Panchayat BANDABERA As per the G schedule atteched")</f>
        <v/>
      </c>
      <c r="C3200" t="inlineStr">
        <is>
          <t>Panchayati Raj Department||Secretary and Commissioner||CEO-BADMER||BDO-DHANAU</t>
        </is>
      </c>
      <c r="D3200" t="inlineStr">
        <is>
          <t>19-May-2025 06:00 PM</t>
        </is>
      </c>
      <c r="E3200" t="inlineStr">
        <is>
          <t>1,66,730</t>
        </is>
      </c>
      <c r="F3200" t="inlineStr">
        <is>
          <t>Work including door-to-door residential and commercial garbage collection and separation road and drain cleaning and community sanitation premises cleaning in all villages of Gram Panchayat BANDABERA As per the G schedule atteched</t>
        </is>
      </c>
      <c r="G3200" t="inlineStr">
        <is>
          <t>Work including door-to-door residential and commer</t>
        </is>
      </c>
    </row>
    <row r="3201">
      <c r="A3201" s="1" t="n">
        <v>3199</v>
      </c>
      <c r="B3201">
        <f>HYPERLINK("https://eproc.rajasthan.gov.in/nicgep/app?component=%24DirectLink&amp;page=FrontEndViewTender&amp;service=direct&amp;session=T&amp;sp=SgvYVaI7EQVHAOUdvZ1WPpw%3D%3D", "Work including door-to-door residential and commercial garbage collection and separation road and drain cleaning and community sanitation premises cleaning in all villages of Gram Panchayat BISASAR As per the G schedule atteched")</f>
        <v/>
      </c>
      <c r="C3201" t="inlineStr">
        <is>
          <t>Panchayati Raj Department||Secretary and Commissioner||CEO-BADMER||BDO-DHANAU</t>
        </is>
      </c>
      <c r="D3201" t="inlineStr">
        <is>
          <t>19-May-2025 06:00 PM</t>
        </is>
      </c>
      <c r="E3201" t="inlineStr">
        <is>
          <t>7,95,881</t>
        </is>
      </c>
      <c r="F3201" t="inlineStr">
        <is>
          <t>Work including door-to-door residential and commercial garbage collection and separation road and drain cleaning and community sanitation premises cleaning in all villages of Gram Panchayat BISASAR As per the G schedule atteched</t>
        </is>
      </c>
      <c r="G3201" t="inlineStr">
        <is>
          <t>Work including door-to-door residential and commer</t>
        </is>
      </c>
    </row>
    <row r="3202">
      <c r="A3202" s="1" t="n">
        <v>3200</v>
      </c>
      <c r="B3202">
        <f>HYPERLINK("https://eproc.rajasthan.gov.in/nicgep/app?component=%24DirectLink&amp;page=FrontEndViewTender&amp;service=direct&amp;session=T&amp;sp=SNgZ%2BAzDU32%2BcnepQk3NlUA%3D%3D", "Work including door-to-door residential and commercial garbage collection and separation road and drain cleaning and community sanitation premises cleaning in all villages of Gram Panchayat EKLIYA DHORA As per the G schedule atteched")</f>
        <v/>
      </c>
      <c r="C3202" t="inlineStr">
        <is>
          <t>Panchayati Raj Department||Secretary and Commissioner||CEO-BADMER||BDO-DHANAU</t>
        </is>
      </c>
      <c r="D3202" t="inlineStr">
        <is>
          <t>19-May-2025 06:00 PM</t>
        </is>
      </c>
      <c r="E3202" t="inlineStr">
        <is>
          <t>6,08,818</t>
        </is>
      </c>
      <c r="F3202" t="inlineStr">
        <is>
          <t>Work including door-to-door residential and commercial garbage collection and separation road and drain cleaning and community sanitation premises cleaning in all villages of Gram Panchayat EKLIYA DHORA As per the G schedule atteched</t>
        </is>
      </c>
      <c r="G3202" t="inlineStr">
        <is>
          <t>Work including door-to-door residential and commer</t>
        </is>
      </c>
    </row>
    <row r="3203">
      <c r="A3203" s="1" t="n">
        <v>3201</v>
      </c>
      <c r="B3203">
        <f>HYPERLINK("https://eproc.rajasthan.gov.in/nicgep/app?component=%24DirectLink&amp;page=FrontEndViewTender&amp;service=direct&amp;session=T&amp;sp=Smoq4vDtSfqSub80SClTC4g%3D%3D", "Work including door-to-door residential and commercial garbage collection and separation road and drain cleaning and community sanitation premises cleaning in all villages of Gram Panchayat JANIYO KI BASTI As per the G schedule atteched")</f>
        <v/>
      </c>
      <c r="C3203" t="inlineStr">
        <is>
          <t>Panchayati Raj Department||Secretary and Commissioner||CEO-BADMER||BDO-DHANAU</t>
        </is>
      </c>
      <c r="D3203" t="inlineStr">
        <is>
          <t>19-May-2025 06:00 PM</t>
        </is>
      </c>
      <c r="E3203" t="inlineStr">
        <is>
          <t>1,70,518</t>
        </is>
      </c>
      <c r="F3203" t="inlineStr">
        <is>
          <t>Work including door-to-door residential and commercial garbage collection and separation road and drain cleaning and community sanitation premises cleaning in all villages of Gram Panchayat JANIYO KI BASTI As per the G schedule atteched</t>
        </is>
      </c>
      <c r="G3203" t="inlineStr">
        <is>
          <t>Work including door-to-door residential and commer</t>
        </is>
      </c>
    </row>
    <row r="3204">
      <c r="A3204" s="1" t="n">
        <v>3202</v>
      </c>
      <c r="B3204">
        <f>HYPERLINK("https://eproc.rajasthan.gov.in/nicgep/app?component=%24DirectLink&amp;page=FrontEndViewTender&amp;service=direct&amp;session=T&amp;sp=SLRv6J28BFnFNDkOrFrTU7Q%3D%3D", "Work including door-to-door residential and commercial garbage collection and separation road and drain cleaning and community sanitation premises cleaning in all villages of Gram Panchayat JALILA As per the G schedule atteched")</f>
        <v/>
      </c>
      <c r="C3204" t="inlineStr">
        <is>
          <t>Panchayati Raj Department||Secretary and Commissioner||CEO-BADMER||BDO-DHANAU</t>
        </is>
      </c>
      <c r="D3204" t="inlineStr">
        <is>
          <t>19-May-2025 06:00 PM</t>
        </is>
      </c>
      <c r="E3204" t="inlineStr">
        <is>
          <t>7,33,745</t>
        </is>
      </c>
      <c r="F3204" t="inlineStr">
        <is>
          <t>Work including door-to-door residential and commercial garbage collection and separation road and drain cleaning and community sanitation premises cleaning in all villages of Gram Panchayat JALILA As per the G schedule atteched</t>
        </is>
      </c>
      <c r="G3204" t="inlineStr">
        <is>
          <t>Work including door-to-door residential and commer</t>
        </is>
      </c>
    </row>
    <row r="3205">
      <c r="A3205" s="1" t="n">
        <v>3203</v>
      </c>
      <c r="B3205">
        <f>HYPERLINK("https://eproc.rajasthan.gov.in/nicgep/app?component=%24DirectLink&amp;page=FrontEndViewTender&amp;service=direct&amp;session=T&amp;sp=SyIx5hJmPT6KQptRqgaK2sw%3D%3D", "Work including door-to-door residential and commercial garbage collection and separation road and drain cleaning and community sanitation premises cleaning in all villages of Gram Panchayat ITADIYA As per the G schedule atteched")</f>
        <v/>
      </c>
      <c r="C3205" t="inlineStr">
        <is>
          <t>Panchayati Raj Department||Secretary and Commissioner||CEO-BADMER||BDO-DHANAU</t>
        </is>
      </c>
      <c r="D3205" t="inlineStr">
        <is>
          <t>19-May-2025 06:00 PM</t>
        </is>
      </c>
      <c r="E3205" t="inlineStr">
        <is>
          <t>5,83,106</t>
        </is>
      </c>
      <c r="F3205" t="inlineStr">
        <is>
          <t>Work including door-to-door residential and commercial garbage collection and separation road and drain cleaning and community sanitation premises cleaning in all villages of Gram Panchayat ITADIYA As per the G schedule atteched</t>
        </is>
      </c>
      <c r="G3205" t="inlineStr">
        <is>
          <t>Work including door-to-door residential and commer</t>
        </is>
      </c>
    </row>
    <row r="3206">
      <c r="A3206" s="1" t="n">
        <v>3204</v>
      </c>
      <c r="B3206">
        <f>HYPERLINK("https://eproc.rajasthan.gov.in/nicgep/app?component=%24DirectLink&amp;page=FrontEndViewTender&amp;service=direct&amp;session=T&amp;sp=SHeNWIrznyrl946qkUZ2sAA%3D%3D", "Cleaning and Sanitation Activities tender of gp galaberi")</f>
        <v/>
      </c>
      <c r="C3206" t="inlineStr">
        <is>
          <t>Panchayati Raj Department||Secretary and Commissioner||CEO-BADMER||BDO-BARMER RURAL</t>
        </is>
      </c>
      <c r="D3206" t="inlineStr">
        <is>
          <t>21-May-2025 05:00 PM</t>
        </is>
      </c>
      <c r="E3206" t="inlineStr">
        <is>
          <t>10,77,150</t>
        </is>
      </c>
      <c r="F3206" t="inlineStr">
        <is>
          <t>Cleaning and Sanitation Activities tender of gp galaberi</t>
        </is>
      </c>
      <c r="G3206" t="inlineStr">
        <is>
          <t>gram panchayat galaberi</t>
        </is>
      </c>
    </row>
    <row r="3207">
      <c r="A3207" s="1" t="n">
        <v>3205</v>
      </c>
      <c r="B3207">
        <f>HYPERLINK("https://eproc.rajasthan.gov.in/nicgep/app?component=%24DirectLink&amp;page=FrontEndViewTender&amp;service=direct&amp;session=T&amp;sp=SB1KkAZ2XmSI8y7PnaviOqg%3D%3D", "Cleaning and Sanitation Activities tender of gp kapuradi")</f>
        <v/>
      </c>
      <c r="C3207" t="inlineStr">
        <is>
          <t>Panchayati Raj Department||Secretary and Commissioner||CEO-BADMER||BDO-BARMER RURAL</t>
        </is>
      </c>
      <c r="D3207" t="inlineStr">
        <is>
          <t>21-May-2025 05:00 PM</t>
        </is>
      </c>
      <c r="E3207" t="inlineStr">
        <is>
          <t>16,01,904</t>
        </is>
      </c>
      <c r="F3207" t="inlineStr">
        <is>
          <t>Cleaning and Sanitation Activities tender of gp kapuradi</t>
        </is>
      </c>
      <c r="G3207" t="inlineStr">
        <is>
          <t>gram panchayat kapuradi</t>
        </is>
      </c>
    </row>
    <row r="3208">
      <c r="A3208" s="1" t="n">
        <v>3206</v>
      </c>
      <c r="B3208">
        <f>HYPERLINK("https://eproc.rajasthan.gov.in/nicgep/app?component=%24DirectLink&amp;page=FrontEndViewTender&amp;service=direct&amp;session=T&amp;sp=Szxj2%2B5NcaJiJSkvvNiOc6Q%3D%3D", "Cleaning and Sanitation Activities tender of gp ramsar ka kua")</f>
        <v/>
      </c>
      <c r="C3208" t="inlineStr">
        <is>
          <t>Panchayati Raj Department||Secretary and Commissioner||CEO-BADMER||BDO-BARMER RURAL</t>
        </is>
      </c>
      <c r="D3208" t="inlineStr">
        <is>
          <t>21-May-2025 05:00 PM</t>
        </is>
      </c>
      <c r="E3208" t="inlineStr">
        <is>
          <t>14,36,048</t>
        </is>
      </c>
      <c r="F3208" t="inlineStr">
        <is>
          <t>Cleaning and Sanitation Activities tender of gp ramsar ka kua</t>
        </is>
      </c>
      <c r="G3208" t="inlineStr">
        <is>
          <t>gram panchayat ramsar ka kua</t>
        </is>
      </c>
    </row>
    <row r="3209">
      <c r="A3209" s="1" t="n">
        <v>3207</v>
      </c>
      <c r="B3209">
        <f>HYPERLINK("https://eproc.rajasthan.gov.in/nicgep/app?component=%24DirectLink&amp;page=FrontEndViewTender&amp;service=direct&amp;session=T&amp;sp=S1Eysx1OuMUCAIGi50tXBCA%3D%3D", "Cleaning and Sanitation Activities tender of gp adarsh chawa")</f>
        <v/>
      </c>
      <c r="C3209" t="inlineStr">
        <is>
          <t>Panchayati Raj Department||Secretary and Commissioner||CEO-BADMER||BDO-BARMER RURAL</t>
        </is>
      </c>
      <c r="D3209" t="inlineStr">
        <is>
          <t>21-May-2025 05:00 PM</t>
        </is>
      </c>
      <c r="E3209" t="inlineStr">
        <is>
          <t>18,14,706</t>
        </is>
      </c>
      <c r="F3209" t="inlineStr">
        <is>
          <t>Cleaning and Sanitation Activities tender of gp adarsh chawa</t>
        </is>
      </c>
      <c r="G3209" t="inlineStr">
        <is>
          <t>gram panchayat adarsh chawa</t>
        </is>
      </c>
    </row>
    <row r="3210">
      <c r="A3210" s="1" t="n">
        <v>3208</v>
      </c>
      <c r="B3210">
        <f>HYPERLINK("https://eproc.rajasthan.gov.in/nicgep/app?component=%24DirectLink&amp;page=FrontEndViewTender&amp;service=direct&amp;session=T&amp;sp=S3q57K5hwa8T4aYwEXBqFhg%3D%3D", "Cleaning and Sanitation Activities tender of gp sanjta")</f>
        <v/>
      </c>
      <c r="C3210" t="inlineStr">
        <is>
          <t>Panchayati Raj Department||Secretary and Commissioner||CEO-BADMER||BDO-BARMER RURAL</t>
        </is>
      </c>
      <c r="D3210" t="inlineStr">
        <is>
          <t>21-May-2025 05:00 PM</t>
        </is>
      </c>
      <c r="E3210" t="inlineStr">
        <is>
          <t>14,61,439</t>
        </is>
      </c>
      <c r="F3210" t="inlineStr">
        <is>
          <t>Cleaning and Sanitation Activities tender of gp sanjta</t>
        </is>
      </c>
      <c r="G3210" t="inlineStr">
        <is>
          <t>gram panchayat sanjta</t>
        </is>
      </c>
    </row>
    <row r="3211">
      <c r="A3211" s="1" t="n">
        <v>3209</v>
      </c>
      <c r="B3211">
        <f>HYPERLINK("https://eproc.rajasthan.gov.in/nicgep/app?component=%24DirectLink&amp;page=FrontEndViewTender&amp;service=direct&amp;session=T&amp;sp=S%2BJyjLBKQQyDlBjBt5SNnmQ%3D%3D", "Cleaning and Sanitation Activities tender of gp chawa")</f>
        <v/>
      </c>
      <c r="C3211" t="inlineStr">
        <is>
          <t>Panchayati Raj Department||Secretary and Commissioner||CEO-BADMER||BDO-BARMER RURAL</t>
        </is>
      </c>
      <c r="D3211" t="inlineStr">
        <is>
          <t>21-May-2025 05:00 PM</t>
        </is>
      </c>
      <c r="E3211" t="inlineStr">
        <is>
          <t>11,80,503</t>
        </is>
      </c>
      <c r="F3211" t="inlineStr">
        <is>
          <t>Cleaning and Sanitation Activities tender of gp chawa</t>
        </is>
      </c>
      <c r="G3211" t="inlineStr">
        <is>
          <t>gram panchayat chawa</t>
        </is>
      </c>
    </row>
    <row r="3212">
      <c r="A3212" s="1" t="n">
        <v>3210</v>
      </c>
      <c r="B3212">
        <f>HYPERLINK("https://eproc.rajasthan.gov.in/nicgep/app?component=%24DirectLink&amp;page=FrontEndViewTender&amp;service=direct&amp;session=T&amp;sp=SM%2BnELthOh4TcFipjUpVe2w%3D%3D", "Cleaning and Sanitation Activities tender of gp mudho ki dhani")</f>
        <v/>
      </c>
      <c r="C3212" t="inlineStr">
        <is>
          <t>Panchayati Raj Department||Secretary and Commissioner||CEO-BADMER||BDO-BARMER RURAL</t>
        </is>
      </c>
      <c r="D3212" t="inlineStr">
        <is>
          <t>21-May-2025 05:00 PM</t>
        </is>
      </c>
      <c r="E3212" t="inlineStr">
        <is>
          <t>11,39,931</t>
        </is>
      </c>
      <c r="F3212" t="inlineStr">
        <is>
          <t>Cleaning and Sanitation Activities tender of gp mudho ki dhani</t>
        </is>
      </c>
      <c r="G3212" t="inlineStr">
        <is>
          <t>gram panchayat mudho ki dhani</t>
        </is>
      </c>
    </row>
    <row r="3213">
      <c r="A3213" s="1" t="n">
        <v>3211</v>
      </c>
      <c r="B3213">
        <f>HYPERLINK("https://eproc.rajasthan.gov.in/nicgep/app?component=%24DirectLink&amp;page=FrontEndViewTender&amp;service=direct&amp;session=T&amp;sp=Sbc%2FC06zsV9Ne%2FBB3FHb8qw%3D%3D", "Cleaning and Sanitation Activities tender of gp kawas")</f>
        <v/>
      </c>
      <c r="C3213" t="inlineStr">
        <is>
          <t>Panchayati Raj Department||Secretary and Commissioner||CEO-BADMER||BDO-BARMER RURAL</t>
        </is>
      </c>
      <c r="D3213" t="inlineStr">
        <is>
          <t>21-May-2025 05:00 PM</t>
        </is>
      </c>
      <c r="E3213" t="inlineStr">
        <is>
          <t>15,68,176</t>
        </is>
      </c>
      <c r="F3213" t="inlineStr">
        <is>
          <t>Cleaning and Sanitation Activities tender of gp kawas</t>
        </is>
      </c>
      <c r="G3213" t="inlineStr">
        <is>
          <t>gram panchayat kawas</t>
        </is>
      </c>
    </row>
    <row r="3214">
      <c r="A3214" s="1" t="n">
        <v>3212</v>
      </c>
      <c r="B3214">
        <f>HYPERLINK("https://eproc.rajasthan.gov.in/nicgep/app?component=%24DirectLink&amp;page=FrontEndViewTender&amp;service=direct&amp;session=T&amp;sp=SN%2F2q0G2HVoId1ghGvkwyew%3D%3D", "Cleaning and Sanitation Activities tender of gp bhadkha")</f>
        <v/>
      </c>
      <c r="C3214" t="inlineStr">
        <is>
          <t>Panchayati Raj Department||Secretary and Commissioner||CEO-BADMER||BDO-BARMER RURAL</t>
        </is>
      </c>
      <c r="D3214" t="inlineStr">
        <is>
          <t>21-May-2025 05:00 PM</t>
        </is>
      </c>
      <c r="E3214" t="inlineStr">
        <is>
          <t>33,90,085</t>
        </is>
      </c>
      <c r="F3214" t="inlineStr">
        <is>
          <t>Cleaning and Sanitation Activities tender of gp bhadkha</t>
        </is>
      </c>
      <c r="G3214" t="inlineStr">
        <is>
          <t>gram panchayat bhadkha</t>
        </is>
      </c>
    </row>
    <row r="3215">
      <c r="A3215" s="1" t="n">
        <v>3213</v>
      </c>
      <c r="B3215">
        <f>HYPERLINK("https://eproc.rajasthan.gov.in/nicgep/app?component=%24DirectLink&amp;page=FrontEndViewTender&amp;service=direct&amp;session=T&amp;sp=SNZmqQMsfTpmHXuWZwVqSeg%3D%3D", "Cleaning and Sanitation Activities tender of gp rohili")</f>
        <v/>
      </c>
      <c r="C3215" t="inlineStr">
        <is>
          <t>Panchayati Raj Department||Secretary and Commissioner||CEO-BADMER||BDO-BARMER RURAL</t>
        </is>
      </c>
      <c r="D3215" t="inlineStr">
        <is>
          <t>21-May-2025 05:00 PM</t>
        </is>
      </c>
      <c r="E3215" t="inlineStr">
        <is>
          <t>13,20,134</t>
        </is>
      </c>
      <c r="F3215" t="inlineStr">
        <is>
          <t>Cleaning and Sanitation Activities tender of gp rohili</t>
        </is>
      </c>
      <c r="G3215" t="inlineStr">
        <is>
          <t>gram panchayat rohili</t>
        </is>
      </c>
    </row>
    <row r="3216">
      <c r="A3216" s="1" t="n">
        <v>3214</v>
      </c>
      <c r="B3216">
        <f>HYPERLINK("https://eproc.rajasthan.gov.in/nicgep/app?component=%24DirectLink&amp;page=FrontEndViewTender&amp;service=direct&amp;session=T&amp;sp=SCr7fTiyw0%2Bxe2YrhaMmR9A%3D%3D", "Cleaning and Sanitation Activities tender of gp khariya tala")</f>
        <v/>
      </c>
      <c r="C3216" t="inlineStr">
        <is>
          <t>Panchayati Raj Department||Secretary and Commissioner||CEO-BADMER||BDO-BARMER RURAL</t>
        </is>
      </c>
      <c r="D3216" t="inlineStr">
        <is>
          <t>21-May-2025 05:00 PM</t>
        </is>
      </c>
      <c r="E3216" t="inlineStr">
        <is>
          <t>16,41,662</t>
        </is>
      </c>
      <c r="F3216" t="inlineStr">
        <is>
          <t>Cleaning and Sanitation Activities tender of gp khariya tala</t>
        </is>
      </c>
      <c r="G3216" t="inlineStr">
        <is>
          <t>gram panchayat khariya tala</t>
        </is>
      </c>
    </row>
    <row r="3217">
      <c r="A3217" s="1" t="n">
        <v>3215</v>
      </c>
      <c r="B3217">
        <f>HYPERLINK("https://eproc.rajasthan.gov.in/nicgep/app?component=%24DirectLink&amp;page=FrontEndViewTender&amp;service=direct&amp;session=T&amp;sp=SXrpyoW8h%2BY6jJKbU8NVVIA%3D%3D", "Cleaning and Sanitation Activities tender of gp adarsh dhundha")</f>
        <v/>
      </c>
      <c r="C3217" t="inlineStr">
        <is>
          <t>Panchayati Raj Department||Secretary and Commissioner||CEO-BADMER||BDO-BARMER RURAL</t>
        </is>
      </c>
      <c r="D3217" t="inlineStr">
        <is>
          <t>21-May-2025 05:00 PM</t>
        </is>
      </c>
      <c r="E3217" t="inlineStr">
        <is>
          <t>15,98,241</t>
        </is>
      </c>
      <c r="F3217" t="inlineStr">
        <is>
          <t>Cleaning and Sanitation Activities tender of gp adarsh dhundha</t>
        </is>
      </c>
      <c r="G3217" t="inlineStr">
        <is>
          <t>gram panchayat adarsh dhundha</t>
        </is>
      </c>
    </row>
    <row r="3218">
      <c r="A3218" s="1" t="n">
        <v>3216</v>
      </c>
      <c r="B3218">
        <f>HYPERLINK("https://eproc.rajasthan.gov.in/nicgep/app?component=%24DirectLink&amp;page=FrontEndViewTender&amp;service=direct&amp;session=T&amp;sp=S5wa46z6wT0OGpfrrbvRxRg%3D%3D", "Cleaning and Sanitation Activities tender of gp nokh")</f>
        <v/>
      </c>
      <c r="C3218" t="inlineStr">
        <is>
          <t>Panchayati Raj Department||Secretary and Commissioner||CEO-BADMER||BDO-BARMER RURAL</t>
        </is>
      </c>
      <c r="D3218" t="inlineStr">
        <is>
          <t>21-May-2025 05:00 PM</t>
        </is>
      </c>
      <c r="E3218" t="inlineStr">
        <is>
          <t>11,78,669</t>
        </is>
      </c>
      <c r="F3218" t="inlineStr">
        <is>
          <t>Cleaning and Sanitation Activities tender of gp nokh</t>
        </is>
      </c>
      <c r="G3218" t="inlineStr">
        <is>
          <t>gram panchayat nokh</t>
        </is>
      </c>
    </row>
    <row r="3219">
      <c r="A3219" s="1" t="n">
        <v>3217</v>
      </c>
      <c r="B3219">
        <f>HYPERLINK("https://eproc.rajasthan.gov.in/nicgep/app?component=%24DirectLink&amp;page=FrontEndViewTender&amp;service=direct&amp;session=T&amp;sp=SCvQJivZ5YrtRCubTWc6E%2Bw%3D%3D", "Cleaning and Sanitation Activities tender of gp motiyoniyo ka tala")</f>
        <v/>
      </c>
      <c r="C3219" t="inlineStr">
        <is>
          <t>Panchayati Raj Department||Secretary and Commissioner||CEO-BADMER||BDO-BARMER RURAL</t>
        </is>
      </c>
      <c r="D3219" t="inlineStr">
        <is>
          <t>21-May-2025 05:00 PM</t>
        </is>
      </c>
      <c r="E3219" t="inlineStr">
        <is>
          <t>8,48,883</t>
        </is>
      </c>
      <c r="F3219" t="inlineStr">
        <is>
          <t>Cleaning and Sanitation Activities tender of gp motiyoniyo ka tala</t>
        </is>
      </c>
      <c r="G3219" t="inlineStr">
        <is>
          <t>gram panchayat motiyoniyo ka tala</t>
        </is>
      </c>
    </row>
    <row r="3220">
      <c r="A3220" s="1" t="n">
        <v>3218</v>
      </c>
      <c r="B3220">
        <f>HYPERLINK("https://eproc.rajasthan.gov.in/nicgep/app?component=%24DirectLink&amp;page=FrontEndViewTender&amp;service=direct&amp;session=T&amp;sp=SfumaQjWtg6f3tnl1jsYhzg%3D%3D", "Cleaning and Sanitation Activities tender of gp dablisra")</f>
        <v/>
      </c>
      <c r="C3220" t="inlineStr">
        <is>
          <t>Panchayati Raj Department||Secretary and Commissioner||CEO-BADMER||BDO-BARMER RURAL</t>
        </is>
      </c>
      <c r="D3220" t="inlineStr">
        <is>
          <t>21-May-2025 05:00 PM</t>
        </is>
      </c>
      <c r="E3220" t="inlineStr">
        <is>
          <t>8,58,716</t>
        </is>
      </c>
      <c r="F3220" t="inlineStr">
        <is>
          <t>Cleaning and Sanitation Activities tender of gp dablisra</t>
        </is>
      </c>
      <c r="G3220" t="inlineStr">
        <is>
          <t>gram panchayat dablisra</t>
        </is>
      </c>
    </row>
    <row r="3221">
      <c r="A3221" s="1" t="n">
        <v>3219</v>
      </c>
      <c r="B3221">
        <f>HYPERLINK("https://eproc.rajasthan.gov.in/nicgep/app?component=%24DirectLink&amp;page=FrontEndViewTender&amp;service=direct&amp;session=T&amp;sp=SvXYssW54pNiIr%2FUWPN87Ig%3D%3D", "Cleaning and Sanitation Activities tender of gp dudiyo ki dhani")</f>
        <v/>
      </c>
      <c r="C3221" t="inlineStr">
        <is>
          <t>Panchayati Raj Department||Secretary and Commissioner||CEO-BADMER||BDO-BARMER RURAL</t>
        </is>
      </c>
      <c r="D3221" t="inlineStr">
        <is>
          <t>21-May-2025 05:00 PM</t>
        </is>
      </c>
      <c r="E3221" t="inlineStr">
        <is>
          <t>6,31,109</t>
        </is>
      </c>
      <c r="F3221" t="inlineStr">
        <is>
          <t>Cleaning and Sanitation Activities tender of gp dudiyo ki dhani</t>
        </is>
      </c>
      <c r="G3221" t="inlineStr">
        <is>
          <t>gram panchayat dudiyo ki dhani</t>
        </is>
      </c>
    </row>
    <row r="3222">
      <c r="A3222" s="1" t="n">
        <v>3220</v>
      </c>
      <c r="B3222">
        <f>HYPERLINK("https://eproc.rajasthan.gov.in/nicgep/app?component=%24DirectLink&amp;page=FrontEndViewTender&amp;service=direct&amp;session=T&amp;sp=St8j5YjOcmSZY0XGChh5N5Q%3D%3D", "Cleaning and Sanitation Activities tender of gp matasar")</f>
        <v/>
      </c>
      <c r="C3222" t="inlineStr">
        <is>
          <t>Panchayati Raj Department||Secretary and Commissioner||CEO-BADMER||BDO-BARMER RURAL</t>
        </is>
      </c>
      <c r="D3222" t="inlineStr">
        <is>
          <t>21-May-2025 05:00 PM</t>
        </is>
      </c>
      <c r="E3222" t="inlineStr">
        <is>
          <t>15,46,539</t>
        </is>
      </c>
      <c r="F3222" t="inlineStr">
        <is>
          <t>Cleaning and Sanitation Activities tender of gp matasar</t>
        </is>
      </c>
      <c r="G3222" t="inlineStr">
        <is>
          <t>gram panchayat matasar</t>
        </is>
      </c>
    </row>
    <row r="3223">
      <c r="A3223" s="1" t="n">
        <v>3221</v>
      </c>
      <c r="B3223">
        <f>HYPERLINK("https://eproc.rajasthan.gov.in/nicgep/app?component=%24DirectLink&amp;page=FrontEndViewTender&amp;service=direct&amp;session=T&amp;sp=S5jyjn0F4h7vydtKhXTzKlw%3D%3D", "Cleaning and Sanitation Activities tender of gp bidasar")</f>
        <v/>
      </c>
      <c r="C3223" t="inlineStr">
        <is>
          <t>Panchayati Raj Department||Secretary and Commissioner||CEO-BADMER||BDO-BARMER RURAL</t>
        </is>
      </c>
      <c r="D3223" t="inlineStr">
        <is>
          <t>21-May-2025 05:00 PM</t>
        </is>
      </c>
      <c r="E3223" t="inlineStr">
        <is>
          <t>9,77,039</t>
        </is>
      </c>
      <c r="F3223" t="inlineStr">
        <is>
          <t>Cleaning and Sanitation Activities tender of gp bidasar</t>
        </is>
      </c>
      <c r="G3223" t="inlineStr">
        <is>
          <t>gram panchayat bidasar</t>
        </is>
      </c>
    </row>
    <row r="3224">
      <c r="A3224" s="1" t="n">
        <v>3222</v>
      </c>
      <c r="B3224">
        <f>HYPERLINK("https://eproc.rajasthan.gov.in/nicgep/app?component=%24DirectLink&amp;page=FrontEndViewTender&amp;service=direct&amp;session=T&amp;sp=SBFVPLy36S2opK%2FW2ImJ4jw%3D%3D", "Cleaning and Sanitation Activities tender of gp mangne ki dhani")</f>
        <v/>
      </c>
      <c r="C3224" t="inlineStr">
        <is>
          <t>Panchayati Raj Department||Secretary and Commissioner||CEO-BADMER||BDO-BARMER RURAL</t>
        </is>
      </c>
      <c r="D3224" t="inlineStr">
        <is>
          <t>21-May-2025 05:00 PM</t>
        </is>
      </c>
      <c r="E3224" t="inlineStr">
        <is>
          <t>12,72,374</t>
        </is>
      </c>
      <c r="F3224" t="inlineStr">
        <is>
          <t>Cleaning and Sanitation Activities tender of gp mangne ki dhani</t>
        </is>
      </c>
      <c r="G3224" t="inlineStr">
        <is>
          <t>gram panchayat mangne ki dhani</t>
        </is>
      </c>
    </row>
    <row r="3225">
      <c r="A3225" s="1" t="n">
        <v>3223</v>
      </c>
      <c r="B3225">
        <f>HYPERLINK("https://eproc.rajasthan.gov.in/nicgep/app?component=%24DirectLink&amp;page=FrontEndViewTender&amp;service=direct&amp;session=T&amp;sp=S8y4VkFJZQcvJGvvy21deOg%3D%3D", "Cleaning and Sanitation Activities tender of gp kau ka kheda")</f>
        <v/>
      </c>
      <c r="C3225" t="inlineStr">
        <is>
          <t>Panchayati Raj Department||Secretary and Commissioner||CEO-BADMER||BDO-BARMER RURAL</t>
        </is>
      </c>
      <c r="D3225" t="inlineStr">
        <is>
          <t>21-May-2025 05:00 PM</t>
        </is>
      </c>
      <c r="E3225" t="inlineStr">
        <is>
          <t>8,54,853</t>
        </is>
      </c>
      <c r="F3225" t="inlineStr">
        <is>
          <t>Cleaning and Sanitation Activities tender of gp kau ka kheda</t>
        </is>
      </c>
      <c r="G3225" t="inlineStr">
        <is>
          <t>gram panchayat kau ka kheda</t>
        </is>
      </c>
    </row>
    <row r="3226">
      <c r="A3226" s="1" t="n">
        <v>3224</v>
      </c>
      <c r="B3226">
        <f>HYPERLINK("https://eproc.rajasthan.gov.in/nicgep/app?component=%24DirectLink&amp;page=FrontEndViewTender&amp;service=direct&amp;session=T&amp;sp=SxhDvrzebRoqkIK3Qmu7qWw%3D%3D", "Cleaning and Sanitation Activities tender of gp hajaniyo ki dhani")</f>
        <v/>
      </c>
      <c r="C3226" t="inlineStr">
        <is>
          <t>Panchayati Raj Department||Secretary and Commissioner||CEO-BADMER||BDO-BARMER RURAL</t>
        </is>
      </c>
      <c r="D3226" t="inlineStr">
        <is>
          <t>21-May-2025 05:00 PM</t>
        </is>
      </c>
      <c r="E3226" t="inlineStr">
        <is>
          <t>7,99,003</t>
        </is>
      </c>
      <c r="F3226" t="inlineStr">
        <is>
          <t>Cleaning and Sanitation Activities tender of gp hajaniyo ki dhani</t>
        </is>
      </c>
      <c r="G3226" t="inlineStr">
        <is>
          <t>gram panchayat hajaniyo ki dhani</t>
        </is>
      </c>
    </row>
    <row r="3227">
      <c r="A3227" s="1" t="n">
        <v>3225</v>
      </c>
      <c r="B3227">
        <f>HYPERLINK("https://eproc.rajasthan.gov.in/nicgep/app?component=%24DirectLink&amp;page=FrontEndViewTender&amp;service=direct&amp;session=T&amp;sp=Sxz1SxQ9Jr4548OO4UpNrWQ%3D%3D", "Cleaning and Sanitation Activities tender of gp barmer magra")</f>
        <v/>
      </c>
      <c r="C3227" t="inlineStr">
        <is>
          <t>Panchayati Raj Department||Secretary and Commissioner||CEO-BADMER||BDO-BARMER RURAL</t>
        </is>
      </c>
      <c r="D3227" t="inlineStr">
        <is>
          <t>21-May-2025 05:00 PM</t>
        </is>
      </c>
      <c r="E3227" t="inlineStr">
        <is>
          <t>10,21,816</t>
        </is>
      </c>
      <c r="F3227" t="inlineStr">
        <is>
          <t>Cleaning and Sanitation Activities tender of gp barmer magra</t>
        </is>
      </c>
      <c r="G3227" t="inlineStr">
        <is>
          <t>gram panchayat barmer magra</t>
        </is>
      </c>
    </row>
    <row r="3228">
      <c r="A3228" s="1" t="n">
        <v>3226</v>
      </c>
      <c r="B3228">
        <f>HYPERLINK("https://eproc.rajasthan.gov.in/nicgep/app?component=%24DirectLink&amp;page=FrontEndViewTender&amp;service=direct&amp;session=T&amp;sp=S17J%2FFpx5VdxWoBfiyb8nPQ%3D%3D", "Cleaning and Sanitation Activities tender of gp barmer gramin")</f>
        <v/>
      </c>
      <c r="C3228" t="inlineStr">
        <is>
          <t>Panchayati Raj Department||Secretary and Commissioner||CEO-BADMER||BDO-BARMER RURAL</t>
        </is>
      </c>
      <c r="D3228" t="inlineStr">
        <is>
          <t>21-May-2025 05:00 PM</t>
        </is>
      </c>
      <c r="E3228" t="inlineStr">
        <is>
          <t>61,28,429</t>
        </is>
      </c>
      <c r="F3228" t="inlineStr">
        <is>
          <t>Cleaning and Sanitation Activities tender of gp barmer gramin</t>
        </is>
      </c>
      <c r="G3228" t="inlineStr">
        <is>
          <t>gram panchayat barmer gramin</t>
        </is>
      </c>
    </row>
    <row r="3229">
      <c r="A3229" s="1" t="n">
        <v>3227</v>
      </c>
      <c r="B3229">
        <f>HYPERLINK("https://eproc.rajasthan.gov.in/nicgep/app?component=%24DirectLink&amp;page=FrontEndViewTender&amp;service=direct&amp;session=T&amp;sp=SXC6Uxb%2BS%2F9SiGIDYV7Uppw%3D%3D", "Cleaning and Sanitation Activities tender of gp dhanne ka tala")</f>
        <v/>
      </c>
      <c r="C3229" t="inlineStr">
        <is>
          <t>Panchayati Raj Department||Secretary and Commissioner||CEO-BADMER||BDO-BARMER RURAL</t>
        </is>
      </c>
      <c r="D3229" t="inlineStr">
        <is>
          <t>21-May-2025 05:00 PM</t>
        </is>
      </c>
      <c r="E3229" t="inlineStr">
        <is>
          <t>10,23,414</t>
        </is>
      </c>
      <c r="F3229" t="inlineStr">
        <is>
          <t>Cleaning and Sanitation Activities tender of gp dhanne ka tala</t>
        </is>
      </c>
      <c r="G3229" t="inlineStr">
        <is>
          <t>gram panchayat dhanne ka tala</t>
        </is>
      </c>
    </row>
    <row r="3230">
      <c r="A3230" s="1" t="n">
        <v>3228</v>
      </c>
      <c r="B3230">
        <f>HYPERLINK("https://eproc.rajasthan.gov.in/nicgep/app?component=%24DirectLink&amp;page=FrontEndViewTender&amp;service=direct&amp;session=T&amp;sp=SCKK2hGvyOeFzseq6abXTZA%3D%3D", "Cleaning and Sanitation Activities tender of gp lakhetali")</f>
        <v/>
      </c>
      <c r="C3230" t="inlineStr">
        <is>
          <t>Panchayati Raj Department||Secretary and Commissioner||CEO-BADMER||BDO-BARMER RURAL</t>
        </is>
      </c>
      <c r="D3230" t="inlineStr">
        <is>
          <t>21-May-2025 05:00 PM</t>
        </is>
      </c>
      <c r="E3230" t="inlineStr">
        <is>
          <t>12,75,722</t>
        </is>
      </c>
      <c r="F3230" t="inlineStr">
        <is>
          <t>Cleaning and Sanitation Activities tender of gp lakhetali</t>
        </is>
      </c>
      <c r="G3230" t="inlineStr">
        <is>
          <t>gram panchayat lakhetali</t>
        </is>
      </c>
    </row>
    <row r="3231">
      <c r="A3231" s="1" t="n">
        <v>3229</v>
      </c>
      <c r="B3231">
        <f>HYPERLINK("https://eproc.rajasthan.gov.in/nicgep/app?component=%24DirectLink&amp;page=FrontEndViewTender&amp;service=direct&amp;session=T&amp;sp=So5F%2FAmOghcGpKGSv2XHh6A%3D%3D", "Cleaning and Sanitation Activities tender of gp bandra")</f>
        <v/>
      </c>
      <c r="C3231" t="inlineStr">
        <is>
          <t>Panchayati Raj Department||Secretary and Commissioner||CEO-BADMER||BDO-BARMER RURAL</t>
        </is>
      </c>
      <c r="D3231" t="inlineStr">
        <is>
          <t>21-May-2025 05:00 PM</t>
        </is>
      </c>
      <c r="E3231" t="inlineStr">
        <is>
          <t>17,20,410</t>
        </is>
      </c>
      <c r="F3231" t="inlineStr">
        <is>
          <t>Cleaning and Sanitation Activities tender of gp bandra</t>
        </is>
      </c>
      <c r="G3231" t="inlineStr">
        <is>
          <t>gram panchayat bandra</t>
        </is>
      </c>
    </row>
    <row r="3232">
      <c r="A3232" s="1" t="n">
        <v>3230</v>
      </c>
      <c r="B3232">
        <f>HYPERLINK("https://eproc.rajasthan.gov.in/nicgep/app?component=%24DirectLink&amp;page=FrontEndViewTender&amp;service=direct&amp;session=T&amp;sp=Ssh3C%2FdaPBZCiIfjQ%2BvRXjQ%3D%3D", "Cleaning and Sanitation Activities tender of gp shivkar")</f>
        <v/>
      </c>
      <c r="C3232" t="inlineStr">
        <is>
          <t>Panchayati Raj Department||Secretary and Commissioner||CEO-BADMER||BDO-BARMER RURAL</t>
        </is>
      </c>
      <c r="D3232" t="inlineStr">
        <is>
          <t>21-May-2025 05:00 PM</t>
        </is>
      </c>
      <c r="E3232" t="inlineStr">
        <is>
          <t>10,41,879</t>
        </is>
      </c>
      <c r="F3232" t="inlineStr">
        <is>
          <t>Cleaning and Sanitation Activities tender of gp shivkar</t>
        </is>
      </c>
      <c r="G3232" t="inlineStr">
        <is>
          <t>gram panchayat shivkar</t>
        </is>
      </c>
    </row>
    <row r="3233">
      <c r="A3233" s="1" t="n">
        <v>3231</v>
      </c>
      <c r="B3233">
        <f>HYPERLINK("https://eproc.rajasthan.gov.in/nicgep/app?component=%24DirectLink&amp;page=FrontEndViewTender&amp;service=direct&amp;session=T&amp;sp=Sx%2FQ%2Fp%2F0hEDRhY6frp6DUsQ%3D%3D", "Cleaning and Sanitation Activities tender of gp beriwala tala")</f>
        <v/>
      </c>
      <c r="C3233" t="inlineStr">
        <is>
          <t>Panchayati Raj Department||Secretary and Commissioner||CEO-BADMER||BDO-BARMER RURAL</t>
        </is>
      </c>
      <c r="D3233" t="inlineStr">
        <is>
          <t>21-May-2025 05:00 PM</t>
        </is>
      </c>
      <c r="E3233" t="inlineStr">
        <is>
          <t>10,41,130</t>
        </is>
      </c>
      <c r="F3233" t="inlineStr">
        <is>
          <t>Cleaning and Sanitation Activities tender of gp beriwala tala</t>
        </is>
      </c>
      <c r="G3233" t="inlineStr">
        <is>
          <t>gram panchayat beriwala tala</t>
        </is>
      </c>
    </row>
    <row r="3234">
      <c r="A3234" s="1" t="n">
        <v>3232</v>
      </c>
      <c r="B3234">
        <f>HYPERLINK("https://eproc.rajasthan.gov.in/nicgep/app?component=%24DirectLink&amp;page=FrontEndViewTender&amp;service=direct&amp;session=T&amp;sp=SxMIThPRk3J00CdGbBkUB%2Fg%3D%3D", "Cleaning and Sanitation Activities tender of gp bhurtiya")</f>
        <v/>
      </c>
      <c r="C3234" t="inlineStr">
        <is>
          <t>Panchayati Raj Department||Secretary and Commissioner||CEO-BADMER||BDO-BARMER RURAL</t>
        </is>
      </c>
      <c r="D3234" t="inlineStr">
        <is>
          <t>21-May-2025 05:00 PM</t>
        </is>
      </c>
      <c r="E3234" t="inlineStr">
        <is>
          <t>12,60,141</t>
        </is>
      </c>
      <c r="F3234" t="inlineStr">
        <is>
          <t>Cleaning and Sanitation Activities tender of gp bhurtiya</t>
        </is>
      </c>
      <c r="G3234" t="inlineStr">
        <is>
          <t>gram panchayat bhurtiya</t>
        </is>
      </c>
    </row>
    <row r="3235">
      <c r="A3235" s="1" t="n">
        <v>3233</v>
      </c>
      <c r="B3235">
        <f>HYPERLINK("https://eproc.rajasthan.gov.in/nicgep/app?component=%24DirectLink&amp;page=FrontEndViewTender&amp;service=direct&amp;session=T&amp;sp=SFXO%2BkD3GbWAFsDzMVBpkEA%3D%3D", "Cleaning and Sanitation Activities tender of gp jalipa")</f>
        <v/>
      </c>
      <c r="C3235" t="inlineStr">
        <is>
          <t>Panchayati Raj Department||Secretary and Commissioner||CEO-BADMER||BDO-BARMER RURAL</t>
        </is>
      </c>
      <c r="D3235" t="inlineStr">
        <is>
          <t>21-May-2025 05:00 PM</t>
        </is>
      </c>
      <c r="E3235" t="inlineStr">
        <is>
          <t>7,06,938</t>
        </is>
      </c>
      <c r="F3235" t="inlineStr">
        <is>
          <t>Cleaning and Sanitation Activities tender of gp jalipa</t>
        </is>
      </c>
      <c r="G3235" t="inlineStr">
        <is>
          <t>gram panchayat jalipa</t>
        </is>
      </c>
    </row>
    <row r="3236">
      <c r="A3236" s="1" t="n">
        <v>3234</v>
      </c>
      <c r="B3236">
        <f>HYPERLINK("https://eproc.rajasthan.gov.in/nicgep/app?component=%24DirectLink&amp;page=FrontEndViewTender&amp;service=direct&amp;session=T&amp;sp=SMDL9u%2Fq2FB3XWD7RLBhfNg%3D%3D", "Cleaning and Sanitation Activities tender of gp sarnu panji")</f>
        <v/>
      </c>
      <c r="C3236" t="inlineStr">
        <is>
          <t>Panchayati Raj Department||Secretary and Commissioner||CEO-BADMER||BDO-BARMER RURAL</t>
        </is>
      </c>
      <c r="D3236" t="inlineStr">
        <is>
          <t>21-May-2025 05:00 PM</t>
        </is>
      </c>
      <c r="E3236" t="inlineStr">
        <is>
          <t>13,92,033</t>
        </is>
      </c>
      <c r="F3236" t="inlineStr">
        <is>
          <t>Cleaning and Sanitation Activities tender of gp sarnu panji</t>
        </is>
      </c>
      <c r="G3236" t="inlineStr">
        <is>
          <t>gram panchayat sarnu panji</t>
        </is>
      </c>
    </row>
    <row r="3237">
      <c r="A3237" s="1" t="n">
        <v>3235</v>
      </c>
      <c r="B3237">
        <f>HYPERLINK("https://eproc.rajasthan.gov.in/nicgep/app?component=%24DirectLink&amp;page=FrontEndViewTender&amp;service=direct&amp;session=T&amp;sp=SOglX4fFN5xHI6VVxEQxLNw%3D%3D", "Cleaning and Sanitation Activities tender of gp khudasa")</f>
        <v/>
      </c>
      <c r="C3237" t="inlineStr">
        <is>
          <t>Panchayati Raj Department||Secretary and Commissioner||CEO-BADMER||BDO-BARMER RURAL</t>
        </is>
      </c>
      <c r="D3237" t="inlineStr">
        <is>
          <t>21-May-2025 05:00 PM</t>
        </is>
      </c>
      <c r="E3237" t="inlineStr">
        <is>
          <t>12,91,674</t>
        </is>
      </c>
      <c r="F3237" t="inlineStr">
        <is>
          <t>Cleaning and Sanitation Activities tender of gp khudasa</t>
        </is>
      </c>
      <c r="G3237" t="inlineStr">
        <is>
          <t>gram panchayat khudasa</t>
        </is>
      </c>
    </row>
    <row r="3238">
      <c r="A3238" s="1" t="n">
        <v>3236</v>
      </c>
      <c r="B3238">
        <f>HYPERLINK("https://eproc.rajasthan.gov.in/nicgep/app?component=%24DirectLink&amp;page=FrontEndViewTender&amp;service=direct&amp;session=T&amp;sp=SZnzRQaODcUXKayfxofQ%2FLg%3D%3D", "Cleaning and Sanitation Activities tender of gp rawatsar")</f>
        <v/>
      </c>
      <c r="C3238" t="inlineStr">
        <is>
          <t>Panchayati Raj Department||Secretary and Commissioner||CEO-BADMER||BDO-BARMER RURAL</t>
        </is>
      </c>
      <c r="D3238" t="inlineStr">
        <is>
          <t>21-May-2025 05:00 PM</t>
        </is>
      </c>
      <c r="E3238" t="inlineStr">
        <is>
          <t>18,54,513</t>
        </is>
      </c>
      <c r="F3238" t="inlineStr">
        <is>
          <t>Cleaning and Sanitation Activities tender of gp rawatsar</t>
        </is>
      </c>
      <c r="G3238" t="inlineStr">
        <is>
          <t>gram panchayat rawatsar</t>
        </is>
      </c>
    </row>
    <row r="3239">
      <c r="A3239" s="1" t="n">
        <v>3237</v>
      </c>
      <c r="B3239">
        <f>HYPERLINK("https://eproc.rajasthan.gov.in/nicgep/app?component=%24DirectLink&amp;page=FrontEndViewTender&amp;service=direct&amp;session=T&amp;sp=SwcwyT8JoZku67hnCHmo5ug%3D%3D", "Cleaning and Sanitation Activities tender of gp sarli")</f>
        <v/>
      </c>
      <c r="C3239" t="inlineStr">
        <is>
          <t>Panchayati Raj Department||Secretary and Commissioner||CEO-BADMER||BDO-BARMER RURAL</t>
        </is>
      </c>
      <c r="D3239" t="inlineStr">
        <is>
          <t>21-May-2025 05:00 PM</t>
        </is>
      </c>
      <c r="E3239" t="inlineStr">
        <is>
          <t>19,12,531</t>
        </is>
      </c>
      <c r="F3239" t="inlineStr">
        <is>
          <t>Cleaning and Sanitation Activities tender of gp sarli</t>
        </is>
      </c>
      <c r="G3239" t="inlineStr">
        <is>
          <t>gram panchayat sarli</t>
        </is>
      </c>
    </row>
    <row r="3240">
      <c r="A3240" s="1" t="n">
        <v>3238</v>
      </c>
      <c r="B3240">
        <f>HYPERLINK("https://eproc.rajasthan.gov.in/nicgep/app?component=%24DirectLink&amp;page=FrontEndViewTender&amp;service=direct&amp;session=T&amp;sp=ShKBEkGo8WKQEU%2BNkUSVPPg%3D%3D", "Cleaning and Sanitation Activities tender of gp sarnu chimanji")</f>
        <v/>
      </c>
      <c r="C3240" t="inlineStr">
        <is>
          <t>Panchayati Raj Department||Secretary and Commissioner||CEO-BADMER||BDO-BARMER RURAL</t>
        </is>
      </c>
      <c r="D3240" t="inlineStr">
        <is>
          <t>21-May-2025 05:00 PM</t>
        </is>
      </c>
      <c r="E3240" t="inlineStr">
        <is>
          <t>18,36,250</t>
        </is>
      </c>
      <c r="F3240" t="inlineStr">
        <is>
          <t>Cleaning and Sanitation Activities tender of gp sarnu chimanji</t>
        </is>
      </c>
      <c r="G3240" t="inlineStr">
        <is>
          <t>gram panchayat sarnu chimanji</t>
        </is>
      </c>
    </row>
    <row r="3241">
      <c r="A3241" s="1" t="n">
        <v>3239</v>
      </c>
      <c r="B3241">
        <f>HYPERLINK("https://eproc.rajasthan.gov.in/nicgep/app?component=%24DirectLink&amp;page=FrontEndViewTender&amp;service=direct&amp;session=T&amp;sp=S%2BOwSNLaG3C1WH67Y9nVS8w%3D%3D", "Cleaning and Sanitation Activities tender of gp gangasra")</f>
        <v/>
      </c>
      <c r="C3241" t="inlineStr">
        <is>
          <t>Panchayati Raj Department||Secretary and Commissioner||CEO-BADMER||BDO-BARMER RURAL</t>
        </is>
      </c>
      <c r="D3241" t="inlineStr">
        <is>
          <t>21-May-2025 05:00 PM</t>
        </is>
      </c>
      <c r="E3241" t="inlineStr">
        <is>
          <t>13,00,359</t>
        </is>
      </c>
      <c r="F3241" t="inlineStr">
        <is>
          <t>Cleaning and Sanitation Activities tender of gp gangasra</t>
        </is>
      </c>
      <c r="G3241" t="inlineStr">
        <is>
          <t>gram panchayat gangasra</t>
        </is>
      </c>
    </row>
    <row r="3242">
      <c r="A3242" s="1" t="n">
        <v>3240</v>
      </c>
      <c r="B3242">
        <f>HYPERLINK("https://eproc.rajasthan.gov.in/nicgep/app?component=%24DirectLink&amp;page=FrontEndViewTender&amp;service=direct&amp;session=T&amp;sp=S4VOUF6C7ehJJccbcvrm0Pg%3D%3D", "Cleaning and Sanitation Activities tender of gp kudla")</f>
        <v/>
      </c>
      <c r="C3242" t="inlineStr">
        <is>
          <t>Panchayati Raj Department||Secretary and Commissioner||CEO-BADMER||BDO-BARMER RURAL</t>
        </is>
      </c>
      <c r="D3242" t="inlineStr">
        <is>
          <t>21-May-2025 05:00 PM</t>
        </is>
      </c>
      <c r="E3242" t="inlineStr">
        <is>
          <t>9,87,302</t>
        </is>
      </c>
      <c r="F3242" t="inlineStr">
        <is>
          <t>Cleaning and Sanitation Activities tender of gp kudla</t>
        </is>
      </c>
      <c r="G3242" t="inlineStr">
        <is>
          <t>gram panchayat kudla</t>
        </is>
      </c>
    </row>
    <row r="3243">
      <c r="A3243" s="1" t="n">
        <v>3241</v>
      </c>
      <c r="B3243">
        <f>HYPERLINK("https://eproc.rajasthan.gov.in/nicgep/app?component=%24DirectLink&amp;page=FrontEndViewTender&amp;service=direct&amp;session=T&amp;sp=SEE2hk1vKx2Flpv89v%2FT9lA%3D%3D", "Work including door-to-door residential and commercial garbage collection and separation road and drain cleaning and community sanitation premises cleaning in all villages of Gram Panchayat KONRA As per the G schedule atteched")</f>
        <v/>
      </c>
      <c r="C3243" t="inlineStr">
        <is>
          <t>Panchayati Raj Department||Secretary and Commissioner||CEO-BADMER||BDO-DHANAU</t>
        </is>
      </c>
      <c r="D3243" t="inlineStr">
        <is>
          <t>19-May-2025 06:00 PM</t>
        </is>
      </c>
      <c r="E3243" t="inlineStr">
        <is>
          <t>8,80,891</t>
        </is>
      </c>
      <c r="F3243" t="inlineStr">
        <is>
          <t>Work including door-to-door residential and commercial garbage collection and separation road and drain cleaning and community sanitation premises cleaning in all villages of Gram Panchayat KONRA As per the G schedule atteched</t>
        </is>
      </c>
      <c r="G3243" t="inlineStr">
        <is>
          <t>Work including door-to-door residential and commer</t>
        </is>
      </c>
    </row>
    <row r="3244">
      <c r="A3244" s="1" t="n">
        <v>3242</v>
      </c>
      <c r="B3244">
        <f>HYPERLINK("https://eproc.rajasthan.gov.in/nicgep/app?component=%24DirectLink&amp;page=FrontEndViewTender&amp;service=direct&amp;session=T&amp;sp=SOJc%2BCZhjnjPN3kAfp4Ig5w%3D%3D", "Work including door-to-door residential and commercial garbage collection and separation road and drain cleaning and community sanitation premises cleaning in all villages of Gram Panchayat KRISHAN KA TALA As per the G schedule atteched")</f>
        <v/>
      </c>
      <c r="C3244" t="inlineStr">
        <is>
          <t>Panchayati Raj Department||Secretary and Commissioner||CEO-BADMER||BDO-DHANAU</t>
        </is>
      </c>
      <c r="D3244" t="inlineStr">
        <is>
          <t>19-May-2025 06:00 PM</t>
        </is>
      </c>
      <c r="E3244" t="inlineStr">
        <is>
          <t>8,24,486</t>
        </is>
      </c>
      <c r="F3244" t="inlineStr">
        <is>
          <t>Work including door-to-door residential and commercial garbage collection and separation road and drain cleaning and community sanitation premises cleaning in all villages of Gram Panchayat KRISHAN KA TALA As per the G schedule atteched</t>
        </is>
      </c>
      <c r="G3244" t="inlineStr">
        <is>
          <t>Work including door-to-door residential and commer</t>
        </is>
      </c>
    </row>
    <row r="3245">
      <c r="A3245" s="1" t="n">
        <v>3243</v>
      </c>
      <c r="B3245">
        <f>HYPERLINK("https://eproc.rajasthan.gov.in/nicgep/app?component=%24DirectLink&amp;page=FrontEndViewTender&amp;service=direct&amp;session=T&amp;sp=SGg41f1TjvXt5VtAKTO25FQ%3D%3D", "Work including door-to-door residential and commercial garbage collection and separation road and drain cleaning and community sanitation premises cleaning in all villages of Gram Panchayat SARNO KI NADI As per the G schedule atteched")</f>
        <v/>
      </c>
      <c r="C3245" t="inlineStr">
        <is>
          <t>Panchayati Raj Department||Secretary and Commissioner||CEO-BADMER||BDO-DHANAU</t>
        </is>
      </c>
      <c r="D3245" t="inlineStr">
        <is>
          <t>19-May-2025 06:00 PM</t>
        </is>
      </c>
      <c r="E3245" t="inlineStr">
        <is>
          <t>1,93,975</t>
        </is>
      </c>
      <c r="F3245" t="inlineStr">
        <is>
          <t>Work including door-to-door residential and commercial garbage collection and separation road and drain cleaning and community sanitation premises cleaning in all villages of Gram Panchayat SARNO KI NADI As per the G schedule atteched</t>
        </is>
      </c>
      <c r="G3245" t="inlineStr">
        <is>
          <t>Work including door-to-door residential and commer</t>
        </is>
      </c>
    </row>
    <row r="3246">
      <c r="A3246" s="1" t="n">
        <v>3244</v>
      </c>
      <c r="B3246">
        <f>HYPERLINK("https://eproc.rajasthan.gov.in/nicgep/app?component=%24DirectLink&amp;page=FrontEndViewTender&amp;service=direct&amp;session=T&amp;sp=SyxnKuAbFq%2FiZn3II7Ao4UA%3D%3D", "Work including door-to-door residential and commercial garbage collection and separation road and drain cleaning and community sanitation premises cleaning in all villages of Gram Panchayat Talsar As per the G schedule atteched")</f>
        <v/>
      </c>
      <c r="C3246" t="inlineStr">
        <is>
          <t>Panchayati Raj Department||Secretary and Commissioner||CEO-BADMER||BDO-DHANAU</t>
        </is>
      </c>
      <c r="D3246" t="inlineStr">
        <is>
          <t>19-May-2025 06:00 PM</t>
        </is>
      </c>
      <c r="E3246" t="inlineStr">
        <is>
          <t>4,84,121</t>
        </is>
      </c>
      <c r="F3246" t="inlineStr">
        <is>
          <t>Work including door-to-door residential and commercial garbage collection and separation road and drain cleaning and community sanitation premises cleaning in all villages of Gram Panchayat Talsar As per the G schedule atteched</t>
        </is>
      </c>
      <c r="G3246" t="inlineStr">
        <is>
          <t>Work including door-to-door residential and commer</t>
        </is>
      </c>
    </row>
    <row r="3247">
      <c r="A3247" s="1" t="n">
        <v>3245</v>
      </c>
      <c r="B3247">
        <f>HYPERLINK("https://eproc.rajasthan.gov.in/nicgep/app?component=%24DirectLink&amp;page=FrontEndViewTender&amp;service=direct&amp;session=T&amp;sp=S%2BI8wfnh2wjjDzhFil8Nrhw%3D%3D", "Material Supply For Nrega And Other Scheme Year 2025-26 In Gp Amarsar")</f>
        <v/>
      </c>
      <c r="C3247" t="inlineStr">
        <is>
          <t>Panchayati Raj Department||Secretary and Commissioner||CEO-CHURU||BDO-BIDASAR</t>
        </is>
      </c>
      <c r="D3247" t="inlineStr">
        <is>
          <t>19-May-2025 12:00 PM</t>
        </is>
      </c>
      <c r="E3247" t="inlineStr">
        <is>
          <t>1,20,00,000</t>
        </is>
      </c>
      <c r="F3247" t="inlineStr">
        <is>
          <t>Material Supply For Nrega And Other Scheme Year 2025-26 In Gp Amarsar</t>
        </is>
      </c>
      <c r="G3247" t="inlineStr">
        <is>
          <t>Gram Panchyat Amarsar</t>
        </is>
      </c>
    </row>
    <row r="3248">
      <c r="A3248" s="1" t="n">
        <v>3246</v>
      </c>
      <c r="B3248">
        <f>HYPERLINK("https://eproc.rajasthan.gov.in/nicgep/app?component=%24DirectLink&amp;page=FrontEndViewTender&amp;service=direct&amp;session=T&amp;sp=SXQ8m1YP3VqjG207UhRev2w%3D%3D", "Work including door-to-door residential and commercial garbage collection and separation road and drain cleaning and community sanitation premises cleaning in all villages of Gram Panchayat sayix moaz ali ka tala As per the G schedule atteched")</f>
        <v/>
      </c>
      <c r="C3248" t="inlineStr">
        <is>
          <t>Panchayati Raj Department||Secretary and Commissioner||CEO-BADMER||BDO-DHANAU</t>
        </is>
      </c>
      <c r="D3248" t="inlineStr">
        <is>
          <t>19-May-2025 06:00 PM</t>
        </is>
      </c>
      <c r="E3248" t="inlineStr">
        <is>
          <t>5,21,892</t>
        </is>
      </c>
      <c r="F3248" t="inlineStr">
        <is>
          <t>Work including door-to-door residential and commercial garbage collection and separation road and drain cleaning and community sanitation premises cleaning in all villages of Gram Panchayat sayix moaz ali ka tala As per the G schedule atteched</t>
        </is>
      </c>
      <c r="G3248" t="inlineStr">
        <is>
          <t>Work including door-to-door residential and commer</t>
        </is>
      </c>
    </row>
    <row r="3249">
      <c r="A3249" s="1" t="n">
        <v>3247</v>
      </c>
      <c r="B3249">
        <f>HYPERLINK("https://eproc.rajasthan.gov.in/nicgep/app?component=%24DirectLink&amp;page=FrontEndViewTender&amp;service=direct&amp;session=T&amp;sp=SdWGHW4TMEO3cbwZ3DhlyAQ%3D%3D", "Work including door-to-door residential and commercial garbage collection and separation road and drain cleaning and community sanitation premises cleaning in all villages of Gram Panchayat Talsar As per the G schedule atteched")</f>
        <v/>
      </c>
      <c r="C3249" t="inlineStr">
        <is>
          <t>Panchayati Raj Department||Secretary and Commissioner||CEO-BADMER||BDO-DHANAU</t>
        </is>
      </c>
      <c r="D3249" t="inlineStr">
        <is>
          <t>19-May-2025 06:00 PM</t>
        </is>
      </c>
      <c r="E3249" t="inlineStr">
        <is>
          <t>4,23,821</t>
        </is>
      </c>
      <c r="F3249" t="inlineStr">
        <is>
          <t>Work including door-to-door residential and commercial garbage collection and separation road and drain cleaning and community sanitation premises cleaning in all villages of Gram Panchayat Talsar As per the G schedule atteched</t>
        </is>
      </c>
      <c r="G3249" t="inlineStr">
        <is>
          <t>Work including door-to-door residential and commer</t>
        </is>
      </c>
    </row>
    <row r="3250">
      <c r="A3250" s="1" t="n">
        <v>3248</v>
      </c>
      <c r="B3250">
        <f>HYPERLINK("https://eproc.rajasthan.gov.in/nicgep/app?component=%24DirectLink&amp;page=FrontEndViewTender&amp;service=direct&amp;session=T&amp;sp=Sh6L6ji6s%2Fgyfe3HT6lJ%2B4w%3D%3D", "Work including door-to-door residential and commercial garbage collection and separation road and drain cleaning and community sanitation premises cleaning in all villages of Gram Panchayat RABASAR As per the G schedule atteched")</f>
        <v/>
      </c>
      <c r="C3250" t="inlineStr">
        <is>
          <t>Panchayati Raj Department||Secretary and Commissioner||CEO-BADMER||BDO-DHANAU</t>
        </is>
      </c>
      <c r="D3250" t="inlineStr">
        <is>
          <t>19-May-2025 06:00 PM</t>
        </is>
      </c>
      <c r="E3250" t="inlineStr">
        <is>
          <t>6,93,684</t>
        </is>
      </c>
      <c r="F3250" t="inlineStr">
        <is>
          <t>Work including door-to-door residential and commercial garbage collection and separation road and drain cleaning and community sanitation premises cleaning in all villages of Gram Panchayat RABASAR As per the G schedule atteched</t>
        </is>
      </c>
      <c r="G3250" t="inlineStr">
        <is>
          <t>Work including door-to-door residential and commer</t>
        </is>
      </c>
    </row>
    <row r="3251">
      <c r="A3251" s="1" t="n">
        <v>3249</v>
      </c>
      <c r="B3251">
        <f>HYPERLINK("https://eproc.rajasthan.gov.in/nicgep/app?component=%24DirectLink&amp;page=FrontEndViewTender&amp;service=direct&amp;session=T&amp;sp=SnufnpggtZtZihZ0KZM%2BC6A%3D%3D", "Work including door-to-door residential and commercial garbage collection and separation road and drain cleaning and community sanitation premises cleaning in all villages of Gram Panchayat Faglu ka tala As per the G schedule atteched")</f>
        <v/>
      </c>
      <c r="C3251" t="inlineStr">
        <is>
          <t>Panchayati Raj Department||Secretary and Commissioner||CEO-BADMER||BDO-DHANAU</t>
        </is>
      </c>
      <c r="D3251" t="inlineStr">
        <is>
          <t>19-May-2025 06:00 PM</t>
        </is>
      </c>
      <c r="E3251" t="inlineStr">
        <is>
          <t>47,304</t>
        </is>
      </c>
      <c r="F3251" t="inlineStr">
        <is>
          <t>Work including door-to-door residential and commercial garbage collection and separation road and drain cleaning and community sanitation premises cleaning in all villages of Gram Panchayat Faglu ka tala As per the G schedule atteched</t>
        </is>
      </c>
      <c r="G3251" t="inlineStr">
        <is>
          <t>Work including door-to-door residential and commer</t>
        </is>
      </c>
    </row>
    <row r="3252">
      <c r="A3252" s="1" t="n">
        <v>3250</v>
      </c>
      <c r="B3252">
        <f>HYPERLINK("https://eproc.rajasthan.gov.in/nicgep/app?component=%24DirectLink&amp;page=FrontEndViewTender&amp;service=direct&amp;session=T&amp;sp=STDpFWlggEN5xgmK5dbAxMA%3D%3D", "Work including door-to-door residential and commercial garbage collection and separation road and drain cleaning and community sanitation premises cleaning in all villages of Gram Panchayat NAWTALA RATHORAN As per the G schedule atteched")</f>
        <v/>
      </c>
      <c r="C3252" t="inlineStr">
        <is>
          <t>Panchayati Raj Department||Secretary and Commissioner||CEO-BADMER||BDO-DHANAU</t>
        </is>
      </c>
      <c r="D3252" t="inlineStr">
        <is>
          <t>19-May-2025 06:00 PM</t>
        </is>
      </c>
      <c r="E3252" t="inlineStr">
        <is>
          <t>4,40,554</t>
        </is>
      </c>
      <c r="F3252" t="inlineStr">
        <is>
          <t>Work including door-to-door residential and commercial garbage collection and separation road and drain cleaning and community sanitation premises cleaning in all villages of Gram Panchayat NAWTALA RATHORAN As per the G schedule atteched</t>
        </is>
      </c>
      <c r="G3252" t="inlineStr">
        <is>
          <t>Work including door-to-door residential and commer</t>
        </is>
      </c>
    </row>
    <row r="3253">
      <c r="A3253" s="1" t="n">
        <v>3251</v>
      </c>
      <c r="B3253">
        <f>HYPERLINK("https://eproc.rajasthan.gov.in/nicgep/app?component=%24DirectLink&amp;page=FrontEndViewTender&amp;service=direct&amp;session=T&amp;sp=SS7cnRyrTi4uXuQ6xPl0vrA%3D%3D", "Work including door-to-door residential and commercial garbage collection and separation road and drain cleaning and community sanitation premises cleaning in all villages of Gram Panchayat ITADA As per the G schedule atteched")</f>
        <v/>
      </c>
      <c r="C3253" t="inlineStr">
        <is>
          <t>Panchayati Raj Department||Secretary and Commissioner||CEO-BADMER||BDO-DHANAU</t>
        </is>
      </c>
      <c r="D3253" t="inlineStr">
        <is>
          <t>19-May-2025 06:00 PM</t>
        </is>
      </c>
      <c r="E3253" t="inlineStr">
        <is>
          <t>9,73,850</t>
        </is>
      </c>
      <c r="F3253" t="inlineStr">
        <is>
          <t>Work including door-to-door residential and commercial garbage collection and separation road and drain cleaning and community sanitation premises cleaning in all villages of Gram Panchayat ITADA As per the G schedule atteched</t>
        </is>
      </c>
      <c r="G3253" t="inlineStr">
        <is>
          <t>Work including door-to-door residential and commer</t>
        </is>
      </c>
    </row>
    <row r="3254">
      <c r="A3254" s="1" t="n">
        <v>3252</v>
      </c>
      <c r="B3254">
        <f>HYPERLINK("https://eproc.rajasthan.gov.in/nicgep/app?component=%24DirectLink&amp;page=FrontEndViewTender&amp;service=direct&amp;session=T&amp;sp=S5G0zsdC%2FqNhP0OZqu3SgNA%3D%3D", "Work including door-to-door residential and commercial garbage collection and separation road and drain cleaning and community sanitation premises cleaning in all villages of Gram Panchayat BHUNIYA As per the G schedule atteched")</f>
        <v/>
      </c>
      <c r="C3254" t="inlineStr">
        <is>
          <t>Panchayati Raj Department||Secretary and Commissioner||CEO-BADMER||BDO-DHANAU</t>
        </is>
      </c>
      <c r="D3254" t="inlineStr">
        <is>
          <t>19-May-2025 06:00 PM</t>
        </is>
      </c>
      <c r="E3254" t="inlineStr">
        <is>
          <t>7,16,170</t>
        </is>
      </c>
      <c r="F3254" t="inlineStr">
        <is>
          <t>Work including door-to-door residential and commercial garbage collection and separation road and drain cleaning and community sanitation premises cleaning in all villages of Gram Panchayat BHUNIYA As per the G schedule atteched</t>
        </is>
      </c>
      <c r="G3254" t="inlineStr">
        <is>
          <t>Work including door-to-door residential and commer</t>
        </is>
      </c>
    </row>
    <row r="3255">
      <c r="A3255" s="1" t="n">
        <v>3253</v>
      </c>
      <c r="B3255">
        <f>HYPERLINK("https://eproc.rajasthan.gov.in/nicgep/app?component=%24DirectLink&amp;page=FrontEndViewTender&amp;service=direct&amp;session=T&amp;sp=Sv4D9PDmSrL8BYr4QnA80tw%3D%3D", "Work including door-to-door residential and commercial garbage collection and separation road and drain cleaning and community sanitation premises cleaning in all villages of Gram Panchayat BURHAN KA TALA As per the G schedule atteched")</f>
        <v/>
      </c>
      <c r="C3255" t="inlineStr">
        <is>
          <t>Panchayati Raj Department||Secretary and Commissioner||CEO-BADMER||BDO-DHANAU</t>
        </is>
      </c>
      <c r="D3255" t="inlineStr">
        <is>
          <t>19-May-2025 06:00 PM</t>
        </is>
      </c>
      <c r="E3255" t="inlineStr">
        <is>
          <t>9,85,432</t>
        </is>
      </c>
      <c r="F3255" t="inlineStr">
        <is>
          <t>Work including door-to-door residential and commercial garbage collection and separation road and drain cleaning and community sanitation premises cleaning in all villages of Gram Panchayat BURHAN KA TALA As per the G schedule atteched</t>
        </is>
      </c>
      <c r="G3255" t="inlineStr">
        <is>
          <t>Work including door-to-door residential and commer</t>
        </is>
      </c>
    </row>
    <row r="3256">
      <c r="A3256" s="1" t="n">
        <v>3254</v>
      </c>
      <c r="B3256">
        <f>HYPERLINK("https://eproc.rajasthan.gov.in/nicgep/app?component=%24DirectLink&amp;page=FrontEndViewTender&amp;service=direct&amp;session=T&amp;sp=SYVXkPy2CVeOAlKovmI8hZA%3D%3D", "Work including door-to-door residential and commercial garbage collection and separation road and drain cleaning and community sanitation premises cleaning in all villages of Gram Panchayat GOHAR KA TALA As per the G schedule atteched")</f>
        <v/>
      </c>
      <c r="C3256" t="inlineStr">
        <is>
          <t>Panchayati Raj Department||Secretary and Commissioner||CEO-BADMER||BDO-DHANAU</t>
        </is>
      </c>
      <c r="D3256" t="inlineStr">
        <is>
          <t>19-May-2025 06:00 PM</t>
        </is>
      </c>
      <c r="E3256" t="inlineStr">
        <is>
          <t>7,93,850</t>
        </is>
      </c>
      <c r="F3256" t="inlineStr">
        <is>
          <t>Work including door-to-door residential and commercial garbage collection and separation road and drain cleaning and community sanitation premises cleaning in all villages of Gram Panchayat GOHAR KA TALA As per the G schedule atteched</t>
        </is>
      </c>
      <c r="G3256" t="inlineStr">
        <is>
          <t>Work including door-to-door residential and commer</t>
        </is>
      </c>
    </row>
    <row r="3257">
      <c r="A3257" s="1" t="n">
        <v>3255</v>
      </c>
      <c r="B3257">
        <f>HYPERLINK("https://eproc.rajasthan.gov.in/nicgep/app?component=%24DirectLink&amp;page=FrontEndViewTender&amp;service=direct&amp;session=T&amp;sp=Sb0r2mONRgH6Wdm8JzdCrvQ%3D%3D", "Work including door-to-door residential and commercial garbage collection and separation road and drain cleaning and community sanitation premises cleaning in all villages of Gram Panchayat DHANAU As per the G schedule atteched")</f>
        <v/>
      </c>
      <c r="C3257" t="inlineStr">
        <is>
          <t>Panchayati Raj Department||Secretary and Commissioner||CEO-BADMER||BDO-DHANAU</t>
        </is>
      </c>
      <c r="D3257" t="inlineStr">
        <is>
          <t>19-May-2025 06:00 PM</t>
        </is>
      </c>
      <c r="E3257" t="inlineStr">
        <is>
          <t>9,95,278</t>
        </is>
      </c>
      <c r="F3257" t="inlineStr">
        <is>
          <t>Work including door-to-door residential and commercial garbage collection and separation road and drain cleaning and community sanitation premises cleaning in all villages of Gram Panchayat DHANAU As per the G schedule atteched</t>
        </is>
      </c>
      <c r="G3257" t="inlineStr">
        <is>
          <t>Work including door-to-door residential and commer</t>
        </is>
      </c>
    </row>
    <row r="3258">
      <c r="A3258" s="1" t="n">
        <v>3256</v>
      </c>
      <c r="B3258">
        <f>HYPERLINK("https://eproc.rajasthan.gov.in/nicgep/app?component=%24DirectLink&amp;page=FrontEndViewTender&amp;service=direct&amp;session=T&amp;sp=SxVafqgoYl4wzpiTzubGLqQ%3D%3D", "Work including door-to-door residential and commercial garbage collection and separation road and drain cleaning and community sanitation premises cleaning in all villages of Gram Panchayat MITHE KA TALA As per the G schedule atteched")</f>
        <v/>
      </c>
      <c r="C3258" t="inlineStr">
        <is>
          <t>Panchayati Raj Department||Secretary and Commissioner||CEO-BADMER||BDO-DHANAU</t>
        </is>
      </c>
      <c r="D3258" t="inlineStr">
        <is>
          <t>19-May-2025 06:00 PM</t>
        </is>
      </c>
      <c r="E3258" t="inlineStr">
        <is>
          <t>8,69,796</t>
        </is>
      </c>
      <c r="F3258" t="inlineStr">
        <is>
          <t>Work including door-to-door residential and commercial garbage collection and separation road and drain cleaning and community sanitation premises cleaning in all villages of Gram Panchayat MITHE KA TALA As per the G schedule atteched</t>
        </is>
      </c>
      <c r="G3258" t="inlineStr">
        <is>
          <t>Work including door-to-door residential and commer</t>
        </is>
      </c>
    </row>
    <row r="3259">
      <c r="A3259" s="1" t="n">
        <v>3257</v>
      </c>
      <c r="B3259">
        <f>HYPERLINK("https://eproc.rajasthan.gov.in/nicgep/app?component=%24DirectLink&amp;page=FrontEndViewTender&amp;service=direct&amp;session=T&amp;sp=SCaeTVRepubcuZTilphoyMw%3D%3D", "Work including door-to-door residential and commercial garbage collection and separation road and drain cleaning and community sanitation premises cleaning in all villages of Gram Panchayat BINJASAR As per the G schedule atteched")</f>
        <v/>
      </c>
      <c r="C3259" t="inlineStr">
        <is>
          <t>Panchayati Raj Department||Secretary and Commissioner||CEO-BADMER||BDO-DHANAU</t>
        </is>
      </c>
      <c r="D3259" t="inlineStr">
        <is>
          <t>19-May-2025 06:00 PM</t>
        </is>
      </c>
      <c r="E3259" t="inlineStr">
        <is>
          <t>7,93,858</t>
        </is>
      </c>
      <c r="F3259" t="inlineStr">
        <is>
          <t>Work including door-to-door residential and commercial garbage collection and separation road and drain cleaning and community sanitation premises cleaning in all villages of Gram Panchayat BINJASAR As per the G schedule atteched</t>
        </is>
      </c>
      <c r="G3259" t="inlineStr">
        <is>
          <t>Work including door-to-door residential and commer</t>
        </is>
      </c>
    </row>
    <row r="3260">
      <c r="A3260" s="1" t="n">
        <v>3258</v>
      </c>
      <c r="B3260">
        <f>HYPERLINK("https://eproc.rajasthan.gov.in/nicgep/app?component=%24DirectLink&amp;page=FrontEndViewTender&amp;service=direct&amp;session=T&amp;sp=Sv9EGOoElZp7lEBPiVI%2FgIw%3D%3D", "Work including door-to-door residential and commercial garbage collection and separation road and drain cleaning and community sanitation premises cleaning in all villages of Gram Panchayat KITNORIYA As per the G schedule atteched")</f>
        <v/>
      </c>
      <c r="C3260" t="inlineStr">
        <is>
          <t>Panchayati Raj Department||Secretary and Commissioner||CEO-BADMER||BDO-DHANAU</t>
        </is>
      </c>
      <c r="D3260" t="inlineStr">
        <is>
          <t>19-May-2025 06:00 PM</t>
        </is>
      </c>
      <c r="E3260" t="inlineStr">
        <is>
          <t>2,58,250</t>
        </is>
      </c>
      <c r="F3260" t="inlineStr">
        <is>
          <t>Work including door-to-door residential and commercial garbage collection and separation road and drain cleaning and community sanitation premises cleaning in all villages of Gram Panchayat KITNORIYA As per the G schedule atteched</t>
        </is>
      </c>
      <c r="G3260" t="inlineStr">
        <is>
          <t>Work including door-to-door residential and commer</t>
        </is>
      </c>
    </row>
    <row r="3261">
      <c r="A3261" s="1" t="n">
        <v>3259</v>
      </c>
      <c r="B3261">
        <f>HYPERLINK("https://eproc.rajasthan.gov.in/nicgep/app?component=%24DirectLink&amp;page=FrontEndViewTender&amp;service=direct&amp;session=T&amp;sp=SCm4VLeVxiRPpVYDLLoxMeA%3D%3D", "Purchase of construction material under Mahatma Gandhi NREGA scheme and other schemes for the financial year 2025-2026 in Gram Panchayat Sarayan")</f>
        <v/>
      </c>
      <c r="C3261" t="inlineStr">
        <is>
          <t>Panchayati Raj Department||Secretary and Commissioner||CEO-CHURU||BDO-TARANAGAR</t>
        </is>
      </c>
      <c r="D3261" t="inlineStr">
        <is>
          <t>20-May-2025 06:00 PM</t>
        </is>
      </c>
      <c r="E3261" t="inlineStr">
        <is>
          <t>1,50,00,000</t>
        </is>
      </c>
      <c r="F3261" t="inlineStr">
        <is>
          <t>Purchase of construction material under Mahatma Gandhi NREGA scheme and other schemes for the financial year 2025-2026 in Gram Panchayat Sarayan</t>
        </is>
      </c>
      <c r="G3261" t="inlineStr">
        <is>
          <t>SARAYAN</t>
        </is>
      </c>
    </row>
    <row r="3262">
      <c r="A3262" s="1" t="n">
        <v>3260</v>
      </c>
      <c r="B3262">
        <f>HYPERLINK("https://eproc.rajasthan.gov.in/nicgep/app?component=%24DirectLink&amp;page=FrontEndViewTender&amp;service=direct&amp;session=T&amp;sp=SSdnyCTKQwK6V9VZqbFYeYA%3D%3D", "Purchase of construction material under Mahatma Gandhi NREGA scheme and other schemes for the financial year 2025-2026 in Gram Panchayat Satyun")</f>
        <v/>
      </c>
      <c r="C3262" t="inlineStr">
        <is>
          <t>Panchayati Raj Department||Secretary and Commissioner||CEO-CHURU||BDO-TARANAGAR</t>
        </is>
      </c>
      <c r="D3262" t="inlineStr">
        <is>
          <t>20-May-2025 06:00 PM</t>
        </is>
      </c>
      <c r="E3262" t="inlineStr">
        <is>
          <t>1,50,00,000</t>
        </is>
      </c>
      <c r="F3262" t="inlineStr">
        <is>
          <t>Purchase of construction material under Mahatma Gandhi NREGA scheme and other schemes for the financial year 2025-2026 in Gram Panchayat Satyun</t>
        </is>
      </c>
      <c r="G3262" t="inlineStr">
        <is>
          <t>satyun</t>
        </is>
      </c>
    </row>
    <row r="3263">
      <c r="A3263" s="1" t="n">
        <v>3261</v>
      </c>
      <c r="B3263">
        <f>HYPERLINK("https://eproc.rajasthan.gov.in/nicgep/app?component=%24DirectLink&amp;page=FrontEndViewTender&amp;service=direct&amp;session=T&amp;sp=SKCidT%2Fz36te2r0uK36U%2BKg%3D%3D", "Purchase of construction material under Mahatma Gandhi NREGA scheme and other schemes for the financial year 2025-2026 in Gram Panchayat Mikhala")</f>
        <v/>
      </c>
      <c r="C3263" t="inlineStr">
        <is>
          <t>Panchayati Raj Department||Secretary and Commissioner||CEO-CHURU||BDO-TARANAGAR</t>
        </is>
      </c>
      <c r="D3263" t="inlineStr">
        <is>
          <t>20-May-2025 06:00 PM</t>
        </is>
      </c>
      <c r="E3263" t="inlineStr">
        <is>
          <t>1,50,00,000</t>
        </is>
      </c>
      <c r="F3263" t="inlineStr">
        <is>
          <t>Purchase of construction material under Mahatma Gandhi NREGA scheme and other schemes for the financial year 2025-2026 in Gram Panchayat Mikhala</t>
        </is>
      </c>
      <c r="G3263" t="inlineStr">
        <is>
          <t>mikhala</t>
        </is>
      </c>
    </row>
    <row r="3264">
      <c r="A3264" s="1" t="n">
        <v>3262</v>
      </c>
      <c r="B3264">
        <f>HYPERLINK("https://eproc.rajasthan.gov.in/nicgep/app?component=%24DirectLink&amp;page=FrontEndViewTender&amp;service=direct&amp;session=T&amp;sp=SMzkAFc95%2FQx%2F0rovyTSt8g%3D%3D", "Purchase of construction material under Mahatma Gandhi NREGA scheme and other schemes for the financial year 2025-2026 in Gram Panchayat Dheengi")</f>
        <v/>
      </c>
      <c r="C3264" t="inlineStr">
        <is>
          <t>Panchayati Raj Department||Secretary and Commissioner||CEO-CHURU||BDO-TARANAGAR</t>
        </is>
      </c>
      <c r="D3264" t="inlineStr">
        <is>
          <t>20-May-2025 06:00 PM</t>
        </is>
      </c>
      <c r="E3264" t="inlineStr">
        <is>
          <t>1,50,00,000</t>
        </is>
      </c>
      <c r="F3264" t="inlineStr">
        <is>
          <t>Purchase of construction material under Mahatma Gandhi NREGA scheme and other schemes for the financial year 2025-2026 in Gram Panchayat Dheengi</t>
        </is>
      </c>
      <c r="G3264" t="inlineStr">
        <is>
          <t>dheengi</t>
        </is>
      </c>
    </row>
    <row r="3265">
      <c r="A3265" s="1" t="n">
        <v>3263</v>
      </c>
      <c r="B3265">
        <f>HYPERLINK("https://eproc.rajasthan.gov.in/nicgep/app?component=%24DirectLink&amp;page=FrontEndViewTender&amp;service=direct&amp;session=T&amp;sp=SuGPyOYCqfgR6tY7ekyFXyw%3D%3D", "Work including door-to-door residential and commercial garbage collection and separation road and drain cleaning and community sanitation premises cleaning in all villages of Gram Panchayat Alamsar As per the G schedule atteched")</f>
        <v/>
      </c>
      <c r="C3265" t="inlineStr">
        <is>
          <t>Panchayati Raj Department||Secretary and Commissioner||CEO-BADMER||BDO-DHANAU</t>
        </is>
      </c>
      <c r="D3265" t="inlineStr">
        <is>
          <t>19-May-2025 06:00 PM</t>
        </is>
      </c>
      <c r="E3265" t="inlineStr">
        <is>
          <t>7,24,687</t>
        </is>
      </c>
      <c r="F3265" t="inlineStr">
        <is>
          <t>Work including door-to-door residential and commercial garbage collection and separation road and drain cleaning and community sanitation premises cleaning in all villages of Gram Panchayat Alamsar As per the G schedule atteched</t>
        </is>
      </c>
      <c r="G3265" t="inlineStr">
        <is>
          <t>Work including door-to-door residential and commer</t>
        </is>
      </c>
    </row>
    <row r="3266">
      <c r="A3266" s="1" t="n">
        <v>3264</v>
      </c>
      <c r="B3266">
        <f>HYPERLINK("https://eproc.rajasthan.gov.in/nicgep/app?component=%24DirectLink&amp;page=FrontEndViewTender&amp;service=direct&amp;session=T&amp;sp=SchPfzkmCfnYjRWIvsNzBxA%3D%3D", "GP picholiya Material")</f>
        <v/>
      </c>
      <c r="C3266" t="inlineStr">
        <is>
          <t>Panchayati Raj Department||Secretary and Commissioner||CEO-AJMER||BDO-PISANGAN</t>
        </is>
      </c>
      <c r="D3266" t="inlineStr">
        <is>
          <t>19-May-2025 05:00 PM</t>
        </is>
      </c>
      <c r="E3266" t="inlineStr">
        <is>
          <t>1,50,00,000</t>
        </is>
      </c>
      <c r="F3266" t="inlineStr">
        <is>
          <t>Material Supply Work in Mahatma Gandhi Nrega Yojana And Various Rural Devlopement Scheme in Gram Panchayat picholiya Panchayat Samiti Pisangan</t>
        </is>
      </c>
      <c r="G3266" t="inlineStr">
        <is>
          <t>PICHOLIYA</t>
        </is>
      </c>
    </row>
    <row r="3267">
      <c r="A3267" s="1" t="n">
        <v>3265</v>
      </c>
      <c r="B3267">
        <f>HYPERLINK("https://eproc.rajasthan.gov.in/nicgep/app?component=%24DirectLink&amp;page=FrontEndViewTender&amp;service=direct&amp;session=T&amp;sp=ScmFWhV8dyW70rsjUB6%2FNMw%3D%3D", "GP Gola bRIKCHIYAWAS")</f>
        <v/>
      </c>
      <c r="C3267" t="inlineStr">
        <is>
          <t>Panchayati Raj Department||Secretary and Commissioner||CEO-AJMER||BDO-PISANGAN</t>
        </is>
      </c>
      <c r="D3267" t="inlineStr">
        <is>
          <t>19-May-2025 05:00 PM</t>
        </is>
      </c>
      <c r="E3267" t="inlineStr">
        <is>
          <t>1,50,00,000</t>
        </is>
      </c>
      <c r="F3267" t="inlineStr">
        <is>
          <t>Material Supply Work in Mahatma Gandhi Nrega Yojana And Various Rural Devlopement Scheme in Gram Panchayat BRIKCHIYAWAS Panchayat Samiti Pisangan</t>
        </is>
      </c>
      <c r="G3267" t="inlineStr">
        <is>
          <t>BRIKCHIYAWAS</t>
        </is>
      </c>
    </row>
    <row r="3268">
      <c r="A3268" s="1" t="n">
        <v>3266</v>
      </c>
      <c r="B3268">
        <f>HYPERLINK("https://eproc.rajasthan.gov.in/nicgep/app?component=%24DirectLink&amp;page=FrontEndViewTender&amp;service=direct&amp;session=T&amp;sp=S68BbLKuZvrWmIlPwuiRJEQ%3D%3D", "GP KESARPURA Material")</f>
        <v/>
      </c>
      <c r="C3268" t="inlineStr">
        <is>
          <t>Panchayati Raj Department||Secretary and Commissioner||CEO-AJMER||BDO-PISANGAN</t>
        </is>
      </c>
      <c r="D3268" t="inlineStr">
        <is>
          <t>19-May-2025 05:00 PM</t>
        </is>
      </c>
      <c r="E3268" t="inlineStr">
        <is>
          <t>1,50,00,000</t>
        </is>
      </c>
      <c r="F3268" t="inlineStr">
        <is>
          <t>Material Supply Work in Mahatma Gandhi Nrega Yojana And Various Rural Devlopement Scheme in Gram Panchayat KESARPURA Panchayat Samiti Pisangan</t>
        </is>
      </c>
      <c r="G3268" t="inlineStr">
        <is>
          <t>KESARURA</t>
        </is>
      </c>
    </row>
    <row r="3269">
      <c r="A3269" s="1" t="n">
        <v>3267</v>
      </c>
      <c r="B3269">
        <f>HYPERLINK("https://eproc.rajasthan.gov.in/nicgep/app?component=%24DirectLink&amp;page=FrontEndViewTender&amp;service=direct&amp;session=T&amp;sp=SvLOPFNS%2FDAcDDUEvhQV53Q%3D%3D", "GP Karnos Material")</f>
        <v/>
      </c>
      <c r="C3269" t="inlineStr">
        <is>
          <t>Panchayati Raj Department||Secretary and Commissioner||CEO-AJMER||BDO-PISANGAN</t>
        </is>
      </c>
      <c r="D3269" t="inlineStr">
        <is>
          <t>19-May-2025 05:00 PM</t>
        </is>
      </c>
      <c r="E3269" t="inlineStr">
        <is>
          <t>1,50,00,000</t>
        </is>
      </c>
      <c r="F3269" t="inlineStr">
        <is>
          <t>Material Supply Work in Mahatma Gandhi Nrega Yojana And Various Rural Devlopement Scheme in Gram Panchayat KARNOS Panchayat Samiti Pisangan</t>
        </is>
      </c>
      <c r="G3269" t="inlineStr">
        <is>
          <t>KARNOS</t>
        </is>
      </c>
    </row>
    <row r="3270">
      <c r="A3270" s="1" t="n">
        <v>3268</v>
      </c>
      <c r="B3270">
        <f>HYPERLINK("https://eproc.rajasthan.gov.in/nicgep/app?component=%24DirectLink&amp;page=FrontEndViewTender&amp;service=direct&amp;session=T&amp;sp=Stk%2Bt7tYPdhX%2F9WvGkZDRnw%3D%3D", "GP Kesarpura Mewariya Material")</f>
        <v/>
      </c>
      <c r="C3270" t="inlineStr">
        <is>
          <t>Panchayati Raj Department||Secretary and Commissioner||CEO-AJMER||BDO-PISANGAN</t>
        </is>
      </c>
      <c r="D3270" t="inlineStr">
        <is>
          <t>19-May-2025 05:00 PM</t>
        </is>
      </c>
      <c r="E3270" t="inlineStr">
        <is>
          <t>1,50,00,000</t>
        </is>
      </c>
      <c r="F3270" t="inlineStr">
        <is>
          <t>Material Supply Work in Mahatma Gandhi Nrega Yojana And Various Rural Devlopement Scheme in Gram Panchayat KESARPURA MEWARIYA Panchayat Samiti Pisangan</t>
        </is>
      </c>
      <c r="G3270" t="inlineStr">
        <is>
          <t>KESARURA MEWARIYA</t>
        </is>
      </c>
    </row>
    <row r="3271">
      <c r="A3271" s="1" t="n">
        <v>3269</v>
      </c>
      <c r="B3271">
        <f>HYPERLINK("https://eproc.rajasthan.gov.in/nicgep/app?component=%24DirectLink&amp;page=FrontEndViewTender&amp;service=direct&amp;session=T&amp;sp=S4rKwvTmuczqx7jdD4%2BT%2B%2Bg%3D%3D", "Financial Year 2025-26 me Gram Panchyat KHEDLI Panchyat Samiti Bamanwas Me MNREGA AUR OTHER SCHEME ke nirman karya hetu Rate contract par samagri aur upkaran apurti karya")</f>
        <v/>
      </c>
      <c r="C3271" t="inlineStr">
        <is>
          <t>Panchayati Raj Department||Secretary and Commissioner||CEO-S.MADHOPUR||BDO-BAMANWAS</t>
        </is>
      </c>
      <c r="D3271" t="inlineStr">
        <is>
          <t>18-May-2025 03:00 PM</t>
        </is>
      </c>
      <c r="E3271" t="inlineStr">
        <is>
          <t>50,00,000</t>
        </is>
      </c>
      <c r="F3271" t="inlineStr">
        <is>
          <t>Financial Year 2025-26 me Gram Panchyat KHEDLI Panchyat Samiti Bamanwas Me MNREGA AUR OTHER SCHEME ke nirman karya hetu Rate contract par samagri aur upkaran apurti karya</t>
        </is>
      </c>
      <c r="G3271" t="inlineStr">
        <is>
          <t>GRAM PANCHYAT KHEDLI</t>
        </is>
      </c>
    </row>
    <row r="3272">
      <c r="A3272" s="1" t="n">
        <v>3270</v>
      </c>
      <c r="B3272">
        <f>HYPERLINK("https://eproc.rajasthan.gov.in/nicgep/app?component=%24DirectLink&amp;page=FrontEndViewTender&amp;service=direct&amp;session=T&amp;sp=SchRUQDmbRTb90FPJWB7z5g%3D%3D", "GP Jaswantpura Material")</f>
        <v/>
      </c>
      <c r="C3272" t="inlineStr">
        <is>
          <t>Panchayati Raj Department||Secretary and Commissioner||CEO-AJMER||BDO-PISANGAN</t>
        </is>
      </c>
      <c r="D3272" t="inlineStr">
        <is>
          <t>19-May-2025 05:00 PM</t>
        </is>
      </c>
      <c r="E3272" t="inlineStr">
        <is>
          <t>1,50,00,000</t>
        </is>
      </c>
      <c r="F3272" t="inlineStr">
        <is>
          <t>Material Supply Work in Mahatma Gandhi Nrega Yojana And Various Rural Devlopement Scheme in Gram Panchayat JASWANTPURA Panchayat Samiti Pisangan</t>
        </is>
      </c>
      <c r="G3272" t="inlineStr">
        <is>
          <t>jASWANTPURA</t>
        </is>
      </c>
    </row>
    <row r="3273">
      <c r="A3273" s="1" t="n">
        <v>3271</v>
      </c>
      <c r="B3273">
        <f>HYPERLINK("https://eproc.rajasthan.gov.in/nicgep/app?component=%24DirectLink&amp;page=FrontEndViewTender&amp;service=direct&amp;session=T&amp;sp=SFpawtMsW09wGuMEb4IH1pA%3D%3D", "GP Rampura Dablla Material")</f>
        <v/>
      </c>
      <c r="C3273" t="inlineStr">
        <is>
          <t>Panchayati Raj Department||Secretary and Commissioner||CEO-AJMER||BDO-PISANGAN</t>
        </is>
      </c>
      <c r="D3273" t="inlineStr">
        <is>
          <t>19-May-2025 05:00 PM</t>
        </is>
      </c>
      <c r="E3273" t="inlineStr">
        <is>
          <t>1,80,00,000</t>
        </is>
      </c>
      <c r="F3273" t="inlineStr">
        <is>
          <t>Material Supply Work in Mahatma Gandhi Nrega Yojana And Various Rural Devlopement Scheme in Gram Panchayat RAMPURA DABLLA Panchayat Samiti Pisangan</t>
        </is>
      </c>
      <c r="G3273" t="inlineStr">
        <is>
          <t>RAMPURA DABLLA</t>
        </is>
      </c>
    </row>
    <row r="3274">
      <c r="A3274" s="1" t="n">
        <v>3272</v>
      </c>
      <c r="B3274">
        <f>HYPERLINK("https://eproc.rajasthan.gov.in/nicgep/app?component=%24DirectLink&amp;page=FrontEndViewTender&amp;service=direct&amp;session=T&amp;sp=ShiuhpFkTvm3rx2M5lWECiA%3D%3D", "Material Supply for Gram Panchayat ALNIYAWAS P.S. Bherunda")</f>
        <v/>
      </c>
      <c r="C3274" t="inlineStr">
        <is>
          <t>Panchayati Raj Department||Secretary and Commissioner||CEO-NAGORE||BDO-BHERUNDA</t>
        </is>
      </c>
      <c r="D3274" t="inlineStr">
        <is>
          <t>20-May-2025 06:00 PM</t>
        </is>
      </c>
      <c r="E3274" t="inlineStr">
        <is>
          <t>2,00,00,000</t>
        </is>
      </c>
      <c r="F3274" t="inlineStr">
        <is>
          <t>Supply construction of Material and providing equipment in MGNREGA each work in GP ALNIYAWAS abouT tender notice PS Bherunda</t>
        </is>
      </c>
      <c r="G3274" t="inlineStr">
        <is>
          <t>GRAM PANCHAYAT ALNIYAWAS</t>
        </is>
      </c>
    </row>
    <row r="3275">
      <c r="A3275" s="1" t="n">
        <v>3273</v>
      </c>
      <c r="B3275">
        <f>HYPERLINK("https://eproc.rajasthan.gov.in/nicgep/app?component=%24DirectLink&amp;page=FrontEndViewTender&amp;service=direct&amp;session=T&amp;sp=Se2uDyuza9hu2C5sS2RXU%2FQ%3D%3D", "Material Supply for Gram Panchayat BADHIGHATI P.S. Bherunda")</f>
        <v/>
      </c>
      <c r="C3275" t="inlineStr">
        <is>
          <t>Panchayati Raj Department||Secretary and Commissioner||CEO-NAGORE||BDO-BHERUNDA</t>
        </is>
      </c>
      <c r="D3275" t="inlineStr">
        <is>
          <t>19-May-2025 06:00 PM</t>
        </is>
      </c>
      <c r="E3275" t="inlineStr">
        <is>
          <t>2,50,00,000</t>
        </is>
      </c>
      <c r="F3275" t="inlineStr">
        <is>
          <t>Supply construction of Material and providing equipment in MGNREGA each work in GP BADHIGHATI abouT tend notice PS Bherunda</t>
        </is>
      </c>
      <c r="G3275" t="inlineStr">
        <is>
          <t>GRAM PANCHAYAT BADHIGHATI</t>
        </is>
      </c>
    </row>
    <row r="3276">
      <c r="A3276" s="1" t="n">
        <v>3274</v>
      </c>
      <c r="B3276">
        <f>HYPERLINK("https://eproc.rajasthan.gov.in/nicgep/app?component=%24DirectLink&amp;page=FrontEndViewTender&amp;service=direct&amp;session=T&amp;sp=SSyOmvRn8H8Pt7Vg%2FjoVNMA%3D%3D", "Material Supply for Gram Panchayat SATHANAKALLAN P.S. Bherunda")</f>
        <v/>
      </c>
      <c r="C3276" t="inlineStr">
        <is>
          <t>Panchayati Raj Department||Secretary and Commissioner||CEO-NAGORE||BDO-BHERUNDA</t>
        </is>
      </c>
      <c r="D3276" t="inlineStr">
        <is>
          <t>19-May-2025 06:00 PM</t>
        </is>
      </c>
      <c r="E3276" t="inlineStr">
        <is>
          <t>2,50,00,000</t>
        </is>
      </c>
      <c r="F3276" t="inlineStr">
        <is>
          <t>Supply construction of Material and providing equipment in MGNREGA each work in GP SATHANAKALLAN abouT tender notice PS Bherunda</t>
        </is>
      </c>
      <c r="G3276" t="inlineStr">
        <is>
          <t>GRAM PANCHAYAT SATHANA KALLAN</t>
        </is>
      </c>
    </row>
    <row r="3277">
      <c r="A3277" s="1" t="n">
        <v>3275</v>
      </c>
      <c r="B3277">
        <f>HYPERLINK("https://eproc.rajasthan.gov.in/nicgep/app?component=%24DirectLink&amp;page=FrontEndViewTender&amp;service=direct&amp;session=T&amp;sp=SuXE9YuiGnGOlRYLp%2FvpHFA%3D%3D", "GP Jethana Material")</f>
        <v/>
      </c>
      <c r="C3277" t="inlineStr">
        <is>
          <t>Panchayati Raj Department||Secretary and Commissioner||CEO-AJMER||BDO-PISANGAN</t>
        </is>
      </c>
      <c r="D3277" t="inlineStr">
        <is>
          <t>19-May-2025 05:00 PM</t>
        </is>
      </c>
      <c r="E3277" t="inlineStr">
        <is>
          <t>1,50,00,000</t>
        </is>
      </c>
      <c r="F3277" t="inlineStr">
        <is>
          <t>Material Supply Work in Mahatma Gandhi Nrega Yojana And Various Rural Devlopement Scheme in Gram Panchayat JETHANA Panchayat Samiti Pisangan</t>
        </is>
      </c>
      <c r="G3277" t="inlineStr">
        <is>
          <t>JETHANA</t>
        </is>
      </c>
    </row>
    <row r="3278">
      <c r="A3278" s="1" t="n">
        <v>3276</v>
      </c>
      <c r="B3278">
        <f>HYPERLINK("https://eproc.rajasthan.gov.in/nicgep/app?component=%24DirectLink&amp;page=FrontEndViewTender&amp;service=direct&amp;session=T&amp;sp=S1lCN0Hw2J8VfBFblK5YfIA%3D%3D", "GP MAKREDA Material")</f>
        <v/>
      </c>
      <c r="C3278" t="inlineStr">
        <is>
          <t>Panchayati Raj Department||Secretary and Commissioner||CEO-AJMER||BDO-PISANGAN</t>
        </is>
      </c>
      <c r="D3278" t="inlineStr">
        <is>
          <t>19-May-2025 05:00 PM</t>
        </is>
      </c>
      <c r="E3278" t="inlineStr">
        <is>
          <t>1,50,00,000</t>
        </is>
      </c>
      <c r="F3278" t="inlineStr">
        <is>
          <t>Material Supply Work in Mahatma Gandhi Nrega Yojana And Various Rural Devlopement Scheme in Gram Panchayat MAKREDA Panchayat Samiti Pisangan</t>
        </is>
      </c>
      <c r="G3278" t="inlineStr">
        <is>
          <t>MAKREDA</t>
        </is>
      </c>
    </row>
    <row r="3279">
      <c r="A3279" s="1" t="n">
        <v>3277</v>
      </c>
      <c r="B3279">
        <f>HYPERLINK("https://eproc.rajasthan.gov.in/nicgep/app?component=%24DirectLink&amp;page=FrontEndViewTender&amp;service=direct&amp;session=T&amp;sp=SML5m%2Fzt2VyFDTYYtrUCgjA%3D%3D", "GP ALIPURA Material")</f>
        <v/>
      </c>
      <c r="C3279" t="inlineStr">
        <is>
          <t>Panchayati Raj Department||Secretary and Commissioner||CEO-AJMER||BDO-PISANGAN</t>
        </is>
      </c>
      <c r="D3279" t="inlineStr">
        <is>
          <t>19-May-2025 05:00 PM</t>
        </is>
      </c>
      <c r="E3279" t="inlineStr">
        <is>
          <t>1,50,00,000</t>
        </is>
      </c>
      <c r="F3279" t="inlineStr">
        <is>
          <t>Material Supply Work in Mahatma Gandhi Nrega Yojana And Various Rural Devlopement Scheme in Gram Panchayat ALIPURA Panchayat Samiti Pisangan</t>
        </is>
      </c>
      <c r="G3279" t="inlineStr">
        <is>
          <t>ALIPURA</t>
        </is>
      </c>
    </row>
    <row r="3280">
      <c r="A3280" s="1" t="n">
        <v>3278</v>
      </c>
      <c r="B3280">
        <f>HYPERLINK("https://eproc.rajasthan.gov.in/nicgep/app?component=%24DirectLink&amp;page=FrontEndViewTender&amp;service=direct&amp;session=T&amp;sp=SJ6qtEskWet7S7yNxwGma8A%3D%3D", "GP Lamana Material")</f>
        <v/>
      </c>
      <c r="C3280" t="inlineStr">
        <is>
          <t>Panchayati Raj Department||Secretary and Commissioner||CEO-AJMER||BDO-PISANGAN</t>
        </is>
      </c>
      <c r="D3280" t="inlineStr">
        <is>
          <t>19-May-2025 05:00 PM</t>
        </is>
      </c>
      <c r="E3280" t="inlineStr">
        <is>
          <t>1,50,00,000</t>
        </is>
      </c>
      <c r="F3280" t="inlineStr">
        <is>
          <t>Material Supply Work in Mahatma Gandhi Nrega Yojana And Various Rural Devlopement Scheme in Gram Panchayat LAMANA Panchayat Samiti Pisangan</t>
        </is>
      </c>
      <c r="G3280" t="inlineStr">
        <is>
          <t>LAMANA</t>
        </is>
      </c>
    </row>
    <row r="3281">
      <c r="A3281" s="1" t="n">
        <v>3279</v>
      </c>
      <c r="B3281">
        <f>HYPERLINK("https://eproc.rajasthan.gov.in/nicgep/app?component=%24DirectLink&amp;page=FrontEndViewTender&amp;service=direct&amp;session=T&amp;sp=SnDmuHIv0QtR5zaqMsW%2BmZg%3D%3D", "GP Pagara Material")</f>
        <v/>
      </c>
      <c r="C3281" t="inlineStr">
        <is>
          <t>Panchayati Raj Department||Secretary and Commissioner||CEO-AJMER||BDO-PISANGAN</t>
        </is>
      </c>
      <c r="D3281" t="inlineStr">
        <is>
          <t>19-May-2025 05:00 PM</t>
        </is>
      </c>
      <c r="E3281" t="inlineStr">
        <is>
          <t>1,50,00,000</t>
        </is>
      </c>
      <c r="F3281" t="inlineStr">
        <is>
          <t>Material Supply Work in Mahatma Gandhi Nrega Yojana And Various Rural Devlopement Scheme in Gram Panchayat PAGARA Panchayat Samiti Pisangan</t>
        </is>
      </c>
      <c r="G3281" t="inlineStr">
        <is>
          <t>PAGARA</t>
        </is>
      </c>
    </row>
    <row r="3282">
      <c r="A3282" s="1" t="n">
        <v>3280</v>
      </c>
      <c r="B3282">
        <f>HYPERLINK("https://eproc.rajasthan.gov.in/nicgep/app?component=%24DirectLink&amp;page=FrontEndViewTender&amp;service=direct&amp;session=T&amp;sp=S8T7WtOrm3kK8O%2FBV8cmR7g%3D%3D", "GP Govindgarh Material")</f>
        <v/>
      </c>
      <c r="C3282" t="inlineStr">
        <is>
          <t>Panchayati Raj Department||Secretary and Commissioner||CEO-AJMER||BDO-PISANGAN</t>
        </is>
      </c>
      <c r="D3282" t="inlineStr">
        <is>
          <t>19-May-2025 05:00 PM</t>
        </is>
      </c>
      <c r="E3282" t="inlineStr">
        <is>
          <t>1,50,00,000</t>
        </is>
      </c>
      <c r="F3282" t="inlineStr">
        <is>
          <t>Material Supply Work in Mahatma Gandhi Nrega Yojana And Various Rural Devlopement Scheme in Gram Panchayat GOVINDGARH Panchayat Samiti Pisangan</t>
        </is>
      </c>
      <c r="G3282" t="inlineStr">
        <is>
          <t>GOVINDGARH</t>
        </is>
      </c>
    </row>
    <row r="3283">
      <c r="A3283" s="1" t="n">
        <v>3281</v>
      </c>
      <c r="B3283">
        <f>HYPERLINK("https://eproc.rajasthan.gov.in/nicgep/app?component=%24DirectLink&amp;page=FrontEndViewTender&amp;service=direct&amp;session=T&amp;sp=SXC2nk7HK8xAi8u6acpEVfw%3D%3D", "GP Bhagwanpura Material")</f>
        <v/>
      </c>
      <c r="C3283" t="inlineStr">
        <is>
          <t>Panchayati Raj Department||Secretary and Commissioner||CEO-AJMER||BDO-PISANGAN</t>
        </is>
      </c>
      <c r="D3283" t="inlineStr">
        <is>
          <t>19-May-2025 05:00 PM</t>
        </is>
      </c>
      <c r="E3283" t="inlineStr">
        <is>
          <t>1,50,00,000</t>
        </is>
      </c>
      <c r="F3283" t="inlineStr">
        <is>
          <t>Material Supply Work in Mahatma Gandhi Nrega Yojana And Various Rural Devlopement Scheme in Gram Panchayat BHAGWANPURA Panchayat Samiti Pisangan</t>
        </is>
      </c>
      <c r="G3283" t="inlineStr">
        <is>
          <t>BHAGWANPURA</t>
        </is>
      </c>
    </row>
    <row r="3284">
      <c r="A3284" s="1" t="n">
        <v>3282</v>
      </c>
      <c r="B3284">
        <f>HYPERLINK("https://eproc.rajasthan.gov.in/nicgep/app?component=%24DirectLink&amp;page=FrontEndViewTender&amp;service=direct&amp;session=T&amp;sp=SNzuWGkKs3hoNLhCKJGdfDw%3D%3D", "GP Mangliyawas Material")</f>
        <v/>
      </c>
      <c r="C3284" t="inlineStr">
        <is>
          <t>Panchayati Raj Department||Secretary and Commissioner||CEO-AJMER||BDO-PISANGAN</t>
        </is>
      </c>
      <c r="D3284" t="inlineStr">
        <is>
          <t>19-May-2025 05:00 PM</t>
        </is>
      </c>
      <c r="E3284" t="inlineStr">
        <is>
          <t>1,50,00,000</t>
        </is>
      </c>
      <c r="F3284" t="inlineStr">
        <is>
          <t>Material Supply Work in Mahatma Gandhi Nrega Yojana And Various Rural Devlopement Scheme in Gram Panchayat MANGLIYAWAS Panchayat Samiti Pisangan</t>
        </is>
      </c>
      <c r="G3284" t="inlineStr">
        <is>
          <t>MANGLIYAWAS</t>
        </is>
      </c>
    </row>
    <row r="3285">
      <c r="A3285" s="1" t="n">
        <v>3283</v>
      </c>
      <c r="B3285">
        <f>HYPERLINK("https://eproc.rajasthan.gov.in/nicgep/app?component=%24DirectLink&amp;page=FrontEndViewTender&amp;service=direct&amp;session=T&amp;sp=SC7nHAYaarzUmBtNTkA%2BhpQ%3D%3D", "GP Bhatsuri Material")</f>
        <v/>
      </c>
      <c r="C3285" t="inlineStr">
        <is>
          <t>Panchayati Raj Department||Secretary and Commissioner||CEO-AJMER||BDO-PISANGAN</t>
        </is>
      </c>
      <c r="D3285" t="inlineStr">
        <is>
          <t>19-May-2025 05:00 PM</t>
        </is>
      </c>
      <c r="E3285" t="inlineStr">
        <is>
          <t>1,50,00,000</t>
        </is>
      </c>
      <c r="F3285" t="inlineStr">
        <is>
          <t>Material Supply Work in Mahatma Gandhi Nrega Yojana And Various Rural Devlopement Scheme in Gram Panchayat BHATSURI Panchayat Samiti Pisangan</t>
        </is>
      </c>
      <c r="G3285" t="inlineStr">
        <is>
          <t>BHATSURI</t>
        </is>
      </c>
    </row>
    <row r="3286">
      <c r="A3286" s="1" t="n">
        <v>3284</v>
      </c>
      <c r="B3286">
        <f>HYPERLINK("https://eproc.rajasthan.gov.in/nicgep/app?component=%24DirectLink&amp;page=FrontEndViewTender&amp;service=direct&amp;session=T&amp;sp=SqhfOolNUI5pb4lKV5Ga1bQ%3D%3D", "GP Leeri Material")</f>
        <v/>
      </c>
      <c r="C3286" t="inlineStr">
        <is>
          <t>Panchayati Raj Department||Secretary and Commissioner||CEO-AJMER||BDO-PISANGAN</t>
        </is>
      </c>
      <c r="D3286" t="inlineStr">
        <is>
          <t>19-May-2025 05:00 PM</t>
        </is>
      </c>
      <c r="E3286" t="inlineStr">
        <is>
          <t>1,50,00,000</t>
        </is>
      </c>
      <c r="F3286" t="inlineStr">
        <is>
          <t>Material Supply Work in Mahatma Gandhi Nrega Yojana And Various Rural Devlopement Scheme in Gram Panchayat LEERI Panchayat Samiti Pisangan</t>
        </is>
      </c>
      <c r="G3286" t="inlineStr">
        <is>
          <t>LEEDI</t>
        </is>
      </c>
    </row>
    <row r="3287">
      <c r="A3287" s="1" t="n">
        <v>3285</v>
      </c>
      <c r="B3287">
        <f>HYPERLINK("https://eproc.rajasthan.gov.in/nicgep/app?component=%24DirectLink&amp;page=FrontEndViewTender&amp;service=direct&amp;session=T&amp;sp=StGcb6GnjP9Ls%2ByGr7MH6oQ%3D%3D", "GP NAGELAV Material")</f>
        <v/>
      </c>
      <c r="C3287" t="inlineStr">
        <is>
          <t>Panchayati Raj Department||Secretary and Commissioner||CEO-AJMER||BDO-PISANGAN</t>
        </is>
      </c>
      <c r="D3287" t="inlineStr">
        <is>
          <t>19-May-2025 05:00 PM</t>
        </is>
      </c>
      <c r="E3287" t="inlineStr">
        <is>
          <t>1,50,00,000</t>
        </is>
      </c>
      <c r="F3287" t="inlineStr">
        <is>
          <t>Material Supply Work in Mahatma Gandhi Nrega Yojana And Various Rural Devlopement Scheme in Gram Panchayat NAGELAV Panchayat Samiti Pisangan</t>
        </is>
      </c>
      <c r="G3287" t="inlineStr">
        <is>
          <t>NAGELAV</t>
        </is>
      </c>
    </row>
    <row r="3288">
      <c r="A3288" s="1" t="n">
        <v>3286</v>
      </c>
      <c r="B3288">
        <f>HYPERLINK("https://eproc.rajasthan.gov.in/nicgep/app?component=%24DirectLink&amp;page=FrontEndViewTender&amp;service=direct&amp;session=T&amp;sp=SzBBeL9v%2BRi2J7IUA1HRdgw%3D%3D", "GP Kalesra Material")</f>
        <v/>
      </c>
      <c r="C3288" t="inlineStr">
        <is>
          <t>Panchayati Raj Department||Secretary and Commissioner||CEO-AJMER||BDO-PISANGAN</t>
        </is>
      </c>
      <c r="D3288" t="inlineStr">
        <is>
          <t>19-May-2025 05:00 PM</t>
        </is>
      </c>
      <c r="E3288" t="inlineStr">
        <is>
          <t>1,50,00,000</t>
        </is>
      </c>
      <c r="F3288" t="inlineStr">
        <is>
          <t>Material Supply Work in Mahatma Gandhi Nrega Yojana And Various Rural Devlopement Scheme in Gram Panchayat KALESRA Panchayat Samiti Pisangan</t>
        </is>
      </c>
      <c r="G3288" t="inlineStr">
        <is>
          <t>KALESRA</t>
        </is>
      </c>
    </row>
    <row r="3289">
      <c r="A3289" s="1" t="n">
        <v>3287</v>
      </c>
      <c r="B3289">
        <f>HYPERLINK("https://eproc.rajasthan.gov.in/nicgep/app?component=%24DirectLink&amp;page=FrontEndViewTender&amp;service=direct&amp;session=T&amp;sp=SSpr%2FzMRfAti8vmsJ4XeA5A%3D%3D", "GP DODIYANA Material")</f>
        <v/>
      </c>
      <c r="C3289" t="inlineStr">
        <is>
          <t>Panchayati Raj Department||Secretary and Commissioner||CEO-AJMER||BDO-PISANGAN</t>
        </is>
      </c>
      <c r="D3289" t="inlineStr">
        <is>
          <t>19-May-2025 05:00 PM</t>
        </is>
      </c>
      <c r="E3289" t="inlineStr">
        <is>
          <t>1,50,00,000</t>
        </is>
      </c>
      <c r="F3289" t="inlineStr">
        <is>
          <t>Material Supply Work in Mahatma Gandhi Nrega Yojana And Various Rural Devlopement Scheme in Gram Panchayat DODIYANA Panchayat Samiti Pisangan</t>
        </is>
      </c>
      <c r="G3289" t="inlineStr">
        <is>
          <t>DODIYANA</t>
        </is>
      </c>
    </row>
    <row r="3290">
      <c r="A3290" s="1" t="n">
        <v>3288</v>
      </c>
      <c r="B3290">
        <f>HYPERLINK("https://eproc.rajasthan.gov.in/nicgep/app?component=%24DirectLink&amp;page=FrontEndViewTender&amp;service=direct&amp;session=T&amp;sp=SF6o1PY0MLZmrRdfOuEadyQ%3D%3D", "GP Dantra Material")</f>
        <v/>
      </c>
      <c r="C3290" t="inlineStr">
        <is>
          <t>Panchayati Raj Department||Secretary and Commissioner||CEO-AJMER||BDO-PISANGAN</t>
        </is>
      </c>
      <c r="D3290" t="inlineStr">
        <is>
          <t>19-May-2025 05:00 PM</t>
        </is>
      </c>
      <c r="E3290" t="inlineStr">
        <is>
          <t>1,50,00,000</t>
        </is>
      </c>
      <c r="F3290" t="inlineStr">
        <is>
          <t>Material Supply Work in Mahatma Gandhi Nrega Yojana And Various Rural Devlopement Scheme in Gram Panchayat --DANTRA Panchayat Samiti Pisangan</t>
        </is>
      </c>
      <c r="G3290" t="inlineStr">
        <is>
          <t>DANTRA</t>
        </is>
      </c>
    </row>
    <row r="3291">
      <c r="A3291" s="1" t="n">
        <v>3289</v>
      </c>
      <c r="B3291">
        <f>HYPERLINK("https://eproc.rajasthan.gov.in/nicgep/app?component=%24DirectLink&amp;page=FrontEndViewTender&amp;service=direct&amp;session=T&amp;sp=S2DHUnaCWRdsa3qLxN6zAZw%3D%3D", "GP Gola Material")</f>
        <v/>
      </c>
      <c r="C3291" t="inlineStr">
        <is>
          <t>Panchayati Raj Department||Secretary and Commissioner||CEO-AJMER||BDO-PISANGAN</t>
        </is>
      </c>
      <c r="D3291" t="inlineStr">
        <is>
          <t>19-May-2025 05:00 PM</t>
        </is>
      </c>
      <c r="E3291" t="inlineStr">
        <is>
          <t>1,50,00,000</t>
        </is>
      </c>
      <c r="F3291" t="inlineStr">
        <is>
          <t>Material Supply Work in Mahatma Gandhi Nrega Yojana And Various Rural Devlopement Scheme in Gram Panchayat GOLA Panchayat Samiti Pisangan</t>
        </is>
      </c>
      <c r="G3291" t="inlineStr">
        <is>
          <t>GOLA</t>
        </is>
      </c>
    </row>
    <row r="3292">
      <c r="A3292" s="1" t="n">
        <v>3290</v>
      </c>
      <c r="B3292">
        <f>HYPERLINK("https://eproc.rajasthan.gov.in/nicgep/app?component=%24DirectLink&amp;page=FrontEndViewTender&amp;service=direct&amp;session=T&amp;sp=SyRSo%2FS8iuzEM6UHn0vwUHA%3D%3D", "GP Budhwara Material")</f>
        <v/>
      </c>
      <c r="C3292" t="inlineStr">
        <is>
          <t>Panchayati Raj Department||Secretary and Commissioner||CEO-AJMER||BDO-PISANGAN</t>
        </is>
      </c>
      <c r="D3292" t="inlineStr">
        <is>
          <t>19-May-2025 05:00 PM</t>
        </is>
      </c>
      <c r="E3292" t="inlineStr">
        <is>
          <t>1,50,00,000</t>
        </is>
      </c>
      <c r="F3292" t="inlineStr">
        <is>
          <t>Material Supply Work in Mahatma Gandhi Nrega Yojana And Various Rural Devlopement Scheme in Gram Panchayat BUDHWARA Panchayat Samiti Pisangan</t>
        </is>
      </c>
      <c r="G3292" t="inlineStr">
        <is>
          <t>BUDHWARA</t>
        </is>
      </c>
    </row>
    <row r="3293">
      <c r="A3293" s="1" t="n">
        <v>3291</v>
      </c>
      <c r="B3293">
        <f>HYPERLINK("https://eproc.rajasthan.gov.in/nicgep/app?component=%24DirectLink&amp;page=FrontEndViewTender&amp;service=direct&amp;session=T&amp;sp=S5yGyKq%2FeaQBehF95yY8qOw%3D%3D", "Financial Year 2025-26 me Gram Panchyat KOYALA Panchyat Samiti Bamanwas Me MNREGA AUR OTHER SCHEME ke nirman karya hetu Rate contract par samagri aur upkaran apurti karya")</f>
        <v/>
      </c>
      <c r="C3293" t="inlineStr">
        <is>
          <t>Panchayati Raj Department||Secretary and Commissioner||CEO-S.MADHOPUR||BDO-BAMANWAS</t>
        </is>
      </c>
      <c r="D3293" t="inlineStr">
        <is>
          <t>18-May-2025 03:00 PM</t>
        </is>
      </c>
      <c r="E3293" t="inlineStr">
        <is>
          <t>50,00,000</t>
        </is>
      </c>
      <c r="F3293" t="inlineStr">
        <is>
          <t>Financial Year 2025-26 me Gram Panchyat KOYALA Panchyat Samiti Bamanwas Me MNREGA AUR OTHER SCHEME ke nirman karya hetu Rate contract par samagri aur upkaran apurti karya</t>
        </is>
      </c>
      <c r="G3293" t="inlineStr">
        <is>
          <t>GRAM PANCHYAT KOYALA</t>
        </is>
      </c>
    </row>
    <row r="3294">
      <c r="A3294" s="1" t="n">
        <v>3292</v>
      </c>
      <c r="B3294">
        <f>HYPERLINK("https://eproc.rajasthan.gov.in/nicgep/app?component=%24DirectLink&amp;page=FrontEndViewTender&amp;service=direct&amp;session=T&amp;sp=S0HNBQbhibx2AesU0YbKvLw%3D%3D", "gpmagrasarmeterial supply for narega and rd")</f>
        <v/>
      </c>
      <c r="C3294" t="inlineStr">
        <is>
          <t>Panchayati Raj Department||Secretary and Commissioner||CEO-CHURU||BDO-SUJANGARH</t>
        </is>
      </c>
      <c r="D3294" t="inlineStr">
        <is>
          <t>22-May-2025 06:00 PM</t>
        </is>
      </c>
      <c r="E3294" t="inlineStr">
        <is>
          <t>50,00,000</t>
        </is>
      </c>
      <c r="F3294" t="inlineStr">
        <is>
          <t>gpmagrasarmeterial supply for narega and rd</t>
        </is>
      </c>
      <c r="G3294" t="inlineStr">
        <is>
          <t>gpmagrasar</t>
        </is>
      </c>
    </row>
    <row r="3295">
      <c r="A3295" s="1" t="n">
        <v>3293</v>
      </c>
      <c r="B3295">
        <f>HYPERLINK("https://eproc.rajasthan.gov.in/nicgep/app?component=%24DirectLink&amp;page=FrontEndViewTender&amp;service=direct&amp;session=T&amp;sp=S6WcmMDv7yVzOMGhP1IgGTg%3D%3D", "Material Supply for Gram Panchayat LADPURA P.S. Bherunda")</f>
        <v/>
      </c>
      <c r="C3295" t="inlineStr">
        <is>
          <t>Panchayati Raj Department||Secretary and Commissioner||CEO-NAGORE||BDO-BHERUNDA</t>
        </is>
      </c>
      <c r="D3295" t="inlineStr">
        <is>
          <t>19-May-2025 06:00 PM</t>
        </is>
      </c>
      <c r="E3295" t="inlineStr">
        <is>
          <t>2,00,00,000</t>
        </is>
      </c>
      <c r="F3295" t="inlineStr">
        <is>
          <t>Supply construction of Material and providing equipment in MGNREGA each work in GP LADPURA abouT tender notice PS Bherunda</t>
        </is>
      </c>
      <c r="G3295" t="inlineStr">
        <is>
          <t>GRAM PANCHAYAT LADPURA</t>
        </is>
      </c>
    </row>
    <row r="3296">
      <c r="A3296" s="1" t="n">
        <v>3294</v>
      </c>
      <c r="B3296">
        <f>HYPERLINK("https://eproc.rajasthan.gov.in/nicgep/app?component=%24DirectLink&amp;page=FrontEndViewTender&amp;service=direct&amp;session=T&amp;sp=SbWrhb%2BkiSHW47FjrJRseDw%3D%3D", "Supply of Construction Material and equipment at GP BAVDI PS Banswara Distt. Banswara")</f>
        <v/>
      </c>
      <c r="C3296" t="inlineStr">
        <is>
          <t>Panchayati Raj Department||Secretary and Commissioner||CEO-BANSWARA||BDO-BANSWARA</t>
        </is>
      </c>
      <c r="D3296" t="inlineStr">
        <is>
          <t>20-May-2025 06:00 PM</t>
        </is>
      </c>
      <c r="E3296" t="inlineStr">
        <is>
          <t>1,00,00,000</t>
        </is>
      </c>
      <c r="F3296" t="inlineStr">
        <is>
          <t>Supply of Construction Material and equipment at GP BAVDI PS Banswara Distt. Banswara</t>
        </is>
      </c>
      <c r="G3296" t="inlineStr">
        <is>
          <t>BANSWARA</t>
        </is>
      </c>
    </row>
    <row r="3297">
      <c r="A3297" s="1" t="n">
        <v>3295</v>
      </c>
      <c r="B3297">
        <f>HYPERLINK("https://eproc.rajasthan.gov.in/nicgep/app?component=%24DirectLink&amp;page=FrontEndViewTender&amp;service=direct&amp;session=T&amp;sp=SosnDHn2G1qWCIEoscdPqfA%3D%3D", "Supply of Construction Material and equipment at GP NICHALA GHANTALA PS Banswara Distt. Banswara")</f>
        <v/>
      </c>
      <c r="C3297" t="inlineStr">
        <is>
          <t>Panchayati Raj Department||Secretary and Commissioner||CEO-BANSWARA||BDO-BANSWARA</t>
        </is>
      </c>
      <c r="D3297" t="inlineStr">
        <is>
          <t>20-May-2025 06:00 PM</t>
        </is>
      </c>
      <c r="E3297" t="inlineStr">
        <is>
          <t>1,00,00,000</t>
        </is>
      </c>
      <c r="F3297" t="inlineStr">
        <is>
          <t>Supply of Construction Material and equipment at GP NICHALA GHANTALA PS Banswara Distt. Banswara</t>
        </is>
      </c>
      <c r="G3297" t="inlineStr">
        <is>
          <t>BANSWARA</t>
        </is>
      </c>
    </row>
    <row r="3298">
      <c r="A3298" s="1" t="n">
        <v>3296</v>
      </c>
      <c r="B3298">
        <f>HYPERLINK("https://eproc.rajasthan.gov.in/nicgep/app?component=%24DirectLink&amp;page=FrontEndViewTender&amp;service=direct&amp;session=T&amp;sp=SUxz5t6UtpyzqkKnxxYcIeQ%3D%3D", "Supply of Construction Material and equipment at GP UPALA GHANTALA PS Banswara Distt. Banswara")</f>
        <v/>
      </c>
      <c r="C3298" t="inlineStr">
        <is>
          <t>Panchayati Raj Department||Secretary and Commissioner||CEO-BANSWARA||BDO-BANSWARA</t>
        </is>
      </c>
      <c r="D3298" t="inlineStr">
        <is>
          <t>20-May-2025 06:00 PM</t>
        </is>
      </c>
      <c r="E3298" t="inlineStr">
        <is>
          <t>1,00,00,000</t>
        </is>
      </c>
      <c r="F3298" t="inlineStr">
        <is>
          <t>Supply of Construction Material and equipment at GP UPALA GHANTALA PS Banswara Distt. Banswara</t>
        </is>
      </c>
      <c r="G3298" t="inlineStr">
        <is>
          <t>BANSWARA</t>
        </is>
      </c>
    </row>
    <row r="3299">
      <c r="A3299" s="1" t="n">
        <v>3297</v>
      </c>
      <c r="B3299">
        <f>HYPERLINK("https://eproc.rajasthan.gov.in/nicgep/app?component=%24DirectLink&amp;page=FrontEndViewTender&amp;service=direct&amp;session=T&amp;sp=S7Flj73MFJ2%2FXHbm9FjHO%2FQ%3D%3D", "Supply of Construction Material and equipment at GP KHERDABARA PS Banswara Distt. Banswara")</f>
        <v/>
      </c>
      <c r="C3299" t="inlineStr">
        <is>
          <t>Panchayati Raj Department||Secretary and Commissioner||CEO-BANSWARA||BDO-BANSWARA</t>
        </is>
      </c>
      <c r="D3299" t="inlineStr">
        <is>
          <t>20-May-2025 06:00 PM</t>
        </is>
      </c>
      <c r="E3299" t="inlineStr">
        <is>
          <t>1,00,00,000</t>
        </is>
      </c>
      <c r="F3299" t="inlineStr">
        <is>
          <t>Supply of Construction Material and equipment at GP KHERDABARA PS Banswara Distt. Banswara</t>
        </is>
      </c>
      <c r="G3299" t="inlineStr">
        <is>
          <t>BANSWARA</t>
        </is>
      </c>
    </row>
    <row r="3300">
      <c r="A3300" s="1" t="n">
        <v>3298</v>
      </c>
      <c r="B3300">
        <f>HYPERLINK("https://eproc.rajasthan.gov.in/nicgep/app?component=%24DirectLink&amp;page=FrontEndViewTender&amp;service=direct&amp;session=T&amp;sp=S4Qa7HppA7PDktvUQvFdBSg%3D%3D", "Supply of Construction Material and equipment at GP LAXMANGARH JHARI PS Banswara Distt. Banswara")</f>
        <v/>
      </c>
      <c r="C3300" t="inlineStr">
        <is>
          <t>Panchayati Raj Department||Secretary and Commissioner||CEO-BANSWARA||BDO-BANSWARA</t>
        </is>
      </c>
      <c r="D3300" t="inlineStr">
        <is>
          <t>20-May-2025 06:00 PM</t>
        </is>
      </c>
      <c r="E3300" t="inlineStr">
        <is>
          <t>1,00,00,000</t>
        </is>
      </c>
      <c r="F3300" t="inlineStr">
        <is>
          <t>Supply of Construction Material and equipment at GP LAXMANGARH JHARI PS Banswara Distt. Banswara</t>
        </is>
      </c>
      <c r="G3300" t="inlineStr">
        <is>
          <t>BANSWARA</t>
        </is>
      </c>
    </row>
    <row r="3301">
      <c r="A3301" s="1" t="n">
        <v>3299</v>
      </c>
      <c r="B3301">
        <f>HYPERLINK("https://eproc.rajasthan.gov.in/nicgep/app?component=%24DirectLink&amp;page=FrontEndViewTender&amp;service=direct&amp;session=T&amp;sp=SfuQ26B3hwh5NqLjrQpTv6w%3D%3D", "Supply of Construction Material and equipment at GP CHACHAKOTA PS Banswara Distt. Banswara")</f>
        <v/>
      </c>
      <c r="C3301" t="inlineStr">
        <is>
          <t>Panchayati Raj Department||Secretary and Commissioner||CEO-BANSWARA||BDO-BANSWARA</t>
        </is>
      </c>
      <c r="D3301" t="inlineStr">
        <is>
          <t>20-May-2025 06:00 PM</t>
        </is>
      </c>
      <c r="E3301" t="inlineStr">
        <is>
          <t>1,00,00,000</t>
        </is>
      </c>
      <c r="F3301" t="inlineStr">
        <is>
          <t>Supply of Construction Material and equipment at GP CHACHAKOTA PS Banswara Distt. Banswara</t>
        </is>
      </c>
      <c r="G3301" t="inlineStr">
        <is>
          <t>BANSWARA</t>
        </is>
      </c>
    </row>
    <row r="3302">
      <c r="A3302" s="1" t="n">
        <v>3300</v>
      </c>
      <c r="B3302">
        <f>HYPERLINK("https://eproc.rajasthan.gov.in/nicgep/app?component=%24DirectLink&amp;page=FrontEndViewTender&amp;service=direct&amp;session=T&amp;sp=SQ2AgJ0%2BFE4o3O2Aw9VNnBw%3D%3D", "Supply of Construction Material and equipment at GP KADELIYA PS Banswara Distt. Banswara")</f>
        <v/>
      </c>
      <c r="C3302" t="inlineStr">
        <is>
          <t>Panchayati Raj Department||Secretary and Commissioner||CEO-BANSWARA||BDO-BANSWARA</t>
        </is>
      </c>
      <c r="D3302" t="inlineStr">
        <is>
          <t>20-May-2025 06:00 PM</t>
        </is>
      </c>
      <c r="E3302" t="inlineStr">
        <is>
          <t>1,00,00,000</t>
        </is>
      </c>
      <c r="F3302" t="inlineStr">
        <is>
          <t>Supply of Construction Material and equipment at GP KADELIYA PS Banswara Distt. Banswara</t>
        </is>
      </c>
      <c r="G3302" t="inlineStr">
        <is>
          <t>BANSWARA</t>
        </is>
      </c>
    </row>
    <row r="3303">
      <c r="A3303" s="1" t="n">
        <v>3301</v>
      </c>
      <c r="B3303">
        <f>HYPERLINK("https://eproc.rajasthan.gov.in/nicgep/app?component=%24DirectLink&amp;page=FrontEndViewTender&amp;service=direct&amp;session=T&amp;sp=Ss4iM%2BGBWzh5K%2B21tdq9Fmg%3D%3D", "Supply of Construction Material and equipment at GP KUNDALA KHURD PS Banswara Distt. Banswara")</f>
        <v/>
      </c>
      <c r="C3303" t="inlineStr">
        <is>
          <t>Panchayati Raj Department||Secretary and Commissioner||CEO-BANSWARA||BDO-BANSWARA</t>
        </is>
      </c>
      <c r="D3303" t="inlineStr">
        <is>
          <t>20-May-2025 06:00 PM</t>
        </is>
      </c>
      <c r="E3303" t="inlineStr">
        <is>
          <t>1,00,00,000</t>
        </is>
      </c>
      <c r="F3303" t="inlineStr">
        <is>
          <t>Supply of Construction Material and equipment at GP KUNDALA KHURD PS Banswara Distt. Banswara</t>
        </is>
      </c>
      <c r="G3303" t="inlineStr">
        <is>
          <t>BANSWARA</t>
        </is>
      </c>
    </row>
    <row r="3304">
      <c r="A3304" s="1" t="n">
        <v>3302</v>
      </c>
      <c r="B3304">
        <f>HYPERLINK("https://eproc.rajasthan.gov.in/nicgep/app?component=%24DirectLink&amp;page=FrontEndViewTender&amp;service=direct&amp;session=T&amp;sp=SijUWmfHJBNWCoHJzgXTgpQ%3D%3D", "Supply of Construction Material and equipment at GP KESARPURA PS Banswara Distt. Banswara")</f>
        <v/>
      </c>
      <c r="C3304" t="inlineStr">
        <is>
          <t>Panchayati Raj Department||Secretary and Commissioner||CEO-BANSWARA||BDO-BANSWARA</t>
        </is>
      </c>
      <c r="D3304" t="inlineStr">
        <is>
          <t>20-May-2025 06:00 PM</t>
        </is>
      </c>
      <c r="E3304" t="inlineStr">
        <is>
          <t>1,00,00,000</t>
        </is>
      </c>
      <c r="F3304" t="inlineStr">
        <is>
          <t>Supply of Construction Material and equipment at GP KESARPURA PS Banswara Distt. Banswara</t>
        </is>
      </c>
      <c r="G3304" t="inlineStr">
        <is>
          <t>BANSWARA</t>
        </is>
      </c>
    </row>
    <row r="3305">
      <c r="A3305" s="1" t="n">
        <v>3303</v>
      </c>
      <c r="B3305">
        <f>HYPERLINK("https://eproc.rajasthan.gov.in/nicgep/app?component=%24DirectLink&amp;page=FrontEndViewTender&amp;service=direct&amp;session=T&amp;sp=SyU5Gc4Q82Vtufx2C05fRTA%3D%3D", "Supply of Construction Material and equipment at GP BHAPOR PS BANSWARA")</f>
        <v/>
      </c>
      <c r="C3305" t="inlineStr">
        <is>
          <t>Panchayati Raj Department||Secretary and Commissioner||CEO-BANSWARA||BDO-BANSWARA</t>
        </is>
      </c>
      <c r="D3305" t="inlineStr">
        <is>
          <t>20-May-2025 06:00 PM</t>
        </is>
      </c>
      <c r="E3305" t="inlineStr">
        <is>
          <t>1,00,00,000</t>
        </is>
      </c>
      <c r="F3305" t="inlineStr">
        <is>
          <t>Supply of Construction Material and equipment at GP BHAPOR PS BANSWARA</t>
        </is>
      </c>
      <c r="G3305" t="inlineStr">
        <is>
          <t>BANASWARA</t>
        </is>
      </c>
    </row>
    <row r="3306">
      <c r="A3306" s="1" t="n">
        <v>3304</v>
      </c>
      <c r="B3306">
        <f>HYPERLINK("https://eproc.rajasthan.gov.in/nicgep/app?component=%24DirectLink&amp;page=FrontEndViewTender&amp;service=direct&amp;session=T&amp;sp=SToFrUL0KYGrT3l94%2FGQB4g%3D%3D", "Supply of Construction Material and equipment at GP NAVAGAON PS Banswara Distt. Banswara")</f>
        <v/>
      </c>
      <c r="C3306" t="inlineStr">
        <is>
          <t>Panchayati Raj Department||Secretary and Commissioner||CEO-BANSWARA||BDO-BANSWARA</t>
        </is>
      </c>
      <c r="D3306" t="inlineStr">
        <is>
          <t>20-May-2025 06:00 PM</t>
        </is>
      </c>
      <c r="E3306" t="inlineStr">
        <is>
          <t>1,00,00,000</t>
        </is>
      </c>
      <c r="F3306" t="inlineStr">
        <is>
          <t>Supply of Construction Material and equipment at GP NAVAGAON PS Banswara Distt. Banswara</t>
        </is>
      </c>
      <c r="G3306" t="inlineStr">
        <is>
          <t>BANSWARA</t>
        </is>
      </c>
    </row>
    <row r="3307">
      <c r="A3307" s="1" t="n">
        <v>3305</v>
      </c>
      <c r="B3307">
        <f>HYPERLINK("https://eproc.rajasthan.gov.in/nicgep/app?component=%24DirectLink&amp;page=FrontEndViewTender&amp;service=direct&amp;session=T&amp;sp=Sv41eqUZNqdNj1L8o4BLuFA%3D%3D", "Supply of Construction Material and equipment at GP GANAU PS Banswara Distt. Banswara")</f>
        <v/>
      </c>
      <c r="C3307" t="inlineStr">
        <is>
          <t>Panchayati Raj Department||Secretary and Commissioner||CEO-BANSWARA||BDO-BANSWARA</t>
        </is>
      </c>
      <c r="D3307" t="inlineStr">
        <is>
          <t>20-May-2025 06:00 PM</t>
        </is>
      </c>
      <c r="E3307" t="inlineStr">
        <is>
          <t>1,00,00,000</t>
        </is>
      </c>
      <c r="F3307" t="inlineStr">
        <is>
          <t>Supply of Construction Material and equipment at GP GANAU PS Banswara Distt. Banswara</t>
        </is>
      </c>
      <c r="G3307" t="inlineStr">
        <is>
          <t>BANSWARA</t>
        </is>
      </c>
    </row>
    <row r="3308">
      <c r="A3308" s="1" t="n">
        <v>3306</v>
      </c>
      <c r="B3308">
        <f>HYPERLINK("https://eproc.rajasthan.gov.in/nicgep/app?component=%24DirectLink&amp;page=FrontEndViewTender&amp;service=direct&amp;session=T&amp;sp=SwCIr0QZxGNYh2xY1EQsMdw%3D%3D", "Supply of Construction Material and equipment at GP SAGWADIYA PS Banswara Distt. Banswara")</f>
        <v/>
      </c>
      <c r="C3308" t="inlineStr">
        <is>
          <t>Panchayati Raj Department||Secretary and Commissioner||CEO-BANSWARA||BDO-BANSWARA</t>
        </is>
      </c>
      <c r="D3308" t="inlineStr">
        <is>
          <t>20-May-2025 06:00 PM</t>
        </is>
      </c>
      <c r="E3308" t="inlineStr">
        <is>
          <t>1,00,00,000</t>
        </is>
      </c>
      <c r="F3308" t="inlineStr">
        <is>
          <t>Supply of Construction Material and equipment at GP SAGWADIYA PS Banswara Distt. Banswara</t>
        </is>
      </c>
      <c r="G3308" t="inlineStr">
        <is>
          <t>BANSWARA</t>
        </is>
      </c>
    </row>
    <row r="3309">
      <c r="A3309" s="1" t="n">
        <v>3307</v>
      </c>
      <c r="B3309">
        <f>HYPERLINK("https://eproc.rajasthan.gov.in/nicgep/app?component=%24DirectLink&amp;page=FrontEndViewTender&amp;service=direct&amp;session=T&amp;sp=ScDtlKef34Mj3%2FKE6ajL6Dw%3D%3D", "Supply of Construction Material and equipment at GP LIMTHAN PS Banswara Distt. Banswara")</f>
        <v/>
      </c>
      <c r="C3309" t="inlineStr">
        <is>
          <t>Panchayati Raj Department||Secretary and Commissioner||CEO-BANSWARA||BDO-BANSWARA</t>
        </is>
      </c>
      <c r="D3309" t="inlineStr">
        <is>
          <t>20-May-2025 06:00 PM</t>
        </is>
      </c>
      <c r="E3309" t="inlineStr">
        <is>
          <t>1,00,00,000</t>
        </is>
      </c>
      <c r="F3309" t="inlineStr">
        <is>
          <t>Supply of Construction Material and equipment at GP LIMTHAN PS Banswara Distt. Banswara</t>
        </is>
      </c>
      <c r="G3309" t="inlineStr">
        <is>
          <t>BANSWARA</t>
        </is>
      </c>
    </row>
    <row r="3310">
      <c r="A3310" s="1" t="n">
        <v>3308</v>
      </c>
      <c r="B3310">
        <f>HYPERLINK("https://eproc.rajasthan.gov.in/nicgep/app?component=%24DirectLink&amp;page=FrontEndViewTender&amp;service=direct&amp;session=T&amp;sp=SHgGtHW5HH05tLwqYWSylRg%3D%3D", "Supply of Construction Material and equipment at GP JHUPEL PS Banswara Distt. Banswara")</f>
        <v/>
      </c>
      <c r="C3310" t="inlineStr">
        <is>
          <t>Panchayati Raj Department||Secretary and Commissioner||CEO-BANSWARA||BDO-BANSWARA</t>
        </is>
      </c>
      <c r="D3310" t="inlineStr">
        <is>
          <t>20-May-2025 06:00 PM</t>
        </is>
      </c>
      <c r="E3310" t="inlineStr">
        <is>
          <t>1,00,00,000</t>
        </is>
      </c>
      <c r="F3310" t="inlineStr">
        <is>
          <t>Supply of Construction Material and equipment at GP JHUPEL PS Banswara Distt. Banswara</t>
        </is>
      </c>
      <c r="G3310" t="inlineStr">
        <is>
          <t>BANSWARA</t>
        </is>
      </c>
    </row>
    <row r="3311">
      <c r="A3311" s="1" t="n">
        <v>3309</v>
      </c>
      <c r="B3311">
        <f>HYPERLINK("https://eproc.rajasthan.gov.in/nicgep/app?component=%24DirectLink&amp;page=FrontEndViewTender&amp;service=direct&amp;session=T&amp;sp=SetoM2x3EN3%2BPOT5Qs3q3Ig%3D%3D", "Supply of Construction Material and equipment at GP SAMARIYA PS Banswara Distt. Banswara")</f>
        <v/>
      </c>
      <c r="C3311" t="inlineStr">
        <is>
          <t>Panchayati Raj Department||Secretary and Commissioner||CEO-BANSWARA||BDO-BANSWARA</t>
        </is>
      </c>
      <c r="D3311" t="inlineStr">
        <is>
          <t>20-May-2025 06:00 PM</t>
        </is>
      </c>
      <c r="E3311" t="inlineStr">
        <is>
          <t>1,00,00,000</t>
        </is>
      </c>
      <c r="F3311" t="inlineStr">
        <is>
          <t>Supply of Construction Material and equipment at GP SAMARIYA PS Banswara Distt. Banswara</t>
        </is>
      </c>
      <c r="G3311" t="inlineStr">
        <is>
          <t>BANSWARA</t>
        </is>
      </c>
    </row>
    <row r="3312">
      <c r="A3312" s="1" t="n">
        <v>3310</v>
      </c>
      <c r="B3312">
        <f>HYPERLINK("https://eproc.rajasthan.gov.in/nicgep/app?component=%24DirectLink&amp;page=FrontEndViewTender&amp;service=direct&amp;session=T&amp;sp=S1eWqmdL1wMmw7xnsPKxOGg%3D%3D", "Supply of Construction Material and equipment at GP SURWANIYA PS Banswara Distt. Banswara")</f>
        <v/>
      </c>
      <c r="C3312" t="inlineStr">
        <is>
          <t>Panchayati Raj Department||Secretary and Commissioner||CEO-BANSWARA||BDO-BANSWARA</t>
        </is>
      </c>
      <c r="D3312" t="inlineStr">
        <is>
          <t>20-May-2025 06:00 PM</t>
        </is>
      </c>
      <c r="E3312" t="inlineStr">
        <is>
          <t>1,00,00,000</t>
        </is>
      </c>
      <c r="F3312" t="inlineStr">
        <is>
          <t>Supply of Construction Material and equipment at GP SURWANIYA PS Banswara Distt. Banswara</t>
        </is>
      </c>
      <c r="G3312" t="inlineStr">
        <is>
          <t>BANSWARA</t>
        </is>
      </c>
    </row>
    <row r="3313">
      <c r="A3313" s="1" t="n">
        <v>3311</v>
      </c>
      <c r="B3313">
        <f>HYPERLINK("https://eproc.rajasthan.gov.in/nicgep/app?component=%24DirectLink&amp;page=FrontEndViewTender&amp;service=direct&amp;session=T&amp;sp=SozcxCjppyw7UApN9hc0jGA%3D%3D", "Supply of Construction Material and equipment at GP PADIKALAN PS Banswara Distt. Banswara")</f>
        <v/>
      </c>
      <c r="C3313" t="inlineStr">
        <is>
          <t>Panchayati Raj Department||Secretary and Commissioner||CEO-BANSWARA||BDO-BANSWARA</t>
        </is>
      </c>
      <c r="D3313" t="inlineStr">
        <is>
          <t>20-May-2025 06:00 PM</t>
        </is>
      </c>
      <c r="E3313" t="inlineStr">
        <is>
          <t>1,00,00,000</t>
        </is>
      </c>
      <c r="F3313" t="inlineStr">
        <is>
          <t>Supply of Construction Material and equipment at GP PADIKALAN PS Banswara Distt. Banswara</t>
        </is>
      </c>
      <c r="G3313" t="inlineStr">
        <is>
          <t>BANSWARA</t>
        </is>
      </c>
    </row>
    <row r="3314">
      <c r="A3314" s="1" t="n">
        <v>3312</v>
      </c>
      <c r="B3314">
        <f>HYPERLINK("https://eproc.rajasthan.gov.in/nicgep/app?component=%24DirectLink&amp;page=FrontEndViewTender&amp;service=direct&amp;session=T&amp;sp=SmIuOPtXnzKwU4ArCdvDpaw%3D%3D", "Supply of Construction Material and equipment at GP SIYAPUR PS Banswara Distt. Banswara")</f>
        <v/>
      </c>
      <c r="C3314" t="inlineStr">
        <is>
          <t>Panchayati Raj Department||Secretary and Commissioner||CEO-BANSWARA||BDO-BANSWARA</t>
        </is>
      </c>
      <c r="D3314" t="inlineStr">
        <is>
          <t>20-May-2025 06:00 PM</t>
        </is>
      </c>
      <c r="E3314" t="inlineStr">
        <is>
          <t>1,00,00,000</t>
        </is>
      </c>
      <c r="F3314" t="inlineStr">
        <is>
          <t>Supply of Construction Material and equipment at GP SIYAPUR PS Banswara Distt. Banswara</t>
        </is>
      </c>
      <c r="G3314" t="inlineStr">
        <is>
          <t>BANSWARA</t>
        </is>
      </c>
    </row>
    <row r="3315">
      <c r="A3315" s="1" t="n">
        <v>3313</v>
      </c>
      <c r="B3315">
        <f>HYPERLINK("https://eproc.rajasthan.gov.in/nicgep/app?component=%24DirectLink&amp;page=FrontEndViewTender&amp;service=direct&amp;session=T&amp;sp=SjdxzbKyGKQ80RcAQi8lwmg%3D%3D", "Supply of Construction Material and equipment at GP SALIYA PS Banswara Distt. Banswara")</f>
        <v/>
      </c>
      <c r="C3315" t="inlineStr">
        <is>
          <t>Panchayati Raj Department||Secretary and Commissioner||CEO-BANSWARA||BDO-BANSWARA</t>
        </is>
      </c>
      <c r="D3315" t="inlineStr">
        <is>
          <t>20-May-2025 06:00 PM</t>
        </is>
      </c>
      <c r="E3315" t="inlineStr">
        <is>
          <t>1,00,00,000</t>
        </is>
      </c>
      <c r="F3315" t="inlineStr">
        <is>
          <t>Supply of Construction Material and equipment at GP SALIYA PS Banswara Distt. Banswara</t>
        </is>
      </c>
      <c r="G3315" t="inlineStr">
        <is>
          <t>BANSWARA</t>
        </is>
      </c>
    </row>
    <row r="3316">
      <c r="A3316" s="1" t="n">
        <v>3314</v>
      </c>
      <c r="B3316">
        <f>HYPERLINK("https://eproc.rajasthan.gov.in/nicgep/app?component=%24DirectLink&amp;page=FrontEndViewTender&amp;service=direct&amp;session=T&amp;sp=Sh1GSII5C1Z84IolR2W5sYg%3D%3D", "Supply of Construction Material and equipment at GP PALASWANI PS Banswara Distt. Banswara")</f>
        <v/>
      </c>
      <c r="C3316" t="inlineStr">
        <is>
          <t>Panchayati Raj Department||Secretary and Commissioner||CEO-BANSWARA||BDO-BANSWARA</t>
        </is>
      </c>
      <c r="D3316" t="inlineStr">
        <is>
          <t>20-May-2025 06:00 PM</t>
        </is>
      </c>
      <c r="E3316" t="inlineStr">
        <is>
          <t>1,00,00,000</t>
        </is>
      </c>
      <c r="F3316" t="inlineStr">
        <is>
          <t>Supply of Construction Material and equipment at GP PALASWANI PS Banswara Distt. Banswara</t>
        </is>
      </c>
      <c r="G3316" t="inlineStr">
        <is>
          <t>BANSWARA</t>
        </is>
      </c>
    </row>
    <row r="3317">
      <c r="A3317" s="1" t="n">
        <v>3315</v>
      </c>
      <c r="B3317">
        <f>HYPERLINK("https://eproc.rajasthan.gov.in/nicgep/app?component=%24DirectLink&amp;page=FrontEndViewTender&amp;service=direct&amp;session=T&amp;sp=Suq8ilT3Kd7GsvPUEV9JYUA%3D%3D", "Supply of Construction Material and equipment at GP BARWALA RAJIYA PS Banswara Distt. Banswara")</f>
        <v/>
      </c>
      <c r="C3317" t="inlineStr">
        <is>
          <t>Panchayati Raj Department||Secretary and Commissioner||CEO-BANSWARA||BDO-BANSWARA</t>
        </is>
      </c>
      <c r="D3317" t="inlineStr">
        <is>
          <t>20-May-2025 06:00 PM</t>
        </is>
      </c>
      <c r="E3317" t="inlineStr">
        <is>
          <t>1,00,00,000</t>
        </is>
      </c>
      <c r="F3317" t="inlineStr">
        <is>
          <t>Supply of Construction Material and equipment at GP BARWALA RAJIYA PS Banswara Distt. Banswara</t>
        </is>
      </c>
      <c r="G3317" t="inlineStr">
        <is>
          <t>BANSWARA</t>
        </is>
      </c>
    </row>
    <row r="3318">
      <c r="A3318" s="1" t="n">
        <v>3316</v>
      </c>
      <c r="B3318">
        <f>HYPERLINK("https://eproc.rajasthan.gov.in/nicgep/app?component=%24DirectLink&amp;page=FrontEndViewTender&amp;service=direct&amp;session=T&amp;sp=SLGc4axqDesBUjkYvVaLrnw%3D%3D", "Supply of Construction Material and equipment at GP MAHESHPURA PS Banswara Distt. Banswara")</f>
        <v/>
      </c>
      <c r="C3318" t="inlineStr">
        <is>
          <t>Panchayati Raj Department||Secretary and Commissioner||CEO-BANSWARA||BDO-BANSWARA</t>
        </is>
      </c>
      <c r="D3318" t="inlineStr">
        <is>
          <t>20-May-2025 06:00 PM</t>
        </is>
      </c>
      <c r="E3318" t="inlineStr">
        <is>
          <t>1,00,00,000</t>
        </is>
      </c>
      <c r="F3318" t="inlineStr">
        <is>
          <t>Supply of Construction Material and equipment at GP MAHESHPURA PS Banswara Distt. Banswara</t>
        </is>
      </c>
      <c r="G3318" t="inlineStr">
        <is>
          <t>BANSWARA</t>
        </is>
      </c>
    </row>
    <row r="3319">
      <c r="A3319" s="1" t="n">
        <v>3317</v>
      </c>
      <c r="B3319">
        <f>HYPERLINK("https://eproc.rajasthan.gov.in/nicgep/app?component=%24DirectLink&amp;page=FrontEndViewTender&amp;service=direct&amp;session=T&amp;sp=SUCnfizDMZe3w5NPegVZREA%3D%3D", "Supply of Construction Material and equipment at GP DABARIMAL PS Banswara Distt. Banswara")</f>
        <v/>
      </c>
      <c r="C3319" t="inlineStr">
        <is>
          <t>Panchayati Raj Department||Secretary and Commissioner||CEO-BANSWARA||BDO-BANSWARA</t>
        </is>
      </c>
      <c r="D3319" t="inlineStr">
        <is>
          <t>20-May-2025 06:00 PM</t>
        </is>
      </c>
      <c r="E3319" t="inlineStr">
        <is>
          <t>1,00,00,000</t>
        </is>
      </c>
      <c r="F3319" t="inlineStr">
        <is>
          <t>Supply of Construction Material and equipment at GP DABARIMAL PS Banswara Distt. Banswara</t>
        </is>
      </c>
      <c r="G3319" t="inlineStr">
        <is>
          <t>BANSWARA</t>
        </is>
      </c>
    </row>
    <row r="3320">
      <c r="A3320" s="1" t="n">
        <v>3318</v>
      </c>
      <c r="B3320">
        <f>HYPERLINK("https://eproc.rajasthan.gov.in/nicgep/app?component=%24DirectLink&amp;page=FrontEndViewTender&amp;service=direct&amp;session=T&amp;sp=SpqyGAfdsZ4ZNOFB%2FIzX3lA%3D%3D", "Supply of Construction Material and equipment at GP KHODI PEEPALI PS Banswara Distt. Banswara")</f>
        <v/>
      </c>
      <c r="C3320" t="inlineStr">
        <is>
          <t>Panchayati Raj Department||Secretary and Commissioner||CEO-BANSWARA||BDO-BANSWARA</t>
        </is>
      </c>
      <c r="D3320" t="inlineStr">
        <is>
          <t>20-May-2025 06:00 PM</t>
        </is>
      </c>
      <c r="E3320" t="inlineStr">
        <is>
          <t>1,00,00,000</t>
        </is>
      </c>
      <c r="F3320" t="inlineStr">
        <is>
          <t>Supply of Construction Material and equipment at GP KHODI PEEPALI PS Banswara Distt. Banswara</t>
        </is>
      </c>
      <c r="G3320" t="inlineStr">
        <is>
          <t>BANSWARA</t>
        </is>
      </c>
    </row>
    <row r="3321">
      <c r="A3321" s="1" t="n">
        <v>3319</v>
      </c>
      <c r="B3321">
        <f>HYPERLINK("https://eproc.rajasthan.gov.in/nicgep/app?component=%24DirectLink&amp;page=FrontEndViewTender&amp;service=direct&amp;session=T&amp;sp=SSxXneKw%2FR%2FLptILhKgA40A%3D%3D", "Supply of Construction Material and equipment at GP GARHA PS Banswara Distt. Banswara")</f>
        <v/>
      </c>
      <c r="C3321" t="inlineStr">
        <is>
          <t>Panchayati Raj Department||Secretary and Commissioner||CEO-BANSWARA||BDO-BANSWARA</t>
        </is>
      </c>
      <c r="D3321" t="inlineStr">
        <is>
          <t>20-May-2025 06:00 PM</t>
        </is>
      </c>
      <c r="E3321" t="inlineStr">
        <is>
          <t>1,00,00,000</t>
        </is>
      </c>
      <c r="F3321" t="inlineStr">
        <is>
          <t>Supply of Construction Material and equipment at GP GARHA PS Banswara Distt. Banswara</t>
        </is>
      </c>
      <c r="G3321" t="inlineStr">
        <is>
          <t>BANSWARA</t>
        </is>
      </c>
    </row>
    <row r="3322">
      <c r="A3322" s="1" t="n">
        <v>3320</v>
      </c>
      <c r="B3322">
        <f>HYPERLINK("https://eproc.rajasthan.gov.in/nicgep/app?component=%24DirectLink&amp;page=FrontEndViewTender&amp;service=direct&amp;session=T&amp;sp=SEgIdmET5JiEGzZOM6OiIFA%3D%3D", "Supply of Construction Material and equipment at GP RAMGARH PS Banswara Distt. Banswara")</f>
        <v/>
      </c>
      <c r="C3322" t="inlineStr">
        <is>
          <t>Panchayati Raj Department||Secretary and Commissioner||CEO-BANSWARA||BDO-BANSWARA</t>
        </is>
      </c>
      <c r="D3322" t="inlineStr">
        <is>
          <t>20-May-2025 06:00 PM</t>
        </is>
      </c>
      <c r="E3322" t="inlineStr">
        <is>
          <t>1,00,00,000</t>
        </is>
      </c>
      <c r="F3322" t="inlineStr">
        <is>
          <t>Supply of Construction Material and equipment at GP RAMGARH PS Banswara Distt. Banswara</t>
        </is>
      </c>
      <c r="G3322" t="inlineStr">
        <is>
          <t>BANSWARA</t>
        </is>
      </c>
    </row>
    <row r="3323">
      <c r="A3323" s="1" t="n">
        <v>3321</v>
      </c>
      <c r="B3323">
        <f>HYPERLINK("https://eproc.rajasthan.gov.in/nicgep/app?component=%24DirectLink&amp;page=FrontEndViewTender&amp;service=direct&amp;session=T&amp;sp=Sb10vMICodI5Bj%2BYUFTHfFQ%3D%3D", "Supply of Construction Material and equipment at GP PRATAPNAGAR PS Banswara Distt. Banswara")</f>
        <v/>
      </c>
      <c r="C3323" t="inlineStr">
        <is>
          <t>Panchayati Raj Department||Secretary and Commissioner||CEO-BANSWARA||BDO-BANSWARA</t>
        </is>
      </c>
      <c r="D3323" t="inlineStr">
        <is>
          <t>20-May-2025 06:00 PM</t>
        </is>
      </c>
      <c r="E3323" t="inlineStr">
        <is>
          <t>1,00,00,000</t>
        </is>
      </c>
      <c r="F3323" t="inlineStr">
        <is>
          <t>Supply of Construction Material and equipment at GP PRATAPNAGAR PS Banswara Distt. Banswara</t>
        </is>
      </c>
      <c r="G3323" t="inlineStr">
        <is>
          <t>BANSWARA</t>
        </is>
      </c>
    </row>
    <row r="3324">
      <c r="A3324" s="1" t="n">
        <v>3322</v>
      </c>
      <c r="B3324">
        <f>HYPERLINK("https://eproc.rajasthan.gov.in/nicgep/app?component=%24DirectLink&amp;page=FrontEndViewTender&amp;service=direct&amp;session=T&amp;sp=S%2BMW0L%2FikpVG0Xt5dC7re8g%3D%3D", "Supply of Construction Material and equipment at GP VIRPUR PS Banswara Distt. Banswara")</f>
        <v/>
      </c>
      <c r="C3324" t="inlineStr">
        <is>
          <t>Panchayati Raj Department||Secretary and Commissioner||CEO-BANSWARA||BDO-BANSWARA</t>
        </is>
      </c>
      <c r="D3324" t="inlineStr">
        <is>
          <t>20-May-2025 06:00 PM</t>
        </is>
      </c>
      <c r="E3324" t="inlineStr">
        <is>
          <t>1,00,00,000</t>
        </is>
      </c>
      <c r="F3324" t="inlineStr">
        <is>
          <t>Supply of Construction Material and equipment at GP VIRPUR PS Banswara Distt. Banswara</t>
        </is>
      </c>
      <c r="G3324" t="inlineStr">
        <is>
          <t>BANSWARA</t>
        </is>
      </c>
    </row>
    <row r="3325">
      <c r="A3325" s="1" t="n">
        <v>3323</v>
      </c>
      <c r="B3325">
        <f>HYPERLINK("https://eproc.rajasthan.gov.in/nicgep/app?component=%24DirectLink&amp;page=FrontEndViewTender&amp;service=direct&amp;session=T&amp;sp=SbX%2BNPtki%2BhtPS1W3ZGncoA%3D%3D", "Supply of Construction Material and equipment at GP BORIYA PS Banswara Distt. Banswara")</f>
        <v/>
      </c>
      <c r="C3325" t="inlineStr">
        <is>
          <t>Panchayati Raj Department||Secretary and Commissioner||CEO-BANSWARA||BDO-BANSWARA</t>
        </is>
      </c>
      <c r="D3325" t="inlineStr">
        <is>
          <t>20-May-2025 06:00 PM</t>
        </is>
      </c>
      <c r="E3325" t="inlineStr">
        <is>
          <t>1,00,00,000</t>
        </is>
      </c>
      <c r="F3325" t="inlineStr">
        <is>
          <t>Supply of Construction Material and equipment at GP BORIYA PS Banswara Distt. Banswara</t>
        </is>
      </c>
      <c r="G3325" t="inlineStr">
        <is>
          <t>BANSWARA</t>
        </is>
      </c>
    </row>
    <row r="3326">
      <c r="A3326" s="1" t="n">
        <v>3324</v>
      </c>
      <c r="B3326">
        <f>HYPERLINK("https://eproc.rajasthan.gov.in/nicgep/app?component=%24DirectLink&amp;page=FrontEndViewTender&amp;service=direct&amp;session=T&amp;sp=St%2BKfqlw3UsO3ue%2BMlkM0vQ%3D%3D", "Supply of Construction Material and equipment at GP KHEDA VADALIPADA PS Banswara Distt. Banswara")</f>
        <v/>
      </c>
      <c r="C3326" t="inlineStr">
        <is>
          <t>Panchayati Raj Department||Secretary and Commissioner||CEO-BANSWARA||BDO-BANSWARA</t>
        </is>
      </c>
      <c r="D3326" t="inlineStr">
        <is>
          <t>20-May-2025 06:00 PM</t>
        </is>
      </c>
      <c r="E3326" t="inlineStr">
        <is>
          <t>1,00,00,000</t>
        </is>
      </c>
      <c r="F3326" t="inlineStr">
        <is>
          <t>Supply of Construction Material and equipment at GP KHEDA VADALIPADA PS Banswara Distt. BanswaraQ</t>
        </is>
      </c>
      <c r="G3326" t="inlineStr">
        <is>
          <t>BANSWARA</t>
        </is>
      </c>
    </row>
    <row r="3327">
      <c r="A3327" s="1" t="n">
        <v>3325</v>
      </c>
      <c r="B3327">
        <f>HYPERLINK("https://eproc.rajasthan.gov.in/nicgep/app?component=%24DirectLink&amp;page=FrontEndViewTender&amp;service=direct&amp;session=T&amp;sp=SvbDEagMiPqLjcPRxASGpqQ%3D%3D", "Supply of Construction Material and equipment at GP JHARNIYA PS Banswara Distt. Banswara")</f>
        <v/>
      </c>
      <c r="C3327" t="inlineStr">
        <is>
          <t>Panchayati Raj Department||Secretary and Commissioner||CEO-BANSWARA||BDO-BANSWARA</t>
        </is>
      </c>
      <c r="D3327" t="inlineStr">
        <is>
          <t>20-May-2025 06:00 PM</t>
        </is>
      </c>
      <c r="E3327" t="inlineStr">
        <is>
          <t>1,00,00,000</t>
        </is>
      </c>
      <c r="F3327" t="inlineStr">
        <is>
          <t>Supply of Construction Material and equipment at GP JHARNIYA PS Banswara Distt. Banswara</t>
        </is>
      </c>
      <c r="G3327" t="inlineStr">
        <is>
          <t>BANSWARA</t>
        </is>
      </c>
    </row>
    <row r="3328">
      <c r="A3328" s="1" t="n">
        <v>3326</v>
      </c>
      <c r="B3328">
        <f>HYPERLINK("https://eproc.rajasthan.gov.in/nicgep/app?component=%24DirectLink&amp;page=FrontEndViewTender&amp;service=direct&amp;session=T&amp;sp=SL5cuDZY8zN8IDs5TSqkA7Q%3D%3D", "Supply of Construction Material and equipment at GP BORKHEDA PS Banswara Distt. Banswara")</f>
        <v/>
      </c>
      <c r="C3328" t="inlineStr">
        <is>
          <t>Panchayati Raj Department||Secretary and Commissioner||CEO-BANSWARA||BDO-BANSWARA</t>
        </is>
      </c>
      <c r="D3328" t="inlineStr">
        <is>
          <t>20-May-2025 06:00 PM</t>
        </is>
      </c>
      <c r="E3328" t="inlineStr">
        <is>
          <t>50,00,000</t>
        </is>
      </c>
      <c r="F3328" t="inlineStr">
        <is>
          <t>Supply of Construction Material and equipment at GP BORKHEDA PS Banswara Distt. Banswara</t>
        </is>
      </c>
      <c r="G3328" t="inlineStr">
        <is>
          <t>BANSWARA</t>
        </is>
      </c>
    </row>
    <row r="3329">
      <c r="A3329" s="1" t="n">
        <v>3327</v>
      </c>
      <c r="B3329">
        <f>HYPERLINK("https://eproc.rajasthan.gov.in/nicgep/app?component=%24DirectLink&amp;page=FrontEndViewTender&amp;service=direct&amp;session=T&amp;sp=S92KQvh68Int4zG1AWkUhRA%3D%3D", "Supply of Construction Material and equipment at GP KATIYOR PS Banswara Distt. Banswara")</f>
        <v/>
      </c>
      <c r="C3329" t="inlineStr">
        <is>
          <t>Panchayati Raj Department||Secretary and Commissioner||CEO-BANSWARA||BDO-BANSWARA</t>
        </is>
      </c>
      <c r="D3329" t="inlineStr">
        <is>
          <t>20-May-2025 06:00 PM</t>
        </is>
      </c>
      <c r="E3329" t="inlineStr">
        <is>
          <t>50,00,000</t>
        </is>
      </c>
      <c r="F3329" t="inlineStr">
        <is>
          <t>Supply of Construction Material and equipment at GP KATIYOR PS Banswara Distt. Banswara</t>
        </is>
      </c>
      <c r="G3329" t="inlineStr">
        <is>
          <t>BANSWARA</t>
        </is>
      </c>
    </row>
    <row r="3330">
      <c r="A3330" s="1" t="n">
        <v>3328</v>
      </c>
      <c r="B3330">
        <f>HYPERLINK("https://eproc.rajasthan.gov.in/nicgep/app?component=%24DirectLink&amp;page=FrontEndViewTender&amp;service=direct&amp;session=T&amp;sp=S86q4ws1Qe0W13GAXkw5xVw%3D%3D", "Supply of Construction Material and equipment at GP DEVGARH PS Banswara Distt. Banswara")</f>
        <v/>
      </c>
      <c r="C3330" t="inlineStr">
        <is>
          <t>Panchayati Raj Department||Secretary and Commissioner||CEO-BANSWARA||BDO-BANSWARA</t>
        </is>
      </c>
      <c r="D3330" t="inlineStr">
        <is>
          <t>20-May-2025 06:00 PM</t>
        </is>
      </c>
      <c r="E3330" t="inlineStr">
        <is>
          <t>1,00,00,000</t>
        </is>
      </c>
      <c r="F3330" t="inlineStr">
        <is>
          <t>Supply of Construction Material and equipment at GP DEVGARH PS Banswara Distt. Banswara</t>
        </is>
      </c>
      <c r="G3330" t="inlineStr">
        <is>
          <t>BANSWARA</t>
        </is>
      </c>
    </row>
    <row r="3331">
      <c r="A3331" s="1" t="n">
        <v>3329</v>
      </c>
      <c r="B3331">
        <f>HYPERLINK("https://eproc.rajasthan.gov.in/nicgep/app?component=%24DirectLink&amp;page=FrontEndViewTender&amp;service=direct&amp;session=T&amp;sp=SC7QvAY77X8H9N8deEiGMnw%3D%3D", "Supply of Construction Material and equipment at GP BADRAIL KHURD PS Banswara Distt. Banswara")</f>
        <v/>
      </c>
      <c r="C3331" t="inlineStr">
        <is>
          <t>Panchayati Raj Department||Secretary and Commissioner||CEO-BANSWARA||BDO-BANSWARA</t>
        </is>
      </c>
      <c r="D3331" t="inlineStr">
        <is>
          <t>20-May-2025 06:00 PM</t>
        </is>
      </c>
      <c r="E3331" t="inlineStr">
        <is>
          <t>1,00,00,000</t>
        </is>
      </c>
      <c r="F3331" t="inlineStr">
        <is>
          <t>Supply of Construction Material and equipment at GP BADRAIL KHURD PS Banswara Distt. Banswara</t>
        </is>
      </c>
      <c r="G3331" t="inlineStr">
        <is>
          <t>BANSWARA</t>
        </is>
      </c>
    </row>
    <row r="3332">
      <c r="A3332" s="1" t="n">
        <v>3330</v>
      </c>
      <c r="B3332">
        <f>HYPERLINK("https://eproc.rajasthan.gov.in/nicgep/app?component=%24DirectLink&amp;page=FrontEndViewTender&amp;service=direct&amp;session=T&amp;sp=STdvz5okweFOSNYkfIpVNmg%3D%3D", "Supply of Construction Material and equipment at GP ABAPURA PS Banswara Distt. Banswara")</f>
        <v/>
      </c>
      <c r="C3332" t="inlineStr">
        <is>
          <t>Panchayati Raj Department||Secretary and Commissioner||CEO-BANSWARA||BDO-BANSWARA</t>
        </is>
      </c>
      <c r="D3332" t="inlineStr">
        <is>
          <t>20-May-2025 06:00 PM</t>
        </is>
      </c>
      <c r="E3332" t="inlineStr">
        <is>
          <t>1,00,00,000</t>
        </is>
      </c>
      <c r="F3332" t="inlineStr">
        <is>
          <t>Supply of Construction Material and equipment at GP ABAPURA PS Banswara Distt. Banswara</t>
        </is>
      </c>
      <c r="G3332" t="inlineStr">
        <is>
          <t>BANSWARA</t>
        </is>
      </c>
    </row>
    <row r="3333">
      <c r="A3333" s="1" t="n">
        <v>3331</v>
      </c>
      <c r="B3333">
        <f>HYPERLINK("https://eproc.rajasthan.gov.in/nicgep/app?component=%24DirectLink&amp;page=FrontEndViewTender&amp;service=direct&amp;session=T&amp;sp=SRjh%2FSbB8VHGWLxXbuEU21Q%3D%3D", "Supply of Construction Material and equipment at GP NALDA PS Banswara Distt. Banswara")</f>
        <v/>
      </c>
      <c r="C3333" t="inlineStr">
        <is>
          <t>Panchayati Raj Department||Secretary and Commissioner||CEO-BANSWARA||BDO-BANSWARA</t>
        </is>
      </c>
      <c r="D3333" t="inlineStr">
        <is>
          <t>20-May-2025 06:00 PM</t>
        </is>
      </c>
      <c r="E3333" t="inlineStr">
        <is>
          <t>1,00,00,000</t>
        </is>
      </c>
      <c r="F3333" t="inlineStr">
        <is>
          <t>Supply of Construction Material and equipment at GP NALDA PS Banswara Distt. Banswara</t>
        </is>
      </c>
      <c r="G3333" t="inlineStr">
        <is>
          <t>BANSWARA</t>
        </is>
      </c>
    </row>
    <row r="3334">
      <c r="A3334" s="1" t="n">
        <v>3332</v>
      </c>
      <c r="B3334">
        <f>HYPERLINK("https://eproc.rajasthan.gov.in/nicgep/app?component=%24DirectLink&amp;page=FrontEndViewTender&amp;service=direct&amp;session=T&amp;sp=SAv7zGDBkkoCovjzVShkneg%3D%3D", "Supply of Construction Material and equipment at GP NAVAKHEDA PS Banswara Distt. Banswara")</f>
        <v/>
      </c>
      <c r="C3334" t="inlineStr">
        <is>
          <t>Panchayati Raj Department||Secretary and Commissioner||CEO-BANSWARA||BDO-BANSWARA</t>
        </is>
      </c>
      <c r="D3334" t="inlineStr">
        <is>
          <t>20-May-2025 06:00 PM</t>
        </is>
      </c>
      <c r="E3334" t="inlineStr">
        <is>
          <t>1,00,00,000</t>
        </is>
      </c>
      <c r="F3334" t="inlineStr">
        <is>
          <t>Supply of Construction Material and equipment at GP NAVAKHEDA PS Banswara Distt. Banswara</t>
        </is>
      </c>
      <c r="G3334" t="inlineStr">
        <is>
          <t>BANSWARA</t>
        </is>
      </c>
    </row>
    <row r="3335">
      <c r="A3335" s="1" t="n">
        <v>3333</v>
      </c>
      <c r="B3335">
        <f>HYPERLINK("https://eproc.rajasthan.gov.in/nicgep/app?component=%24DirectLink&amp;page=FrontEndViewTender&amp;service=direct&amp;session=T&amp;sp=Sbf2udkRDBc38xxLqT5hT3g%3D%3D", "Supply of Construction Material and equipment at GP BORKHABAR PS Banswara Distt. Banswara")</f>
        <v/>
      </c>
      <c r="C3335" t="inlineStr">
        <is>
          <t>Panchayati Raj Department||Secretary and Commissioner||CEO-BANSWARA||BDO-BANSWARA</t>
        </is>
      </c>
      <c r="D3335" t="inlineStr">
        <is>
          <t>20-May-2025 06:00 PM</t>
        </is>
      </c>
      <c r="E3335" t="inlineStr">
        <is>
          <t>1,00,00,000</t>
        </is>
      </c>
      <c r="F3335" t="inlineStr">
        <is>
          <t>Supply of Construction Material and equipment at GP BORKHABAR PS Banswara Distt. Banswara</t>
        </is>
      </c>
      <c r="G3335" t="inlineStr">
        <is>
          <t>BANSWARA</t>
        </is>
      </c>
    </row>
    <row r="3336">
      <c r="A3336" s="1" t="n">
        <v>3334</v>
      </c>
      <c r="B3336">
        <f>HYPERLINK("https://eproc.rajasthan.gov.in/nicgep/app?component=%24DirectLink&amp;page=FrontEndViewTender&amp;service=direct&amp;session=T&amp;sp=S2thnqfKjIuI4v%2BJi%2Fl7AgQ%3D%3D", "Supply of Construction Material and equipment at GP CHAPARIYA PS Banswara Distt. Banswara")</f>
        <v/>
      </c>
      <c r="C3336" t="inlineStr">
        <is>
          <t>Panchayati Raj Department||Secretary and Commissioner||CEO-BANSWARA||BDO-BANSWARA</t>
        </is>
      </c>
      <c r="D3336" t="inlineStr">
        <is>
          <t>20-May-2025 06:00 PM</t>
        </is>
      </c>
      <c r="E3336" t="inlineStr">
        <is>
          <t>1,00,00,000</t>
        </is>
      </c>
      <c r="F3336" t="inlineStr">
        <is>
          <t>Supply of Construction Material and equipment at GP CHAPARIYA PS Banswara Distt. Banswara</t>
        </is>
      </c>
      <c r="G3336" t="inlineStr">
        <is>
          <t>BANSWARA</t>
        </is>
      </c>
    </row>
    <row r="3337">
      <c r="A3337" s="1" t="n">
        <v>3335</v>
      </c>
      <c r="B3337">
        <f>HYPERLINK("https://eproc.rajasthan.gov.in/nicgep/app?component=%24DirectLink&amp;page=FrontEndViewTender&amp;service=direct&amp;session=T&amp;sp=S2kBVd1KDV8Gk%2FuLXyuxnOA%3D%3D", "MATERIAL SUPPLY IN GP KALYANSAR PS SRI DUNGARGARH FOR THE FINANCIAL YEAR 2025-26")</f>
        <v/>
      </c>
      <c r="C3337" t="inlineStr">
        <is>
          <t>Panchayati Raj Department||Secretary and Commissioner||CEO-BIKANER||BDO-KHAJUWALA</t>
        </is>
      </c>
      <c r="D3337" t="inlineStr">
        <is>
          <t>19-May-2025 04:00 PM</t>
        </is>
      </c>
      <c r="E3337" t="inlineStr">
        <is>
          <t>50,00,000</t>
        </is>
      </c>
      <c r="F3337" t="inlineStr">
        <is>
          <t>MATERIAL SUPPLY IN GP KALYANSAR PS SRI DUNGARGARH FOR THE FINANCIAL YEAR 2025-26</t>
        </is>
      </c>
      <c r="G3337" t="inlineStr">
        <is>
          <t>KALYANSAR</t>
        </is>
      </c>
    </row>
    <row r="3338">
      <c r="A3338" s="1" t="n">
        <v>3336</v>
      </c>
      <c r="B3338">
        <f>HYPERLINK("https://eproc.rajasthan.gov.in/nicgep/app?component=%24DirectLink&amp;page=FrontEndViewTender&amp;service=direct&amp;session=T&amp;sp=Snx7Pw656uNELVxWK112RyA%3D%3D", "MATERIAL SUPPLY IN GP KUNTASAR PS SRI DUNGARGARH FOR THE FINANCIAL YEAR 2025-26")</f>
        <v/>
      </c>
      <c r="C3338" t="inlineStr">
        <is>
          <t>Panchayati Raj Department||Secretary and Commissioner||CEO-BIKANER||BDO-KHAJUWALA</t>
        </is>
      </c>
      <c r="D3338" t="inlineStr">
        <is>
          <t>19-May-2025 04:00 PM</t>
        </is>
      </c>
      <c r="E3338" t="inlineStr">
        <is>
          <t>50,00,000</t>
        </is>
      </c>
      <c r="F3338" t="inlineStr">
        <is>
          <t>MATERIAL SUPPLY IN GP KUNTASAR PS SRI DUNGARGARH FOR THE FINANCIAL YEAR 2025-26</t>
        </is>
      </c>
      <c r="G3338" t="inlineStr">
        <is>
          <t>KUNTASAR</t>
        </is>
      </c>
    </row>
    <row r="3339">
      <c r="A3339" s="1" t="n">
        <v>3337</v>
      </c>
      <c r="B3339">
        <f>HYPERLINK("https://eproc.rajasthan.gov.in/nicgep/app?component=%24DirectLink&amp;page=FrontEndViewTender&amp;service=direct&amp;session=T&amp;sp=SobqZwsqkfDW8R0OMpTC0VQ%3D%3D", "MATERIAL SUPPLY IN GP THUKRIASAR PS SRI DUNGARGARH FOR THE FINANCIAL YEAR 2025-26")</f>
        <v/>
      </c>
      <c r="C3339" t="inlineStr">
        <is>
          <t>Panchayati Raj Department||Secretary and Commissioner||CEO-BIKANER||BDO-KHAJUWALA</t>
        </is>
      </c>
      <c r="D3339" t="inlineStr">
        <is>
          <t>19-May-2025 04:00 PM</t>
        </is>
      </c>
      <c r="E3339" t="inlineStr">
        <is>
          <t>50,00,000</t>
        </is>
      </c>
      <c r="F3339" t="inlineStr">
        <is>
          <t>MATERIAL SUPPLY IN GP THUKRIASAR PS SRI DUNGARGARH FOR THE FINANCIAL YEAR 2025-26</t>
        </is>
      </c>
      <c r="G3339" t="inlineStr">
        <is>
          <t>THUKRIASAR</t>
        </is>
      </c>
    </row>
    <row r="3340">
      <c r="A3340" s="1" t="n">
        <v>3338</v>
      </c>
      <c r="B3340">
        <f>HYPERLINK("https://eproc.rajasthan.gov.in/nicgep/app?component=%24DirectLink&amp;page=FrontEndViewTender&amp;service=direct&amp;session=T&amp;sp=S1Or67l45DlEmcjohJ1kFPw%3D%3D", "MATERIAL SUPPLY IN GP JODHASAR PS SRI DUNGARGARH FOR THE FINANCIAL YEAR 2025-26")</f>
        <v/>
      </c>
      <c r="C3340" t="inlineStr">
        <is>
          <t>Panchayati Raj Department||Secretary and Commissioner||CEO-BIKANER||BDO-KHAJUWALA</t>
        </is>
      </c>
      <c r="D3340" t="inlineStr">
        <is>
          <t>19-May-2025 04:00 PM</t>
        </is>
      </c>
      <c r="E3340" t="inlineStr">
        <is>
          <t>50,00,000</t>
        </is>
      </c>
      <c r="F3340" t="inlineStr">
        <is>
          <t>MATERIAL SUPPLY IN GP JODHASAR PS SRI DUNGARGARH FOR THE FINANCIAL YEAR 2025-26</t>
        </is>
      </c>
      <c r="G3340" t="inlineStr">
        <is>
          <t>JODHASAR</t>
        </is>
      </c>
    </row>
    <row r="3341">
      <c r="A3341" s="1" t="n">
        <v>3339</v>
      </c>
      <c r="B3341">
        <f>HYPERLINK("https://eproc.rajasthan.gov.in/nicgep/app?component=%24DirectLink&amp;page=FrontEndViewTender&amp;service=direct&amp;session=T&amp;sp=SwO%2FTe0Zhfh0u5nWo6pAz3g%3D%3D", "MATERIAL SUPPLY IN GP SURJANSAR PS SRI DUNGARGARH FOR THE FINANCIAL YEAR 2025-26")</f>
        <v/>
      </c>
      <c r="C3341" t="inlineStr">
        <is>
          <t>Panchayati Raj Department||Secretary and Commissioner||CEO-BIKANER||BDO-KHAJUWALA</t>
        </is>
      </c>
      <c r="D3341" t="inlineStr">
        <is>
          <t>19-May-2025 04:00 PM</t>
        </is>
      </c>
      <c r="E3341" t="inlineStr">
        <is>
          <t>50,00,000</t>
        </is>
      </c>
      <c r="F3341" t="inlineStr">
        <is>
          <t>MATERIAL SUPPLY IN GP SURJANSAR PS SRI DUNGARGARH FOR THE FINANCIAL YEAR 2025-26</t>
        </is>
      </c>
      <c r="G3341" t="inlineStr">
        <is>
          <t>SURJANSAR</t>
        </is>
      </c>
    </row>
    <row r="3342">
      <c r="A3342" s="1" t="n">
        <v>3340</v>
      </c>
      <c r="B3342">
        <f>HYPERLINK("https://eproc.rajasthan.gov.in/nicgep/app?component=%24DirectLink&amp;page=FrontEndViewTender&amp;service=direct&amp;session=T&amp;sp=S0YLaINJaWUd7NxlGK2tNyQ%3D%3D", "MATERIAL SUPPLY IN GP DERAJSAR PS SRI DUNGARGARH FOR THE FINANCIAL YEAR 2025-26")</f>
        <v/>
      </c>
      <c r="C3342" t="inlineStr">
        <is>
          <t>Panchayati Raj Department||Secretary and Commissioner||CEO-BIKANER||BDO-KHAJUWALA</t>
        </is>
      </c>
      <c r="D3342" t="inlineStr">
        <is>
          <t>19-May-2025 04:00 PM</t>
        </is>
      </c>
      <c r="E3342" t="inlineStr">
        <is>
          <t>50,00,000</t>
        </is>
      </c>
      <c r="F3342" t="inlineStr">
        <is>
          <t>MATERIAL SUPPLY IN GP DERAJSAR PS SRI DUNGARGARH FOR THE FINANCIAL YEAR 2025-26</t>
        </is>
      </c>
      <c r="G3342" t="inlineStr">
        <is>
          <t>DERAJSAR</t>
        </is>
      </c>
    </row>
    <row r="3343">
      <c r="A3343" s="1" t="n">
        <v>3341</v>
      </c>
      <c r="B3343">
        <f>HYPERLINK("https://eproc.rajasthan.gov.in/nicgep/app?component=%24DirectLink&amp;page=FrontEndViewTender&amp;service=direct&amp;session=T&amp;sp=SHE%2FAvJn2RCfA%2F%2B9R7pXnBA%3D%3D", "MATERIAL SUPPLY IN GP DUSHARNA PANDRIK PS SRI DUNGARGARH FOR THE FINANCIAL YEAR 2025-26")</f>
        <v/>
      </c>
      <c r="C3343" t="inlineStr">
        <is>
          <t>Panchayati Raj Department||Secretary and Commissioner||CEO-BIKANER||BDO-KHAJUWALA</t>
        </is>
      </c>
      <c r="D3343" t="inlineStr">
        <is>
          <t>19-May-2025 04:00 PM</t>
        </is>
      </c>
      <c r="E3343" t="inlineStr">
        <is>
          <t>50,00,000</t>
        </is>
      </c>
      <c r="F3343" t="inlineStr">
        <is>
          <t>MATERIAL SUPPLY IN GP DUSHARNA PANDRIK PS SRI DUNGARGARH FOR THE FINANCIAL YEAR 2025-26</t>
        </is>
      </c>
      <c r="G3343" t="inlineStr">
        <is>
          <t>DUSHARNA PANDRIK</t>
        </is>
      </c>
    </row>
    <row r="3344">
      <c r="A3344" s="1" t="n">
        <v>3342</v>
      </c>
      <c r="B3344">
        <f>HYPERLINK("https://eproc.rajasthan.gov.in/nicgep/app?component=%24DirectLink&amp;page=FrontEndViewTender&amp;service=direct&amp;session=T&amp;sp=SBUvdd2HW%2BQuLubvOlsMsOA%3D%3D", "MATERIAL SUPPLY IN GP DHANERU PS SRI DUNGARGARH FOR THE FINANCIAL YEAR 2025-26")</f>
        <v/>
      </c>
      <c r="C3344" t="inlineStr">
        <is>
          <t>Panchayati Raj Department||Secretary and Commissioner||CEO-BIKANER||BDO-KHAJUWALA</t>
        </is>
      </c>
      <c r="D3344" t="inlineStr">
        <is>
          <t>19-May-2025 04:00 PM</t>
        </is>
      </c>
      <c r="E3344" t="inlineStr">
        <is>
          <t>50,00,000</t>
        </is>
      </c>
      <c r="F3344" t="inlineStr">
        <is>
          <t>MATERIAL SUPPLY IN GP DHANERU PS SRI DUNGARGARH FOR THE FINANCIAL YEAR 2025-26</t>
        </is>
      </c>
      <c r="G3344" t="inlineStr">
        <is>
          <t>DHANERU</t>
        </is>
      </c>
    </row>
    <row r="3345">
      <c r="A3345" s="1" t="n">
        <v>3343</v>
      </c>
      <c r="B3345">
        <f>HYPERLINK("https://eproc.rajasthan.gov.in/nicgep/app?component=%24DirectLink&amp;page=FrontEndViewTender&amp;service=direct&amp;session=T&amp;sp=Sp6K5KfBuDUGP%2FXu2A1oqXQ%3D%3D", "MATERIAL SUPPLY IN GP MINGSARIYA PS SRI DUNGARGARH FOR THE FINANCIAL YEAR 2025-26")</f>
        <v/>
      </c>
      <c r="C3345" t="inlineStr">
        <is>
          <t>Panchayati Raj Department||Secretary and Commissioner||CEO-BIKANER||BDO-KHAJUWALA</t>
        </is>
      </c>
      <c r="D3345" t="inlineStr">
        <is>
          <t>19-May-2025 04:00 PM</t>
        </is>
      </c>
      <c r="E3345" t="inlineStr">
        <is>
          <t>50,00,000</t>
        </is>
      </c>
      <c r="F3345" t="inlineStr">
        <is>
          <t>MATERIAL SUPPLY IN GP MINGSARIYA PS SRI DUNGARGARH FOR THE FINANCIAL YEAR 2025-26</t>
        </is>
      </c>
      <c r="G3345" t="inlineStr">
        <is>
          <t>MINGSARIYA</t>
        </is>
      </c>
    </row>
    <row r="3346">
      <c r="A3346" s="1" t="n">
        <v>3344</v>
      </c>
      <c r="B3346">
        <f>HYPERLINK("https://eproc.rajasthan.gov.in/nicgep/app?component=%24DirectLink&amp;page=FrontEndViewTender&amp;service=direct&amp;session=T&amp;sp=SGcvCmftYaSpN98xedr5fKw%3D%3D", "MATERIAL SUPPLY IN GP BIGGA PS SRI DUNGARGARH FOR THE FINANCIAL YEAR 2025-26")</f>
        <v/>
      </c>
      <c r="C3346" t="inlineStr">
        <is>
          <t>Panchayati Raj Department||Secretary and Commissioner||CEO-BIKANER||BDO-KHAJUWALA</t>
        </is>
      </c>
      <c r="D3346" t="inlineStr">
        <is>
          <t>19-May-2025 04:00 PM</t>
        </is>
      </c>
      <c r="E3346" t="inlineStr">
        <is>
          <t>50,00,000</t>
        </is>
      </c>
      <c r="F3346" t="inlineStr">
        <is>
          <t>MATERIAL SUPPLY IN GP BIGGA PS SRI DUNGARGARH FOR THE FINANCIAL YEAR 2025-26</t>
        </is>
      </c>
      <c r="G3346" t="inlineStr">
        <is>
          <t>BIGGA</t>
        </is>
      </c>
    </row>
    <row r="3347">
      <c r="A3347" s="1" t="n">
        <v>3345</v>
      </c>
      <c r="B3347">
        <f>HYPERLINK("https://eproc.rajasthan.gov.in/nicgep/app?component=%24DirectLink&amp;page=FrontEndViewTender&amp;service=direct&amp;session=T&amp;sp=SZhpBlmrDLgpmguu%2Bo74cZw%3D%3D", "MATERIAL SUPPLY IN GP SUDSAR PS SRI DUNGARGARH FOR THE FINANCIAL YEAR 2025-26")</f>
        <v/>
      </c>
      <c r="C3347" t="inlineStr">
        <is>
          <t>Panchayati Raj Department||Secretary and Commissioner||CEO-BIKANER||BDO-KHAJUWALA</t>
        </is>
      </c>
      <c r="D3347" t="inlineStr">
        <is>
          <t>19-May-2025 04:00 PM</t>
        </is>
      </c>
      <c r="E3347" t="inlineStr">
        <is>
          <t>50,00,000</t>
        </is>
      </c>
      <c r="F3347" t="inlineStr">
        <is>
          <t>MATERIAL SUPPLY IN GP SUDSAR PS SRI DUNGARGARH FOR THE FINANCIAL YEAR 2025-26</t>
        </is>
      </c>
      <c r="G3347" t="inlineStr">
        <is>
          <t>SUDSAR</t>
        </is>
      </c>
    </row>
    <row r="3348">
      <c r="A3348" s="1" t="n">
        <v>3346</v>
      </c>
      <c r="B3348">
        <f>HYPERLINK("https://eproc.rajasthan.gov.in/nicgep/app?component=%24DirectLink&amp;page=FrontEndViewTender&amp;service=direct&amp;session=T&amp;sp=ShQVXYlIoZc5j%2BTDE6rcZXA%3D%3D", "MATERIAL SUPPLY IN GP LIKHMADESAR PS SRI DUNGARGARH FOR THE FINANCIAL YEAR 2025-26")</f>
        <v/>
      </c>
      <c r="C3348" t="inlineStr">
        <is>
          <t>Panchayati Raj Department||Secretary and Commissioner||CEO-BIKANER||BDO-KHAJUWALA</t>
        </is>
      </c>
      <c r="D3348" t="inlineStr">
        <is>
          <t>19-May-2025 04:00 PM</t>
        </is>
      </c>
      <c r="E3348" t="inlineStr">
        <is>
          <t>50,00,000</t>
        </is>
      </c>
      <c r="F3348" t="inlineStr">
        <is>
          <t>MATERIAL SUPPLY IN GP LIKHMADESAR PS SRI DUNGARGARH FOR THE FINANCIAL YEAR 2025-26</t>
        </is>
      </c>
      <c r="G3348" t="inlineStr">
        <is>
          <t>LIKHMADESAR</t>
        </is>
      </c>
    </row>
    <row r="3349">
      <c r="A3349" s="1" t="n">
        <v>3347</v>
      </c>
      <c r="B3349">
        <f>HYPERLINK("https://eproc.rajasthan.gov.in/nicgep/app?component=%24DirectLink&amp;page=FrontEndViewTender&amp;service=direct&amp;session=T&amp;sp=S6CU9hPbZPi%2FIGi8h7WNp1g%3D%3D", "MATERAIL SUPPLY FOR GRAM PANCHAYAT DATTANI PS MERTA (NAGAUR)")</f>
        <v/>
      </c>
      <c r="C3349" t="inlineStr">
        <is>
          <t>Panchayati Raj Department||Secretary and Commissioner||CEO-NAGORE||BDO-MERTA</t>
        </is>
      </c>
      <c r="D3349" t="inlineStr">
        <is>
          <t>19-May-2025 06:00 PM</t>
        </is>
      </c>
      <c r="E3349" t="inlineStr">
        <is>
          <t>2,00,00,000</t>
        </is>
      </c>
      <c r="F3349" t="inlineStr">
        <is>
          <t>Supply construction of material and providing equiment in NREGA GP DATTANI in about tender notice PS MERTA</t>
        </is>
      </c>
      <c r="G3349" t="inlineStr">
        <is>
          <t>GRAM PANCHAYAT DATTANI</t>
        </is>
      </c>
    </row>
    <row r="3350">
      <c r="A3350" s="1" t="n">
        <v>3348</v>
      </c>
      <c r="B3350">
        <f>HYPERLINK("https://eproc.rajasthan.gov.in/nicgep/app?component=%24DirectLink&amp;page=FrontEndViewTender&amp;service=direct&amp;session=T&amp;sp=SU6faLHCZ%2FGFWxNCAsRyO%2BQ%3D%3D", "MATERAIL SUPPLY FOR GRAM PANCHAYAT TUNKIYA PS MERTA (NAGAUR)")</f>
        <v/>
      </c>
      <c r="C3350" t="inlineStr">
        <is>
          <t>Panchayati Raj Department||Secretary and Commissioner||CEO-NAGORE||BDO-MERTA</t>
        </is>
      </c>
      <c r="D3350" t="inlineStr">
        <is>
          <t>20-May-2025 06:00 PM</t>
        </is>
      </c>
      <c r="E3350" t="inlineStr">
        <is>
          <t>2,00,00,000</t>
        </is>
      </c>
      <c r="F3350" t="inlineStr">
        <is>
          <t>Supply construction of material and providing equiment in NREGA GP TUNKIYA in about tender notice PS MERTA</t>
        </is>
      </c>
      <c r="G3350" t="inlineStr">
        <is>
          <t>GRAM PANCHAYAT TUNKLIYA</t>
        </is>
      </c>
    </row>
    <row r="3351">
      <c r="A3351" s="1" t="n">
        <v>3349</v>
      </c>
      <c r="B3351">
        <f>HYPERLINK("https://eproc.rajasthan.gov.in/nicgep/app?component=%24DirectLink&amp;page=FrontEndViewTender&amp;service=direct&amp;session=T&amp;sp=Sc0oyiyJ4nt1L06HEWyCd6g%3D%3D", "MATERAIL SUPPLY FOR GRAM PANCHAYAT MORRA PS MERTA (NAGAUR)")</f>
        <v/>
      </c>
      <c r="C3351" t="inlineStr">
        <is>
          <t>Panchayati Raj Department||Secretary and Commissioner||CEO-NAGORE||BDO-MERTA</t>
        </is>
      </c>
      <c r="D3351" t="inlineStr">
        <is>
          <t>21-May-2025 06:00 PM</t>
        </is>
      </c>
      <c r="E3351" t="inlineStr">
        <is>
          <t>2,00,00,000</t>
        </is>
      </c>
      <c r="F3351" t="inlineStr">
        <is>
          <t>Supply construction of material and providing equiment in NREGA GP MORRA in about tender notice PS MERTA</t>
        </is>
      </c>
      <c r="G3351" t="inlineStr">
        <is>
          <t>GRAM PANCHAYAT MORRA</t>
        </is>
      </c>
    </row>
    <row r="3352">
      <c r="A3352" s="1" t="n">
        <v>3350</v>
      </c>
      <c r="B3352">
        <f>HYPERLINK("https://eproc.rajasthan.gov.in/nicgep/app?component=%24DirectLink&amp;page=FrontEndViewTender&amp;service=direct&amp;session=T&amp;sp=SRcTcJWokXxIArv%2FNWpYASg%3D%3D", "MATERAIL SUPPLY FOR GRAM PANCHAYAT DHADHANLAS UDA PS MERTA (NAGAUR)")</f>
        <v/>
      </c>
      <c r="C3352" t="inlineStr">
        <is>
          <t>Panchayati Raj Department||Secretary and Commissioner||CEO-NAGORE||BDO-MERTA</t>
        </is>
      </c>
      <c r="D3352" t="inlineStr">
        <is>
          <t>19-May-2025 06:00 PM</t>
        </is>
      </c>
      <c r="E3352" t="inlineStr">
        <is>
          <t>2,00,00,000</t>
        </is>
      </c>
      <c r="F3352" t="inlineStr">
        <is>
          <t>Supply construction of material and providing equiment in NREGA GP DHADHANLAS UDA in about tender notice PS MERTA</t>
        </is>
      </c>
      <c r="G3352" t="inlineStr">
        <is>
          <t>GRAM PANCHAYAT DHADHANLAS UDA</t>
        </is>
      </c>
    </row>
    <row r="3353">
      <c r="A3353" s="1" t="n">
        <v>3351</v>
      </c>
      <c r="B3353">
        <f>HYPERLINK("https://eproc.rajasthan.gov.in/nicgep/app?component=%24DirectLink&amp;page=FrontEndViewTender&amp;service=direct&amp;session=T&amp;sp=Svk%2Bfs11u%2FTElm%2FzadTtA7w%3D%3D", "MATERAIL SUPPLY FOR GRAM PANCHAYAT GOTAN PS MERTA (NAGAUR)")</f>
        <v/>
      </c>
      <c r="C3353" t="inlineStr">
        <is>
          <t>Panchayati Raj Department||Secretary and Commissioner||CEO-NAGORE||BDO-MERTA</t>
        </is>
      </c>
      <c r="D3353" t="inlineStr">
        <is>
          <t>19-May-2025 06:00 PM</t>
        </is>
      </c>
      <c r="E3353" t="inlineStr">
        <is>
          <t>5,00,00,000</t>
        </is>
      </c>
      <c r="F3353" t="inlineStr">
        <is>
          <t>Supply construction of material and providing equiment in NREGA GP GOTAN in about tender notice PS MERTA</t>
        </is>
      </c>
      <c r="G3353" t="inlineStr">
        <is>
          <t>GRAM PANCHAYAT GOTAN</t>
        </is>
      </c>
    </row>
    <row r="3354">
      <c r="A3354" s="1" t="n">
        <v>3352</v>
      </c>
      <c r="B3354">
        <f>HYPERLINK("https://eproc.rajasthan.gov.in/nicgep/app?component=%24DirectLink&amp;page=FrontEndViewTender&amp;service=direct&amp;session=T&amp;sp=SrGtp3IbHuf9%2BmQDpKV%2B0cA%3D%3D", "MATERAIL SUPPLY FOR GRAM PANCHAYAT KARWASON KI DHAI PS MERTA (NAGAUR)")</f>
        <v/>
      </c>
      <c r="C3354" t="inlineStr">
        <is>
          <t>Panchayati Raj Department||Secretary and Commissioner||CEO-NAGORE||BDO-MERTA</t>
        </is>
      </c>
      <c r="D3354" t="inlineStr">
        <is>
          <t>21-May-2025 06:00 PM</t>
        </is>
      </c>
      <c r="E3354" t="inlineStr">
        <is>
          <t>2,00,00,000</t>
        </is>
      </c>
      <c r="F3354" t="inlineStr">
        <is>
          <t>Supply construction of material and providing equiment in NREGA GP KARWASON KI DHAI in about tender notice PS MERTA</t>
        </is>
      </c>
      <c r="G3354" t="inlineStr">
        <is>
          <t>GRAM PANCHAYAT KARWASON KI DHANI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2025-05-17T13:13:39Z</dcterms:created>
  <dcterms:modified xsi:type="dcterms:W3CDTF">2025-05-17T13:13:39Z</dcterms:modified>
</cp:coreProperties>
</file>