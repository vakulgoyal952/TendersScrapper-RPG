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sheetData>
    <row r="1">
      <c r="A1" s="1" t="inlineStr">
        <is>
          <t>Sno</t>
        </is>
      </c>
      <c r="B1" s="1" t="inlineStr">
        <is>
          <t>Title</t>
        </is>
      </c>
      <c r="C1" s="1" t="inlineStr">
        <is>
          <t>Organisation Chain</t>
        </is>
      </c>
      <c r="D1" s="1" t="inlineStr">
        <is>
          <t>Closing Date</t>
        </is>
      </c>
      <c r="E1" s="1" t="inlineStr">
        <is>
          <t>Amount</t>
        </is>
      </c>
      <c r="F1" s="1" t="inlineStr">
        <is>
          <t>Work Description</t>
        </is>
      </c>
      <c r="G1" s="1" t="inlineStr">
        <is>
          <t>Location</t>
        </is>
      </c>
    </row>
    <row r="2">
      <c r="A2" s="1" t="n">
        <v>0</v>
      </c>
      <c r="B2">
        <f>HYPERLINK("https://eproc.rajasthan.gov.in/nicgep/app?component=%24DirectLink&amp;page=FrontEndViewTender&amp;service=direct&amp;session=T&amp;sp=S8aFhu43V8IXg7Jut8lRe%2Bg%3D%3D", "LT CT Ring Type 200/5 A")</f>
        <v/>
      </c>
      <c r="C2" t="inlineStr">
        <is>
          <t>Jodhpur VVNL - MD||CE (HQ)||SE(MM and C)||XEn(MMC-IV)</t>
        </is>
      </c>
      <c r="D2" t="inlineStr">
        <is>
          <t>23-May-2025 12:00 PM</t>
        </is>
      </c>
      <c r="E2" t="inlineStr">
        <is>
          <t>14,72,60,745</t>
        </is>
      </c>
      <c r="F2" t="inlineStr">
        <is>
          <t>LT Current Transformer Ring Type of Accuracy 0.5s of ratio 200/5 A</t>
        </is>
      </c>
      <c r="G2" t="inlineStr">
        <is>
          <t>SE_MMC_JDVVNL_JODHPUR</t>
        </is>
      </c>
    </row>
    <row r="3">
      <c r="A3" s="1" t="n">
        <v>1</v>
      </c>
      <c r="B3">
        <f>HYPERLINK("https://eproc.rajasthan.gov.in/nicgep/app?component=%24DirectLink&amp;page=FrontEndViewTender&amp;service=direct&amp;session=T&amp;sp=S%2FmR7EcTPwljj9WoGSus%2FUg%3D%3D", "Erection of 9 KM 33 kV SC Line with ACSR Dog Conductor from Loharki Feeder to 33 kV Proposed GSS GOVINDSINGHPURA and const. of 3.15 mva GSS at GOVINDISNGHPURA with 5.9 KM 11 kV IC work under AEn OnM JdVVNL Nachana on LRC2022")</f>
        <v/>
      </c>
      <c r="C3" t="inlineStr">
        <is>
          <t>Jodhpur VVNL - MD||Director (T)||CE-BARMER ZONE</t>
        </is>
      </c>
      <c r="D3" t="inlineStr">
        <is>
          <t>28-May-2025 04:00 PM</t>
        </is>
      </c>
      <c r="E3" t="inlineStr">
        <is>
          <t>12,22,872</t>
        </is>
      </c>
      <c r="F3" t="inlineStr">
        <is>
          <t>Erection of 9 KM 33 kV SC Line with ACSR Dog Conductor from Loharki Feeder to 33 kV Proposed GSS GOVINDSINGHPURA and const. of 3.15 mva GSS at GOVINDISNGHPURA with 5.9 KM 11 kV IC work under AEn OnM JdVVNL Nachana on LRC2022</t>
        </is>
      </c>
      <c r="G3" t="inlineStr">
        <is>
          <t>GOVINDSINGHPURA</t>
        </is>
      </c>
    </row>
    <row r="4">
      <c r="A4" s="1" t="n">
        <v>2</v>
      </c>
      <c r="B4">
        <f>HYPERLINK("https://eproc.rajasthan.gov.in/nicgep/app?component=%24DirectLink&amp;page=FrontEndViewTender&amp;service=direct&amp;session=T&amp;sp=SnMP2mwQosqMn6gP0%2B2GUpQ%3D%3D", "33KV works for new HT NDS conn. for proposed STU Electric Charging Station in front of MGSU Bikaner for PM E-Bus Depot in favour of Commissioner Nagar Nigam Bikaner under AEN Rural BKN Bikaner DC on TW basis TNTW 741")</f>
        <v/>
      </c>
      <c r="C4" t="inlineStr">
        <is>
          <t>Jodhpur VVNL - MD||CE (HQ)||SE(TW)||XEn(TW)</t>
        </is>
      </c>
      <c r="D4" t="inlineStr">
        <is>
          <t>26-May-2025 05:00 PM</t>
        </is>
      </c>
      <c r="E4" t="inlineStr">
        <is>
          <t>1,76,40,347</t>
        </is>
      </c>
      <c r="F4" t="inlineStr">
        <is>
          <t>33KV works for new HT NDS conn. for proposed STU Electric Charging Station in front of MGSU Bikaner for PM E-Bus Depot in favour of Commissioner Nagar Nigam Bikaner under AEN Rural BKN Bikaner DC on TW basis TNTW 741</t>
        </is>
      </c>
      <c r="G4" t="inlineStr">
        <is>
          <t>BIKANER</t>
        </is>
      </c>
    </row>
    <row r="5">
      <c r="A5" s="1" t="n">
        <v>3</v>
      </c>
      <c r="B5">
        <f>HYPERLINK("https://eproc.rajasthan.gov.in/nicgep/app?component=%24DirectLink&amp;page=FrontEndViewTender&amp;service=direct&amp;session=T&amp;sp=SUno268EvA7EQAdUhoEnfcg%3D%3D", "Construction of 33 KV Sub Station Building and Boundary Wall at Sultana.")</f>
        <v/>
      </c>
      <c r="C5" t="inlineStr">
        <is>
          <t>Jodhpur VVNL - MD||CE (HQ)||SE(CIVIL)</t>
        </is>
      </c>
      <c r="D5" t="inlineStr">
        <is>
          <t>26-May-2025 02:00 PM</t>
        </is>
      </c>
      <c r="E5" t="inlineStr">
        <is>
          <t>30,00,000</t>
        </is>
      </c>
      <c r="F5" t="inlineStr">
        <is>
          <t>Construction of 33 KV Sub Station Building and Boundary Wall at Sultana.</t>
        </is>
      </c>
      <c r="G5" t="inlineStr">
        <is>
          <t>Sultana</t>
        </is>
      </c>
    </row>
    <row r="6">
      <c r="A6" s="1" t="n">
        <v>4</v>
      </c>
      <c r="B6">
        <f>HYPERLINK("https://eproc.rajasthan.gov.in/nicgep/app?component=%24DirectLink&amp;page=FrontEndViewTender&amp;service=direct&amp;session=T&amp;sp=SqO8%2BKSF7NfcfA7ct1om0Gw%3D%3D", "Construction of 33 KV Sub Station Building and Boundary Wall at Panche ka Talla")</f>
        <v/>
      </c>
      <c r="C6" t="inlineStr">
        <is>
          <t>Jodhpur VVNL - MD||CE (HQ)||SE(CIVIL)</t>
        </is>
      </c>
      <c r="D6" t="inlineStr">
        <is>
          <t>26-May-2025 02:00 PM</t>
        </is>
      </c>
      <c r="E6" t="inlineStr">
        <is>
          <t>40,00,000</t>
        </is>
      </c>
      <c r="F6" t="inlineStr">
        <is>
          <t>Construction of 33 KV Sub Station Building and Boundary Wall at Panche ka Talla</t>
        </is>
      </c>
      <c r="G6" t="inlineStr">
        <is>
          <t>Panche ka talla</t>
        </is>
      </c>
    </row>
    <row r="7">
      <c r="A7" s="1" t="n">
        <v>5</v>
      </c>
      <c r="B7">
        <f>HYPERLINK("https://eproc.rajasthan.gov.in/nicgep/app?component=%24DirectLink&amp;page=FrontEndViewTender&amp;service=direct&amp;session=T&amp;sp=SacpVchoGfQa4PVOci1IkOQ%3D%3D", "Construction of 33 KV Sub Station Building and Boundary Wall at Dala Ram ki Dhani")</f>
        <v/>
      </c>
      <c r="C7" t="inlineStr">
        <is>
          <t>Jodhpur VVNL - MD||CE (HQ)||SE(CIVIL)</t>
        </is>
      </c>
      <c r="D7" t="inlineStr">
        <is>
          <t>26-May-2025 02:00 PM</t>
        </is>
      </c>
      <c r="E7" t="inlineStr">
        <is>
          <t>30,00,000</t>
        </is>
      </c>
      <c r="F7" t="inlineStr">
        <is>
          <t>Construction of 33 KV Sub Station Building and Boundary Wall at Dala Ram ki Dhani</t>
        </is>
      </c>
      <c r="G7" t="inlineStr">
        <is>
          <t>Dala ram ki Dhani</t>
        </is>
      </c>
    </row>
    <row r="8">
      <c r="A8" s="1" t="n">
        <v>6</v>
      </c>
      <c r="B8">
        <f>HYPERLINK("https://eproc.rajasthan.gov.in/nicgep/app?component=%24DirectLink&amp;page=FrontEndViewTender&amp;service=direct&amp;session=T&amp;sp=SsPHFbZXuLNus5vqiV4L6%2Fw%3D%3D", "33 KV works required for releasing new HT conn. CD 6 MVA for proposed Electric Charging station BRTS Jhalamand Depot for PM E Bus Sewa as applied by Ayukt Nagar Nigam North Jodhpur AEN B6 JdVVNL Jodhpur City Circle Deposit Work on TW basis TNTW 740")</f>
        <v/>
      </c>
      <c r="C8" t="inlineStr">
        <is>
          <t>Jodhpur VVNL - MD||CE (HQ)||SE(TW)||XEn(TW)</t>
        </is>
      </c>
      <c r="D8" t="inlineStr">
        <is>
          <t>21-May-2025 05:00 PM</t>
        </is>
      </c>
      <c r="E8" t="inlineStr">
        <is>
          <t>4,45,45,249</t>
        </is>
      </c>
      <c r="F8" t="inlineStr">
        <is>
          <t>33 KV works required for releasing new HT conn. CD 6 MVA for proposed Electric Charging station BRTS Jhalamand Depot for PM E Bus Sewa as applied by Ayukt Nagar Nigam North Jodhpur AEN B6 JdVVNL Jodhpur City Circle Deposit Work on TW basis TNTW 740</t>
        </is>
      </c>
      <c r="G8" t="inlineStr">
        <is>
          <t>JODHPUR</t>
        </is>
      </c>
    </row>
    <row r="9">
      <c r="A9" s="1" t="n">
        <v>7</v>
      </c>
      <c r="B9">
        <f>HYPERLINK("https://eproc.rajasthan.gov.in/nicgep/app?component=%24DirectLink&amp;page=FrontEndViewTender&amp;service=direct&amp;session=T&amp;sp=SgGoNNG0EZphgl4UpVKQycw%3D%3D", "Construction of 33 KV Sub Station Building and Boundary Wall at Neri Nadi.")</f>
        <v/>
      </c>
      <c r="C9" t="inlineStr">
        <is>
          <t>Jodhpur VVNL - MD||CE (HQ)||SE(CIVIL)</t>
        </is>
      </c>
      <c r="D9" t="inlineStr">
        <is>
          <t>26-May-2025 02:00 PM</t>
        </is>
      </c>
      <c r="E9" t="inlineStr">
        <is>
          <t>30,00,000</t>
        </is>
      </c>
      <c r="F9" t="inlineStr">
        <is>
          <t>Construction of 33 KV Sub Station Building and Boundary Wall at Neri Nadi.</t>
        </is>
      </c>
      <c r="G9" t="inlineStr">
        <is>
          <t>Neri Nadi</t>
        </is>
      </c>
    </row>
    <row r="10">
      <c r="A10" s="1" t="n">
        <v>8</v>
      </c>
      <c r="B10">
        <f>HYPERLINK("https://eproc.rajasthan.gov.in/nicgep/app?component=%24DirectLink&amp;page=FrontEndViewTender&amp;service=direct&amp;session=T&amp;sp=SxANS6v6WyOv1l7RjVcgKFg%3D%3D", "Construction of 33 kv s/s building and b/wall at Jaluwala")</f>
        <v/>
      </c>
      <c r="C10" t="inlineStr">
        <is>
          <t>Jodhpur VVNL - MD||CE (HQ)||SE(CIVIL)||TA to SE(CIVIL), JODHPUR</t>
        </is>
      </c>
      <c r="D10" t="inlineStr">
        <is>
          <t>26-May-2025 02:00 PM</t>
        </is>
      </c>
      <c r="E10" t="inlineStr">
        <is>
          <t>38,00,000</t>
        </is>
      </c>
      <c r="F10" t="inlineStr">
        <is>
          <t>Construction of 33 kv s/s building and b/wall at Jaluwala</t>
        </is>
      </c>
      <c r="G10" t="inlineStr">
        <is>
          <t>Jaluwala</t>
        </is>
      </c>
    </row>
    <row r="11">
      <c r="A11" s="1" t="n">
        <v>9</v>
      </c>
      <c r="B11">
        <f>HYPERLINK("https://eproc.rajasthan.gov.in/nicgep/app?component=%24DirectLink&amp;page=FrontEndViewTender&amp;service=direct&amp;session=T&amp;sp=SxKJBk7%2FMtag7pWmriGxhyQ%3D%3D", "Re-fabrication of RCC roof along with development work at 33/11 kv substation Ayalki (Goluwala)")</f>
        <v/>
      </c>
      <c r="C11" t="inlineStr">
        <is>
          <t>Jodhpur VVNL - MD||CE (HQ)||SE(CIVIL)||XEn (CIVIL),BIKANER</t>
        </is>
      </c>
      <c r="D11" t="inlineStr">
        <is>
          <t>26-May-2025 02:00 PM</t>
        </is>
      </c>
      <c r="E11" t="inlineStr">
        <is>
          <t>17,00,000</t>
        </is>
      </c>
      <c r="F11" t="inlineStr">
        <is>
          <t>Re-fabrication of RCC roof along with development work at 33/11 kv substation Ayalki (Goluwala)</t>
        </is>
      </c>
      <c r="G11" t="inlineStr">
        <is>
          <t>hmh</t>
        </is>
      </c>
    </row>
    <row r="12">
      <c r="A12" s="1" t="n">
        <v>10</v>
      </c>
      <c r="B12">
        <f>HYPERLINK("https://eproc.rajasthan.gov.in/nicgep/app?component=%24DirectLink&amp;page=FrontEndViewTender&amp;service=direct&amp;session=T&amp;sp=S3lWghk4E4qKW89sAkik0qQ%3D%3D", "Re-fabrication of RCC roof along with development work at 33/11 kv s/s Pillibanga Village")</f>
        <v/>
      </c>
      <c r="C12" t="inlineStr">
        <is>
          <t>Jodhpur VVNL - MD||CE (HQ)||SE(CIVIL)||XEn (CIVIL),BIKANER</t>
        </is>
      </c>
      <c r="D12" t="inlineStr">
        <is>
          <t>26-May-2025 02:00 PM</t>
        </is>
      </c>
      <c r="E12" t="inlineStr">
        <is>
          <t>17,00,000</t>
        </is>
      </c>
      <c r="F12" t="inlineStr">
        <is>
          <t>Re-fabrication of RCC roof along with development work at 33/11 kv s/s Pillibanga Village</t>
        </is>
      </c>
      <c r="G12" t="inlineStr">
        <is>
          <t>hmh</t>
        </is>
      </c>
    </row>
    <row r="13">
      <c r="A13" s="1" t="n">
        <v>11</v>
      </c>
      <c r="B13">
        <f>HYPERLINK("https://eproc.rajasthan.gov.in/nicgep/app?component=%24DirectLink&amp;page=FrontEndViewTender&amp;service=direct&amp;session=T&amp;sp=SG460hbYleiqgeJq2mSJ8Sg%3D%3D", "Providing and fixing of High mst LEAD Light at ACOS Circle store Hanumangarh.")</f>
        <v/>
      </c>
      <c r="C13" t="inlineStr">
        <is>
          <t>Jodhpur VVNL - MD||CE (HQ)||SE(CIVIL)||XEn (CIVIL),BIKANER</t>
        </is>
      </c>
      <c r="D13" t="inlineStr">
        <is>
          <t>26-May-2025 02:00 PM</t>
        </is>
      </c>
      <c r="E13" t="inlineStr">
        <is>
          <t>9,00,000</t>
        </is>
      </c>
      <c r="F13" t="inlineStr">
        <is>
          <t>Providing and fixing of High mst LEAD Light at ACOS Circle store Hanumangarh.</t>
        </is>
      </c>
      <c r="G13" t="inlineStr">
        <is>
          <t>hmh</t>
        </is>
      </c>
    </row>
    <row r="14">
      <c r="A14" s="1" t="n">
        <v>12</v>
      </c>
      <c r="B14">
        <f>HYPERLINK("https://eproc.rajasthan.gov.in/nicgep/app?component=%24DirectLink&amp;page=FrontEndViewTender&amp;service=direct&amp;session=T&amp;sp=S67jvQPY5UE8i0WUYhs56yw%3D%3D", "Re-fabrication of RCC roof along with development work at 33/11 kv s/s Kishanpura")</f>
        <v/>
      </c>
      <c r="C14" t="inlineStr">
        <is>
          <t>Jodhpur VVNL - MD||CE (HQ)||SE(CIVIL)||XEn (CIVIL),BIKANER</t>
        </is>
      </c>
      <c r="D14" t="inlineStr">
        <is>
          <t>26-May-2025 02:00 PM</t>
        </is>
      </c>
      <c r="E14" t="inlineStr">
        <is>
          <t>17,00,000</t>
        </is>
      </c>
      <c r="F14" t="inlineStr">
        <is>
          <t>Re-fabrication of RCC roof along with development work at 33/11 kv s/s Kishanpura</t>
        </is>
      </c>
      <c r="G14" t="inlineStr">
        <is>
          <t>hmh</t>
        </is>
      </c>
    </row>
    <row r="15">
      <c r="A15" s="1" t="n">
        <v>13</v>
      </c>
      <c r="B15">
        <f>HYPERLINK("https://eproc.rajasthan.gov.in/nicgep/app?component=%24DirectLink&amp;page=FrontEndViewTender&amp;service=direct&amp;session=T&amp;sp=SCLDKkj8G6AQdhDnaI25T8w%3D%3D", "Ren 33 kV Kapurisar-I")</f>
        <v/>
      </c>
      <c r="C15" t="inlineStr">
        <is>
          <t>Jodhpur VVNL - MD||CE (HQ)||SE(CIVIL)</t>
        </is>
      </c>
      <c r="D15" t="inlineStr">
        <is>
          <t>26-May-2025 02:00 PM</t>
        </is>
      </c>
      <c r="E15" t="inlineStr">
        <is>
          <t>16,00,000</t>
        </is>
      </c>
      <c r="F15" t="inlineStr">
        <is>
          <t>Renovation work at 33 kv sub station Dhani Kapurisar I (JVV2526WSOB00071)</t>
        </is>
      </c>
      <c r="G15" t="inlineStr">
        <is>
          <t>Kapurisar</t>
        </is>
      </c>
    </row>
    <row r="16">
      <c r="A16" s="1" t="n">
        <v>14</v>
      </c>
      <c r="B16">
        <f>HYPERLINK("https://eproc.rajasthan.gov.in/nicgep/app?component=%24DirectLink&amp;page=FrontEndViewTender&amp;service=direct&amp;session=T&amp;sp=SNKZGZ%2Bk%2FCQyBJC9LrEsIcQ%3D%3D", "33 KV Jaitpur-II")</f>
        <v/>
      </c>
      <c r="C16" t="inlineStr">
        <is>
          <t>Jodhpur VVNL - MD||CE (HQ)||SE(CIVIL)</t>
        </is>
      </c>
      <c r="D16" t="inlineStr">
        <is>
          <t>26-May-2025 02:00 PM</t>
        </is>
      </c>
      <c r="E16" t="inlineStr">
        <is>
          <t>32,00,000</t>
        </is>
      </c>
      <c r="F16" t="inlineStr">
        <is>
          <t>Construction 33 KV Sub Station Building and Boundary wall at Jaitpur II(JVV2526WSOB00067)</t>
        </is>
      </c>
      <c r="G16" t="inlineStr">
        <is>
          <t>Jaitpur</t>
        </is>
      </c>
    </row>
    <row r="17">
      <c r="A17" s="1" t="n">
        <v>15</v>
      </c>
      <c r="B17">
        <f>HYPERLINK("https://eproc.rajasthan.gov.in/nicgep/app?component=%24DirectLink&amp;page=FrontEndViewTender&amp;service=direct&amp;session=T&amp;sp=Sz7R8qv8Ut%2FMgaDf0kzE8zQ%3D%3D", "Ren 33 KV Dhani Pandusar")</f>
        <v/>
      </c>
      <c r="C17" t="inlineStr">
        <is>
          <t>Jodhpur VVNL - MD||CE (HQ)||SE(CIVIL)</t>
        </is>
      </c>
      <c r="D17" t="inlineStr">
        <is>
          <t>26-May-2025 02:00 PM</t>
        </is>
      </c>
      <c r="E17" t="inlineStr">
        <is>
          <t>18,00,000</t>
        </is>
      </c>
      <c r="F17" t="inlineStr">
        <is>
          <t>Renovation work at 33 kv sub station Dhani Pandusar(JVV2526WSOB00069)</t>
        </is>
      </c>
      <c r="G17" t="inlineStr">
        <is>
          <t>Dhani Pandusar</t>
        </is>
      </c>
    </row>
    <row r="18">
      <c r="A18" s="1" t="n">
        <v>16</v>
      </c>
      <c r="B18">
        <f>HYPERLINK("https://eproc.rajasthan.gov.in/nicgep/app?component=%24DirectLink&amp;page=FrontEndViewTender&amp;service=direct&amp;session=T&amp;sp=SeoolWRj%2Bq9jBjLrw0xwVwQ%3D%3D", "TN-BZ-06/2025-26")</f>
        <v/>
      </c>
      <c r="C18" t="inlineStr">
        <is>
          <t>Jodhpur VVNL - MD||Director (T)||CE- BIKANER ZONE</t>
        </is>
      </c>
      <c r="D18" t="inlineStr">
        <is>
          <t>26-May-2025 03:00 PM</t>
        </is>
      </c>
      <c r="E18" t="inlineStr">
        <is>
          <t>13,98,030</t>
        </is>
      </c>
      <c r="F18" t="inlineStr">
        <is>
          <t>Construction of 33/11 KV Sub-Station Ajeetsar ,Erection of Single circuit 8 kms. 33 KV Line T-Off from 33 KV Mehrasar feeder from 132 KV Sardarsahar GSS and Erection of 11.5 Kms. 11 KV inter connection line for newly proposed 33/11 KV Ajeetsar S/S</t>
        </is>
      </c>
      <c r="G18" t="inlineStr">
        <is>
          <t>Ajeetsar under sardarsahar sub division</t>
        </is>
      </c>
    </row>
    <row r="19">
      <c r="A19" s="1" t="n">
        <v>17</v>
      </c>
      <c r="B19">
        <f>HYPERLINK("https://eproc.rajasthan.gov.in/nicgep/app?component=%24DirectLink&amp;page=FrontEndViewTender&amp;service=direct&amp;session=T&amp;sp=SmNwrdom0fat64m6rZviYuw%3D%3D", "Construction of 33 kv s/s building and b/wall at Silasan")</f>
        <v/>
      </c>
      <c r="C19" t="inlineStr">
        <is>
          <t>Jodhpur VVNL - MD||CE (HQ)||SE(CIVIL)||TA to SE(CIVIL), JODHPUR</t>
        </is>
      </c>
      <c r="D19" t="inlineStr">
        <is>
          <t>26-May-2025 02:00 PM</t>
        </is>
      </c>
      <c r="E19" t="inlineStr">
        <is>
          <t>33,00,000</t>
        </is>
      </c>
      <c r="F19" t="inlineStr">
        <is>
          <t>Construction of 33 kv s/s building and b/wall at Silasan</t>
        </is>
      </c>
      <c r="G19" t="inlineStr">
        <is>
          <t>Silasan</t>
        </is>
      </c>
    </row>
    <row r="20">
      <c r="A20" s="1" t="n">
        <v>18</v>
      </c>
      <c r="B20">
        <f>HYPERLINK("https://eproc.rajasthan.gov.in/nicgep/app?component=%24DirectLink&amp;page=FrontEndViewTender&amp;service=direct&amp;session=T&amp;sp=SPpOnjNhC8telbq07GcUf8Q%3D%3D", "Construction of 33 kv s/s building and b/wall at Khera gangawa")</f>
        <v/>
      </c>
      <c r="C20" t="inlineStr">
        <is>
          <t>Jodhpur VVNL - MD||CE (HQ)||SE(CIVIL)||TA to SE(CIVIL), JODHPUR</t>
        </is>
      </c>
      <c r="D20" t="inlineStr">
        <is>
          <t>26-May-2025 02:00 PM</t>
        </is>
      </c>
      <c r="E20" t="inlineStr">
        <is>
          <t>30,00,000</t>
        </is>
      </c>
      <c r="F20" t="inlineStr">
        <is>
          <t>Construction of 33 kv s/s building and b/wall at Khera gangawa</t>
        </is>
      </c>
      <c r="G20" t="inlineStr">
        <is>
          <t>Khera gangawa</t>
        </is>
      </c>
    </row>
    <row r="21">
      <c r="A21" s="1" t="n">
        <v>19</v>
      </c>
      <c r="B21">
        <f>HYPERLINK("https://eproc.rajasthan.gov.in/nicgep/app?component=%24DirectLink&amp;page=FrontEndViewTender&amp;service=direct&amp;session=T&amp;sp=SXPhYx30BIGdq2Z12iQWZPA%3D%3D", "Renovation and improvement work at 33 kv s/s Katcheri.")</f>
        <v/>
      </c>
      <c r="C21" t="inlineStr">
        <is>
          <t>Jodhpur VVNL - MD||CE (HQ)||SE(CIVIL)||TA to SE(CIVIL), JODHPUR</t>
        </is>
      </c>
      <c r="D21" t="inlineStr">
        <is>
          <t>26-May-2025 02:00 PM</t>
        </is>
      </c>
      <c r="E21" t="inlineStr">
        <is>
          <t>24,10,000</t>
        </is>
      </c>
      <c r="F21" t="inlineStr">
        <is>
          <t>Renovation and improvement work at 33 kv s/s Katcheri.</t>
        </is>
      </c>
      <c r="G21" t="inlineStr">
        <is>
          <t>Jodhpur</t>
        </is>
      </c>
    </row>
    <row r="22">
      <c r="A22" s="1" t="n">
        <v>20</v>
      </c>
      <c r="B22">
        <f>HYPERLINK("https://eproc.rajasthan.gov.in/nicgep/app?component=%24DirectLink&amp;page=FrontEndViewTender&amp;service=direct&amp;session=T&amp;sp=Sb7%2B3YOnvBGqYCtNf1mbeHQ%3D%3D", "Restructure of the building of 33/11 kv sub station and development work of Umaid Hospital s/s Jodhpur")</f>
        <v/>
      </c>
      <c r="C22" t="inlineStr">
        <is>
          <t>Jodhpur VVNL - MD||CE (HQ)||SE(CIVIL)||TA to SE(CIVIL), JODHPUR</t>
        </is>
      </c>
      <c r="D22" t="inlineStr">
        <is>
          <t>26-May-2025 02:00 PM</t>
        </is>
      </c>
      <c r="E22" t="inlineStr">
        <is>
          <t>25,00,000</t>
        </is>
      </c>
      <c r="F22" t="inlineStr">
        <is>
          <t>Restructure of the building of 33/11 kv sub station and development work of Umaid Hospital s/s Jodhpur</t>
        </is>
      </c>
      <c r="G22" t="inlineStr">
        <is>
          <t>Jodhpur</t>
        </is>
      </c>
    </row>
    <row r="23">
      <c r="A23" s="1" t="n">
        <v>21</v>
      </c>
      <c r="B23">
        <f>HYPERLINK("https://eproc.rajasthan.gov.in/nicgep/app?component=%24DirectLink&amp;page=FrontEndViewTender&amp;service=direct&amp;session=T&amp;sp=SxpH9jiyLN9uffbQSObVDkg%3D%3D", "Raising of boundary wall with misc. improvement work for store premises at NPH, Jodhpur.")</f>
        <v/>
      </c>
      <c r="C23" t="inlineStr">
        <is>
          <t>Jodhpur VVNL - MD||CE (HQ)||SE(CIVIL)||TA to SE(CIVIL), JODHPUR</t>
        </is>
      </c>
      <c r="D23" t="inlineStr">
        <is>
          <t>26-May-2025 02:00 PM</t>
        </is>
      </c>
      <c r="E23" t="inlineStr">
        <is>
          <t>34,00,000</t>
        </is>
      </c>
      <c r="F23" t="inlineStr">
        <is>
          <t>Raising of boundary wall with misc. improvement work for store premises at NPH, Jodhpur.</t>
        </is>
      </c>
      <c r="G23" t="inlineStr">
        <is>
          <t>Jodhpur</t>
        </is>
      </c>
    </row>
    <row r="24">
      <c r="A24" s="1" t="n">
        <v>22</v>
      </c>
      <c r="B24">
        <f>HYPERLINK("https://eproc.rajasthan.gov.in/nicgep/app?component=%24DirectLink&amp;page=FrontEndViewTender&amp;service=direct&amp;session=T&amp;sp=SRFRd%2FYcrd4wf9t1KPprbMw%3D%3D", "Const. of building for the office of SE(I and S), JdVVNL, Jodhpur over the ground floor of existing building of DCOS, Jdvvnl, Jodhpur.")</f>
        <v/>
      </c>
      <c r="C24" t="inlineStr">
        <is>
          <t>Jodhpur VVNL - MD||CE (HQ)||SE(CIVIL)||TA to SE(CIVIL), JODHPUR</t>
        </is>
      </c>
      <c r="D24" t="inlineStr">
        <is>
          <t>26-May-2025 02:00 PM</t>
        </is>
      </c>
      <c r="E24" t="inlineStr">
        <is>
          <t>52,50,000</t>
        </is>
      </c>
      <c r="F24" t="inlineStr">
        <is>
          <t>Const. of building for the office of SE(I and S), JdVVNL, Jodhpur over the ground floor of existing building of DCOS, Jdvvnl, Jodhpur.</t>
        </is>
      </c>
      <c r="G24" t="inlineStr">
        <is>
          <t>Jodhpur</t>
        </is>
      </c>
    </row>
    <row r="25">
      <c r="A25" s="1" t="n">
        <v>23</v>
      </c>
      <c r="B25">
        <f>HYPERLINK("https://eproc.rajasthan.gov.in/nicgep/app?component=%24DirectLink&amp;page=FrontEndViewTender&amp;service=direct&amp;session=T&amp;sp=SF0YybyAUrA2fKNrrPu%2Fmsg%3D%3D", "Const. of office building and store for C IV sub division at s/s Parihar Nagar")</f>
        <v/>
      </c>
      <c r="C25" t="inlineStr">
        <is>
          <t>Jodhpur VVNL - MD||CE (HQ)||SE(CIVIL)||TA to SE(CIVIL), JODHPUR</t>
        </is>
      </c>
      <c r="D25" t="inlineStr">
        <is>
          <t>26-May-2025 02:00 PM</t>
        </is>
      </c>
      <c r="E25" t="inlineStr">
        <is>
          <t>55,00,000</t>
        </is>
      </c>
      <c r="F25" t="inlineStr">
        <is>
          <t>Const. of office building and store for C IV sub division at s/s Parihar Nagar</t>
        </is>
      </c>
      <c r="G25" t="inlineStr">
        <is>
          <t>Jodhpur</t>
        </is>
      </c>
    </row>
    <row r="26">
      <c r="A26" s="1" t="n">
        <v>24</v>
      </c>
      <c r="B26">
        <f>HYPERLINK("https://eproc.rajasthan.gov.in/nicgep/app?component=%24DirectLink&amp;page=FrontEndViewTender&amp;service=direct&amp;session=T&amp;sp=Sh1MblU9XAoUO6bEwuf0OCQ%3D%3D", "Const. of building for JEN office at A II Umaid Hospital, Jodhpur.")</f>
        <v/>
      </c>
      <c r="C26" t="inlineStr">
        <is>
          <t>Jodhpur VVNL - MD||CE (HQ)||SE(CIVIL)||TA to SE(CIVIL), JODHPUR</t>
        </is>
      </c>
      <c r="D26" t="inlineStr">
        <is>
          <t>26-May-2025 02:00 PM</t>
        </is>
      </c>
      <c r="E26" t="inlineStr">
        <is>
          <t>15,00,000</t>
        </is>
      </c>
      <c r="F26" t="inlineStr">
        <is>
          <t>Const. of building for JEN office at A II Umaid Hospital, Jodhpur.</t>
        </is>
      </c>
      <c r="G26" t="inlineStr">
        <is>
          <t>Jodhpur</t>
        </is>
      </c>
    </row>
    <row r="27">
      <c r="A27" s="1" t="n">
        <v>25</v>
      </c>
      <c r="B27">
        <f>HYPERLINK("https://eproc.rajasthan.gov.in/nicgep/app?component=%24DirectLink&amp;page=FrontEndViewTender&amp;service=direct&amp;session=T&amp;sp=S2V4%2BcAtmhikHmwtduGVYqA%3D%3D", "Construction of 33 kv s/s building and b/wall at Muknasar")</f>
        <v/>
      </c>
      <c r="C27" t="inlineStr">
        <is>
          <t>Jodhpur VVNL - MD||CE (HQ)||SE(CIVIL)||TA to SE(CIVIL), JODHPUR</t>
        </is>
      </c>
      <c r="D27" t="inlineStr">
        <is>
          <t>26-May-2025 02:00 PM</t>
        </is>
      </c>
      <c r="E27" t="inlineStr">
        <is>
          <t>31,00,000</t>
        </is>
      </c>
      <c r="F27" t="inlineStr">
        <is>
          <t>Construction of 33 kv s/s building and b/wall at Muknasar</t>
        </is>
      </c>
      <c r="G27" t="inlineStr">
        <is>
          <t>muknasar</t>
        </is>
      </c>
    </row>
    <row r="28">
      <c r="A28" s="1" t="n">
        <v>26</v>
      </c>
      <c r="B28">
        <f>HYPERLINK("https://eproc.rajasthan.gov.in/nicgep/app?component=%24DirectLink&amp;page=FrontEndViewTender&amp;service=direct&amp;session=T&amp;sp=SdNeWyjKed%2BDRMnbib1gxUQ%3D%3D", "Construction of 33 kv s/s building and b/wall at Jetari (Bombepura)")</f>
        <v/>
      </c>
      <c r="C28" t="inlineStr">
        <is>
          <t>Jodhpur VVNL - MD||CE (HQ)||SE(CIVIL)||TA to SE(CIVIL), JODHPUR</t>
        </is>
      </c>
      <c r="D28" t="inlineStr">
        <is>
          <t>26-May-2025 02:00 PM</t>
        </is>
      </c>
      <c r="E28" t="inlineStr">
        <is>
          <t>33,00,000</t>
        </is>
      </c>
      <c r="F28" t="inlineStr">
        <is>
          <t>Construction of 33 kv s/s building and b/wall at Jetari (Bombepura)</t>
        </is>
      </c>
      <c r="G28" t="inlineStr">
        <is>
          <t>jetari</t>
        </is>
      </c>
    </row>
    <row r="29">
      <c r="A29" s="1" t="n">
        <v>27</v>
      </c>
      <c r="B29">
        <f>HYPERLINK("https://eproc.rajasthan.gov.in/nicgep/app?component=%24DirectLink&amp;page=FrontEndViewTender&amp;service=direct&amp;session=T&amp;sp=SkyuPalG7CATQAR%2FzsGiOmg%3D%3D", "Construction of 33 kv s/s building and boundary wall at Newa")</f>
        <v/>
      </c>
      <c r="C29" t="inlineStr">
        <is>
          <t>Jodhpur VVNL - MD||CE (HQ)||SE(CIVIL)||TA to SE(CIVIL), JODHPUR</t>
        </is>
      </c>
      <c r="D29" t="inlineStr">
        <is>
          <t>26-May-2025 02:00 PM</t>
        </is>
      </c>
      <c r="E29" t="inlineStr">
        <is>
          <t>33,00,000</t>
        </is>
      </c>
      <c r="F29" t="inlineStr">
        <is>
          <t>Construction of 33 kv s/s building and boundary wall at Newa</t>
        </is>
      </c>
      <c r="G29" t="inlineStr">
        <is>
          <t>Newa</t>
        </is>
      </c>
    </row>
    <row r="30">
      <c r="A30" s="1" t="n">
        <v>28</v>
      </c>
      <c r="B30">
        <f>HYPERLINK("https://eproc.rajasthan.gov.in/nicgep/app?component=%24DirectLink&amp;page=FrontEndViewTender&amp;service=direct&amp;session=T&amp;sp=SDNiI8MebQipdkDG0AAFyoQ%3D%3D", "Construction of 33 kv s/s building and b/wall at Dabaliya Nada (Shiv Nagar)")</f>
        <v/>
      </c>
      <c r="C30" t="inlineStr">
        <is>
          <t>Jodhpur VVNL - MD||CE (HQ)||SE(CIVIL)||TA to SE(CIVIL), JODHPUR</t>
        </is>
      </c>
      <c r="D30" t="inlineStr">
        <is>
          <t>26-May-2025 02:00 PM</t>
        </is>
      </c>
      <c r="E30" t="inlineStr">
        <is>
          <t>30,00,000</t>
        </is>
      </c>
      <c r="F30" t="inlineStr">
        <is>
          <t>Construction of 33 kv s/s building and b/wall at Dabaliya Nada (Shiv Nagar)</t>
        </is>
      </c>
      <c r="G30" t="inlineStr">
        <is>
          <t>Dabaliya nada</t>
        </is>
      </c>
    </row>
    <row r="31">
      <c r="A31" s="1" t="n">
        <v>29</v>
      </c>
      <c r="B31">
        <f>HYPERLINK("https://eproc.rajasthan.gov.in/nicgep/app?component=%24DirectLink&amp;page=FrontEndViewTender&amp;service=direct&amp;session=T&amp;sp=S1NY0RVDuGjXrNzfcayLFhw%3D%3D", "Construction of Sub Division Office Building at Hatundi")</f>
        <v/>
      </c>
      <c r="C31" t="inlineStr">
        <is>
          <t>Jodhpur VVNL - MD||CE (HQ)||SE(CIVIL)||TA to SE(CIVIL), JODHPUR</t>
        </is>
      </c>
      <c r="D31" t="inlineStr">
        <is>
          <t>26-May-2025 02:00 PM</t>
        </is>
      </c>
      <c r="E31" t="inlineStr">
        <is>
          <t>45,00,000</t>
        </is>
      </c>
      <c r="F31" t="inlineStr">
        <is>
          <t>Construction of Sub Division Office Building at Hatundi</t>
        </is>
      </c>
      <c r="G31" t="inlineStr">
        <is>
          <t>hatundi</t>
        </is>
      </c>
    </row>
    <row r="32">
      <c r="A32" s="1" t="n">
        <v>30</v>
      </c>
      <c r="B32">
        <f>HYPERLINK("https://eproc.rajasthan.gov.in/nicgep/app?component=%24DirectLink&amp;page=FrontEndViewTender&amp;service=direct&amp;session=T&amp;sp=S3ceKsVi2jK1s0enmZCK0jw%3D%3D", "Construction of 33 kv s/s building and b/wall at Devro Ki Dhani")</f>
        <v/>
      </c>
      <c r="C32" t="inlineStr">
        <is>
          <t>Jodhpur VVNL - MD||CE (HQ)||SE(CIVIL)||TA to SE(CIVIL), JODHPUR</t>
        </is>
      </c>
      <c r="D32" t="inlineStr">
        <is>
          <t>26-May-2025 02:00 PM</t>
        </is>
      </c>
      <c r="E32" t="inlineStr">
        <is>
          <t>34,00,000</t>
        </is>
      </c>
      <c r="F32" t="inlineStr">
        <is>
          <t>Construction of 33 kv s/s building and b/wall at Devro Ki Dhani</t>
        </is>
      </c>
      <c r="G32" t="inlineStr">
        <is>
          <t>Devro ki dhani</t>
        </is>
      </c>
    </row>
    <row r="33">
      <c r="A33" s="1" t="n">
        <v>31</v>
      </c>
      <c r="B33">
        <f>HYPERLINK("https://eproc.rajasthan.gov.in/nicgep/app?component=%24DirectLink&amp;page=FrontEndViewTender&amp;service=direct&amp;session=T&amp;sp=SanlpQetPfHlXR83s03HW1A%3D%3D", "Construction of 33 kv s/s building and b/wall at Baru")</f>
        <v/>
      </c>
      <c r="C33" t="inlineStr">
        <is>
          <t>Jodhpur VVNL - MD||CE (HQ)||SE(CIVIL)||TA to SE(CIVIL), JODHPUR</t>
        </is>
      </c>
      <c r="D33" t="inlineStr">
        <is>
          <t>26-May-2025 02:00 PM</t>
        </is>
      </c>
      <c r="E33" t="inlineStr">
        <is>
          <t>33,00,000</t>
        </is>
      </c>
      <c r="F33" t="inlineStr">
        <is>
          <t>Construction of 33 kv s/s building and b/wall at Baru</t>
        </is>
      </c>
      <c r="G33" t="inlineStr">
        <is>
          <t>Baru</t>
        </is>
      </c>
    </row>
    <row r="34">
      <c r="A34" s="1" t="n">
        <v>32</v>
      </c>
      <c r="B34">
        <f>HYPERLINK("https://eproc.rajasthan.gov.in/nicgep/app?component=%24DirectLink&amp;page=FrontEndViewTender&amp;service=direct&amp;session=T&amp;sp=SsFc3dT13FGmAjh8W4DjqjA%3D%3D", "Construction of 33 kv s/s building and b/wall at Fatehgarh")</f>
        <v/>
      </c>
      <c r="C34" t="inlineStr">
        <is>
          <t>Jodhpur VVNL - MD||CE (HQ)||SE(CIVIL)||TA to SE(CIVIL), JODHPUR</t>
        </is>
      </c>
      <c r="D34" t="inlineStr">
        <is>
          <t>26-May-2025 02:00 PM</t>
        </is>
      </c>
      <c r="E34" t="inlineStr">
        <is>
          <t>30,00,000</t>
        </is>
      </c>
      <c r="F34" t="inlineStr">
        <is>
          <t>Construction of 33 kv s/s building and b/wall at Fatehgarh</t>
        </is>
      </c>
      <c r="G34" t="inlineStr">
        <is>
          <t>fatehgarh</t>
        </is>
      </c>
    </row>
    <row r="35">
      <c r="A35" s="1" t="n">
        <v>33</v>
      </c>
      <c r="B35">
        <f>HYPERLINK("https://eproc.rajasthan.gov.in/nicgep/app?component=%24DirectLink&amp;page=FrontEndViewTender&amp;service=direct&amp;session=T&amp;sp=SaTc0EQsxjpqKMiekbLUlcQ%3D%3D", "Construction of Division Office Building at Balesar")</f>
        <v/>
      </c>
      <c r="C35" t="inlineStr">
        <is>
          <t>Jodhpur VVNL - MD||CE (HQ)||SE(CIVIL)||TA to SE(CIVIL), JODHPUR</t>
        </is>
      </c>
      <c r="D35" t="inlineStr">
        <is>
          <t>26-May-2025 02:00 PM</t>
        </is>
      </c>
      <c r="E35" t="inlineStr">
        <is>
          <t>45,00,000</t>
        </is>
      </c>
      <c r="F35" t="inlineStr">
        <is>
          <t>Construction of Division Office Building at Balesar</t>
        </is>
      </c>
      <c r="G35" t="inlineStr">
        <is>
          <t>Balesar</t>
        </is>
      </c>
    </row>
    <row r="36">
      <c r="A36" s="1" t="n">
        <v>34</v>
      </c>
      <c r="B36">
        <f>HYPERLINK("https://eproc.rajasthan.gov.in/nicgep/app?component=%24DirectLink&amp;page=FrontEndViewTender&amp;service=direct&amp;session=T&amp;sp=SfNab%2BUDWUOda1l8%2FMQ4yHA%3D%3D", "Construction of 33 kv s/s building and b/wall at Shiv Pura")</f>
        <v/>
      </c>
      <c r="C36" t="inlineStr">
        <is>
          <t>Jodhpur VVNL - MD||CE (HQ)||SE(CIVIL)||TA to SE(CIVIL), JODHPUR</t>
        </is>
      </c>
      <c r="D36" t="inlineStr">
        <is>
          <t>26-May-2025 02:00 PM</t>
        </is>
      </c>
      <c r="E36" t="inlineStr">
        <is>
          <t>30,00,000</t>
        </is>
      </c>
      <c r="F36" t="inlineStr">
        <is>
          <t>Construction of 33 kv s/s building and b/wall at Shiv Pura</t>
        </is>
      </c>
      <c r="G36" t="inlineStr">
        <is>
          <t>Shiv pura</t>
        </is>
      </c>
    </row>
    <row r="37">
      <c r="A37" s="1" t="n">
        <v>35</v>
      </c>
      <c r="B37">
        <f>HYPERLINK("https://eproc.rajasthan.gov.in/nicgep/app?component=%24DirectLink&amp;page=FrontEndViewTender&amp;service=direct&amp;session=T&amp;sp=Su76lyKVmuQtaZkRz0EDU%2FQ%3D%3D", "Construction of 33 KV Sub Station Building and Boundary Wall at Bauri Kalla.")</f>
        <v/>
      </c>
      <c r="C37" t="inlineStr">
        <is>
          <t>Jodhpur VVNL - MD||CE (HQ)||SE(CIVIL)</t>
        </is>
      </c>
      <c r="D37" t="inlineStr">
        <is>
          <t>26-May-2025 02:00 PM</t>
        </is>
      </c>
      <c r="E37" t="inlineStr">
        <is>
          <t>28,00,000</t>
        </is>
      </c>
      <c r="F37" t="inlineStr">
        <is>
          <t>Construction of 33 KV Sub Station Building and Boundary Wall at Bauri Kalla.</t>
        </is>
      </c>
      <c r="G37" t="inlineStr">
        <is>
          <t>Bauri Kala</t>
        </is>
      </c>
    </row>
    <row r="38">
      <c r="A38" s="1" t="n">
        <v>36</v>
      </c>
      <c r="B38">
        <f>HYPERLINK("https://eproc.rajasthan.gov.in/nicgep/app?component=%24DirectLink&amp;page=FrontEndViewTender&amp;service=direct&amp;session=T&amp;sp=SJFS8Ofx2iQ2bN2L0oZvdCg%3D%3D", "Construction of 33 KV Sub Station Building and Boundary Wall at Sundra.")</f>
        <v/>
      </c>
      <c r="C38" t="inlineStr">
        <is>
          <t>Jodhpur VVNL - MD||CE (HQ)||SE(CIVIL)</t>
        </is>
      </c>
      <c r="D38" t="inlineStr">
        <is>
          <t>26-May-2025 02:00 PM</t>
        </is>
      </c>
      <c r="E38" t="inlineStr">
        <is>
          <t>28,00,000</t>
        </is>
      </c>
      <c r="F38" t="inlineStr">
        <is>
          <t>Construction of 33 KV Sub Station Building and Boundary Wall at Sundra.</t>
        </is>
      </c>
      <c r="G38" t="inlineStr">
        <is>
          <t>Sundra</t>
        </is>
      </c>
    </row>
    <row r="39">
      <c r="A39" s="1" t="n">
        <v>37</v>
      </c>
      <c r="B39">
        <f>HYPERLINK("https://eproc.rajasthan.gov.in/nicgep/app?component=%24DirectLink&amp;page=FrontEndViewTender&amp;service=direct&amp;session=T&amp;sp=Sdc3cw1LC3vNixs1qJZoEtw%3D%3D", "Construction of 33 KV Sub Station Building and Boundary Wall at Khaniyani.")</f>
        <v/>
      </c>
      <c r="C39" t="inlineStr">
        <is>
          <t>Jodhpur VVNL - MD||CE (HQ)||SE(CIVIL)</t>
        </is>
      </c>
      <c r="D39" t="inlineStr">
        <is>
          <t>26-May-2025 02:00 PM</t>
        </is>
      </c>
      <c r="E39" t="inlineStr">
        <is>
          <t>28,00,000</t>
        </is>
      </c>
      <c r="F39" t="inlineStr">
        <is>
          <t>Construction of 33 KV Sub Station Building and Boundary Wall at Khaniyani.</t>
        </is>
      </c>
      <c r="G39" t="inlineStr">
        <is>
          <t>Khaniyani</t>
        </is>
      </c>
    </row>
    <row r="40">
      <c r="A40" s="1" t="n">
        <v>38</v>
      </c>
      <c r="B40">
        <f>HYPERLINK("https://eproc.rajasthan.gov.in/nicgep/app?component=%24DirectLink&amp;page=FrontEndViewTender&amp;service=direct&amp;session=T&amp;sp=SyOqCVo%2FDppMEGwoCw%2F%2BR7Q%3D%3D", "Construction of 33 KV Sub Station Building and Boundary Wall at Pandhi ka Nirwan.")</f>
        <v/>
      </c>
      <c r="C40" t="inlineStr">
        <is>
          <t>Jodhpur VVNL - MD||CE (HQ)||SE(CIVIL)</t>
        </is>
      </c>
      <c r="D40" t="inlineStr">
        <is>
          <t>26-May-2025 02:00 PM</t>
        </is>
      </c>
      <c r="E40" t="inlineStr">
        <is>
          <t>28,00,000</t>
        </is>
      </c>
      <c r="F40" t="inlineStr">
        <is>
          <t>Construction of 33 KV Sub Station Building and Boundary Wall at Pandhi ka Nirwan.</t>
        </is>
      </c>
      <c r="G40" t="inlineStr">
        <is>
          <t>Pandhi ka Nirwan</t>
        </is>
      </c>
    </row>
    <row r="41">
      <c r="A41" s="1" t="n">
        <v>39</v>
      </c>
      <c r="B41">
        <f>HYPERLINK("https://eproc.rajasthan.gov.in/nicgep/app?component=%24DirectLink&amp;page=FrontEndViewTender&amp;service=direct&amp;session=T&amp;sp=Sl0NkJxN39jzuzm5rIy3GFQ%3D%3D", "Construction of 33 KV Sub Station Building and Boundary Wall at Gandhav Khurd.")</f>
        <v/>
      </c>
      <c r="C41" t="inlineStr">
        <is>
          <t>Jodhpur VVNL - MD||CE (HQ)||SE(CIVIL)</t>
        </is>
      </c>
      <c r="D41" t="inlineStr">
        <is>
          <t>26-May-2025 02:00 PM</t>
        </is>
      </c>
      <c r="E41" t="inlineStr">
        <is>
          <t>28,00,000</t>
        </is>
      </c>
      <c r="F41" t="inlineStr">
        <is>
          <t>Construction of 33 KV Sub Station Building and Boundary Wall at Gandhav Khurd.</t>
        </is>
      </c>
      <c r="G41" t="inlineStr">
        <is>
          <t>Gandhav Khurd</t>
        </is>
      </c>
    </row>
    <row r="42">
      <c r="A42" s="1" t="n">
        <v>40</v>
      </c>
      <c r="B42">
        <f>HYPERLINK("https://eproc.rajasthan.gov.in/nicgep/app?component=%24DirectLink&amp;page=FrontEndViewTender&amp;service=direct&amp;session=T&amp;sp=STQJaZpiINJVqP6GzBSaakg%3D%3D", "Construction of 33 KV Sub Station Building and Boundary Wall at Aalamsariya.")</f>
        <v/>
      </c>
      <c r="C42" t="inlineStr">
        <is>
          <t>Jodhpur VVNL - MD||CE (HQ)||SE(CIVIL)</t>
        </is>
      </c>
      <c r="D42" t="inlineStr">
        <is>
          <t>26-May-2025 02:00 PM</t>
        </is>
      </c>
      <c r="E42" t="inlineStr">
        <is>
          <t>28,00,000</t>
        </is>
      </c>
      <c r="F42" t="inlineStr">
        <is>
          <t>Construction of 33 KV Sub Station Building and Boundary Wall at Aalamsariya.</t>
        </is>
      </c>
      <c r="G42" t="inlineStr">
        <is>
          <t>Aalamsariya</t>
        </is>
      </c>
    </row>
    <row r="43">
      <c r="A43" s="1" t="n">
        <v>41</v>
      </c>
      <c r="B43">
        <f>HYPERLINK("https://eproc.rajasthan.gov.in/nicgep/app?component=%24DirectLink&amp;page=FrontEndViewTender&amp;service=direct&amp;session=T&amp;sp=SLMMGmiXd1%2BUikn%2FW9JvHhg%3D%3D", "Construction of 33 KV Sub Station Building and Boundary Wall at Mithi Beri.")</f>
        <v/>
      </c>
      <c r="C43" t="inlineStr">
        <is>
          <t>Jodhpur VVNL - MD||CE (HQ)||SE(CIVIL)</t>
        </is>
      </c>
      <c r="D43" t="inlineStr">
        <is>
          <t>26-May-2025 02:00 PM</t>
        </is>
      </c>
      <c r="E43" t="inlineStr">
        <is>
          <t>28,00,000</t>
        </is>
      </c>
      <c r="F43" t="inlineStr">
        <is>
          <t>Construction of 33 KV Sub Station Building and Boundary Wall at Mithi Beri.</t>
        </is>
      </c>
      <c r="G43" t="inlineStr">
        <is>
          <t>Mithi Beri</t>
        </is>
      </c>
    </row>
    <row r="44">
      <c r="A44" s="1" t="n">
        <v>42</v>
      </c>
      <c r="B44">
        <f>HYPERLINK("https://eproc.rajasthan.gov.in/nicgep/app?component=%24DirectLink&amp;page=FrontEndViewTender&amp;service=direct&amp;session=T&amp;sp=S82obHOv7NJkSElo%2BYUXilA%3D%3D", "Construction of 33 KV Sub Station Building and Boundary Wall at Rohidi.")</f>
        <v/>
      </c>
      <c r="C44" t="inlineStr">
        <is>
          <t>Jodhpur VVNL - MD||CE (HQ)||SE(CIVIL)</t>
        </is>
      </c>
      <c r="D44" t="inlineStr">
        <is>
          <t>26-May-2025 02:00 PM</t>
        </is>
      </c>
      <c r="E44" t="inlineStr">
        <is>
          <t>28,00,000</t>
        </is>
      </c>
      <c r="F44" t="inlineStr">
        <is>
          <t>Construction of 33 KV Sub Station Building and Boundary Wall at Rohidi.</t>
        </is>
      </c>
      <c r="G44" t="inlineStr">
        <is>
          <t>Rohidi</t>
        </is>
      </c>
    </row>
    <row r="45">
      <c r="A45" s="1" t="n">
        <v>43</v>
      </c>
      <c r="B45">
        <f>HYPERLINK("https://eproc.rajasthan.gov.in/nicgep/app?component=%24DirectLink&amp;page=FrontEndViewTender&amp;service=direct&amp;session=T&amp;sp=S4vVRlVHSgXog0ZjoqSbG2g%3D%3D", "Construction of 33 KV Sub Station Building and Boundary Wall at Chitroli.")</f>
        <v/>
      </c>
      <c r="C45" t="inlineStr">
        <is>
          <t>Jodhpur VVNL - MD||CE (HQ)||SE(CIVIL)</t>
        </is>
      </c>
      <c r="D45" t="inlineStr">
        <is>
          <t>26-May-2025 02:00 PM</t>
        </is>
      </c>
      <c r="E45" t="inlineStr">
        <is>
          <t>32,00,000</t>
        </is>
      </c>
      <c r="F45" t="inlineStr">
        <is>
          <t>Construction of 33 KV Sub Station Building and Boundary Wall at Chitroli.</t>
        </is>
      </c>
      <c r="G45" t="inlineStr">
        <is>
          <t>Chitroli</t>
        </is>
      </c>
    </row>
    <row r="46">
      <c r="A46" s="1" t="n">
        <v>44</v>
      </c>
      <c r="B46">
        <f>HYPERLINK("https://eproc.rajasthan.gov.in/nicgep/app?component=%24DirectLink&amp;page=FrontEndViewTender&amp;service=direct&amp;session=T&amp;sp=SQHhfBeJ%2FMouAzXoJ5%2BzgcQ%3D%3D", "Construction of Sub Division Office Building incl Compound Wall and Other Dev Work at Gadra Road.")</f>
        <v/>
      </c>
      <c r="C46" t="inlineStr">
        <is>
          <t>Jodhpur VVNL - MD||CE (HQ)||SE(CIVIL)</t>
        </is>
      </c>
      <c r="D46" t="inlineStr">
        <is>
          <t>26-May-2025 02:00 PM</t>
        </is>
      </c>
      <c r="E46" t="inlineStr">
        <is>
          <t>55,00,000</t>
        </is>
      </c>
      <c r="F46" t="inlineStr">
        <is>
          <t>Construction of Sub Division Office Building incl Compound Wall and Other Dev Work at Gadra Road.</t>
        </is>
      </c>
      <c r="G46" t="inlineStr">
        <is>
          <t>Gadra Road</t>
        </is>
      </c>
    </row>
    <row r="47">
      <c r="A47" s="1" t="n">
        <v>45</v>
      </c>
      <c r="B47">
        <f>HYPERLINK("https://eproc.rajasthan.gov.in/nicgep/app?component=%24DirectLink&amp;page=FrontEndViewTender&amp;service=direct&amp;session=T&amp;sp=SXHdXsibUcEaWnOFkrmTfSw%3D%3D", "Construction of 33 KV Sub Station Building and Boundary Wall at Jogasar Kua.")</f>
        <v/>
      </c>
      <c r="C47" t="inlineStr">
        <is>
          <t>Jodhpur VVNL - MD||CE (HQ)||SE(CIVIL)</t>
        </is>
      </c>
      <c r="D47" t="inlineStr">
        <is>
          <t>26-May-2025 02:00 PM</t>
        </is>
      </c>
      <c r="E47" t="inlineStr">
        <is>
          <t>28,00,000</t>
        </is>
      </c>
      <c r="F47" t="inlineStr">
        <is>
          <t>Construction of 33 KV Sub Station Building and Boundary Wall at Jogasar Kua.</t>
        </is>
      </c>
      <c r="G47" t="inlineStr">
        <is>
          <t>Jogasar Kua</t>
        </is>
      </c>
    </row>
    <row r="48">
      <c r="A48" s="1" t="n">
        <v>46</v>
      </c>
      <c r="B48">
        <f>HYPERLINK("https://eproc.rajasthan.gov.in/nicgep/app?component=%24DirectLink&amp;page=FrontEndViewTender&amp;service=direct&amp;session=T&amp;sp=SyrzajDEvxT4wx3NRjKhc5A%3D%3D", "Construction of Sub Division Office Building at Samdari.")</f>
        <v/>
      </c>
      <c r="C48" t="inlineStr">
        <is>
          <t>Jodhpur VVNL - MD||CE (HQ)||SE(CIVIL)</t>
        </is>
      </c>
      <c r="D48" t="inlineStr">
        <is>
          <t>26-May-2025 02:00 PM</t>
        </is>
      </c>
      <c r="E48" t="inlineStr">
        <is>
          <t>55,00,000</t>
        </is>
      </c>
      <c r="F48" t="inlineStr">
        <is>
          <t>Construction of Sub Division Office Building at Samdari.</t>
        </is>
      </c>
      <c r="G48" t="inlineStr">
        <is>
          <t>Samdari</t>
        </is>
      </c>
    </row>
    <row r="49">
      <c r="A49" s="1" t="n">
        <v>47</v>
      </c>
      <c r="B49">
        <f>HYPERLINK("https://eproc.rajasthan.gov.in/nicgep/app?component=%24DirectLink&amp;page=FrontEndViewTender&amp;service=direct&amp;session=T&amp;sp=SQmPSXgCJJSlQIW9n6IKJ0A%3D%3D", "Construction of 33 KV Sub Station Building and Boundary Wall at Raniyasar.")</f>
        <v/>
      </c>
      <c r="C49" t="inlineStr">
        <is>
          <t>Jodhpur VVNL - MD||CE (HQ)||SE(CIVIL)</t>
        </is>
      </c>
      <c r="D49" t="inlineStr">
        <is>
          <t>26-May-2025 02:00 PM</t>
        </is>
      </c>
      <c r="E49" t="inlineStr">
        <is>
          <t>28,00,000</t>
        </is>
      </c>
      <c r="F49" t="inlineStr">
        <is>
          <t>Construction of 33 KV Sub Station Building and Boundary Wall at Raniyasar.</t>
        </is>
      </c>
      <c r="G49" t="inlineStr">
        <is>
          <t>Raniyasar</t>
        </is>
      </c>
    </row>
    <row r="50">
      <c r="A50" s="1" t="n">
        <v>48</v>
      </c>
      <c r="B50">
        <f>HYPERLINK("https://eproc.rajasthan.gov.in/nicgep/app?component=%24DirectLink&amp;page=FrontEndViewTender&amp;service=direct&amp;session=T&amp;sp=Spc6oTe8gsJKAXlTqGI16Qw%3D%3D", "Construction of New 33 KV Sub Station at Gumansinghpura and Pungaliya and Erection of 33 KV line 0.470 Km with 11 KV interconnection 14.40 Km for 33 KV GSS Gumansinghpura and Pungaliya under Sub Division Shergarh under District Circle Jodhpur")</f>
        <v/>
      </c>
      <c r="C50" t="inlineStr">
        <is>
          <t>Jodhpur VVNL - MD||Director (T)||CE- JODHPUR ZONE</t>
        </is>
      </c>
      <c r="D50" t="inlineStr">
        <is>
          <t>21-May-2025 05:00 PM</t>
        </is>
      </c>
      <c r="E50" t="inlineStr">
        <is>
          <t>15,95,275</t>
        </is>
      </c>
      <c r="F50" t="inlineStr">
        <is>
          <t>Construction of New 33 KV Sub Station at Gumansinghpura and Pungaliya and Erection of 33 KV line 0.470 Km with 11 KV interconnection 14.40 Km for 33 KV GSS Gumansinghpura and Pungaliya under Sub Division Shergarh under District Circle Jodhpur</t>
        </is>
      </c>
      <c r="G50" t="inlineStr">
        <is>
          <t>Gumansinghpura and Pungaliya</t>
        </is>
      </c>
    </row>
    <row r="51">
      <c r="A51" s="1" t="n">
        <v>49</v>
      </c>
      <c r="B51">
        <f>HYPERLINK("https://eproc.rajasthan.gov.in/nicgep/app?component=%24DirectLink&amp;page=FrontEndViewTender&amp;service=direct&amp;session=T&amp;sp=SeE36QNQCjUcCC8ooamwT1Q%3D%3D", "Single Phase Meter With Box")</f>
        <v/>
      </c>
      <c r="C51" t="inlineStr">
        <is>
          <t>Jodhpur VVNL - MD||CE (HQ)||SE(MM and C)||XEn(MMC-IV)</t>
        </is>
      </c>
      <c r="D51" t="inlineStr">
        <is>
          <t>22-May-2025 12:00 PM</t>
        </is>
      </c>
      <c r="E51" t="inlineStr">
        <is>
          <t>38,00,00,000</t>
        </is>
      </c>
      <c r="F51" t="inlineStr">
        <is>
          <t>5-30 Amp. Single Phase Energy Meters with Meter Box having DLMS protocol with optical port and additional RS-232 port</t>
        </is>
      </c>
      <c r="G51" t="inlineStr">
        <is>
          <t>SE_MMC_JDVVNL_JODHPUR</t>
        </is>
      </c>
    </row>
    <row r="52">
      <c r="A52" s="1" t="n">
        <v>50</v>
      </c>
      <c r="B52">
        <f>HYPERLINK("https://eproc.rajasthan.gov.in/nicgep/app?component=%24DirectLink&amp;page=FrontEndViewTender&amp;service=direct&amp;session=T&amp;sp=SaNGL8bcS%2BlsDN7J2rD6SJg%3D%3D", "TN-BZ-05/2025-26")</f>
        <v/>
      </c>
      <c r="C52" t="inlineStr">
        <is>
          <t>Jodhpur VVNL - MD||Director (T)||CE- BIKANER ZONE</t>
        </is>
      </c>
      <c r="D52" t="inlineStr">
        <is>
          <t>19-May-2025 03:00 PM</t>
        </is>
      </c>
      <c r="E52" t="inlineStr">
        <is>
          <t>13,03,942</t>
        </is>
      </c>
      <c r="F52" t="inlineStr">
        <is>
          <t>Erection of new 33 KV line (23Kms.) for inter-connection of 33/11 KV Bhojusar Sub-Station from 132/33 KV GSS Prabhat nagar under AEN (Rural) Suratgarh of Sri-Ganganagar Circle</t>
        </is>
      </c>
      <c r="G52" t="inlineStr">
        <is>
          <t>PRABHATNAGAR ,SURATGARH</t>
        </is>
      </c>
    </row>
    <row r="53">
      <c r="A53" s="1" t="n">
        <v>51</v>
      </c>
      <c r="B53">
        <f>HYPERLINK("https://eproc.rajasthan.gov.in/nicgep/app?component=%24DirectLink&amp;page=FrontEndViewTender&amp;service=direct&amp;session=T&amp;sp=Sr8MdtFmmFm22A%2Fh9EDDxWQ%3D%3D", "TN-BZ-03/2025-26")</f>
        <v/>
      </c>
      <c r="C53" t="inlineStr">
        <is>
          <t>Jodhpur VVNL - MD||Director (T)||CE- BIKANER ZONE</t>
        </is>
      </c>
      <c r="D53" t="inlineStr">
        <is>
          <t>19-May-2025 03:00 PM</t>
        </is>
      </c>
      <c r="E53" t="inlineStr">
        <is>
          <t>11,40,135</t>
        </is>
      </c>
      <c r="F53" t="inlineStr">
        <is>
          <t>Construction of New 33/11 KV S/s Raslana, Erection of 8.50 KM S/C 33 KV line on 9 Mtr. 400 Kg. PCC Pole with ACSR Dog Conductor and 6.80 KM 11 KV line Inter-connection for 33/11 KV Sub-Station Raslana under Sub-division OnM-Gogameri, Hanumangarh</t>
        </is>
      </c>
      <c r="G53" t="inlineStr">
        <is>
          <t>RASLANA under Sub Div OnM Gogameri Hanumangarh</t>
        </is>
      </c>
    </row>
    <row r="54">
      <c r="A54" s="1" t="n">
        <v>52</v>
      </c>
      <c r="B54">
        <f>HYPERLINK("https://eproc.rajasthan.gov.in/nicgep/app?component=%24DirectLink&amp;page=FrontEndViewTender&amp;service=direct&amp;session=T&amp;sp=SjJVU1qd6pczwIILZ8a62Yw%3D%3D", "EXPRESSION OF INTEREST (EOI) GRID CONNECTED SOLAR POWER PLANTS THROUGH RESCO MODE FOR 25 YEARS UNDER PM-KUSUM-COMPONENT-A IN Bhinmal and Jalore DIVISION OF JALORE CIRCLE")</f>
        <v/>
      </c>
      <c r="C54" t="inlineStr">
        <is>
          <t>Jodhpur VVNL - MD||CE (HQ)||SE(DSM-IT-Trg)</t>
        </is>
      </c>
      <c r="D54" t="inlineStr">
        <is>
          <t>26-May-2025 06:00 PM</t>
        </is>
      </c>
      <c r="E54" t="inlineStr">
        <is>
          <t>2,07,13,00,000</t>
        </is>
      </c>
      <c r="F54" t="inlineStr">
        <is>
          <t>EXPRESSION OF INTEREST (EOI) GRID CONNECTED SOLAR POWER PLANTS THROUGH RESCO MODE FOR 25 YEARS UNDER PM-KUSUM-COMPONENT-A IN Bhinmal and Jalore DIVISION OF JALORE CIRCLE</t>
        </is>
      </c>
      <c r="G54" t="inlineStr">
        <is>
          <t>JALORE</t>
        </is>
      </c>
    </row>
    <row r="55">
      <c r="A55" s="1" t="n">
        <v>53</v>
      </c>
      <c r="B55">
        <f>HYPERLINK("https://eproc.rajasthan.gov.in/nicgep/app?component=%24DirectLink&amp;page=FrontEndViewTender&amp;service=direct&amp;session=T&amp;sp=Spmy3BUq0EjFKvjJ6XqSHog%3D%3D", "EXPRESSION OF INTEREST (EOI) GRID CONNECTED SOLAR POWER PLANTS THROUGH RESCO MODE FOR 25 YEARS UNDER PM-KUSUM-COMPONENT-A IN Sanchore DIVISION OF JALORE CIRCLE")</f>
        <v/>
      </c>
      <c r="C55" t="inlineStr">
        <is>
          <t>Jodhpur VVNL - MD||CE (HQ)||SE(DSM-IT-Trg)</t>
        </is>
      </c>
      <c r="D55" t="inlineStr">
        <is>
          <t>26-May-2025 06:00 PM</t>
        </is>
      </c>
      <c r="E55" t="inlineStr">
        <is>
          <t>2,20,58,00,000</t>
        </is>
      </c>
      <c r="F55" t="inlineStr">
        <is>
          <t>EXPRESSION OF INTEREST (EOI) GRID CONNECTED SOLAR POWER PLANTS THROUGH RESCO MODE FOR 25 YEARS UNDER PM-KUSUM-COMPONENT-A IN Sanchore DIVISION OF JALORE CIRCLE</t>
        </is>
      </c>
      <c r="G55" t="inlineStr">
        <is>
          <t>JALORE</t>
        </is>
      </c>
    </row>
    <row r="56">
      <c r="A56" s="1" t="n">
        <v>54</v>
      </c>
      <c r="B56">
        <f>HYPERLINK("https://eproc.rajasthan.gov.in/nicgep/app?component=%24DirectLink&amp;page=FrontEndViewTender&amp;service=direct&amp;session=T&amp;sp=SLNU3lL2plOWulOUCzjrGwQ%3D%3D", "EXPRESSION OF INTEREST (EOI) GRID CONNECTED SOLAR POWER PLANTS THROUGH RESCO MODE FOR 25 YEARS UNDER PM-KUSUM-COMPONENT-A Balotra and Siwana DIVISION OF Balotra Circle")</f>
        <v/>
      </c>
      <c r="C56" t="inlineStr">
        <is>
          <t>Jodhpur VVNL - MD||CE (HQ)||SE(DSM-IT-Trg)</t>
        </is>
      </c>
      <c r="D56" t="inlineStr">
        <is>
          <t>26-May-2025 06:00 PM</t>
        </is>
      </c>
      <c r="E56" t="inlineStr">
        <is>
          <t>2,34,03,00,000</t>
        </is>
      </c>
      <c r="F56" t="inlineStr">
        <is>
          <t>EXPRESSION OF INTEREST (EOI) GRID CONNECTED SOLAR POWER PLANTS THROUGH RESCO MODE FOR 25 YEARS UNDER PM-KUSUM-COMPONENT-A Balotra and Siwana DIVISION OF Balotra Circle.</t>
        </is>
      </c>
      <c r="G56" t="inlineStr">
        <is>
          <t>Balotra</t>
        </is>
      </c>
    </row>
    <row r="57">
      <c r="A57" s="1" t="n">
        <v>55</v>
      </c>
      <c r="B57">
        <f>HYPERLINK("https://eproc.rajasthan.gov.in/nicgep/app?component=%24DirectLink&amp;page=FrontEndViewTender&amp;service=direct&amp;session=T&amp;sp=Svm9N8VS3OtSSKGVkse2uUw%3D%3D", "EXPRESSION OF INTEREST (EOI) GRID CONNECTED SOLAR POWER PLANTS THROUGH RESCO MODE FOR 25 YEARS UNDER PM-KUSUM-COMPONENT-A IN Sayla and Raniwara DIVISION OF JALORE CIRCLE")</f>
        <v/>
      </c>
      <c r="C57" t="inlineStr">
        <is>
          <t>Jodhpur VVNL - MD||CE (HQ)||SE(DSM-IT-Trg)</t>
        </is>
      </c>
      <c r="D57" t="inlineStr">
        <is>
          <t>26-May-2025 06:00 PM</t>
        </is>
      </c>
      <c r="E57" t="inlineStr">
        <is>
          <t>3,06,66,00,000</t>
        </is>
      </c>
      <c r="F57" t="inlineStr">
        <is>
          <t>EXPRESSION OF INTEREST (EOI) GRID CONNECTED SOLAR POWER PLANTS THROUGH RESCO MODE FOR 25 YEARS UNDER PM-KUSUM-COMPONENT-A IN Sayla and Raniwara DIVISION OF JALORE CIRCLE</t>
        </is>
      </c>
      <c r="G57" t="inlineStr">
        <is>
          <t>JALORE</t>
        </is>
      </c>
    </row>
    <row r="58">
      <c r="A58" s="1" t="n">
        <v>56</v>
      </c>
      <c r="B58">
        <f>HYPERLINK("https://eproc.rajasthan.gov.in/nicgep/app?component=%24DirectLink&amp;page=FrontEndViewTender&amp;service=direct&amp;session=T&amp;sp=SSvueqqtpEpKJgsck1rAtlA%3D%3D", "EXPRESSION OF INTEREST (EOI) GRID CONNECTED SOLAR POWER PLANTS THROUGH RESCO MODE FOR 25 YEARS UNDER PM-KUSUM-COMPONENT-A IN Jaisalmer and Pokaran DIVISION OF Jaisalmer CIRCLE")</f>
        <v/>
      </c>
      <c r="C58" t="inlineStr">
        <is>
          <t>Jodhpur VVNL - MD||CE (HQ)||SE(DSM-IT-Trg)</t>
        </is>
      </c>
      <c r="D58" t="inlineStr">
        <is>
          <t>26-May-2025 06:00 PM</t>
        </is>
      </c>
      <c r="E58" t="inlineStr">
        <is>
          <t>3,03,97,00,000</t>
        </is>
      </c>
      <c r="F58" t="inlineStr">
        <is>
          <t>EXPRESSION OF INTEREST (EOI) GRID CONNECTED SOLAR POWER PLANTS THROUGH RESCO MODE FOR 25 YEARS UNDER PM-KUSUM-COMPONENT-A IN Jaisalmer and Pokaran DIVISION OF Jaisalmer CIRCLE</t>
        </is>
      </c>
      <c r="G58" t="inlineStr">
        <is>
          <t>Jaisalmer</t>
        </is>
      </c>
    </row>
    <row r="59">
      <c r="A59" s="1" t="n">
        <v>57</v>
      </c>
      <c r="B59">
        <f>HYPERLINK("https://eproc.rajasthan.gov.in/nicgep/app?component=%24DirectLink&amp;page=FrontEndViewTender&amp;service=direct&amp;session=T&amp;sp=Sx5O5EbAOfiFg96driowncQ%3D%3D", "EXPRESSION OF INTEREST (EOI) GRID CONNECTED SOLAR POWER PLANTS THROUGH RESCO MODE FOR 25 YEARS UNDER PM-KUSUM-COMPONENT-A IN Bikaner DD-II and Nokha New DIVISION of Bikaner District Circle")</f>
        <v/>
      </c>
      <c r="C59" t="inlineStr">
        <is>
          <t>Jodhpur VVNL - MD||CE (HQ)||SE(DSM-IT-Trg)</t>
        </is>
      </c>
      <c r="D59" t="inlineStr">
        <is>
          <t>21-May-2025 06:00 PM</t>
        </is>
      </c>
      <c r="E59" t="inlineStr">
        <is>
          <t>3,48,35,50,000</t>
        </is>
      </c>
      <c r="F59" t="inlineStr">
        <is>
          <t>EXPRESSION OF INTEREST (EOI) GRID CONNECTED SOLAR POWER PLANTS THROUGH RESCO MODE FOR 25 YEARS UNDER PM-KUSUM-COMPONENT-A IN Bikaner DD-II and Nokha New DIVISION of Bikaner District Circle</t>
        </is>
      </c>
      <c r="G59" t="inlineStr">
        <is>
          <t>BIkaner</t>
        </is>
      </c>
    </row>
    <row r="60">
      <c r="A60" s="1" t="n">
        <v>58</v>
      </c>
      <c r="B60">
        <f>HYPERLINK("https://eproc.rajasthan.gov.in/nicgep/app?component=%24DirectLink&amp;page=FrontEndViewTender&amp;service=direct&amp;session=T&amp;sp=SxOHzPzC70MuAoA8qCmYWWg%3D%3D", "EXPRESSION OF INTEREST (EOI) GRID CONNECTED SOLAR POWER PLANTS THROUGH RESCO MODE FOR 25 YEARS UNDER PM-KUSUM-COMPONENT-A IN Sardar Sahar and Churu DIVISION OF CHURU CIRCLE")</f>
        <v/>
      </c>
      <c r="C60" t="inlineStr">
        <is>
          <t>Jodhpur VVNL - MD||CE (HQ)||SE(DSM-IT-Trg)</t>
        </is>
      </c>
      <c r="D60" t="inlineStr">
        <is>
          <t>21-May-2025 06:00 PM</t>
        </is>
      </c>
      <c r="E60" t="inlineStr">
        <is>
          <t>2,74,38,00,000</t>
        </is>
      </c>
      <c r="F60" t="inlineStr">
        <is>
          <t>EXPRESSION OF INTEREST (EOI) GRID CONNECTED SOLAR POWER PLANTS THROUGH RESCO MODE FOR 25 YEARS UNDER PM-KUSUM-COMPONENT-A IN Sardar Sahar and Churu DIVISION OF CHURU CIRCLE</t>
        </is>
      </c>
      <c r="G60" t="inlineStr">
        <is>
          <t>CHURU</t>
        </is>
      </c>
    </row>
    <row r="61">
      <c r="A61" s="1" t="n">
        <v>59</v>
      </c>
      <c r="B61">
        <f>HYPERLINK("https://eproc.rajasthan.gov.in/nicgep/app?component=%24DirectLink&amp;page=FrontEndViewTender&amp;service=direct&amp;session=T&amp;sp=SNhUjNiVoP3%2FF5sCqV%2FmnbQ%3D%3D", "EXPRESSION OF INTEREST (EOI) GRID CONNECTED SOLAR POWER PLANTS THROUGH RESCO MODE FOR 25 YEARS UNDER PM-KUSUM-COMPONENT-A IN Ratangarh, Sadulpur and Sujangarh DIVISION OF CHURU CIRCLE")</f>
        <v/>
      </c>
      <c r="C61" t="inlineStr">
        <is>
          <t>Jodhpur VVNL - MD||CE (HQ)||SE(DSM-IT-Trg)</t>
        </is>
      </c>
      <c r="D61" t="inlineStr">
        <is>
          <t>21-May-2025 06:00 PM</t>
        </is>
      </c>
      <c r="E61" t="inlineStr">
        <is>
          <t>2,93,21,00,000</t>
        </is>
      </c>
      <c r="F61" t="inlineStr">
        <is>
          <t>EXPRESSION OF INTEREST (EOI) GRID CONNECTED SOLAR POWER PLANTS THROUGH RESCO MODE FOR 25 YEARS UNDER PM-KUSUM-COMPONENT-A IN Ratangarh, Sadulpur and Sujangarh DIVISION OF CHURU CIRCLE</t>
        </is>
      </c>
      <c r="G61" t="inlineStr">
        <is>
          <t>CHURU</t>
        </is>
      </c>
    </row>
    <row r="62">
      <c r="A62" s="1" t="n">
        <v>60</v>
      </c>
      <c r="B62">
        <f>HYPERLINK("https://eproc.rajasthan.gov.in/nicgep/app?component=%24DirectLink&amp;page=FrontEndViewTender&amp;service=direct&amp;session=T&amp;sp=S7S0I%2BVF2NuIqkhi2ki62xQ%3D%3D", "EXPRESSION OF INTEREST (EOI) GRID CONNECTED SOLAR POWER PLANTS THROUGH RESCO MODE FOR 25 YEARS UNDER PM-KUSUM-COMPONENT-A IN BIKANER DD-I DIVISION OF BIKANER DISTRICT CIRCLE")</f>
        <v/>
      </c>
      <c r="C62" t="inlineStr">
        <is>
          <t>Jodhpur VVNL - MD||CE (HQ)||SE(DSM-IT-Trg)</t>
        </is>
      </c>
      <c r="D62" t="inlineStr">
        <is>
          <t>21-May-2025 06:00 PM</t>
        </is>
      </c>
      <c r="E62" t="inlineStr">
        <is>
          <t>2,09,82,00,000</t>
        </is>
      </c>
      <c r="F62" t="inlineStr">
        <is>
          <t>EXPRESSION OF INTEREST (EOI) GRID CONNECTED SOLAR POWER PLANTS THROUGH RESCO MODE FOR 25 YEARS UNDER PM-KUSUM-COMPONENT-A IN BIKANER DD-I DIVISION OF BIKANER DISTRICT CIRCLE</t>
        </is>
      </c>
      <c r="G62" t="inlineStr">
        <is>
          <t>BIkaner</t>
        </is>
      </c>
    </row>
    <row r="63">
      <c r="A63" s="1" t="n">
        <v>61</v>
      </c>
      <c r="B63">
        <f>HYPERLINK("https://eproc.rajasthan.gov.in/nicgep/app?component=%24DirectLink&amp;page=FrontEndViewTender&amp;service=direct&amp;session=T&amp;sp=Saq2%2BCSHBP5JEw%2Fb1hbVpVQ%3D%3D", "EXPRESSION OF INTEREST (EOI) GRID CONNECTED SOLAR POWER PLANTS THROUGH RESCO MODE FOR 25 YEARS UNDER PM-KUSUM-COMPONENT-A IN Khajuwala and Dungergarh New DIVISION OF BIKANER District Circle")</f>
        <v/>
      </c>
      <c r="C63" t="inlineStr">
        <is>
          <t>Jodhpur VVNL - MD||CE (HQ)||SE(DSM-IT-Trg)</t>
        </is>
      </c>
      <c r="D63" t="inlineStr">
        <is>
          <t>21-May-2025 06:00 PM</t>
        </is>
      </c>
      <c r="E63" t="inlineStr">
        <is>
          <t>2,87,83,00,000</t>
        </is>
      </c>
      <c r="F63" t="inlineStr">
        <is>
          <t>EXPRESSION OF INTEREST (EOI) GRID CONNECTED SOLAR POWER PLANTS THROUGH RESCO MODE FOR 25 YEARS UNDER PM-KUSUM-COMPONENT-A IN Khajuwala and Dungergarh New DIVISION OF BIKANER District Circle</t>
        </is>
      </c>
      <c r="G63" t="inlineStr">
        <is>
          <t>BIkaner</t>
        </is>
      </c>
    </row>
    <row r="64">
      <c r="A64" s="1" t="n">
        <v>62</v>
      </c>
      <c r="B64">
        <f>HYPERLINK("https://eproc.rajasthan.gov.in/nicgep/app?component=%24DirectLink&amp;page=FrontEndViewTender&amp;service=direct&amp;session=T&amp;sp=ST5GZhqQwvOGE9FTpMOwI%2BQ%3D%3D", "EXPRESSION OF INTEREST (EOI) GRID CONNECTED SOLAR POWER PLANTS THROUGH RESCO MODE FOR 25 YEARS UNDER PM-KUSUM-COMPONENT-A IN Pali and Sojat City DIVISION OF PALI CIRCLE")</f>
        <v/>
      </c>
      <c r="C64" t="inlineStr">
        <is>
          <t>Jodhpur VVNL - MD||CE (HQ)||SE(DSM-IT-Trg)</t>
        </is>
      </c>
      <c r="D64" t="inlineStr">
        <is>
          <t>19-May-2025 06:00 PM</t>
        </is>
      </c>
      <c r="E64" t="inlineStr">
        <is>
          <t>2,67,65,50,000</t>
        </is>
      </c>
      <c r="F64" t="inlineStr">
        <is>
          <t>EXPRESSION OF INTEREST (EOI) GRID CONNECTED SOLAR POWER PLANTS THROUGH RESCO MODE FOR 25 YEARS UNDER PM-KUSUM-COMPONENT-A IN Pali and Sojat City DIVISION OF PALI CIRCLE</t>
        </is>
      </c>
      <c r="G64" t="inlineStr">
        <is>
          <t>PALI</t>
        </is>
      </c>
    </row>
    <row r="65">
      <c r="A65" s="1" t="n">
        <v>63</v>
      </c>
      <c r="B65">
        <f>HYPERLINK("https://eproc.rajasthan.gov.in/nicgep/app?component=%24DirectLink&amp;page=FrontEndViewTender&amp;service=direct&amp;session=T&amp;sp=Sk0yPJzRG0KqCApOVe4bqLg%3D%3D", "EXPRESSION OF INTEREST (EOI) GRID CONNECTED SOLAR POWER PLANTS THROUGH RESCO MODE FOR 25 YEARS UNDER PM-KUSUM-COMPONENT-A IN Abu Road, Sirohi and Reodar DIVISION OF SIROHI CIRCLE")</f>
        <v/>
      </c>
      <c r="C65" t="inlineStr">
        <is>
          <t>Jodhpur VVNL - MD||CE (HQ)||SE(DSM-IT-Trg)</t>
        </is>
      </c>
      <c r="D65" t="inlineStr">
        <is>
          <t>19-May-2025 06:00 PM</t>
        </is>
      </c>
      <c r="E65" t="inlineStr">
        <is>
          <t>15,33,30,000</t>
        </is>
      </c>
      <c r="F65" t="inlineStr">
        <is>
          <t>EXPRESSION OF INTEREST (EOI) GRID CONNECTED SOLAR POWER PLANTS THROUGH RESCO MODE FOR 25 YEARS UNDER PM-KUSUM-COMPONENT-A IN Abu Road, Sirohi and Reodar DIVISION OF SIROHI CIRCLE</t>
        </is>
      </c>
      <c r="G65" t="inlineStr">
        <is>
          <t>SIROHI</t>
        </is>
      </c>
    </row>
    <row r="66">
      <c r="A66" s="1" t="n">
        <v>64</v>
      </c>
      <c r="B66">
        <f>HYPERLINK("https://eproc.rajasthan.gov.in/nicgep/app?component=%24DirectLink&amp;page=FrontEndViewTender&amp;service=direct&amp;session=T&amp;sp=SH5BWrelwjYAr%2FnWjlnZ5%2Bg%3D%3D", "EXPRESSION OF INTEREST (EOI) GRID CONNECTED SOLAR POWER PLANTS THROUGH RESCO MODE FOR 25 YEARS UNDER PM-KUSUM-COMPONENT-A IN Suratgarh and Sriganganagar(OnM-II) DIVISION OF SRIGANGANGANAGAR CIRCLE")</f>
        <v/>
      </c>
      <c r="C66" t="inlineStr">
        <is>
          <t>Jodhpur VVNL - MD||CE (HQ)||SE(DSM-IT-Trg)</t>
        </is>
      </c>
      <c r="D66" t="inlineStr">
        <is>
          <t>21-May-2025 06:00 PM</t>
        </is>
      </c>
      <c r="E66" t="inlineStr">
        <is>
          <t>2,47,48,00,000</t>
        </is>
      </c>
      <c r="F66" t="inlineStr">
        <is>
          <t>EXPRESSION OF INTEREST (EOI) GRID CONNECTED SOLAR POWER PLANTS THROUGH RESCO MODE FOR 25 YEARS UNDER PM-KUSUM-COMPONENT-A IN Suratgarh and Sriganganagar(OnM-II) DIVISION OF SRIGANGANGANAGAR CIRCLE</t>
        </is>
      </c>
      <c r="G66" t="inlineStr">
        <is>
          <t>SRIGANGANAGAR</t>
        </is>
      </c>
    </row>
    <row r="67">
      <c r="A67" s="1" t="n">
        <v>65</v>
      </c>
      <c r="B67">
        <f>HYPERLINK("https://eproc.rajasthan.gov.in/nicgep/app?component=%24DirectLink&amp;page=FrontEndViewTender&amp;service=direct&amp;session=T&amp;sp=SB%2FRfTZJc4ZN3FhPLhbwR7w%3D%3D", "EXPRESSION OF INTEREST (EOI) GRID CONNECTED SOLAR POWER PLANTS THROUGH RESCO MODE FOR 25 YEARS UNDER PM-KUSUM-COMPONENT-A IN Gudamalani DIVISION OF Barmer CIRCLE")</f>
        <v/>
      </c>
      <c r="C67" t="inlineStr">
        <is>
          <t>Jodhpur VVNL - MD||CE (HQ)||SE(DSM-IT-Trg)</t>
        </is>
      </c>
      <c r="D67" t="inlineStr">
        <is>
          <t>26-May-2025 06:00 PM</t>
        </is>
      </c>
      <c r="E67" t="inlineStr">
        <is>
          <t>1,99,06,00,000</t>
        </is>
      </c>
      <c r="F67" t="inlineStr">
        <is>
          <t>EXPRESSION OF INTEREST (EOI) GRID CONNECTED SOLAR POWER PLANTS THROUGH RESCO MODE FOR 25 YEARS UNDER PM-KUSUM-COMPONENT-A IN Gudamalani DIVISION OF Barmer CIRCLE</t>
        </is>
      </c>
      <c r="G67" t="inlineStr">
        <is>
          <t>Barmer</t>
        </is>
      </c>
    </row>
    <row r="68">
      <c r="A68" s="1" t="n">
        <v>66</v>
      </c>
      <c r="B68">
        <f>HYPERLINK("https://eproc.rajasthan.gov.in/nicgep/app?component=%24DirectLink&amp;page=FrontEndViewTender&amp;service=direct&amp;session=T&amp;sp=SQsgWMU7ZG7bfWLgpYlY%2FDw%3D%3D", "EXPRESSION OF INTEREST (EOI) GRID CONNECTED SOLAR POWER PLANTS THROUGH RESCO MODE FOR 25 YEARS UNDER PM-KUSUM-COMPONENT-A IN BARMER DIVISION OF BARMER CIRCLE")</f>
        <v/>
      </c>
      <c r="C68" t="inlineStr">
        <is>
          <t>Jodhpur VVNL - MD||CE (HQ)||SE(DSM-IT-Trg)</t>
        </is>
      </c>
      <c r="D68" t="inlineStr">
        <is>
          <t>26-May-2025 06:00 PM</t>
        </is>
      </c>
      <c r="E68" t="inlineStr">
        <is>
          <t>2,83,79,50,000</t>
        </is>
      </c>
      <c r="F68" t="inlineStr">
        <is>
          <t>EXPRESSION OF INTEREST (EOI) GRID CONNECTED SOLAR POWER PLANTS THROUGH RESCO MODE FOR 25 YEARS UNDER PM-KUSUM-COMPONENT-A IN BARMER DIVISION OF BARMER CIRCLE</t>
        </is>
      </c>
      <c r="G68" t="inlineStr">
        <is>
          <t>Barmer</t>
        </is>
      </c>
    </row>
    <row r="69">
      <c r="A69" s="1" t="n">
        <v>67</v>
      </c>
      <c r="B69">
        <f>HYPERLINK("https://eproc.rajasthan.gov.in/nicgep/app?component=%24DirectLink&amp;page=FrontEndViewTender&amp;service=direct&amp;session=T&amp;sp=Smh8AO7ZytInPStfkq5qR7Q%3D%3D", "EXPRESSION OF INTEREST (EOI) GRID CONNECTED SOLAR POWER PLANTS THROUGH RESCO MODE FOR 25 YEARS UNDER PM-KUSUM-COMPONENT-A IN Nohar and Sangaria DIVISION OF HANUMANGARH CIRCLE")</f>
        <v/>
      </c>
      <c r="C69" t="inlineStr">
        <is>
          <t>Jodhpur VVNL - MD||CE (HQ)||SE(DSM-IT-Trg)</t>
        </is>
      </c>
      <c r="D69" t="inlineStr">
        <is>
          <t>21-May-2025 06:00 PM</t>
        </is>
      </c>
      <c r="E69" t="inlineStr">
        <is>
          <t>2,51,51,50,000</t>
        </is>
      </c>
      <c r="F69" t="inlineStr">
        <is>
          <t>EXPRESSION OF INTEREST (EOI) GRID CONNECTED SOLAR POWER PLANTS THROUGH RESCO MODE FOR 25 YEARS UNDER PM-KUSUM-COMPONENT-A IN Nohar and Sangaria DIVISION OF HANUMANGARH CIRCLE</t>
        </is>
      </c>
      <c r="G69" t="inlineStr">
        <is>
          <t>Hanumangarh</t>
        </is>
      </c>
    </row>
    <row r="70">
      <c r="A70" s="1" t="n">
        <v>68</v>
      </c>
      <c r="B70">
        <f>HYPERLINK("https://eproc.rajasthan.gov.in/nicgep/app?component=%24DirectLink&amp;page=FrontEndViewTender&amp;service=direct&amp;session=T&amp;sp=S3BAPGdwQZVnwKwpK%2BfWCnA%3D%3D", "EXPRESSION OF INTEREST (EOI) GRID CONNECTED SOLAR POWER PLANTS THROUGH RESCO MODE FOR 25 YEARS UNDER PM-KUSUM-COMPONENT-A IN Sub Division Hanumangarh Rural OF Hanumangarh Circle")</f>
        <v/>
      </c>
      <c r="C70" t="inlineStr">
        <is>
          <t>Jodhpur VVNL - MD||CE (HQ)||SE(DSM-IT-Trg)</t>
        </is>
      </c>
      <c r="D70" t="inlineStr">
        <is>
          <t>21-May-2025 06:00 PM</t>
        </is>
      </c>
      <c r="E70" t="inlineStr">
        <is>
          <t>1,99,06,00,000</t>
        </is>
      </c>
      <c r="F70" t="inlineStr">
        <is>
          <t>EXPRESSION OF INTEREST (EOI) GRID CONNECTED SOLAR POWER PLANTS THROUGH RESCO MODE FOR 25 YEARS UNDER PM-KUSUM-COMPONENT-A IN Sub Division Hanumangarh Rural OF Hanumangarh Circle</t>
        </is>
      </c>
      <c r="G70" t="inlineStr">
        <is>
          <t>Hanumangarh</t>
        </is>
      </c>
    </row>
    <row r="71">
      <c r="A71" s="1" t="n">
        <v>69</v>
      </c>
      <c r="B71">
        <f>HYPERLINK("https://eproc.rajasthan.gov.in/nicgep/app?component=%24DirectLink&amp;page=FrontEndViewTender&amp;service=direct&amp;session=T&amp;sp=SBvOx3icLEubZCODTO%2F%2FlLw%3D%3D", "EXPRESSION OF INTEREST (EOI) GRID CONNECTED SOLAR POWER PLANTS THROUGH RESCO MODE FOR 25 YEARS UNDER PM-KUSUM-COMPONENT-A IN Sub Div- Hanumagahr Jn and Town , Goluwala and Pilibanga OF HANUMANGARH CIRCLE")</f>
        <v/>
      </c>
      <c r="C71" t="inlineStr">
        <is>
          <t>Jodhpur VVNL - MD||CE (HQ)||SE(DSM-IT-Trg)</t>
        </is>
      </c>
      <c r="D71" t="inlineStr">
        <is>
          <t>21-May-2025 06:00 PM</t>
        </is>
      </c>
      <c r="E71" t="inlineStr">
        <is>
          <t>2,20,58,00,000</t>
        </is>
      </c>
      <c r="F71" t="inlineStr">
        <is>
          <t>EXPRESSION OF INTEREST (EOI) GRID CONNECTED SOLAR POWER PLANTS THROUGH RESCO MODE FOR 25 YEARS UNDER PM-KUSUM-COMPONENT-A IN Sub Div- Hanumagahr Jn and Town , Goluwala and Pilibanga OF HANUMANGARH CIRCLE</t>
        </is>
      </c>
      <c r="G71" t="inlineStr">
        <is>
          <t>Hanumangarh</t>
        </is>
      </c>
    </row>
    <row r="72">
      <c r="A72" s="1" t="n">
        <v>70</v>
      </c>
      <c r="B72">
        <f>HYPERLINK("https://eproc.rajasthan.gov.in/nicgep/app?component=%24DirectLink&amp;page=FrontEndViewTender&amp;service=direct&amp;session=T&amp;sp=STyd2SpNaxEKWY0VTeOJhgw%3D%3D", "EXPRESSION OF INTEREST (EOI) GRID CONNECTED SOLAR POWER PLANTS THROUGH RESCO MODE FOR 25 YEARS UNDER PM-KUSUM-COMPONENT-A Jodhpur DD, Bilara DIVISION OF Jodhpur District Circle")</f>
        <v/>
      </c>
      <c r="C72" t="inlineStr">
        <is>
          <t>Jodhpur VVNL - MD||CE (HQ)||SE(DSM-IT-Trg)</t>
        </is>
      </c>
      <c r="D72" t="inlineStr">
        <is>
          <t>19-May-2025 06:00 PM</t>
        </is>
      </c>
      <c r="E72" t="inlineStr">
        <is>
          <t>2,25,96,00,000</t>
        </is>
      </c>
      <c r="F72" t="inlineStr">
        <is>
          <t>EXPRESSION OF INTEREST (EOI) GRID CONNECTED SOLAR POWER PLANTS THROUGH RESCO MODE FOR 25 YEARS UNDER PM-KUSUM-COMPONENT-A Jodhpur DD, Bilara DIVISION OF Jodhpur District Circle</t>
        </is>
      </c>
      <c r="G72" t="inlineStr">
        <is>
          <t>Jodhpur</t>
        </is>
      </c>
    </row>
    <row r="73">
      <c r="A73" s="1" t="n">
        <v>71</v>
      </c>
      <c r="B73">
        <f>HYPERLINK("https://eproc.rajasthan.gov.in/nicgep/app?component=%24DirectLink&amp;page=FrontEndViewTender&amp;service=direct&amp;session=T&amp;sp=SMgsWQE%2BgHqNhGeejYOzIUg%3D%3D", "EXPRESSION OF INTEREST (EOI) GRID CONNECTED SOLAR POWER PLANTS THROUGH RESCO MODE FOR 25 YEARS UNDER PM-KUSUM-COMPONENT-A IN Balesar DIVISION OF JODHPUR District Circle")</f>
        <v/>
      </c>
      <c r="C73" t="inlineStr">
        <is>
          <t>Jodhpur VVNL - MD||CE (HQ)||SE(DSM-IT-Trg)</t>
        </is>
      </c>
      <c r="D73" t="inlineStr">
        <is>
          <t>19-May-2025 06:00 PM</t>
        </is>
      </c>
      <c r="E73" t="inlineStr">
        <is>
          <t>1,88,30,00,000</t>
        </is>
      </c>
      <c r="F73" t="inlineStr">
        <is>
          <t>EXPRESSION OF INTEREST (EOI) GRID CONNECTED SOLAR POWER PLANTS THROUGH RESCO MODE FOR 25 YEARS UNDER PM-KUSUM-COMPONENT-A IN Balesar DIVISION OF JODHPUR District Circle</t>
        </is>
      </c>
      <c r="G73" t="inlineStr">
        <is>
          <t>Jodhpur</t>
        </is>
      </c>
    </row>
    <row r="74">
      <c r="A74" s="1" t="n">
        <v>72</v>
      </c>
      <c r="B74">
        <f>HYPERLINK("https://eproc.rajasthan.gov.in/nicgep/app?component=%24DirectLink&amp;page=FrontEndViewTender&amp;service=direct&amp;session=T&amp;sp=SajPg2R9c0idZhUG%2BOME4bA%3D%3D", "EXPRESSION OF INTEREST (EOI) GRID CONNECTED SOLAR POWER PLANTS THROUGH RESCO MODE FOR 25 YEARS UNDER PM-KUSUM-COMPONENT-A IN Anoopgarh and Raisinghnagar DIVISION OF Sri-ganganagar CIRCLE")</f>
        <v/>
      </c>
      <c r="C74" t="inlineStr">
        <is>
          <t>Jodhpur VVNL - MD||CE (HQ)||SE(DSM-IT-Trg)</t>
        </is>
      </c>
      <c r="D74" t="inlineStr">
        <is>
          <t>21-May-2025 06:00 PM</t>
        </is>
      </c>
      <c r="E74" t="inlineStr">
        <is>
          <t>2,15,20,00,000</t>
        </is>
      </c>
      <c r="F74" t="inlineStr">
        <is>
          <t>EXPRESSION OF INTEREST (EOI) GRID CONNECTED SOLAR POWER PLANTS THROUGH RESCO MODE FOR 25 YEARS UNDER PM-KUSUM-COMPONENT-A IN Anoopgarh and Raisinghnagar DIVISION OF Sri-ganganagar CIRCLE</t>
        </is>
      </c>
      <c r="G74" t="inlineStr">
        <is>
          <t>SRIGANGANAGAR</t>
        </is>
      </c>
    </row>
    <row r="75">
      <c r="A75" s="1" t="n">
        <v>73</v>
      </c>
      <c r="B75">
        <f>HYPERLINK("https://eproc.rajasthan.gov.in/nicgep/app?component=%24DirectLink&amp;page=FrontEndViewTender&amp;service=direct&amp;session=T&amp;sp=SL5CZuGKC88ECdy%2BFg3hAAA%3D%3D", "EXPRESSION OF INTEREST (EOI) GRID CONNECTED SOLAR POWER PLANTS THROUGH RESCO MODE FOR 25 YEARS UNDER PM-KUSUM-COMPONENT-A IN Sub Div- Dechu, Phalodi (City and OM) and Lohawat of Phalodi Circle")</f>
        <v/>
      </c>
      <c r="C75" t="inlineStr">
        <is>
          <t>Jodhpur VVNL - MD||CE (HQ)||SE(DSM-IT-Trg)</t>
        </is>
      </c>
      <c r="D75" t="inlineStr">
        <is>
          <t>19-May-2025 06:00 PM</t>
        </is>
      </c>
      <c r="E75" t="inlineStr">
        <is>
          <t>2,63,62,00,000</t>
        </is>
      </c>
      <c r="F75" t="inlineStr">
        <is>
          <t>EXPRESSION OF INTEREST (EOI) GRID CONNECTED SOLAR POWER PLANTS THROUGH RESCO MODE FOR 25 YEARS UNDER PM-KUSUM-COMPONENT-A IN Sub Div- Dechu, Phalodi (City and OM) and Lohawat of Phalodi Circle</t>
        </is>
      </c>
      <c r="G75" t="inlineStr">
        <is>
          <t>Phalodi</t>
        </is>
      </c>
    </row>
    <row r="76">
      <c r="A76" s="1" t="n">
        <v>74</v>
      </c>
      <c r="B76">
        <f>HYPERLINK("https://eproc.rajasthan.gov.in/nicgep/app?component=%24DirectLink&amp;page=FrontEndViewTender&amp;service=direct&amp;session=T&amp;sp=SwcBzxjhqDNjKemuqzfKJiw%3D%3D", "EXPRESSION OF INTEREST (EOI) GRID CONNECTED SOLAR POWER PLANTS THROUGH RESCO MODE FOR 25 YEARS UNDER PM-KUSUM-COMPONENT-A IN Sub Division - Aau, Bapini Bap, Matora OF Phalodi CIRCLE")</f>
        <v/>
      </c>
      <c r="C76" t="inlineStr">
        <is>
          <t>Jodhpur VVNL - MD||CE (HQ)||SE(DSM-IT-Trg)</t>
        </is>
      </c>
      <c r="D76" t="inlineStr">
        <is>
          <t>19-May-2025 06:00 PM</t>
        </is>
      </c>
      <c r="E76" t="inlineStr">
        <is>
          <t>2,47,48,00,000</t>
        </is>
      </c>
      <c r="F76" t="inlineStr">
        <is>
          <t>EXPRESSION OF INTEREST (EOI) GRID CONNECTED SOLAR POWER PLANTS THROUGH RESCO MODE FOR 25 YEARS UNDER PM-KUSUM-COMPONENT-A IN Sub Division - Aau, Bapini Bap, Matora OF Phalodi CIRCLE</t>
        </is>
      </c>
      <c r="G76" t="inlineStr">
        <is>
          <t>Phalodi</t>
        </is>
      </c>
    </row>
    <row r="77">
      <c r="A77" s="1" t="n">
        <v>75</v>
      </c>
      <c r="B77">
        <f>HYPERLINK("https://eproc.rajasthan.gov.in/nicgep/app?component=%24DirectLink&amp;page=FrontEndViewTender&amp;service=direct&amp;session=T&amp;sp=Sg52HsH%2FOVQBsXtCS%2FNI0cw%3D%3D", "EXPRESSION OF INTEREST (EOI) GRID CONNECTED SOLAR POWER PLANTS THROUGH RESCO MODE FOR 25 YEARS UNDER PM-KUSUM-COMPONENT-A IN Mathania DIVISION OF JODHPUR District CIRCLE")</f>
        <v/>
      </c>
      <c r="C77" t="inlineStr">
        <is>
          <t>Jodhpur VVNL - MD||CE (HQ)||SE(DSM-IT-Trg)</t>
        </is>
      </c>
      <c r="D77" t="inlineStr">
        <is>
          <t>19-May-2025 06:00 PM</t>
        </is>
      </c>
      <c r="E77" t="inlineStr">
        <is>
          <t>2,79,76,00,000</t>
        </is>
      </c>
      <c r="F77" t="inlineStr">
        <is>
          <t>EXPRESSION OF INTEREST (EOI) GRID CONNECTED SOLAR POWER PLANTS THROUGH RESCO MODE FOR 25 YEARS UNDER PM-KUSUM-COMPONENT-A IN Mathania DIVISION OF JODHPUR District CIRCLE</t>
        </is>
      </c>
      <c r="G77" t="inlineStr">
        <is>
          <t>Jodhpur</t>
        </is>
      </c>
    </row>
    <row r="78">
      <c r="A78" s="1" t="n">
        <v>76</v>
      </c>
      <c r="B78">
        <f>HYPERLINK("https://eproc.rajasthan.gov.in/nicgep/app?component=%24DirectLink&amp;page=FrontEndViewTender&amp;service=direct&amp;session=T&amp;sp=S6rojHNGZQJhdqD1Fc5Cg2w%3D%3D", "EXPRESSION OF INTEREST (EOI) GRID CONNECTED SOLAR POWER PLANTS THROUGH RESCO MODE FOR 25 YEARS UNDER PM-KUSUM-COMPONENT-A IN I, II, III AND IV DIVISION OF JODHPUR CITY CIRCLE")</f>
        <v/>
      </c>
      <c r="C78" t="inlineStr">
        <is>
          <t>Jodhpur VVNL - MD||CE (HQ)||SE(DSM-IT-Trg)</t>
        </is>
      </c>
      <c r="D78" t="inlineStr">
        <is>
          <t>19-May-2025 06:00 PM</t>
        </is>
      </c>
      <c r="E78" t="inlineStr">
        <is>
          <t>1,50,64,00,000</t>
        </is>
      </c>
      <c r="F78" t="inlineStr">
        <is>
          <t>EXPRESSION OF INTEREST (EOI) GRID CONNECTED SOLAR POWER PLANTS THROUGH RESCO MODE FOR 25 YEARS UNDER PM-KUSUM-COMPONENT-A IN I, II, III AND IV DIVISION OF JODHPUR CITY CIRCLE</t>
        </is>
      </c>
      <c r="G78" t="inlineStr">
        <is>
          <t>Jodhpur</t>
        </is>
      </c>
    </row>
    <row r="79">
      <c r="A79" s="1" t="n">
        <v>77</v>
      </c>
      <c r="B79">
        <f>HYPERLINK("https://eproc.rajasthan.gov.in/nicgep/app?component=%24DirectLink&amp;page=FrontEndViewTender&amp;service=direct&amp;session=T&amp;sp=S9gcKgm%2FBjxNN%2FVRrdPZUXg%3D%3D", "EXPRESSION OF INTEREST (EOI) GRID CONNECTED SOLAR POWER PLANTS THROUGH RESCO MODE FOR 25 YEARS UNDER PM-KUSUM-COMPONENT-A IN Desuri,Jaitaran and Falna DIVISION OF Pali CIRCLE")</f>
        <v/>
      </c>
      <c r="C79" t="inlineStr">
        <is>
          <t>Jodhpur VVNL - MD||CE (HQ)||SE(DSM-IT-Trg)</t>
        </is>
      </c>
      <c r="D79" t="inlineStr">
        <is>
          <t>19-May-2025 06:00 PM</t>
        </is>
      </c>
      <c r="E79" t="inlineStr">
        <is>
          <t>2,70,34,50,000</t>
        </is>
      </c>
      <c r="F79" t="inlineStr">
        <is>
          <t>EXPRESSION OF INTEREST (EOI) GRID CONNECTED SOLAR POWER PLANTS THROUGH RESCO MODE FOR 25 YEARS UNDER PM-KUSUM-COMPONENT-A IN Desuri,Jaitaran and Falna DIVISION OF Pali CIRCLE</t>
        </is>
      </c>
      <c r="G79" t="inlineStr">
        <is>
          <t>PALI</t>
        </is>
      </c>
    </row>
    <row r="80">
      <c r="A80" s="1" t="n">
        <v>78</v>
      </c>
      <c r="B80">
        <f>HYPERLINK("https://eproc.rajasthan.gov.in/nicgep/app?component=%24DirectLink&amp;page=FrontEndViewTender&amp;service=direct&amp;session=T&amp;sp=S8GXl8gjAzDT53JVfKgGgzQ%3D%3D", "AC Digital Tong Tester and Tong Tester for Site Testing/Protection")</f>
        <v/>
      </c>
      <c r="C80" t="inlineStr">
        <is>
          <t>Jodhpur VVNL - MD||CE (HQ)||SE(MM and C)||XEn(MMC-IV)</t>
        </is>
      </c>
      <c r="D80" t="inlineStr">
        <is>
          <t>22-May-2025 12:00 PM</t>
        </is>
      </c>
      <c r="E80" t="inlineStr">
        <is>
          <t>29,77,950</t>
        </is>
      </c>
      <c r="F80" t="inlineStr">
        <is>
          <t>As per tender documents</t>
        </is>
      </c>
      <c r="G80" t="inlineStr">
        <is>
          <t>SE_MMC_JDVVNL_JODHPUR</t>
        </is>
      </c>
    </row>
    <row r="81">
      <c r="A81" s="1" t="n">
        <v>79</v>
      </c>
      <c r="B81">
        <f>HYPERLINK("https://eproc.rajasthan.gov.in/nicgep/app?component=%24DirectLink&amp;page=FrontEndViewTender&amp;service=direct&amp;session=T&amp;sp=SABtaT2Q%2FF1Y3XeNSe9hMXg%3D%3D", "Feeder segregation of 11 KV feeders in Jaisalmer under RDSS,Development of Decentralized Solar Power Plant in the Vicinity of 33/11kV SS on HAM model, Network Management of 33/11kV SS, its downstream network and all connected consumers for 10 yrs.")</f>
        <v/>
      </c>
      <c r="C81" t="inlineStr">
        <is>
          <t>Jodhpur VVNL - MD||CE (HQ)||SE(TW)||XEn(TW)</t>
        </is>
      </c>
      <c r="D81" t="inlineStr">
        <is>
          <t>21-May-2025 06:00 PM</t>
        </is>
      </c>
      <c r="E81" t="inlineStr">
        <is>
          <t>8,06,60,91,599</t>
        </is>
      </c>
      <c r="F81" t="inlineStr">
        <is>
          <t>Feeder segregation of 11 KV feeders in Jaisalmer under RDSS,Development of Decentralized Solar Power Plant in the Vicinity of 33/11kV SS on HAM model, Network Management of 33/11kV SS, its downstream network and all connected consumers for 10 yrs.</t>
        </is>
      </c>
      <c r="G81" t="inlineStr">
        <is>
          <t>Jaisalmer</t>
        </is>
      </c>
    </row>
    <row r="82">
      <c r="A82" s="1" t="n">
        <v>80</v>
      </c>
      <c r="B82">
        <f>HYPERLINK("https://eproc.rajasthan.gov.in/nicgep/app?component=%24DirectLink&amp;page=FrontEndViewTender&amp;service=direct&amp;session=T&amp;sp=S6jGrsui%2FOF2dEmBuiOaQhw%3D%3D", "Feeder segregation of 11 KV feeders in Churu under RDSS,Development of Decentralized Solar Power Plant in the Vicinity of 33/11kV SS on HAM model, Network Management of 33/11kV SS, its downstream network and all connected consumers for 10 yrs.")</f>
        <v/>
      </c>
      <c r="C82" t="inlineStr">
        <is>
          <t>Jodhpur VVNL - MD||CE (HQ)||SE(TW)||XEn(TW)</t>
        </is>
      </c>
      <c r="D82" t="inlineStr">
        <is>
          <t>21-May-2025 06:00 PM</t>
        </is>
      </c>
      <c r="E82" t="inlineStr">
        <is>
          <t>12,78,77,52,185</t>
        </is>
      </c>
      <c r="F82" t="inlineStr">
        <is>
          <t>Feeder segregation of 11 KV feeders in Churu under RDSS,Development of Decentralized Solar Power Plant in the Vicinity of 33/11kV SS on HAM model, Network Management of 33/11kV SS, its downstream network and all connected consumers for 10 yrs.</t>
        </is>
      </c>
      <c r="G82" t="inlineStr">
        <is>
          <t>Churu</t>
        </is>
      </c>
    </row>
    <row r="83">
      <c r="A83" s="1" t="n">
        <v>81</v>
      </c>
      <c r="B83">
        <f>HYPERLINK("https://eproc.rajasthan.gov.in/nicgep/app?component=%24DirectLink&amp;page=FrontEndViewTender&amp;service=direct&amp;session=T&amp;sp=S36eZfA8458AS9Qe%2BIEEKuA%3D%3D", "Feeder segregation of 11 KV feeders in Sriganganagar under RDSS,Development of Decentralized Solar Power Plant in the Vicinity of 33/11kV SS on HAM model, Network Management of 33/11kV SS, its downstream network and all connected consumers for 10 yrs")</f>
        <v/>
      </c>
      <c r="C83" t="inlineStr">
        <is>
          <t>Jodhpur VVNL - MD||CE (HQ)||SE(TW)||XEn(TW)</t>
        </is>
      </c>
      <c r="D83" t="inlineStr">
        <is>
          <t>21-May-2025 06:00 PM</t>
        </is>
      </c>
      <c r="E83" t="inlineStr">
        <is>
          <t>3,77,55,42,028</t>
        </is>
      </c>
      <c r="F83" t="inlineStr">
        <is>
          <t>Feeder segregation of 11 KV feeders in Sriganganagar under RDSS,Development of Decentralized Solar Power Plant in the Vicinity of 33/11kV SS on HAM model, Network Management of 33/11kV SS, its downstream network and all connected consumers for 10 yrs</t>
        </is>
      </c>
      <c r="G83" t="inlineStr">
        <is>
          <t>Sriganganagar</t>
        </is>
      </c>
    </row>
    <row r="84">
      <c r="A84" s="1" t="n">
        <v>82</v>
      </c>
      <c r="B84">
        <f>HYPERLINK("https://eproc.rajasthan.gov.in/nicgep/app?component=%24DirectLink&amp;page=FrontEndViewTender&amp;service=direct&amp;session=T&amp;sp=SNLASFqFLUIBMWSvFQ1rftg%3D%3D", "Feeder segregation of 11 KV feeders in Anoopgarh under RDSS,Development of Decentralized Solar Power Plant in the Vicinity of 33/11kV SS on HAM model, Network Management of 33/11kV SS, its downstream network and all connected consumers for 10 yrs.")</f>
        <v/>
      </c>
      <c r="C84" t="inlineStr">
        <is>
          <t>Jodhpur VVNL - MD||CE (HQ)||SE(TW)||XEn(TW)</t>
        </is>
      </c>
      <c r="D84" t="inlineStr">
        <is>
          <t>21-May-2025 06:00 PM</t>
        </is>
      </c>
      <c r="E84" t="inlineStr">
        <is>
          <t>5,04,64,45,046</t>
        </is>
      </c>
      <c r="F84" t="inlineStr">
        <is>
          <t>Feeder segregation of 11 KV feeders in Anoopgarh under RDSS,Development of Decentralized Solar Power Plant in the Vicinity of 33/11kV SS on HAM model, Network Management of 33/11kV SS, its downstream network and all connected consumers for 10 yrs.</t>
        </is>
      </c>
      <c r="G84" t="inlineStr">
        <is>
          <t>Anoopgarh</t>
        </is>
      </c>
    </row>
    <row r="85">
      <c r="A85" s="1" t="n">
        <v>83</v>
      </c>
      <c r="B85">
        <f>HYPERLINK("https://eproc.rajasthan.gov.in/nicgep/app?component=%24DirectLink&amp;page=FrontEndViewTender&amp;service=direct&amp;session=T&amp;sp=S5nzherlM8TAKzIciVAqMcg%3D%3D", "Feeder segregation of 11 KV feeders in Hanumangarh under RDSS,Development of Decentralized Solar Power Plant in the Vicinity of 33/11kV SS on HAM model, Network Management of 33/11kV SS, its downstream network and all connected consumers for 10 yrs.")</f>
        <v/>
      </c>
      <c r="C85" t="inlineStr">
        <is>
          <t>Jodhpur VVNL - MD||CE (HQ)||SE(TW)||XEn(TW)</t>
        </is>
      </c>
      <c r="D85" t="inlineStr">
        <is>
          <t>21-May-2025 06:00 PM</t>
        </is>
      </c>
      <c r="E85" t="inlineStr">
        <is>
          <t>8,86,17,11,269</t>
        </is>
      </c>
      <c r="F85" t="inlineStr">
        <is>
          <t>Feeder segregation of 11 KV feeders in Hanumangarh under RDSS,Development of Decentralized Solar Power Plant in the Vicinity of 33/11kV SS on HAM model, Network Management of 33/11kV SS, its downstream network and all connected consumers for 10 yrs.</t>
        </is>
      </c>
      <c r="G85" t="inlineStr">
        <is>
          <t>Hanumangarh</t>
        </is>
      </c>
    </row>
    <row r="86">
      <c r="A86" s="1" t="n">
        <v>84</v>
      </c>
      <c r="B86">
        <f>HYPERLINK("https://eproc.rajasthan.gov.in/nicgep/app?component=%24DirectLink&amp;page=FrontEndViewTender&amp;service=direct&amp;session=T&amp;sp=S05uKYuT7ArqBHm9iAI1sYw%3D%3D", "Feeder segregation of 11 KV feeders in Bikaner DC under RDSS,Development of Decentralized Solar Power Plant in the Vicinity of 33/11kV SS on HAM model, Network Management of 33/11kV SS, its downstream network and all connected consumers for 10 yrs.")</f>
        <v/>
      </c>
      <c r="C86" t="inlineStr">
        <is>
          <t>Jodhpur VVNL - MD||CE (HQ)||SE(TW)||XEn(TW)</t>
        </is>
      </c>
      <c r="D86" t="inlineStr">
        <is>
          <t>21-May-2025 06:00 PM</t>
        </is>
      </c>
      <c r="E86" t="inlineStr">
        <is>
          <t>9,33,71,23,413</t>
        </is>
      </c>
      <c r="F86" t="inlineStr">
        <is>
          <t>Feeder segregation of 11 KV feeders in Bikaner DC under RDSS,Development of Decentralized Solar Power Plant in the Vicinity of 33/11kV SS on HAM model, Network Management of 33/11kV SS, its downstream network and all connected consumers for 10 yrs.</t>
        </is>
      </c>
      <c r="G86" t="inlineStr">
        <is>
          <t>Bikaner DC</t>
        </is>
      </c>
    </row>
    <row r="87">
      <c r="A87" s="1" t="n">
        <v>85</v>
      </c>
      <c r="B87">
        <f>HYPERLINK("https://eproc.rajasthan.gov.in/nicgep/app?component=%24DirectLink&amp;page=FrontEndViewTender&amp;service=direct&amp;session=T&amp;sp=SKWJBNRbMW5DKQlwSz8Hqqw%3D%3D", "Feeder segregation of 11 KV feeders in Barmer Div under RDSS,Development of Decentralized Solar Power Plant in the Vicinity of 33/11kV SS on HAM model, Network Management of 33/11kV SS, its downstream network and all connected consumers for 10 yrs.")</f>
        <v/>
      </c>
      <c r="C87" t="inlineStr">
        <is>
          <t>Jodhpur VVNL - MD||CE (HQ)||SE(TW)||XEn(TW)</t>
        </is>
      </c>
      <c r="D87" t="inlineStr">
        <is>
          <t>21-May-2025 06:00 PM</t>
        </is>
      </c>
      <c r="E87" t="inlineStr">
        <is>
          <t>6,53,68,89,402</t>
        </is>
      </c>
      <c r="F87" t="inlineStr">
        <is>
          <t>Feeder segregation of 11 KV feeders in Barmer Div under RDSS,Development of Decentralized Solar Power Plant in the Vicinity of 33/11kV SS on HAM model, Network Management of 33/11kV SS, its downstream network and all connected consumers for 10 yrs.</t>
        </is>
      </c>
      <c r="G87" t="inlineStr">
        <is>
          <t>Barmer Division</t>
        </is>
      </c>
    </row>
    <row r="88">
      <c r="A88" s="1" t="n">
        <v>86</v>
      </c>
      <c r="B88">
        <f>HYPERLINK("https://eproc.rajasthan.gov.in/nicgep/app?component=%24DirectLink&amp;page=FrontEndViewTender&amp;service=direct&amp;session=T&amp;sp=SxkIDwXm786M%2FDENz1577Eg%3D%3D", "Feeder segregation of 11 KV feeders in Gudamalani Div under RDSS,Development of Decentralized Solar Power Plant in the Vicinity of 33/11kV SS on HAM model, Network Management of 33/11kV SS, its downstream network and all connected consumers for 10 yr")</f>
        <v/>
      </c>
      <c r="C88" t="inlineStr">
        <is>
          <t>Jodhpur VVNL - MD||CE (HQ)||SE(TW)||XEn(TW)</t>
        </is>
      </c>
      <c r="D88" t="inlineStr">
        <is>
          <t>21-May-2025 06:00 PM</t>
        </is>
      </c>
      <c r="E88" t="inlineStr">
        <is>
          <t>9,43,77,02,121</t>
        </is>
      </c>
      <c r="F88" t="inlineStr">
        <is>
          <t>Feeder segregation of 11 KV feeders in Gudamalani Div under RDSS,Development of Decentralized Solar Power Plant in the Vicinity of 33/11kV SS on HAM model, Network Management of 33/11kV SS, its downstream network and all connected consumers for 10 yr</t>
        </is>
      </c>
      <c r="G88" t="inlineStr">
        <is>
          <t>Gudamalani Division</t>
        </is>
      </c>
    </row>
    <row r="89">
      <c r="A89" s="1" t="n">
        <v>87</v>
      </c>
      <c r="B89">
        <f>HYPERLINK("https://eproc.rajasthan.gov.in/nicgep/app?component=%24DirectLink&amp;page=FrontEndViewTender&amp;service=direct&amp;session=T&amp;sp=SR4gStzAVOChyAydwme5psw%3D%3D", "Feeder segregation of 11 KV feeders in Balotra under RDSS,Development of Decentralized Solar Power Plant in the Vicinity of 33/11kV SS on HAM model, Network Management of 33/11kV SS, its downstream network and all connected consumers for 10 yrs.")</f>
        <v/>
      </c>
      <c r="C89" t="inlineStr">
        <is>
          <t>Jodhpur VVNL - MD||CE (HQ)||SE(TW)||XEn(TW)</t>
        </is>
      </c>
      <c r="D89" t="inlineStr">
        <is>
          <t>21-May-2025 06:00 PM</t>
        </is>
      </c>
      <c r="E89" t="inlineStr">
        <is>
          <t>10,06,87,94,001</t>
        </is>
      </c>
      <c r="F89" t="inlineStr">
        <is>
          <t>Feeder segregation of 11 KV feeders in Balotra under RDSS,Development of Decentralized Solar Power Plant in the Vicinity of 33/11kV SS on HAM model, Network Management of 33/11kV SS, its downstream network and all connected consumers for 10 yrs.</t>
        </is>
      </c>
      <c r="G89" t="inlineStr">
        <is>
          <t>Balotra</t>
        </is>
      </c>
    </row>
    <row r="90">
      <c r="A90" s="1" t="n">
        <v>88</v>
      </c>
      <c r="B90">
        <f>HYPERLINK("https://eproc.rajasthan.gov.in/nicgep/app?component=%24DirectLink&amp;page=FrontEndViewTender&amp;service=direct&amp;session=T&amp;sp=SPoWCegBEYnCWrDglFx9iOw%3D%3D", "Feeder segregation of 11 KV feeders in Sanchor Circle under RDSS, Development of Decentralized Solar Power Plant in the Vicinity of 33/11kV SS on HAM model, Network Management of 33/11kV SS, its downstream network and all connected consumers for10 yr")</f>
        <v/>
      </c>
      <c r="C90" t="inlineStr">
        <is>
          <t>Jodhpur VVNL - MD||CE (HQ)||SE(TW)||XEn(TW)</t>
        </is>
      </c>
      <c r="D90" t="inlineStr">
        <is>
          <t>21-May-2025 06:00 PM</t>
        </is>
      </c>
      <c r="E90" t="inlineStr">
        <is>
          <t>14,08,50,83,861</t>
        </is>
      </c>
      <c r="F90" t="inlineStr">
        <is>
          <t>Feeder segregation of 11 KV feeders in Sanchor Circle under RDSS, Development of Decentralized Solar Power Plant in the Vicinity of 33/11kV SS on HAM model, Network Management of 33/11kV SS, its downstream network and all connected consumers for10 yr</t>
        </is>
      </c>
      <c r="G90" t="inlineStr">
        <is>
          <t>Sanchore</t>
        </is>
      </c>
    </row>
    <row r="91">
      <c r="A91" s="1" t="n">
        <v>89</v>
      </c>
      <c r="B91">
        <f>HYPERLINK("https://eproc.rajasthan.gov.in/nicgep/app?component=%24DirectLink&amp;page=FrontEndViewTender&amp;service=direct&amp;session=T&amp;sp=S7zOIjuA6HpxQBrHvVF%2BQGQ%3D%3D", "Feeder segregation of 11 KV feeders in Jalore Circle under RDSS, Development of Decentralized Solar Power Plant in the Vicinity of 33/11kV SS on HAM model, Network Management of 33/11kV SS, its downstream network and all connected consumers for 10 yr")</f>
        <v/>
      </c>
      <c r="C91" t="inlineStr">
        <is>
          <t>Jodhpur VVNL - MD||CE (HQ)||SE(TW)||XEn(TW)</t>
        </is>
      </c>
      <c r="D91" t="inlineStr">
        <is>
          <t>21-May-2025 06:00 PM</t>
        </is>
      </c>
      <c r="E91" t="inlineStr">
        <is>
          <t>7,54,29,57,360</t>
        </is>
      </c>
      <c r="F91" t="inlineStr">
        <is>
          <t>Feeder segregation of 11 KV feeders in Jalore Circle under RDSS, Development of Decentralized Solar Power Plant in the Vicinity of 33/11kV SS on HAM model, Network Management of 33/11kV SS, its downstream network and all connected consumers for 10 yr</t>
        </is>
      </c>
      <c r="G91" t="inlineStr">
        <is>
          <t>Jalore</t>
        </is>
      </c>
    </row>
    <row r="92">
      <c r="A92" s="1" t="n">
        <v>90</v>
      </c>
      <c r="B92">
        <f>HYPERLINK("https://eproc.rajasthan.gov.in/nicgep/app?component=%24DirectLink&amp;page=FrontEndViewTender&amp;service=direct&amp;session=T&amp;sp=SD0%2BZZiGgY5dLTDvgxJw8lQ%3D%3D", "Feeder segregation of 11 KV feeders in Sirohi Circle under RDSS, Development of Decentralized Solar Power Plant in the Vicinity of 33/11kV SS on HAM model, Network Management of 33/11kV SS, its downstream network and all connected consumers for 10 yr")</f>
        <v/>
      </c>
      <c r="C92" t="inlineStr">
        <is>
          <t>Jodhpur VVNL - MD||CE (HQ)||SE(TW)||XEn(TW)</t>
        </is>
      </c>
      <c r="D92" t="inlineStr">
        <is>
          <t>21-May-2025 06:00 PM</t>
        </is>
      </c>
      <c r="E92" t="inlineStr">
        <is>
          <t>4,46,66,63,877</t>
        </is>
      </c>
      <c r="F92" t="inlineStr">
        <is>
          <t>Feeder segregation of 11 KV feeders in Sirohi Circle under RDSS, Development of Decentralized Solar Power Plant in the Vicinity of 33/11kV SS on HAM model, Network Management of 33/11kV SS, its downstream network and all connected consumers for 10 yr</t>
        </is>
      </c>
      <c r="G92" t="inlineStr">
        <is>
          <t>Sirohi</t>
        </is>
      </c>
    </row>
    <row r="93">
      <c r="A93" s="1" t="n">
        <v>91</v>
      </c>
      <c r="B93">
        <f>HYPERLINK("https://eproc.rajasthan.gov.in/nicgep/app?component=%24DirectLink&amp;page=FrontEndViewTender&amp;service=direct&amp;session=T&amp;sp=Snh3dRzr0%2Fnrg3koCOvh%2FOw%3D%3D", "Feeder segregation of 11 KV feeders in Pali under RDSS,Development of Decentralized Solar Power Plant in the Vicinity of 33/11kV SS on HAM model, Network Management of 33/11kV SS, its downstream network and all connected consumers for 10 yrs.")</f>
        <v/>
      </c>
      <c r="C93" t="inlineStr">
        <is>
          <t>Jodhpur VVNL - MD||CE (HQ)||SE(TW)||XEn(TW)</t>
        </is>
      </c>
      <c r="D93" t="inlineStr">
        <is>
          <t>21-May-2025 06:00 PM</t>
        </is>
      </c>
      <c r="E93" t="inlineStr">
        <is>
          <t>6,20,87,49,490</t>
        </is>
      </c>
      <c r="F93" t="inlineStr">
        <is>
          <t>Feeder segregation of 11 KV feeders in Pali under RDSS,Development of Decentralized Solar Power Plant in the Vicinity of 33/11kV SS on HAM model, Network Management of 33/11kV SS, its downstream network and all connected consumers for 10 yrs.</t>
        </is>
      </c>
      <c r="G93" t="inlineStr">
        <is>
          <t>Pali</t>
        </is>
      </c>
    </row>
    <row r="94">
      <c r="A94" s="1" t="n">
        <v>92</v>
      </c>
      <c r="B94">
        <f>HYPERLINK("https://eproc.rajasthan.gov.in/nicgep/app?component=%24DirectLink&amp;page=FrontEndViewTender&amp;service=direct&amp;session=T&amp;sp=S93q4UO19x3iLZSNuYX6a6A%3D%3D", "11/0.433 KV, 3 PHASE, ALUMINIUM WOUND, DISTRIBUTION TRANSFORMERS 100 KVA, STAR-1, ENERGY EFFICIENCY LEVEL-I")</f>
        <v/>
      </c>
      <c r="C94" t="inlineStr">
        <is>
          <t>Jodhpur VVNL - MD||CE (HQ)||SE(MM and C)||XEn(MMC-I)</t>
        </is>
      </c>
      <c r="D94" t="inlineStr">
        <is>
          <t>27-May-2025 12:00 PM</t>
        </is>
      </c>
      <c r="E94" t="inlineStr">
        <is>
          <t>77,12,55,000</t>
        </is>
      </c>
      <c r="F94" t="inlineStr">
        <is>
          <t>11/0.433 KV, 3 PHASE, ALUMINIUM WOUND, DISTRIBUTION TRANSFORMERS 100 KVA, STAR-1, ENERGY EFFICIENCY LEVEL-I</t>
        </is>
      </c>
      <c r="G94" t="inlineStr">
        <is>
          <t>Jodhpur</t>
        </is>
      </c>
    </row>
    <row r="95">
      <c r="A95" s="1" t="n">
        <v>93</v>
      </c>
      <c r="B95">
        <f>HYPERLINK("https://eproc.rajasthan.gov.in/nicgep/app?component=%24DirectLink&amp;page=FrontEndViewTender&amp;service=direct&amp;session=T&amp;sp=S1hLJcFHsuKzCll7qgIHdMQ%3D%3D", "TRANSFORMERS 63 KVA, STAR-1, ENERGY EFFICIENCY LEVEL-I, ALONG WITH METER and PROTECTION BOX UNIT")</f>
        <v/>
      </c>
      <c r="C95" t="inlineStr">
        <is>
          <t>Jodhpur VVNL - MD||CE (HQ)||SE(MM and C)||XEn(MMC-I)</t>
        </is>
      </c>
      <c r="D95" t="inlineStr">
        <is>
          <t>03-Jun-2025 12:00 PM</t>
        </is>
      </c>
      <c r="E95" t="inlineStr">
        <is>
          <t>1,10,51,52,000</t>
        </is>
      </c>
      <c r="F95" t="inlineStr">
        <is>
          <t>TRANSFORMERS 63 KVA, STAR-1, ENERGY EFFICIENCY LEVEL-I, ALONG WITH METER and PROTECTION BOX UNIT</t>
        </is>
      </c>
      <c r="G95" t="inlineStr">
        <is>
          <t>Jodhpur</t>
        </is>
      </c>
    </row>
    <row r="96">
      <c r="A96" s="1" t="n">
        <v>94</v>
      </c>
      <c r="B96">
        <f>HYPERLINK("https://eproc.rajasthan.gov.in/nicgep/app?component=%24DirectLink&amp;page=FrontEndViewTender&amp;service=direct&amp;session=T&amp;sp=SoMwadXgnT2LyLuVsMN5ubQ%3D%3D", "9.0 M LONG PCC POLES OF 200 KG WORKING LOAD WITH FACTOR OF SAFTY 2.5")</f>
        <v/>
      </c>
      <c r="C96" t="inlineStr">
        <is>
          <t>Jodhpur VVNL - MD||CE (HQ)||SE(MM and C)||XEn(MMC-III)</t>
        </is>
      </c>
      <c r="D96" t="inlineStr">
        <is>
          <t>23-May-2025 12:00 PM</t>
        </is>
      </c>
      <c r="E96" t="inlineStr">
        <is>
          <t>1,22,79,37,500</t>
        </is>
      </c>
      <c r="F96" t="inlineStr">
        <is>
          <t>9.0 M LONG PCC POLES OF 200 KG WORKING LOAD WITH FACTOR OF SAFTY 2.5</t>
        </is>
      </c>
      <c r="G96" t="inlineStr">
        <is>
          <t>NEW POWER HOUSE, INDUSTRIAL AREA, JODHPUR</t>
        </is>
      </c>
    </row>
    <row r="97">
      <c r="A97" s="1" t="n">
        <v>95</v>
      </c>
      <c r="B97">
        <f>HYPERLINK("https://eproc.rajasthan.gov.in/nicgep/app?component=%24DirectLink&amp;page=FrontEndViewTender&amp;service=direct&amp;session=T&amp;sp=SVyv%2BHvCBUtcOfdxGSTCEMw%3D%3D", "SUPPLY OF 40 KVA, 11 0.433 KV, ALUMINIUM WOUND EEL1 STAR1 RATING COMPLETELY SELF PROTECTED CSP DISTRIBUTION TRANSFORMERS WITH HAVING PROVISION OF LT BUSHING BOX AS PER TN 2025")</f>
        <v/>
      </c>
      <c r="C97" t="inlineStr">
        <is>
          <t>Jodhpur VVNL - MD||CE (HQ)||SE(MM and C)||XEn(MMC-II)</t>
        </is>
      </c>
      <c r="D97" t="inlineStr">
        <is>
          <t>27-May-2025 12:00 PM</t>
        </is>
      </c>
      <c r="E97" t="inlineStr">
        <is>
          <t>1,02,18,00,000</t>
        </is>
      </c>
      <c r="F97" t="inlineStr">
        <is>
          <t>SUPPLY OF 40 KVA, 11 0.433 KV, ALUMINIUM WOUND EEL1 STAR1 RATING COMPLETELY SELF PROTECTED CSP DISTRIBUTION TRANSFORMERS WITH HAVING PROVISION OF LT BUSHING BOX AS PER TN 2025</t>
        </is>
      </c>
      <c r="G97" t="inlineStr">
        <is>
          <t>JODHPUR</t>
        </is>
      </c>
    </row>
    <row r="98">
      <c r="A98" s="1" t="n">
        <v>96</v>
      </c>
      <c r="B98">
        <f>HYPERLINK("https://eproc.rajasthan.gov.in/nicgep/app?component=%24DirectLink&amp;page=FrontEndViewTender&amp;service=direct&amp;session=T&amp;sp=SHVUAB%2B%2B3NUTAldE2JF4vlw%3D%3D", "SUPPLY OF 25 KVA, 11 0.433 KV, ALUMINIUM WOUND EEL1 STAR1 RATING COMPLETELY SELF PROTECTED CSP DISTRIBUTION TRANSFORMERS WITH HAVING PROVISION OF LT BUSHING BOX AS PER TN2026.")</f>
        <v/>
      </c>
      <c r="C98" t="inlineStr">
        <is>
          <t>Jodhpur VVNL - MD||CE (HQ)||SE(MM and C)||XEn(MMC-II)</t>
        </is>
      </c>
      <c r="D98" t="inlineStr">
        <is>
          <t>27-May-2025 12:00 PM</t>
        </is>
      </c>
      <c r="E98" t="inlineStr">
        <is>
          <t>74,02,96,920</t>
        </is>
      </c>
      <c r="F98" t="inlineStr">
        <is>
          <t>SUPPLY OF 25 KVA, 11 0.433 KV, ALUMINIUM WOUND EEL1 STAR1 RATING COMPLETELY SELF PROTECTED CSP DISTRIBUTION TRANSFORMERS WITH HAVING PROVISION OF LT BUSHING BOX AS PER TN2026.</t>
        </is>
      </c>
      <c r="G98" t="inlineStr">
        <is>
          <t>JODHPUR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2025-05-17T13:01:30Z</dcterms:created>
  <dcterms:modified xsi:type="dcterms:W3CDTF">2025-05-17T13:01:30Z</dcterms:modified>
</cp:coreProperties>
</file>