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vakul/Documents/Projects/RPGOYAL EPROC Automation/tenders_2025-05-17/"/>
    </mc:Choice>
  </mc:AlternateContent>
  <xr:revisionPtr revIDLastSave="0" documentId="13_ncr:1_{AF04DB9C-B5D9-4746-BC90-FDEC199794F2}" xr6:coauthVersionLast="47" xr6:coauthVersionMax="47" xr10:uidLastSave="{00000000-0000-0000-0000-000000000000}"/>
  <bookViews>
    <workbookView xWindow="0" yWindow="860" windowWidth="38400" windowHeight="24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0" i="1" l="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<sst xmlns="http://schemas.openxmlformats.org/spreadsheetml/2006/main" count="2152" uniqueCount="1016">
  <si>
    <t>Sno</t>
  </si>
  <si>
    <t>Title</t>
  </si>
  <si>
    <t>Organisation Chain</t>
  </si>
  <si>
    <t>Closing Date</t>
  </si>
  <si>
    <t>Amount</t>
  </si>
  <si>
    <t>Work Description</t>
  </si>
  <si>
    <t>Location</t>
  </si>
  <si>
    <t>PWD - CE AND AS||ACE - AJMER||SE-BHILWARA||EE-SHAHPURA</t>
  </si>
  <si>
    <t>05-Jun-2025 03:00 PM</t>
  </si>
  <si>
    <t>4,25,68,000</t>
  </si>
  <si>
    <t>WIDENING AND RENEWAL OF BANSUR TO FATEHPUR ROAD KM 0/00 TO 5/000</t>
  </si>
  <si>
    <t>Under Jurisdiction of Dn. - Bansur</t>
  </si>
  <si>
    <t>17,93,08,000</t>
  </si>
  <si>
    <t>WINDENING AND STRENGTHENING OF FROM SH-52 KM 58/800 TO SH 19/500 VIA KOTHIYA, GADHI, AJABPURA, KHARION KI DHANI, BASAI JOGIYAN, THANAGAJI, JODHPURA, TONDI LUHAR, KISORI, BHIKAPUR, AJABGARH KM 0/00 TO 13/000 (MDR-255)</t>
  </si>
  <si>
    <t>17,28,33,000</t>
  </si>
  <si>
    <t>WIDENING AND STRENGTHENING OF SH-52 TO NEEMUCHANA-KUNDLI-KARANA- CHIANPURA KM 0/00 TO 13/500</t>
  </si>
  <si>
    <t>10,21,05,000</t>
  </si>
  <si>
    <t>WIDENING AND STRENGTHENING OF AJABPURA CHANDPURI ROAD KM 0/00 TO 8/500</t>
  </si>
  <si>
    <t>11,98,72,000</t>
  </si>
  <si>
    <t>WIDENING AND STRENGTHENING HARSORA CHIPARI BHURIYAWAS KISHORPURA TO BAMANWAS KM 0/00 TO 11/000</t>
  </si>
  <si>
    <t>PWD - CE AND AS||ACE - JAIPUR I||SE-CITY-JPR||EE-CITY-II</t>
  </si>
  <si>
    <t>27-May-2025 06:00 PM</t>
  </si>
  <si>
    <t>7,36,000</t>
  </si>
  <si>
    <t>Repair and Maintenance work at BN 6 Hospital Road Jaipur (Sh Ambrish Kumar IAS), Heera Bagh (Civil Work)</t>
  </si>
  <si>
    <t>Under Jurisdiction of City Dn - II, Jaipur</t>
  </si>
  <si>
    <t>PWD - CE AND AS||ACE - UDAIPUR||SE-RAJSAMAND||EE-AMET</t>
  </si>
  <si>
    <t>26-May-2025 06:00 PM</t>
  </si>
  <si>
    <t>17,50,000</t>
  </si>
  <si>
    <t>CONSTRUCTION OF TOILET IN VARIOUS SCHOOL OF BLOCK AMET UNDER PWD DN AMET (PACKAGE NO 01/DMFT/GC16/2025-26)</t>
  </si>
  <si>
    <t>Amet</t>
  </si>
  <si>
    <t>CONSTRUCTION OF TOILET IN VARIOUS SCHOOL OF BLOCK AMET UNDER PWD DN AMET (PACKAGE NO 02/DMFT/GC16/2025-26)</t>
  </si>
  <si>
    <t>14,00,000</t>
  </si>
  <si>
    <t>CONSTRUCTION OF TOILET IN VARIOUS SCHOOL OF BLOCK KUMBHALGARH UNDER PWD DN AMET (PACKAGE NO 04/DMFT/GC16/2025-26)</t>
  </si>
  <si>
    <t>10,50,000</t>
  </si>
  <si>
    <t>CONSTRUCTION OF TOILET IN VARIOUS SCHOOL OF BLOCK KUMBHALGARH UNDER PWD DN AMET (PACKAGE NO 03/DMFT/GC16/2025-26)</t>
  </si>
  <si>
    <t>PWD - CE AND AS||ACE - JAIPUR II||SE-RURAL-JPR||EE-SHAHPURA</t>
  </si>
  <si>
    <t>16-Jun-2025 03:00 PM</t>
  </si>
  <si>
    <t>83,72,35,000</t>
  </si>
  <si>
    <t>CONSTRUCTION OF FOUR LANE ROB INCLUDING UNDERPASS IN LIEU OF LC NO.90/SPL AT NADI KA PHATAK ON JAIPUR SIKAR RAILWAY LINE</t>
  </si>
  <si>
    <t>Under Jurisdiction of Distt. Dn. Shahpura</t>
  </si>
  <si>
    <t>PWD - CE AND AS||ACE - AJMER||SE-DEEDWANA||EE-DEEDWANA</t>
  </si>
  <si>
    <t>16-Jun-2025 05:00 PM</t>
  </si>
  <si>
    <t>48,36,29,000</t>
  </si>
  <si>
    <t>Widening and Strengthening work of Didwana Marwar Baliya Khunkhuna Runwa Badabara upto Khatu Khurd Road</t>
  </si>
  <si>
    <t>DIDWANA</t>
  </si>
  <si>
    <t>PWD - CE AND AS||ACE - KOTA||SE-ELECT-KOTA||EE-ELECT-BPT</t>
  </si>
  <si>
    <t>27,82,000</t>
  </si>
  <si>
    <t>Compreshensive Annual Maintenance Contract for Fire Fighting and Fire Detection System at RUHS Hospital , Jaipur</t>
  </si>
  <si>
    <t>RUHS Pratap Nagar Jaipur /AMC</t>
  </si>
  <si>
    <t>5,75,000</t>
  </si>
  <si>
    <t>AMC of Equipment of Microbiology Lab at Drug Testing Lab Sethi Colony Jaipur</t>
  </si>
  <si>
    <t>Drug Lab Saithi colony Jaipur /AMC</t>
  </si>
  <si>
    <t>26,55,000</t>
  </si>
  <si>
    <t>Compreshensive Annual Maintenance Contract for Electric Substation at RUHS Hospital, Jaipur</t>
  </si>
  <si>
    <t>RUHS Pratap Nagar Jaipur/AMC Substation</t>
  </si>
  <si>
    <t>PWD - CE AND AS||ACE - JAIPUR I||SE-CITY-JPR||EE-CITY-I</t>
  </si>
  <si>
    <t>22-May-2025 06:00 PM</t>
  </si>
  <si>
    <t>12,96,000</t>
  </si>
  <si>
    <t>Additional and Alteration work in B.No. 383-A, Civil Line, Jaipur.(Joinery Work)</t>
  </si>
  <si>
    <t>Under Jurisdiction of City Dn - I, Jaipur</t>
  </si>
  <si>
    <t>9,05,000</t>
  </si>
  <si>
    <t>Additional and Alteration work in B.No. 383-A, Civil Line, Jaipur. (Sanitary work)</t>
  </si>
  <si>
    <t>22,22,000</t>
  </si>
  <si>
    <t>Additional and Alteration work in B.No. 383-A, Civil Line, Jaipur. (Civil work)</t>
  </si>
  <si>
    <t>PWD - CE AND AS||ACE - JAIPUR II||SE-ALWAR||EE-ALWAR-I</t>
  </si>
  <si>
    <t>4,26,68,000</t>
  </si>
  <si>
    <t>Widening and Strengthening Work Mahwa Palakhari Sawdi NH-248A</t>
  </si>
  <si>
    <t>Alwar</t>
  </si>
  <si>
    <t>34,13,49,000</t>
  </si>
  <si>
    <t>Widening and Strengthening Work Haldeena Nithari Jamalpur Khedala Rampura Kherli Pichnot Khareda Beejwar Mohabbatpur Kalyanpura Alahpur To NH-248A</t>
  </si>
  <si>
    <t>PWD - CE AND AS||ACE - JAIPUR II||SE-ALWAR||TA-SE-ALWAR</t>
  </si>
  <si>
    <t>17,83,81,000</t>
  </si>
  <si>
    <t>Widening and Strengthening of Road From Jaluki Chouraha to Sikari Via Govindgarh (SH-35)</t>
  </si>
  <si>
    <t>PWD - CE AND AS||ACE - JODHPUR||SE-JODHPUR</t>
  </si>
  <si>
    <t>2,24,000</t>
  </si>
  <si>
    <t>Tiles and Sanitary Work at Circuit House, Jodhpur</t>
  </si>
  <si>
    <t>Jodhpur</t>
  </si>
  <si>
    <t>11,79,45,000</t>
  </si>
  <si>
    <t>Widening and Renewal Work from Ramgarh - Govindgarh Road Village Chidwai to Baroda Meo Via Jaisinghpura Cholai ka Bas Road</t>
  </si>
  <si>
    <t>3,40,000</t>
  </si>
  <si>
    <t>Repair and Mtc. work of 4th type GAD Qtrs at Sardar Patel Colony, High Court Colony and Olympic Road, Jodhpur</t>
  </si>
  <si>
    <t>3,75,000</t>
  </si>
  <si>
    <t>Misc. Repair and Other Work at Collectorate Campus, Jodhpur</t>
  </si>
  <si>
    <t>PWD - CE AND AS||ACE - BHARATPUR||SE-KARAULI||EE-HINDAUN</t>
  </si>
  <si>
    <t>05-Jun-2025 06:00 PM</t>
  </si>
  <si>
    <t>59,58,68,000</t>
  </si>
  <si>
    <t>Construction of Soorwal to Kustala Sawai Madhopur Bye pass Part-II Km. 9/690 to 14/850 Including ROB</t>
  </si>
  <si>
    <t>Sawai Madhopur</t>
  </si>
  <si>
    <t>3,99,000</t>
  </si>
  <si>
    <t>Repair and Mtc. work of 3rd type GAD Qtrs at Sardar Patel Colony, High Court Colony and Olympic Road, Jodhpur</t>
  </si>
  <si>
    <t>6,40,000</t>
  </si>
  <si>
    <t>Supply of Sweeper for Cleaning of PWD Campus and Dak Bungalow, under PWD City Sub Dn. II, Jodhpur</t>
  </si>
  <si>
    <t>7,94,000</t>
  </si>
  <si>
    <t>Repair and Maintenance Work at Various Ist and IInd Type GAD Bungalows, Jodhpur</t>
  </si>
  <si>
    <t>14,96,000</t>
  </si>
  <si>
    <t>Supply of Fitter (Plumber) and Carpenter for Repair work under PWD City Division, Jodhpur</t>
  </si>
  <si>
    <t>5,00,000</t>
  </si>
  <si>
    <t>Repair and Maintenance Work at Various Honble RHC Bungalows, Jodhpur</t>
  </si>
  <si>
    <t>5,12,000</t>
  </si>
  <si>
    <t>Repair and Maintenance Work at Various Judicial Bungalows in Vikramaditya Nagar, Jodhpur</t>
  </si>
  <si>
    <t>5,88,000</t>
  </si>
  <si>
    <t>Repair and Mtc. work of 5th type and 6th type GAD Qtrs at Sardar Patel Colony, High Court Colony, Marushthaliya Colony and Olympic Road, Jodhpur</t>
  </si>
  <si>
    <t>PWD - CE AND AS||ACE - JAIPUR I||SE-CITY-JPR||EE-CITY-III</t>
  </si>
  <si>
    <t>13,55,000</t>
  </si>
  <si>
    <t>Making Accessible Building features under Accessible India Campaigning at Rajasthan High Court Building Jaipur (Joinery work) (Sanction work)</t>
  </si>
  <si>
    <t>JAIPUR</t>
  </si>
  <si>
    <t>1,49,94,000</t>
  </si>
  <si>
    <t>Making Accessible Building features under Accessible India Campaigning at Rajasthan High Court Building Jaipur (Civil work) (Sanction work)</t>
  </si>
  <si>
    <t>55,44,000</t>
  </si>
  <si>
    <t>Making Accessible Building features under Accessible India Campaigning at Rajasthan High Court Building Jaipur (Sanitary work) (Sanction work)</t>
  </si>
  <si>
    <t>8,52,000</t>
  </si>
  <si>
    <t>Sanitary works at various places in Vidhan Sabha Staff quarters under Sub Dn. Vidhan Sabha-I, Jaipur</t>
  </si>
  <si>
    <t>11,21,000</t>
  </si>
  <si>
    <t>Supply and Fixing of Modular Kitchen Components in B.No. 8 CM House, Jaipur</t>
  </si>
  <si>
    <t>2,20,72,000</t>
  </si>
  <si>
    <t>Urgent and Emergent Repair and Maintenance work in SMS Hospital Jaipur SMS - I (Civil Work)</t>
  </si>
  <si>
    <t>82,18,000</t>
  </si>
  <si>
    <t>Urgent and Emergent Repair and Maintenance work in SMS Hospital Jaipur SMS - 1 (Sanitary Work)</t>
  </si>
  <si>
    <t>26,87,000</t>
  </si>
  <si>
    <t>Urgent and Emergent Repair and Maintenance work in SMS Hospital Jaipur SMS - 2 (Painting Work)</t>
  </si>
  <si>
    <t>73,57,000</t>
  </si>
  <si>
    <t>Urgent and Emergent Repair and Maintenance work in SMS Hospital Jaipur SMS - 2 (Joinery Work)</t>
  </si>
  <si>
    <t>64,57,000</t>
  </si>
  <si>
    <t>Urgent and Emergent Repair and Maintenance work in SMS Hospital Jaipur SMS - 2 (Sanitary Work)</t>
  </si>
  <si>
    <t>PWD - CE AND AS||ACE - KOTA||SE-KOTA||EE-DIST-KOTA</t>
  </si>
  <si>
    <t>4,40,000</t>
  </si>
  <si>
    <t>Consultancy services for preparation, Submission and obtaining Forest Clearance for Widening and Strengthening of Road From Badi Gudhakhera Up to Chittorgarh District Border Km 0/000 to 8/500</t>
  </si>
  <si>
    <t>Nimbahera</t>
  </si>
  <si>
    <t>PWD - CE AND AS||ACE - KOTA||SE-KOTA||EE-CHABRA</t>
  </si>
  <si>
    <t>23-May-2025 06:00 PM</t>
  </si>
  <si>
    <t>46,46,000</t>
  </si>
  <si>
    <t>Construction of MPC Building at Bansthuni, Kishanganj in Distt Baran</t>
  </si>
  <si>
    <t>KOTA</t>
  </si>
  <si>
    <t>59,46,000</t>
  </si>
  <si>
    <t>Urgent and Emergent Repair and Maintenance work in SMS Hospital Jaipur SMS - 2 (Civil Work)</t>
  </si>
  <si>
    <t>24,51,000</t>
  </si>
  <si>
    <t>Urgent and Emergent Repair and Maintenance work in SMS Hospital Jaipur SMS - 1 (Painting Work)</t>
  </si>
  <si>
    <t>52,46,000</t>
  </si>
  <si>
    <t>Urgent and Emergent Repair and Maintenance work in SMS Hospital Jaipur SMS - 1 (Joinery Work)</t>
  </si>
  <si>
    <t>PWD - CE AND AS||ACE-ELECT-JODHPUR||SE-ELECT-JODHPUR||EE-ELECT- II JDR</t>
  </si>
  <si>
    <t>20-May-2025 06:00 PM</t>
  </si>
  <si>
    <t>14,81,000</t>
  </si>
  <si>
    <t>Annual Rate Contract for supply, providing and fixing various Electric items and various electric works in Residential Building In District Sirohi</t>
  </si>
  <si>
    <t>18,05,000</t>
  </si>
  <si>
    <t>Annual Rate Contract for supply, providing and fixing various Electric items and various electric works under Sub Division HC I Jodhpur</t>
  </si>
  <si>
    <t>15,20,000</t>
  </si>
  <si>
    <t>Annual Rate Contract for supply, providing and fixing various Electric items and various electric works in Non Residential Building In District Sirohi.</t>
  </si>
  <si>
    <t>12,44,000</t>
  </si>
  <si>
    <t>Annual Rate contract for hiring of labours for Various electric works in District pali.</t>
  </si>
  <si>
    <t>15,00,000</t>
  </si>
  <si>
    <t>Annual Rate Contract for supply, providing and fixing various Electric items and various electric works in Non Residential Building In District pali.</t>
  </si>
  <si>
    <t>14,69,000</t>
  </si>
  <si>
    <t>Annual Rate Contract for supply, providing and fixing various Electric items and various electric works in Residential Building In District pali.</t>
  </si>
  <si>
    <t>Annual Rate Contract for hiring of labours for various electric works under sub division Barmer</t>
  </si>
  <si>
    <t>Annual Rate contract for hiring of labours for Various electric works in District Sirohi.</t>
  </si>
  <si>
    <t>17,61,000</t>
  </si>
  <si>
    <t>Annual Rate Contract for supply, providindg and fixing various Electric items and various electric works under Sub Division HC II Jodhpur</t>
  </si>
  <si>
    <t>15,17,000</t>
  </si>
  <si>
    <t>Replacement of Underground Service cable to Overhead line at sardar patel university of police, Security and Criminal Justice Jodhpur</t>
  </si>
  <si>
    <t>PWD - CE AND AS||ACE - AJMER||SE-AJMER||EE-CITY-AJMER</t>
  </si>
  <si>
    <t>12,50,000</t>
  </si>
  <si>
    <t>Restoration of road cuttings made by different agencies on various roads under jurisdiction of City Sub Division IV Ajmer</t>
  </si>
  <si>
    <t>aJMER</t>
  </si>
  <si>
    <t>15,39,000</t>
  </si>
  <si>
    <t>Annual Rate Contract for supply, providing and fixing various Electric items and various electric works under Sub Division Barmer</t>
  </si>
  <si>
    <t>Restoration of road cuttings made by different agencies on various roads under jurisdiction of Ajmer</t>
  </si>
  <si>
    <t>AJMER</t>
  </si>
  <si>
    <t>25,00,000</t>
  </si>
  <si>
    <t>Maintenance work on Various Roads under Jurisdiction of City Sub Div V Ajmer (Annual rate contract)</t>
  </si>
  <si>
    <t>Maintenance work on Various Roads under Jurisdiction of City Sub Div IV Ajmer (Annual rate contract)</t>
  </si>
  <si>
    <t>Ajmer</t>
  </si>
  <si>
    <t>24,81,000</t>
  </si>
  <si>
    <t>Annual Rate contract for hiring of Audio Visual Arrangement on various VIP Visits and other Function During year 2025-26</t>
  </si>
  <si>
    <t>20,65,000</t>
  </si>
  <si>
    <t>Annual Rate contract for Hiring of Temporary lighting arrangement system on various VIP Visits and other Function During year 2025-26</t>
  </si>
  <si>
    <t>12,49,000</t>
  </si>
  <si>
    <t>Annual Rate Contract for hiring of labours for various electric works under sub division HC II Jodhpur</t>
  </si>
  <si>
    <t>12,72,000</t>
  </si>
  <si>
    <t>Annual Rate Contract for hiring of labours for various electric works under sub division HC I Jodhpur</t>
  </si>
  <si>
    <t>PWD - CE AND AS||ACE - BIKANER||SE-BIKANER||EE-DIST-III-KHAJUWALA</t>
  </si>
  <si>
    <t>29,50,000</t>
  </si>
  <si>
    <t>Additional Work Constt of Package No RJ-11-02/SRF/RR/ 2021-22</t>
  </si>
  <si>
    <t>Ratangarh</t>
  </si>
  <si>
    <t>PWD - CE AND AS||ACE - BIKANER||SE-BIKANER||EE-CITY-BIKANER</t>
  </si>
  <si>
    <t>09-Jun-2025 06:00 PM</t>
  </si>
  <si>
    <t>16,91,48,000</t>
  </si>
  <si>
    <t>Construction of Sankhala Fatak Underpass</t>
  </si>
  <si>
    <t>Bikaner</t>
  </si>
  <si>
    <t>PWD - CE AND AS||ACE - BIKANER||SE-BIKANER||EE-DIST-I-BIKANER</t>
  </si>
  <si>
    <t>27,30,000</t>
  </si>
  <si>
    <t>Construction of two class rooms in govt. senior secondary school Ambasar.</t>
  </si>
  <si>
    <t>Ambasar</t>
  </si>
  <si>
    <t>PWD - CE AND AS||ACE - BHARATPUR||SE-DHOLPUR||EE-RAJAKHERA</t>
  </si>
  <si>
    <t>17,25,000</t>
  </si>
  <si>
    <t>Permanent Repair of CD work on Kotpura Jassupura Road</t>
  </si>
  <si>
    <t>RAJAKHERA</t>
  </si>
  <si>
    <t>PWD - CE AND AS</t>
  </si>
  <si>
    <t>2,50,00,000</t>
  </si>
  <si>
    <t>Speical Repair of Road PWD Division Nagaur RJ-24-01/SR/2025-26 District Nagaur</t>
  </si>
  <si>
    <t>Nagaur</t>
  </si>
  <si>
    <t>PWD - CE AND AS||ACE - AJMER||SE-TONK||EE-TONK</t>
  </si>
  <si>
    <t>02-Jun-2025 06:00 PM</t>
  </si>
  <si>
    <t>12,95,00,000</t>
  </si>
  <si>
    <t>Construction of Various Road of Division Malpura Package No. RJ-32-01/VR/2025-26</t>
  </si>
  <si>
    <t>Tonk</t>
  </si>
  <si>
    <t>PWD - CE AND AS||ACE - AJMER||SE-TONK</t>
  </si>
  <si>
    <t>27-May-2025 02:00 PM</t>
  </si>
  <si>
    <t>44,00,000</t>
  </si>
  <si>
    <t>Detailed Project Report and EPC Documents etc. for Construction of High Level Bridge, Tonk Bamore Banetha Road (MDR-309) from Km 22/0 to 26/0 with approaches in District Tonk</t>
  </si>
  <si>
    <t>21-May-2025 06:00 PM</t>
  </si>
  <si>
    <t>1,48,000</t>
  </si>
  <si>
    <t>Repair and Maintenance Tehsil Office Gangapur city</t>
  </si>
  <si>
    <t>Gangapur city</t>
  </si>
  <si>
    <t>1,98,000</t>
  </si>
  <si>
    <t>Repair SDO Residence Gangapur city</t>
  </si>
  <si>
    <t>PWD - CE AND AS||ACE - UDAIPUR||SE-UDAIPUR||EE-CITY</t>
  </si>
  <si>
    <t>04-Jun-2025 06:00 PM</t>
  </si>
  <si>
    <t>11,86,00,000</t>
  </si>
  <si>
    <t>Construction of Bridge on Kadmali River at Sigri Hanumanji, Nimbahera Distt. Chittorgarh</t>
  </si>
  <si>
    <t>Chittorgarh</t>
  </si>
  <si>
    <t>7,64,00,000</t>
  </si>
  <si>
    <t>Construction of Various Missing Link Roads in Barisadari Constituency in Distt. Chittorgarh</t>
  </si>
  <si>
    <t>PWD - CE AND AS||ACE - JAIPUR I||SE-SIKAR||EE-FATEHPUR</t>
  </si>
  <si>
    <t>16,62,000</t>
  </si>
  <si>
    <t>Construction of Work Shop Room and Class Room for New Fiber to Home Technician Trade at ITI Sikar</t>
  </si>
  <si>
    <t>SIKAR</t>
  </si>
  <si>
    <t>21,21,000</t>
  </si>
  <si>
    <t>Construction of Road from Gudha Khurd Gudha Kalan Road to Towards Grid (Johadi) Gudha Kalan (Remaining Work)</t>
  </si>
  <si>
    <t>12,46,000</t>
  </si>
  <si>
    <t>Construction of Road from Rajpura Balayion Ke Mohalle to Gogaji Side and Shishram Somra Ki Dhani (Remaining Work)</t>
  </si>
  <si>
    <t>8,36,000</t>
  </si>
  <si>
    <t>Renovation of Conference Hall at First Floor of ACB Jhalana Doongri, Jaipur (Furniture work)</t>
  </si>
  <si>
    <t>PWD - CE AND AS||ACE - JAIPUR II||SE-RURAL-JPR||EE-BASSI</t>
  </si>
  <si>
    <t>18,25,000</t>
  </si>
  <si>
    <t>Construction of CC road (Internal road) in EMRS Biharipura</t>
  </si>
  <si>
    <t>Under Jurisdiction of Dn - Bassi</t>
  </si>
  <si>
    <t>26,02,000</t>
  </si>
  <si>
    <t>Construction of Class Room and Work Shop Room for Solar Technician Trade at ITI Sikar</t>
  </si>
  <si>
    <t>36,26,000</t>
  </si>
  <si>
    <t>Construction of Road from Devgaon Sambhariya road to Mundli</t>
  </si>
  <si>
    <t>15,99,000</t>
  </si>
  <si>
    <t>Renovation of Visitor room at Gate No. 2 in Raj Bhawan, Jaipur (Supply of Furniture)</t>
  </si>
  <si>
    <t>35,83,000</t>
  </si>
  <si>
    <t>Construction of Road Chomu Purohitan to Shahpura Thikriya, Hod to Barsinghpura, Athbigha to Sundardasji-Salwadi (Remaining Work)</t>
  </si>
  <si>
    <t>19-May-2025 06:00 PM</t>
  </si>
  <si>
    <t>15,55,000</t>
  </si>
  <si>
    <t>Construction in Ward No 60 BT work on Main road of A-Block in Kalu ki dhani of Non Patchable-Missing Link sanction during 2022-23</t>
  </si>
  <si>
    <t>18,14,000</t>
  </si>
  <si>
    <t>Construction of CC road in ward No 14 Khari Kui of Non Patchable-Missing Link sanction during 2022-23</t>
  </si>
  <si>
    <t>PWD - CE AND AS||ACE-UDAIPUR-I||SE-RAJSAMAND||EE-RAJSAMAND</t>
  </si>
  <si>
    <t>28-May-2025 06:00 PM</t>
  </si>
  <si>
    <t>14,00,073</t>
  </si>
  <si>
    <t>CONSTRUCTION OF BOYS AND GIRLS TOILET WORK IN VARIOUS GOVT. SCHOOL BUILDING UNDER DMFT PACKAGE NO. DMFT/RAJ/GC-16/2025-26/01</t>
  </si>
  <si>
    <t>KANKROLI, RAJSAMAND</t>
  </si>
  <si>
    <t>24,26,000</t>
  </si>
  <si>
    <t>BT Road from Dhannadi Railway Phatak to Ramdev Mandir via reto ka mohalla Balupura Pani ki Tanki</t>
  </si>
  <si>
    <t>CONSTRUCTION OF BOYS AND GIRLS TOILET WORK IN VARIOUS GOVT. SCHOOL BUILDING UNDER DMFT PACKAGE NO. DMFT/RAJ/GC-16/2025-26/02</t>
  </si>
  <si>
    <t>kankroli rajsamand</t>
  </si>
  <si>
    <t>PWD - CE AND AS||ACE - JODHPUR||SE-ELECT-JODHPUR||EE-II-JODHPUR</t>
  </si>
  <si>
    <t>19-May-2025 12:00 PM</t>
  </si>
  <si>
    <t>7,26,000</t>
  </si>
  <si>
    <t>Electrification work of Public Bunker at Jaisalmer</t>
  </si>
  <si>
    <t>20,96,000</t>
  </si>
  <si>
    <t>Work of sewer line from Anardeen shop to Badal Singh to Teliyo Khandera</t>
  </si>
  <si>
    <t>DESHNOKE</t>
  </si>
  <si>
    <t>12,68,000</t>
  </si>
  <si>
    <t>Work of sewer line from infront of samudayik Hospital to Tarsingh mohta to Anardeen shop</t>
  </si>
  <si>
    <t>Work of sewer line from Teliyo Khandera to end point of Bagolai.</t>
  </si>
  <si>
    <t>24,38,000</t>
  </si>
  <si>
    <t>Work of sewer line from manuj depawat statue to samudayik hospital</t>
  </si>
  <si>
    <t>30-May-2025 06:00 PM</t>
  </si>
  <si>
    <t>3,23,00,000</t>
  </si>
  <si>
    <t>Construction of Road From Raseedpura upto Akwa Distt-Sikar</t>
  </si>
  <si>
    <t>3,87,00,000</t>
  </si>
  <si>
    <t>Strengthening and Widening Work of Nechhawa Mukhya stand to Sub division office and Balaji stand road Distt-Sikar</t>
  </si>
  <si>
    <t>LAXMANGARH</t>
  </si>
  <si>
    <t>41,19,00,000</t>
  </si>
  <si>
    <t>NH-52 REENGUS TO SHRIMADHOPUR (SH-113 KM 80/00 TO 89/00 AND SH-37 KM 56/600 TO 59/600) DISTT-SIKAR</t>
  </si>
  <si>
    <t>30,17,00,000</t>
  </si>
  <si>
    <t>CONSTRUCTION OF ROAD FROM SAMOTA KI DHANI ( KOTADI LUHARWAS) TO ABHAWAS VIA BHAIRA , SUKHPURA, GOKUL KA BAS , SURPURA, JHUFA, JANKIPURA, GOLDI JOHADI , VIJAYPURA, SONTHALIYA, LAKHANI, TAPIPALIYA ROAD Distt-Sikar</t>
  </si>
  <si>
    <t>3,27,000</t>
  </si>
  <si>
    <t>REPAIR WORK IN QTR. NO DR-154 DHOLPUR</t>
  </si>
  <si>
    <t>DHOLPUR</t>
  </si>
  <si>
    <t>3,31,000</t>
  </si>
  <si>
    <t>REPAIR WORK IN COURT COMPALEX PREMISES,DHOLPUR</t>
  </si>
  <si>
    <t>5,32,000</t>
  </si>
  <si>
    <t>REPAIR AND MAINTENANCE WORK OF RESIDENTIAL BUILDING DHOLPUR F.Y 2025-26</t>
  </si>
  <si>
    <t>18,82,000</t>
  </si>
  <si>
    <t>BUILDING ROOM CONSTRUCITON WORK FOR OFFICER BUILDING NEAR CIRCUIT HOUSE, DHOLPUR</t>
  </si>
  <si>
    <t>15,41,00,000</t>
  </si>
  <si>
    <t>Construction of Road from Kasli to Binjasi Via Netarwas Bhuwala and Ladwa Distt-Sikar</t>
  </si>
  <si>
    <t>PWD - CE AND AS||ACE - BIKANER||SE-CHURU||EE-CHURU</t>
  </si>
  <si>
    <t>13,24,87,000</t>
  </si>
  <si>
    <t>Widening and Strengthening of road from Lunkaransar to Baderan Km 0/0 to 15/0</t>
  </si>
  <si>
    <t>BIKANER</t>
  </si>
  <si>
    <t>19,09,000</t>
  </si>
  <si>
    <t>Painting work in Aranya Bhawan, Jaipur</t>
  </si>
  <si>
    <t>1,08,000</t>
  </si>
  <si>
    <t>Repair and Maintenance work at J/1/1 and J/1/15 Judicial Bunglows in Vikrmaditya Colony, Jodhpur</t>
  </si>
  <si>
    <t>1,42,000</t>
  </si>
  <si>
    <t>Repair and Maintenance work at J/I/13 Judicial Bunglow in Vikrmaditya Colony, Jodhpur</t>
  </si>
  <si>
    <t>PWD - CE AND AS||ACE - JAIPUR I||SE-NEEMKATHANA||EE-KHETRI</t>
  </si>
  <si>
    <t>21,59,00,000</t>
  </si>
  <si>
    <t>As per NIT</t>
  </si>
  <si>
    <t>Jhunjhunu</t>
  </si>
  <si>
    <t>6,38,76,000</t>
  </si>
  <si>
    <t>Construction of RUB at Kote Gate Railway Fatak</t>
  </si>
  <si>
    <t>4,88,000</t>
  </si>
  <si>
    <t>Joinary Repair Work in Bunglow No. A-12 Under sub dn. Gandhi Nagar IV Jaipur. (Sanction work )</t>
  </si>
  <si>
    <t>jaipur</t>
  </si>
  <si>
    <t>12,04,000</t>
  </si>
  <si>
    <t>Construction of New Room in Qtr. No. I-54 Under Sub Dn Gandhi Nagar I Jaipur. (Sanction work )</t>
  </si>
  <si>
    <t>16,78,000</t>
  </si>
  <si>
    <t>Various civil and repair work in Indira Gandhi Panchyati Raj Sansthan, JLN Marg Jaipur (deposit work)</t>
  </si>
  <si>
    <t>Sanitary work in Qtrs. No. A-12 Under Sub Dn Gandhi Nagar IV Jaipur. (Sanction work )</t>
  </si>
  <si>
    <t>3,82,000</t>
  </si>
  <si>
    <t>Civil Repair Work in New Transit Hostal under Sub Dn Gandhi Nagar IV Jaipur (Sanction work )</t>
  </si>
  <si>
    <t>5,83,000</t>
  </si>
  <si>
    <t>Construction of New Hall and Supply of Chairs at Mokshdham Ganatpura Road Ward No 66 Jaipur. (deposit work)</t>
  </si>
  <si>
    <t>2,07,000</t>
  </si>
  <si>
    <t>Construction of Boundary wall at Residential Qtr. Campus of Banipark Thana Jaipur. (Sanction work )</t>
  </si>
  <si>
    <t>2,41,000</t>
  </si>
  <si>
    <t>Civil Repair Work in Qtr. No. 4/5 Under Sub Dn. Sec III Gandhi Nagar I Jaipur (Sanction work )</t>
  </si>
  <si>
    <t>4,56,000</t>
  </si>
  <si>
    <t>Painting work in Old Qtr. No. 1 to 6 at Police Station Sanganer Sadar Jaipur. (Sanction work )</t>
  </si>
  <si>
    <t>34,39,00,000</t>
  </si>
  <si>
    <t>Widening and Strengthening work of SH 13 Babai Kalota Madhogarh Padewa Dalelpura Sefraguwar Chinchroli Road</t>
  </si>
  <si>
    <t>PWD - CE AND AS||ACE - JODHPUR||SE-BARMER||EE-GUDAMALANI</t>
  </si>
  <si>
    <t>14,75,00,000</t>
  </si>
  <si>
    <t>Widening and strengthening work on Khara Phanta Sindhari,Mithoda Siwana Devandi Mokalsar up to NH-325 Km 0/0 to 18/00</t>
  </si>
  <si>
    <t>BARMER</t>
  </si>
  <si>
    <t>16,08,00,000</t>
  </si>
  <si>
    <t>Widening and Strengthening work of Mehara Gorir Dudhwa Shimla Rawan Pacheri Road</t>
  </si>
  <si>
    <t>PWD - CE AND AS||ACE-TONK||SE-SWM||EE- BONLI</t>
  </si>
  <si>
    <t>5,18,03,000</t>
  </si>
  <si>
    <t>STRENGTHENING OF ROAD FROM KOT TO BANAWAD, RAJPUR, LADANPUR AND BANAWAD GHATI</t>
  </si>
  <si>
    <t>Under Jurisdiction of Dn. Mahuwa</t>
  </si>
  <si>
    <t>1,29,50,000</t>
  </si>
  <si>
    <t>NANGAL KHANWAS ROAD TO TODARWAS VIA DEHLAS BABA KA STHAN ROAD</t>
  </si>
  <si>
    <t>Under Jurisdiction of Dn. Dausa</t>
  </si>
  <si>
    <t>13,31,00,000</t>
  </si>
  <si>
    <t>STRENGTHENING AND WIDENING OF ROAD FROM DISTRICT HOSPITAL DAUSA TO SHYALAWAS JAIL VIA RALAWATA</t>
  </si>
  <si>
    <t>1,72,68,000</t>
  </si>
  <si>
    <t>NH-21 KARODI MOD TO LOTWARA ROAD</t>
  </si>
  <si>
    <t>Under Jurisdiction of Dn. Lalsot</t>
  </si>
  <si>
    <t>12,56,00,000</t>
  </si>
  <si>
    <t>STRENGTHENING AND WIDENING OF ROAD FROM KALLAWAS TO SONAD</t>
  </si>
  <si>
    <t>11,47,00,000</t>
  </si>
  <si>
    <t>STRENGTHENING AND WIDENING OF ROAD FROM BHADOTI TO BASSI VIA LALSOT TOONGA KM 49/00 TO 55/00 AND 58/500 TO 69/100 (SH-24)</t>
  </si>
  <si>
    <t>3,02,18,000</t>
  </si>
  <si>
    <t>SH-22 TO KARIRI UPTO DISTT. BORDER</t>
  </si>
  <si>
    <t>6,76,00,000</t>
  </si>
  <si>
    <t>STRENGTHENING OF C.C. ROAD AT LALSOT URBAN GAURAV PATH (ODR-21)</t>
  </si>
  <si>
    <t>16,78,00,000</t>
  </si>
  <si>
    <t>STRENGTHENING AND WIDENING OF ROAD FROM SH-24 TO HEMLIYAWALA VIA BHAIPUR</t>
  </si>
  <si>
    <t>NH-921 TO DAUSA - KUNDAL - BANDIKUI - MANDAWAR - KATHUMAR ROAD</t>
  </si>
  <si>
    <t>1,44,00,000</t>
  </si>
  <si>
    <t>Supply , Fixing andCommissioning Universal Testing Machine(UTM)-1000KN capacity at Regional Laboratories in PWD Raj</t>
  </si>
  <si>
    <t>BKN, AJ, BHRT, BANSWARA, JDP, BARMER, TONK, ALWR</t>
  </si>
  <si>
    <t>PWD - CE AND AS||ACE - JODHPUR||SE-SIROHI||EE-ABU ROAD</t>
  </si>
  <si>
    <t>02-Jun-2025 05:00 PM</t>
  </si>
  <si>
    <t>3,45,00,000</t>
  </si>
  <si>
    <t>Construction of Road Bhawarani to Rojiyo ki Dhani upto Raithal.</t>
  </si>
  <si>
    <t>Jalore</t>
  </si>
  <si>
    <t>PWD - CE AND AS||ACE - KOTA||SE-BUNDI||EE-BUNDI</t>
  </si>
  <si>
    <t>1,73,00,000</t>
  </si>
  <si>
    <t>Causway culvert construction work on Mangli river, on the road connecting Mandi with Lalpura village</t>
  </si>
  <si>
    <t>BUNDI</t>
  </si>
  <si>
    <t>PWD - CE AND AS||ACE - BIKANER||SE-CHURU</t>
  </si>
  <si>
    <t>1,51,09,000</t>
  </si>
  <si>
    <t>Missing Link Road Construction from Mehrasar Upadhiyan upto Luksa Temple and college km 5.00</t>
  </si>
  <si>
    <t>Taranagar</t>
  </si>
  <si>
    <t>2,12,00,000</t>
  </si>
  <si>
    <t>Missing Link Road Construction from Buchawas to Gajuwas 7.00 Km.</t>
  </si>
  <si>
    <t>PWD - CE AND AS||ACE - JODHPUR||SE-JAISALMER||EE-POKRAN</t>
  </si>
  <si>
    <t>19-May-2025 03:00 PM</t>
  </si>
  <si>
    <t>4,83,000</t>
  </si>
  <si>
    <t>Construction of public library hall at Dali Bai Ashram Gomat</t>
  </si>
  <si>
    <t>Pokaran</t>
  </si>
  <si>
    <t>9,80,000</t>
  </si>
  <si>
    <t>Construction of public library basic facility and extension work near Meghwal Samaj Hostel Pokaran.</t>
  </si>
  <si>
    <t>1,21,00,000</t>
  </si>
  <si>
    <t>Construction of Missing Link Road Dhaana Patta Rajpura to NH 52, Km. 0/00 to 4/000</t>
  </si>
  <si>
    <t>Civil repair and maintenance works for flooring work in Chamber No. 16 and flooring and furniture polish work in Chamber and Court room 6 at RHCB, Jaipur (JOINERY WORK) (Sanction work )</t>
  </si>
  <si>
    <t>17,27,00,000</t>
  </si>
  <si>
    <t>Construction of BT Road Akoli to Rambotaki, Digaon to Narnawas, Sumergarh Kheda to Dewara,. Sapni to Bokra, Kawrada to Bhooti, Harjee to Valdiya Mahadev, Ukarda to Chandrai, Khoda Mamaji to Kuara upto Thanwala.</t>
  </si>
  <si>
    <t>11,35,000</t>
  </si>
  <si>
    <t>Construction of Internal C.C. Road in EMRS Newai</t>
  </si>
  <si>
    <t>Newai</t>
  </si>
  <si>
    <t>PWD - CE AND AS||ACE - AJMER||SE-BEAWAR</t>
  </si>
  <si>
    <t>22-May-2025 11:00 AM</t>
  </si>
  <si>
    <t>7,99,000</t>
  </si>
  <si>
    <t>Dak bunglow reparing works - Jaitaran</t>
  </si>
  <si>
    <t>BEAWAR</t>
  </si>
  <si>
    <t>85,89,000</t>
  </si>
  <si>
    <t>Construction of Various Work at Devnarayan Residential Boys School at Ras</t>
  </si>
  <si>
    <t>6,83,000</t>
  </si>
  <si>
    <t>Various development works in Pensioners society Sub branch - Jaitaran</t>
  </si>
  <si>
    <t>03-Jun-2025 06:00 PM</t>
  </si>
  <si>
    <t>3,90,24,000</t>
  </si>
  <si>
    <t>Comprehensive Maintenance for Civil and Electrical works for Residential Buildings Under Jurisdiction of PWD City Division-III Jaipur</t>
  </si>
  <si>
    <t>2,31,24,000</t>
  </si>
  <si>
    <t>Construction of tehsil office Maniya</t>
  </si>
  <si>
    <t>1,30,00,000</t>
  </si>
  <si>
    <t>Remaining Work of Rehabilitation of various raods in Division Rajsamand MDR-ODR and VR under SRF for Package No. RJ/5054/SRF/2021-22, Under Risk and Cost</t>
  </si>
  <si>
    <t>Nathdwara</t>
  </si>
  <si>
    <t>30-May-2025 03:00 PM</t>
  </si>
  <si>
    <t>6,90,70,000</t>
  </si>
  <si>
    <t>200 FEET ROAD GHILOT INDUSTRIAL AREA TO MOHANPUR (HARIYANA BORDER VIA KUTINA KM 0/00 TO 8/00 (KOTPUTLI-BEHROR)</t>
  </si>
  <si>
    <t>Alwar / Behror/ Kotputli</t>
  </si>
  <si>
    <t>38,50,000</t>
  </si>
  <si>
    <t>BOYS AND GIRLS TOILET WORK IN VARIOUS GOVT. SCHOOL BUILDINGS, IN PWD DN. NATHDWARA DISTT. RAJSAMAND</t>
  </si>
  <si>
    <t>10,45,00,000</t>
  </si>
  <si>
    <t>Construction of Bridge Near Aapeshwar Mahadev on Rohida River.</t>
  </si>
  <si>
    <t>Sirohi</t>
  </si>
  <si>
    <t>9,03,00,000</t>
  </si>
  <si>
    <t>Widening of Bhagatsingh Circle to Jakhnagar NH-62 Circle.</t>
  </si>
  <si>
    <t>Pali</t>
  </si>
  <si>
    <t>3,94,00,000</t>
  </si>
  <si>
    <t>Construction of Bridge on Bhuti-Rodla Road/plan/RR/2023-24</t>
  </si>
  <si>
    <t>PWD - CE AND AS||ACE - UDAIPUR||SE-BANSWARA</t>
  </si>
  <si>
    <t>64,48,000</t>
  </si>
  <si>
    <t>Strengthening of Biliya Kala to Kherabad Road Under DMFT Scheme (Risk and Cost)</t>
  </si>
  <si>
    <t>Mandalgarh</t>
  </si>
  <si>
    <t>56,75,000</t>
  </si>
  <si>
    <t>Construction of BT Road from Hoda to Hanuman Ji Temple Under DMFT km 0/0 to 2/500</t>
  </si>
  <si>
    <t>PWD - CE AND AS||ACE - BHARATPUR||SE-BHARATPUR||EE-BHARATPUR-I</t>
  </si>
  <si>
    <t>74,99,000</t>
  </si>
  <si>
    <t>Food Street at Poonchari Distrit Deeg (Rajasthan)</t>
  </si>
  <si>
    <t>Deeg</t>
  </si>
  <si>
    <t>PWD - CE AND AS||ACE - KOTA||SE-BUNDI||EE-NAINWA</t>
  </si>
  <si>
    <t>4,31,68,000</t>
  </si>
  <si>
    <t>Construction of road from Samidhi to Khatauli via Chavandpura</t>
  </si>
  <si>
    <t>7,01,00,000</t>
  </si>
  <si>
    <t>Strengthning and widening of road from Keru Salori road to Joliyali via Popawas Bambore Pooniya ki Pyau</t>
  </si>
  <si>
    <t>13,50,00,000</t>
  </si>
  <si>
    <t>Widening and Strengthening of Nande Val ki Haveli Lohawat to Bhakari Road</t>
  </si>
  <si>
    <t>Phalodi</t>
  </si>
  <si>
    <t>11,50,00,000</t>
  </si>
  <si>
    <t>Strengthening and Widening of Chamu Chaba Road 39/0 to 48/750 and 59/300 to 62/800</t>
  </si>
  <si>
    <t>1,25,02,000</t>
  </si>
  <si>
    <t>Construction of Sub Tehsil Office Kolari (Saipau)</t>
  </si>
  <si>
    <t>saipau</t>
  </si>
  <si>
    <t>PWD - CE AND AS||ACE - UDAIPUR||SE-CHITTORE||EE-CHITTORE</t>
  </si>
  <si>
    <t>16,19,512</t>
  </si>
  <si>
    <t>Renovation Work at Girls College Chittorgarh, Distt. - Chittorgarh</t>
  </si>
  <si>
    <t>75,00,000</t>
  </si>
  <si>
    <t>ANNUAL RATE CONTRACT FOR SUPPLY AND FIXING OF TENT, BARRICADING AND TEMPERORY HELIPAD WORK FOR GOVT. FUNCTION AND OTHER WORK UNDER DN. CHITTORGARH - AS PER REQUIREMENT</t>
  </si>
  <si>
    <t>1,51,64,422</t>
  </si>
  <si>
    <t>Construction of Class Rooms and Labs at ITI College Building at Chittorgarh, Distt. - Chittorgarh</t>
  </si>
  <si>
    <t>1,24,94,000</t>
  </si>
  <si>
    <t>Construction of Sub Tehsil office Marena</t>
  </si>
  <si>
    <t>PWD - CE AND AS||ACE - AJMER||SE-AJMER||EE-DIST-AJMER</t>
  </si>
  <si>
    <t>19-May-2025 11:00 AM</t>
  </si>
  <si>
    <t>15,57,000</t>
  </si>
  <si>
    <t>All in all comprehensive Maintenance of various type Air Conditioners, R.O. and Water Coolers installed at Honble CM and Ministers bunglows and Furniture Store, Gandhi Nagar, Jaipur.</t>
  </si>
  <si>
    <t>Gandhi Nagar, Jaipur.</t>
  </si>
  <si>
    <t>44,87,000</t>
  </si>
  <si>
    <t>SITC of Lifts in Construction of Centre for Excellence Building at PWD Campus ,Jaipur.</t>
  </si>
  <si>
    <t>PWD Campus ,Jaipur.</t>
  </si>
  <si>
    <t>28,00,000</t>
  </si>
  <si>
    <t>Repair work on Bagdi to Pyawadi, Diggi Road to Mohammad Nagar (Risk and Cost)</t>
  </si>
  <si>
    <t>12,85,000</t>
  </si>
  <si>
    <t>Repair work on Package No. RJ-32-05/5054/RIDF-25 / 2019-20 of RIDF-XXV in year 2019-20 in District Tonk (Risk and Cost)</t>
  </si>
  <si>
    <t>1,40,43,000</t>
  </si>
  <si>
    <t>Repair work on Dholi Kadeela Kalmanda Naner Janwali Gehlod Tonk Road (Risk and Cost)</t>
  </si>
  <si>
    <t>20,62,000</t>
  </si>
  <si>
    <t>Repair work on PMGSY Road Jhilai to Sirohi (Risk and Cost)</t>
  </si>
  <si>
    <t>26,46,000</t>
  </si>
  <si>
    <t>Repair work on PMGSY Road Gunsi to Raholi Road upto District Border (Risk and Cost)</t>
  </si>
  <si>
    <t>57,39,000</t>
  </si>
  <si>
    <t>Repair work on Nathari Peeplu Ranoli Kalmanda Ajmeri Jaisinghpura Road Diggi Kurthal Pachewar (Risk and Cost)</t>
  </si>
  <si>
    <t>69,00,000</t>
  </si>
  <si>
    <t>Construction work of contact road Madhopura</t>
  </si>
  <si>
    <t>BARAN</t>
  </si>
  <si>
    <t>PWD - CE AND AS||ACE - UDAIPUR||SE-UDAIPUR||EE-DIST-I</t>
  </si>
  <si>
    <t>3,45,35,000</t>
  </si>
  <si>
    <t>CONSTRUCTION OF B.T. ROAD JHADOL TO PHALASIYA MUKHAY MARG TO SHANI MAHARJ MANDIR APPROACH ROAD (6.0 Km.)</t>
  </si>
  <si>
    <t>UDAIPUR</t>
  </si>
  <si>
    <t>PWD - CE AND AS||ACE-TONK||SE-DAUSA</t>
  </si>
  <si>
    <t>Mega Highway to Chanakya Dah (Banas River) via Baba Ashram Dhoonda</t>
  </si>
  <si>
    <t>9,63,17,000</t>
  </si>
  <si>
    <t>Hammir Circle to Ganeshdham Circle KM 70/0 to 71/0</t>
  </si>
  <si>
    <t>4,33,00,000</t>
  </si>
  <si>
    <t>Strengthening work on SH-40 (Gadra road to Nachana via Barmer,Chava, Baytoo,Kanod,Falsoond,Pokaran Km 29/0 to 34/600 )(Chava to Baytoo Bhimji)</t>
  </si>
  <si>
    <t>PWD - CE AND AS||ACE - JODHPUR||SE-PALI||EE-SOJAT</t>
  </si>
  <si>
    <t>10,25,000</t>
  </si>
  <si>
    <t>Construction of Gravel Roads for Community Gravel Road ODR 50 Km 14 to Bijpur Via Anant Basani Km 0/0 to 5/0 WBLDIBM</t>
  </si>
  <si>
    <t>Sojat</t>
  </si>
  <si>
    <t>PWD - CE AND AS||ACE - JODHPUR||SE-BARMER||EE-BALOTRA</t>
  </si>
  <si>
    <t>2,08,00,000</t>
  </si>
  <si>
    <t>Construction of Missing CD Work on Bhanawas -Kotri -Math Kharantiya road Km Chainage 0/600 to 0/800</t>
  </si>
  <si>
    <t>Balotra</t>
  </si>
  <si>
    <t>17,03,00,000</t>
  </si>
  <si>
    <t>Widening and strengthening work on Tapra - Padru - Bawatra Upto Distt. Border Road ( km 26/0 to 46/300)</t>
  </si>
  <si>
    <t>PWD - CE AND AS||ACE - BHARATPUR||SE-BHARATPUR||EE-KUMHER</t>
  </si>
  <si>
    <t>14,41,00,000</t>
  </si>
  <si>
    <t>CONSTRUCTION OF DEVNARAYAN GIRLS RESIDENTIAL SCHOOL AT PASOPA (DEEG)</t>
  </si>
  <si>
    <t>Nagar</t>
  </si>
  <si>
    <t>18,66,00,000</t>
  </si>
  <si>
    <t>Widening and strengthening work on Pali -Jetpura -Gelawas -Barwa -Mazal -Karmawas Road ( km 49/0 to 68/0)</t>
  </si>
  <si>
    <t>30-May-2025 05:00 PM</t>
  </si>
  <si>
    <t>14,90,00,000</t>
  </si>
  <si>
    <t>CONSTRUCTION OF DEVNARAYAN BOYS RESIDENTIAL SCHOOL AT BALI</t>
  </si>
  <si>
    <t>MED BEELWARI ROAD TO KHEDA KI DHANI (MDR-321) VIA JHUMKA MANDIR BAD KI DHANI, KAPASAN MATA MANDIR</t>
  </si>
  <si>
    <t>Under Jurisdiction of Dn. - Kotputli</t>
  </si>
  <si>
    <t>34,24,00,000</t>
  </si>
  <si>
    <t>Construction of Construction of BT road Lasadiya to Pheela road, Sheshpur Mod to Dholagir Kheda Mahadev Distt Salumber</t>
  </si>
  <si>
    <t>Salumber</t>
  </si>
  <si>
    <t>13,54,00,000</t>
  </si>
  <si>
    <t>Strengthening and Widening of MDR 36 Bharodi to Palana Kalan via Chhoti Khedi Moti Khedi upto Bhansol NH road -Distt. Udaipur</t>
  </si>
  <si>
    <t>Udaipur</t>
  </si>
  <si>
    <t>58,83,00,000</t>
  </si>
  <si>
    <t>Re-construction and widening of Bhinder panund Fila, Bhamrasiya to Kurabad MDR - Distt. Udaipur</t>
  </si>
  <si>
    <t>2,80,00,000</t>
  </si>
  <si>
    <t>Construction of BT Road Chhayan to Baroo Km 6/0 to 13/0</t>
  </si>
  <si>
    <t>13,08,00,000</t>
  </si>
  <si>
    <t>NH-25 Jhulri to Khejarla two lane Road</t>
  </si>
  <si>
    <t>09-Jun-2025 05:00 PM</t>
  </si>
  <si>
    <t>55,84,00,000</t>
  </si>
  <si>
    <t>Widening and Strengthening of Soyala Osian Road Km 0/0 to 51/0 (MDR-384)</t>
  </si>
  <si>
    <t>9,39,000</t>
  </si>
  <si>
    <t>Construction of Hall Near Amreshwar Mahadev Mandir Harsholav Talab Parisar Bikaner (MP Lad)</t>
  </si>
  <si>
    <t>1,55,92,000</t>
  </si>
  <si>
    <t>Construction of RUB at 321/9-10 Lalgarh Bikaner (Risk and Cost)</t>
  </si>
  <si>
    <t>5,46,000</t>
  </si>
  <si>
    <t>Maintenance and Renovation works in Pathology Lab at SPMC College Bikaner</t>
  </si>
  <si>
    <t>14,15,000</t>
  </si>
  <si>
    <t>Maintenance and Renovation works of Toilets and other Minor Works in PBM Hospital Bikaner</t>
  </si>
  <si>
    <t>22,10,000</t>
  </si>
  <si>
    <t>Maintenance and Upkeeping/Renovation works of Auditorium in SPMC, Bikaner</t>
  </si>
  <si>
    <t>8,26,25,000</t>
  </si>
  <si>
    <t>Construction of Road Dahlod Datwas to Seepura, Kurthal to Lunera Ashram, Badi Dhani, Lunera to Goverdhanpura, Seepura to Kerlidham, Shriram to Kerli Dham, Churad to Jetpura in District Tonk</t>
  </si>
  <si>
    <t>19,85,76,000</t>
  </si>
  <si>
    <t>Widening and Strengthening work of Jhilai to Bahad upto District Border via Khidgi Bassi Kheda Road in District Tonk</t>
  </si>
  <si>
    <t>10,00,000</t>
  </si>
  <si>
    <t>Road Repair Work during Rainy Season under PWD Sub Dn Masuda</t>
  </si>
  <si>
    <t>Road Repair Work during Rainy Season under PWD Sub Dn Jaitaran</t>
  </si>
  <si>
    <t>33,60,81,000</t>
  </si>
  <si>
    <t>Widening and Strengthening Work from Halena to Baroda Meo MDR-357 Km18/0 to 21/800 and 25/800 to 28/700 and 44/300 to 64/700</t>
  </si>
  <si>
    <t>Road Repair Work during Rainy Season under PWD Sub Dn Badnor</t>
  </si>
  <si>
    <t>Shoulders Maintenance work in Road Repair Campaign under PWD Sub Dn Jaitaran</t>
  </si>
  <si>
    <t>Shoulders Maintenance work in Road Repair Campaign under PWD Sub Dn Bar</t>
  </si>
  <si>
    <t>Shoulders Maintenance work in Road Repair Campaign under PWD Sub Dn Beawar</t>
  </si>
  <si>
    <t>41,02,00,000</t>
  </si>
  <si>
    <t>Widening and Strengthening work of SH-37A Gurjar Thadi to Rindliya Rampura and Pandraheda via Baori Road in District Tonk</t>
  </si>
  <si>
    <t>18,84,42,000</t>
  </si>
  <si>
    <t>Widening and Strengthening Work from Titraka MDR 319 to Bhagoda MDR 200 Via Dhotayana Berla Jairoli Thons Km 0/0 to 14/0</t>
  </si>
  <si>
    <t>Alwar / Khairthal - Tijara</t>
  </si>
  <si>
    <t>18,79,42,000</t>
  </si>
  <si>
    <t>Widening and Strengthening Work from Bibirani Karwad Udaipur Dhaki Shanker Ka Tibara Barka Shyamo Ki Dhani Tijara</t>
  </si>
  <si>
    <t>11,02,39,000</t>
  </si>
  <si>
    <t>Widening and Strengthening Work from Alwar- Bhiwadi Megha Highwa SH 25 to Kishangarh Kotkasim SH-109 Via Bhindusi Ghanker Gothra Km 0/0 to 6/0</t>
  </si>
  <si>
    <t>4,58,00,000</t>
  </si>
  <si>
    <t>Widening and Strengthening of Pindwara to Udaipur Road Via Gadiya Ch. KM-4/000 to 8/000</t>
  </si>
  <si>
    <t>16,40,41,000</t>
  </si>
  <si>
    <t>Widening and Strengthening Work on Megha Highway (MDR-247) Garmora Road to MDR-219 Bhanwara Via Raghav Pura-Meena Koleta-Naneta Ghati Road</t>
  </si>
  <si>
    <t>2,15,84,000</t>
  </si>
  <si>
    <t>CONSTRUCTION OF MISSING LINK ROAD FROM MDR-219 TO RIVALI VIA DHOLA DANTA KI DHANI</t>
  </si>
  <si>
    <t>4,31,69,000</t>
  </si>
  <si>
    <t>CONSTRUCTION OF MISSING LINK ROAD FROM GURJAR BARODA MODE SHYOSINGHPURA TO SURGARH VIA NEHARI KA BALAJI (RIVER BRIDGE 400MTR.)</t>
  </si>
  <si>
    <t>CONSTRUCTION OF MISSING LINK ROAD FROM BICHHOCHH ROAD (MDR-247) TO BAIRDA VIA HALKARA KI JHOPRI</t>
  </si>
  <si>
    <t>12,37,00,000</t>
  </si>
  <si>
    <t>Walera GSS To Otwala Mamaji Oran -Through Hotel Neelkamal Upto Bhilwari Sayla Bypass</t>
  </si>
  <si>
    <t>3,96,00,000</t>
  </si>
  <si>
    <t>Construction of BT Road Kawtra To Daspan Road Km 0/0 To 10/0</t>
  </si>
  <si>
    <t>2,76,00,000</t>
  </si>
  <si>
    <t>Mamli to Pachlavada Ganeshpura Road</t>
  </si>
  <si>
    <t>15,50,00,000</t>
  </si>
  <si>
    <t>Strengthening and Widening of NH- 62 to Bagsin -Van -Kailashnagar Km 0/0 to 18/0.</t>
  </si>
  <si>
    <t>9,06,53,000</t>
  </si>
  <si>
    <t>RJ23-21/69-Imp.Work/2025-26</t>
  </si>
  <si>
    <t>18,05,00,000</t>
  </si>
  <si>
    <t>Strengthening and Widening of KRISHNGANJ-SIYAKARA-SANPUR Road km 0/0 to 16/0 Including CD works.</t>
  </si>
  <si>
    <t>Widening and Strengthening from Achpura-Kasindra road up to NH-14 (NH-27) and Construction of Bridge work at Ch. KM-3/00.</t>
  </si>
  <si>
    <t>5,31,00,000</t>
  </si>
  <si>
    <t>Strengthening and Widening of Sivera-Malnoo road Ch. KM-0/0 to 4/000 and Construction of Bridge on Ch. Km 3/00.</t>
  </si>
  <si>
    <t>62,00,00,000</t>
  </si>
  <si>
    <t>FOUR LANE CONSTRUCTION WORK OF BHARATPUR ACHHANERA ROAD PART A FROM MANSINGH CIRCLE TO APNA GHAR</t>
  </si>
  <si>
    <t>BHARATPUR</t>
  </si>
  <si>
    <t>PWD - CE AND AS||ACE-JODHPUR-I||SE - PHALODI||EE-PHALODI</t>
  </si>
  <si>
    <t>1,22,60,000</t>
  </si>
  <si>
    <t>Construction of BT Road in District Phalodi Under the Budget Announcement Year 2025-26 Package No. BA/PLD/2025-26/03</t>
  </si>
  <si>
    <t>PHALODI</t>
  </si>
  <si>
    <t>2,07,25,000</t>
  </si>
  <si>
    <t>Construction of BT Road in District Phalodi Under the Budget Announcement Year 2025-26 Package No. BA/PLD/2025-26/04</t>
  </si>
  <si>
    <t>PWD - CE AND AS||ACE - JODHPUR||SE-JALORE||EE-JALORE</t>
  </si>
  <si>
    <t>Construction of Road Thobau to Nimbau road</t>
  </si>
  <si>
    <t>JALORE</t>
  </si>
  <si>
    <t>3,73,00,000</t>
  </si>
  <si>
    <t>Const.of Bridge on Jeevand kallan to dhani Ramdevji mandar river</t>
  </si>
  <si>
    <t>1,38,00,000</t>
  </si>
  <si>
    <t>Construction Of Road Dahiva to Bhata ( Balotra border )</t>
  </si>
  <si>
    <t>Construction of Road Ruchiyaar to Pathedi Road Km 0/0 to 5/00</t>
  </si>
  <si>
    <t>21,58,00,000</t>
  </si>
  <si>
    <t>Strengthening and Widening of Swroopganj-Kalandri road KM-0/0 to 19/0.</t>
  </si>
  <si>
    <t>56,11,000</t>
  </si>
  <si>
    <t>Construction of renewal and upgradation of N.P. /Missing Link Road from Road from Dashora Chhabra to Municipal Hall Centre near Lalgarh Gajner road (Bhutton ka Choraha to Tirthambh)</t>
  </si>
  <si>
    <t>64,75,000</t>
  </si>
  <si>
    <t>Construction of renewal and upgradation of N.P. /Missing Link Road from NH-89 (Veternary Hospital ke Pass) to Industrial Area Road via Bandro Ka Baas Sharma Colony</t>
  </si>
  <si>
    <t>Construction Of New Road form Odwara to balwara</t>
  </si>
  <si>
    <t>5,81,00,000</t>
  </si>
  <si>
    <t>Strengthening and Widening of Sanwalta to Jeevand Kalla and Kharda to Jeevand Kallan.</t>
  </si>
  <si>
    <t>56,12,000</t>
  </si>
  <si>
    <t>Construction of renewal and upgradation of N.P. /Missing Link Road from Bikaner-Gajner Road (Old) (From Chokhunti Rly crossing to NH-15)</t>
  </si>
  <si>
    <t>8,19,00,000</t>
  </si>
  <si>
    <t>Widening and Strengthening of Punasar to Chadi Road km 0/0 to 8/0</t>
  </si>
  <si>
    <t>42,39,00,000</t>
  </si>
  <si>
    <t>Widening of Dasaniya -Utwaliya-Chandsama upto Lawan Border Road km (0/0 to 47/0)</t>
  </si>
  <si>
    <t>1,51,00,000</t>
  </si>
  <si>
    <t>Construction of BT Road in District Phalodi Under the Budget Announcement Year 2025-26 Package No. BA/PLD/2025-26/02</t>
  </si>
  <si>
    <t>PWD - CE AND AS||ACE - KOTA||SE-BARAN||EE-BARAN</t>
  </si>
  <si>
    <t>3,03,00,000</t>
  </si>
  <si>
    <t>Construction work of road from Manoharpur to Sahharod in district Baran</t>
  </si>
  <si>
    <t>30,74,00,000</t>
  </si>
  <si>
    <t>Widening and strengthening of MDR-266 in Baran to Dadwara via Kujede in district Baran</t>
  </si>
  <si>
    <t>10,36,00,000</t>
  </si>
  <si>
    <t>Reconstruction of Amli to Badora MDR-04 in district Baran</t>
  </si>
  <si>
    <t>11,92,00,000</t>
  </si>
  <si>
    <t>Construction work of CC Road in various villages of Kishanganj in district Baran</t>
  </si>
  <si>
    <t>15,32,00,000</t>
  </si>
  <si>
    <t>Construction work of Mundiyar to Rajpur Behatha road in district Baran</t>
  </si>
  <si>
    <t>9,10,00,000</t>
  </si>
  <si>
    <t>Widening of Dechu 85 Mile to Chandsama Road km (0/0 to 12/0)</t>
  </si>
  <si>
    <t>11,70,00,000</t>
  </si>
  <si>
    <t>Bhojasar to Padiyal Double Lane Road (km 0/0 to 12/0)</t>
  </si>
  <si>
    <t>5,07,00,000</t>
  </si>
  <si>
    <t>Construction of road from Boren to Kharda to Peepalda in district Baran</t>
  </si>
  <si>
    <t>26-May-2025 10:00 AM</t>
  </si>
  <si>
    <t>2,59,02,000</t>
  </si>
  <si>
    <t>Construction of BT Road From Devana to Badarada with Causeway</t>
  </si>
  <si>
    <t>Rajsamand</t>
  </si>
  <si>
    <t>5,85,00,000</t>
  </si>
  <si>
    <t>Construction of road from Rajpura to Semli Fhatak in district Baran</t>
  </si>
  <si>
    <t>38,29,00,000</t>
  </si>
  <si>
    <t>Widening of road from NH-27 Balachar to Niwari, Khatka, Ganeshpura, Semli Fhatak, Dhaturiya to Pahari, Rajpur in district Baran</t>
  </si>
  <si>
    <t>9,10,000</t>
  </si>
  <si>
    <t>Renovation work of Accounts and other rooms in building of Directorate of Technical Education, Jodhpur</t>
  </si>
  <si>
    <t>50,000</t>
  </si>
  <si>
    <t>Furniture work at DJ Court Jodhpur Distt., Jodhpur</t>
  </si>
  <si>
    <t>2,45,90,000</t>
  </si>
  <si>
    <t>Construction of BT Road in District Phalodi Under the Budget Announcement Year 2025-26 Package No. BA/PLD/2025-26/01</t>
  </si>
  <si>
    <t>95,000</t>
  </si>
  <si>
    <t>Wall panelling work in server room at DJ Court Jodhpur Distt., Jodhpur</t>
  </si>
  <si>
    <t>11,14,000</t>
  </si>
  <si>
    <t>Various repair and maintenance work in D.J. Court Campus Jodhpur Metro, Jodhpur under PWD City Sub Dn VI, Jodhpur</t>
  </si>
  <si>
    <t>4,05,000</t>
  </si>
  <si>
    <t>Sanitary, polish and other repair work at DJ Court Campus, Jodhpur Metro, Jodhpur</t>
  </si>
  <si>
    <t>14,68,00,000</t>
  </si>
  <si>
    <t>Strengthening and Widening of Rohicha phanta to Uttesar road km 0/0 to 12/00</t>
  </si>
  <si>
    <t>4,31,00,000</t>
  </si>
  <si>
    <t>Strengthening of Kota-Dharnawada road in district Baran</t>
  </si>
  <si>
    <t>21,53,50,000</t>
  </si>
  <si>
    <t>Widening and strengthening of Chhipabarod to Jhanjhani Umariya Via Pithpur road in district Baran</t>
  </si>
  <si>
    <t>4,29,75,000</t>
  </si>
  <si>
    <t>Divider repair work from Power House to Gugaur Tirahe in Chhabra in district Baran</t>
  </si>
  <si>
    <t>2,07,00,000</t>
  </si>
  <si>
    <t>Construction of road from Kohani to Ganeshpura</t>
  </si>
  <si>
    <t>2,00,60,000</t>
  </si>
  <si>
    <t>(1) Const.of BT road Jeevand Kalla to Bordi via panchayat, VidHalIya bhawan road km 0/0 to 2/0 (2) Const.of BT road Jeevand Kalla to Kharda BT road Jeevand dhani -(Pali) km 0/0 to 2/0</t>
  </si>
  <si>
    <t>2,16,00,000</t>
  </si>
  <si>
    <t>Construction of road from Kelwad to Heerawas</t>
  </si>
  <si>
    <t>PWD - CE AND AS||ACE - KOTA||SE-KOTA||EE-RAMGANJ MANDI</t>
  </si>
  <si>
    <t>3,29,61,000</t>
  </si>
  <si>
    <t>RJ-23-10/69-Imp.Work/2025-26</t>
  </si>
  <si>
    <t>1,56,00,000</t>
  </si>
  <si>
    <t>Rehabilitation of non patchable BT Road Bakhasar to Radwa km 0/0 to 9/0</t>
  </si>
  <si>
    <t>17,14,00,000</t>
  </si>
  <si>
    <t>Widenening and Strenengtheing of BT Road Dhorimana Krishi Mandi Fanta to Bharte Ki Beri Via Mithda Khari</t>
  </si>
  <si>
    <t>17-May-2025 06:45 PM</t>
  </si>
  <si>
    <t>17,12,00,000</t>
  </si>
  <si>
    <t>Widening and Strengthening of Road Jasai Radwa Ranigoan Isrol Dhanau km 17/0 to 37/0</t>
  </si>
  <si>
    <t>23,57,00,000</t>
  </si>
  <si>
    <t>Widening Strengthening and Construction of BT Road Bhadrai (Dabli) to PH1 Via Chack Guda to Jeevaniyon ki Dhani PH3 Near Canal to Dhorimana Road</t>
  </si>
  <si>
    <t>29-May-2025 06:00 PM</t>
  </si>
  <si>
    <t>3,68,49,000</t>
  </si>
  <si>
    <t>Majar Repair and Modernization of Existing EMRS Barnala (Raj)</t>
  </si>
  <si>
    <t>PWD - CE AND AS||ACE - JAIPUR I</t>
  </si>
  <si>
    <t>18-May-2025 06:00 PM</t>
  </si>
  <si>
    <t>20,14,244</t>
  </si>
  <si>
    <t>RAJASTHAN VIDHANSABHA KE GARDEN KA COMPLETE MAINTENANCE WORK</t>
  </si>
  <si>
    <t>12,99,068</t>
  </si>
  <si>
    <t>YEAR 2025-26 KE LIYE RAMNIWAS BAGH OFFICE CAMPUS KA COMPLETE GARDEN MAINTENANCE WORK</t>
  </si>
  <si>
    <t>13,07,440</t>
  </si>
  <si>
    <t>YEAR 2025-26 KE LIYE RAJASTHAN HIGH COURT KHAND PEETH JAIPUR ME COMPLETE GARDEN MAINTENANCE WORK</t>
  </si>
  <si>
    <t>Shoulders Maintenance work in Road Repair Campaign under PWD Sub Dn Masuda</t>
  </si>
  <si>
    <t>12,02,156</t>
  </si>
  <si>
    <t>YEAR 2025-26 KE LIYE BUNGLOW NO 8 CIVIL LINES KA COMPLETE GARDEN MAINTENANCE WORK</t>
  </si>
  <si>
    <t>Shoulders Maintenance work in Road Repair Campaign under PWD Sub Dn Badnor</t>
  </si>
  <si>
    <t>Road Repair Work during Rainy Season under PWD Sub Dn bar</t>
  </si>
  <si>
    <t>Road Repair Work during Rainy Season under PWD Sub Dn Beawar</t>
  </si>
  <si>
    <t>PWD - CE AND AS||ACE - KOTA||SE-KOTA||EE-SANGOD</t>
  </si>
  <si>
    <t>37,82,73,000</t>
  </si>
  <si>
    <t>Strengthening and widening of Kurad Dhoti Mandap Shyampura Sangod Road (MDR-178) in District Kota</t>
  </si>
  <si>
    <t>3,88,50,000</t>
  </si>
  <si>
    <t>Construction work on the Km 3/800 Aru river of contact road Katoon in District Kota</t>
  </si>
  <si>
    <t>4,40,26,000</t>
  </si>
  <si>
    <t>Construction of road up to Khedli Gardana Kacholiya Kakooniya in district Kota</t>
  </si>
  <si>
    <t>2,32,22,000</t>
  </si>
  <si>
    <t>Remaining Work of Renewal and Stregthening of Non Patchable Roads under Package No. RJ-23-13/NP/2024-25</t>
  </si>
  <si>
    <t>PWD - CE AND AS||ACE - KOTA||SE-KOTA||EE-ITAWA</t>
  </si>
  <si>
    <t>2,71,96,000</t>
  </si>
  <si>
    <t>Construction work of the road from Sanmanpura to Bhopalganj on the road to Talav Minor</t>
  </si>
  <si>
    <t>2,59,01,000</t>
  </si>
  <si>
    <t>Construction work of road from Nonera to Gaita</t>
  </si>
  <si>
    <t>1,03,60,000</t>
  </si>
  <si>
    <t>Construction work of culvert at Askali km 0/600</t>
  </si>
  <si>
    <t>6,04,36,000</t>
  </si>
  <si>
    <t>Strengthening and widening of Sumernagar to Dhibri Chambal via Godalakalan road in Kota district</t>
  </si>
  <si>
    <t>12,85,30,000</t>
  </si>
  <si>
    <t>Widening and strengthening work of Ramganjmandi-Julmi road in Kota district</t>
  </si>
  <si>
    <t>30,02,28,000</t>
  </si>
  <si>
    <t>Widening and strengthening work of MDR 253 km 15/0-33/500 road from Amjhar Khedli Chechat Madanpura Goynda to Madhya Pradesh border in district Kota</t>
  </si>
  <si>
    <t>14,67,20,000</t>
  </si>
  <si>
    <t>Road strengthening work from Pech ki Bawdi to Pagara via Mahadev Temple in Bundi district</t>
  </si>
  <si>
    <t>PWD - CE AND AS||ACE - KOTA||SE-JHALAWAR||EE-B MANDI</t>
  </si>
  <si>
    <t>7,61,00,000</t>
  </si>
  <si>
    <t>Widening and strengthening work of road from Gendoli to Jhaliji Ka Barana in district Bundi</t>
  </si>
  <si>
    <t>05-Jun-2025 05:00 PM</t>
  </si>
  <si>
    <t>34,53,48,000</t>
  </si>
  <si>
    <t>Construction of road harpura Khumariya-Hingonia-Lallai- Bhatolao Sarwar Jadana Khadra- Satolao Kheriya Khurd upto Nagola MDR road.</t>
  </si>
  <si>
    <t>KEKRI</t>
  </si>
  <si>
    <t>49,21,22,000</t>
  </si>
  <si>
    <t>Construction of road Sanghawal Gopalpura Bhinai Tantoti Dabrela MDR Road</t>
  </si>
  <si>
    <t>PWD - CE AND AS||ACE - UDAIPUR||SE-PRATAPGARH||EE-II-PRATAPGARH</t>
  </si>
  <si>
    <t>6,31,21,000</t>
  </si>
  <si>
    <t>Remaining work of Widening and Strengthening Arnod Jajli Road Upto MP Border Including Bridge (Risk and Cost)</t>
  </si>
  <si>
    <t>Arnod</t>
  </si>
  <si>
    <t>1,21,85,000</t>
  </si>
  <si>
    <t>CONSTRUCTION OF COMMERCIAL COURT ON THE Vth FLOOR OF NEW COURT COMPLEX AT DISTRICT COURT CAMPUS UDAIPUR (REMAINING WORK)</t>
  </si>
  <si>
    <t>8,63,40,000</t>
  </si>
  <si>
    <t>Construction of BT road from Raisar to Ramdevra Temple Nokha road via Dasnu-Somalsar-Ghattu-Madiya</t>
  </si>
  <si>
    <t>Nokha</t>
  </si>
  <si>
    <t>18,69,00,000</t>
  </si>
  <si>
    <t>Construction of road from Akola to Falasiya km 0/0 to 15/0 in Distt. Chittorgarh</t>
  </si>
  <si>
    <t>PWD - CE AND AS||ACE - AJMER||SE-BHILWARA||EE-I-BHILWARA</t>
  </si>
  <si>
    <t>85,01,000</t>
  </si>
  <si>
    <t>CONSTRUCTION OF BT ROAD KALU KHERA TO SAMELIYA VIA GADRI KHERA KM 0/0 TO 5/400 UNDER DMFT</t>
  </si>
  <si>
    <t>Bhilwara</t>
  </si>
  <si>
    <t>44,75,000</t>
  </si>
  <si>
    <t>CONSTRUCTION OF BERAN TO BHADU VIA RAMA BA KA KHERA ROAD UNDER DMFT</t>
  </si>
  <si>
    <t>34,23,000</t>
  </si>
  <si>
    <t>Construction of BT Road from Kemuniya To Badal Manda Ka Devra(Devnarayan Temple)Km 0/0 to 1/5000 Under DMFT</t>
  </si>
  <si>
    <t>52,37,000</t>
  </si>
  <si>
    <t>Construction of BT Road from Naya kheda to Miyafalas ka kheda 0/0 to 2/500 Under DMFT</t>
  </si>
  <si>
    <t>PWD - CE AND AS||ACE - UDAIPUR||SE-RAJSAMAND||EE-RAJSAMAND</t>
  </si>
  <si>
    <t>34,38,85,000</t>
  </si>
  <si>
    <t>SENUNDA BHOJA PAYRA CHOURAHA TO GOVERDHANPURA RAGHUNATHPURA RUPPURA GORANA NARELI RAMPURIYA CHADON KA BADIYA UPTO KIDIMAL HIGHWAY</t>
  </si>
  <si>
    <t>BHILWARA</t>
  </si>
  <si>
    <t>25,65,72,000</t>
  </si>
  <si>
    <t>WIDENING AND STRENGTHENING WORK ON SAHADA TO KANGNI, SALERA CHOURAHA, GIRDIYA, NEGDIYA KHERA (MDR-201)</t>
  </si>
  <si>
    <t>PWD - CE AND AS||ACE - UDAIPUR||SE-BANSWARA||EE-KUSHALGARH</t>
  </si>
  <si>
    <t>7,72,12,000</t>
  </si>
  <si>
    <t>Widening and Strengthening of Nalpada-Maska-Kasarwadi Road Kushalgarh (6 KM)</t>
  </si>
  <si>
    <t>BANSWARA</t>
  </si>
  <si>
    <t>7,57,04,000</t>
  </si>
  <si>
    <t>Widening of Bori to Biloda via Chandanpura Road Garhi (6 KM)</t>
  </si>
  <si>
    <t>34,03,00,000</t>
  </si>
  <si>
    <t>Construction of road from Pahoona (Chittorgarh) to Bharak Mataji (Bhilwara) in Dist. Chittorgarh</t>
  </si>
  <si>
    <t>6,73,00,000</t>
  </si>
  <si>
    <t>Strengthening and Widening Badarda Phutiya to Farara mahadev Via Sayda Bheel Basti along Canal Distt. Rajsamand</t>
  </si>
  <si>
    <t>9,04,00,000</t>
  </si>
  <si>
    <t>Construction of RUB between Parsneu-Bigga Railway Station at Rly Chainage 373/3-4</t>
  </si>
  <si>
    <t>5,89,68,000</t>
  </si>
  <si>
    <t>Construction of BT Road from 1000 RD of Indra Gandhi Main Canal to 50 RD of Charanwala Branch via Narayansar Km. 0/0 to 16/500</t>
  </si>
  <si>
    <t>Kolayat</t>
  </si>
  <si>
    <t>31,64,00,000</t>
  </si>
  <si>
    <t>5,10,00,000</t>
  </si>
  <si>
    <t>85,00,000</t>
  </si>
  <si>
    <t>Consultancy Services for Preparation of DPR including Land Acquisition and detailed design and drawing of Road and ROB (1 Nos) for Construction of BYe-Pass Road From NH-458 to NH-58 Bypass Road with ROB DPR (15 Km)</t>
  </si>
  <si>
    <t>Merta City</t>
  </si>
  <si>
    <t>PWD - CE AND AS||ACE - BHARATPUR||SE-KARAULI||EE-SAPOTRA</t>
  </si>
  <si>
    <t>Construction of Road from Bare Wale Hanumanji Via Nashir Parbat Ki Talheti Tonka Nande Bhumiya Devnarayan Temple Sona Bhumiya Fule Ki Jhopadi to Parita Road</t>
  </si>
  <si>
    <t>Karauli</t>
  </si>
  <si>
    <t>CONSTRUCTION OF 3 IMPORTANT ROADS IN KHANDAR (SAWAI MADHOPUR)</t>
  </si>
  <si>
    <t>4,32,000</t>
  </si>
  <si>
    <t>Construction of CC interlocking road in village Umratuna from Ramkaran Meena house from Nanda Meena house and</t>
  </si>
  <si>
    <t>69,07,000</t>
  </si>
  <si>
    <t>Construction work of road from village Mohipura to Swami Vivekananda Government Model School Talera</t>
  </si>
  <si>
    <t>5,18,00,000</t>
  </si>
  <si>
    <t>Construction of BT road from Charbhuja to Saventri km 0/0 to 10/00 Distt. Rajsamand</t>
  </si>
  <si>
    <t>26-May-2025 05:00 PM</t>
  </si>
  <si>
    <t>Construction of Govt College Building at Peesangan Distt Ajmer</t>
  </si>
  <si>
    <t>PWD - CE AND AS||ACE - KOTA||SE-JHALAWAR||EE-CHOMEHLA</t>
  </si>
  <si>
    <t>7,01,06,000</t>
  </si>
  <si>
    <t>Construction work of Nehrawad to Kanwari with Causeway in Jhalawar district</t>
  </si>
  <si>
    <t>JHALAWAR</t>
  </si>
  <si>
    <t>PWD - CE AND AS||ACE - BIKANER||SE-HANUMANGARH||EE-HANUMANGARH</t>
  </si>
  <si>
    <t>Consultancy Work for Preparing GAD, DPR and Land Acquisition for Construction of RUB at Chuna Phatak in Hanumangarh</t>
  </si>
  <si>
    <t>Hanumangarh</t>
  </si>
  <si>
    <t>4,66,20,000</t>
  </si>
  <si>
    <t>Construction of BT road from NH 62 Rasisar to Sowa 14.00 Km</t>
  </si>
  <si>
    <t>5,40,55,000</t>
  </si>
  <si>
    <t>A/R Danta via Kelamela Road (Km. 4.50)</t>
  </si>
  <si>
    <t>1,59,72,000</t>
  </si>
  <si>
    <t>Renewal of road from NH 62 (Charakada Fanta) to CHC Moolwas (Silwa)</t>
  </si>
  <si>
    <t>4,31,70,000</t>
  </si>
  <si>
    <t>Widening and Strenghtening of BT road from SH 20B Kuchore Athuni to Shri Kheraj Bhomiya Gaushala Via Kuchore Aguni Km 0/0 to 6/0</t>
  </si>
  <si>
    <t>16,81,000</t>
  </si>
  <si>
    <t>Const. of WBM road Jhintiya to Bhensra in km 2/0 to 4/0 (GP Badayali)</t>
  </si>
  <si>
    <t>PWD - CE AND AS||ACE - BIKANER||SE-ANOOPGARH||EE-ANOOPGARH</t>
  </si>
  <si>
    <t>8,15,000</t>
  </si>
  <si>
    <t>Remaining Work of Repair in Work Shop Central Jail Sri Ganganagar</t>
  </si>
  <si>
    <t>Sri Ganganagar</t>
  </si>
  <si>
    <t>13,52,13,000</t>
  </si>
  <si>
    <t>Widening and Strengthening of Road From Chandawal Nagar to Rampura Kall via Deoli Kalla.</t>
  </si>
  <si>
    <t>7,38,000</t>
  </si>
  <si>
    <t>Repair SDO Office Padampur District Sri Ganganagar.</t>
  </si>
  <si>
    <t>13,12,000</t>
  </si>
  <si>
    <t>Repair and Maintance of SDO Office Sri Ganganagar.</t>
  </si>
  <si>
    <t>18,77,000</t>
  </si>
  <si>
    <t>Construction of workshop and class room for fibre to home Technician at ITI Building at Sriganganagar</t>
  </si>
  <si>
    <t>15,61,80,000</t>
  </si>
  <si>
    <t>Widening and Strengthening of Banjakudi Balunda Kanawas, Kanrcha fata Bikarlai, Ramawas upto Birol</t>
  </si>
  <si>
    <t>10,77,000</t>
  </si>
  <si>
    <t>Const. of WBM road Satimata Sthan to GSS via Brekedi Nadi inkm 0/0 to 1/200 (GP Karwasron ki Dhani)</t>
  </si>
  <si>
    <t>14,34,000</t>
  </si>
  <si>
    <t>Const. of WBM road Sangwon ki Dhani to Dukiya Ki Dhani inkm 0/0 to 2/0 (GP Karwasron ki Dhani)</t>
  </si>
  <si>
    <t>Const. of WBM road Gotan gaon to Ramchander Dukiyon ki Tubewell upto Tiraha inkm 0/0 to 2/0(GP Karwasron ki Dhani)</t>
  </si>
  <si>
    <t>28,65,000</t>
  </si>
  <si>
    <t>Construction of workshop and class room for Solar Technician at ITI Building at Sriganganagar</t>
  </si>
  <si>
    <t>17,91,000</t>
  </si>
  <si>
    <t>Const. of WBM road Basni Neta to Chhapri marg inkm 0/0 to 2/500 (GP Dhawa)</t>
  </si>
  <si>
    <t>Const. of WBM road Nathon ki Dhani to Rajlani Border inkm 0/0 to 1/500 (GP Karwasron ki Dhani)</t>
  </si>
  <si>
    <t>Const. of WBM road Motus to Dattani Border inkm 0/0 to 2/0 (GP Dhawa)</t>
  </si>
  <si>
    <t>17,86,000</t>
  </si>
  <si>
    <t>Const. of WBM road Jarau Kallan to Bhensra Border inkm 0/0 to 2/0 (GP Jarau Kallan)</t>
  </si>
  <si>
    <t>13,41,000</t>
  </si>
  <si>
    <t>Const. of WBM road Jaswantabad to Hiyana Mata Mandir in km 0/0 to 1/500 (GP Jaswantabad</t>
  </si>
  <si>
    <t>8,95,000</t>
  </si>
  <si>
    <t>Const. of WBM road Rohisa to Dhaneriya Border via Champapur in km 0/0 to 1/0 (GP Rohisa)</t>
  </si>
  <si>
    <t>12,91,000</t>
  </si>
  <si>
    <t>Const. of WBM road Karwasron ki Dhani AanganBadi via Rajuram House upto Karwasra ki Tubewell inkm 0/0 to 1/800 (GP Karwasron ki Dhani)</t>
  </si>
  <si>
    <t>Const. of WBM road Jasnagar Bijlighar to Bhanwal Jasnagar BT road upto GUPS Patel Nagar in km 0/0 to 1/500 (GP Jasnagar)</t>
  </si>
  <si>
    <t>Const. of WBM road Dukiyon ki Dhani to Ramlal Khoker and Ramniwas ji ki Tubewell inkm 0/0 to 2/0 (GP Karwasron ki Dhani)</t>
  </si>
  <si>
    <t>Const. of WBM road Padu kallan Gaytri Chouraha se Gora ki Dhani Padu kallan inkm 0/0 to 2/0 (GP Padu Kallan)</t>
  </si>
  <si>
    <t>10,10,000</t>
  </si>
  <si>
    <t>Const. of WBM road Bhanwal to Ladwa in km 0/0 to 1/200 (GP Medas)</t>
  </si>
  <si>
    <t>18,63,000</t>
  </si>
  <si>
    <t>Const. of WBM road Sirsala to Motus inkm 0/0 to 2/600 (GP Dhawa)</t>
  </si>
  <si>
    <t>Construction of Road From Approach Road Raipur-Deepawas to NH- 162 via Kundal.</t>
  </si>
  <si>
    <t>Const. of WBM road Basni Neta to Gagura Border inkm 0/0 to 2/600 (GP Dhawa)</t>
  </si>
  <si>
    <t>5,17,93,000</t>
  </si>
  <si>
    <t>Construction of Road from Kalanada via Tukdhada - Dhaniwala Kuwa - Upto Mangliyawas</t>
  </si>
  <si>
    <t>14,13,81,000</t>
  </si>
  <si>
    <t>Construction of Road Dotina - Silariya - Dehri - Phardod - Merwas - Dugastau - Dhanni upto Tanwara</t>
  </si>
  <si>
    <t>Jayal</t>
  </si>
  <si>
    <t>18,56,55,000</t>
  </si>
  <si>
    <t>Widening and Strengthening on Kasnau (SH-92A) to Dehri - Tarnau - Merwas - upto Mataji Road</t>
  </si>
  <si>
    <t>1,78,00,000</t>
  </si>
  <si>
    <t>Construction of Road from Balaji Mandir Mundia to Mahla Village Badleta via Indra Colony Mundia in Distt. Karauli</t>
  </si>
  <si>
    <t>Todabhim</t>
  </si>
  <si>
    <t>43,00,00,000</t>
  </si>
  <si>
    <t>Widening and Strengthening work Bas Burja to Deeg (Panhori) Road via Govindgarh Padalwas Kakda Panhori</t>
  </si>
  <si>
    <t>5,15,00,000</t>
  </si>
  <si>
    <t>Construction of Road from SH-22 to Kariri-Bheroji via Pathwari- Jodhpura in Distt. Karauli</t>
  </si>
  <si>
    <t>17,50,00,000</t>
  </si>
  <si>
    <t>Widening and Strengthening work Khoh to U.P.Border (Barsana) via Seu-Dhamari-Nahara Chauth</t>
  </si>
  <si>
    <t>3,78,00,000</t>
  </si>
  <si>
    <t>Construction of CC Road from Naharsingh Baba to Haripura via Beech Ka Pura in Distt. Karauli</t>
  </si>
  <si>
    <t>1,58,73,000</t>
  </si>
  <si>
    <t>Construction of Building of Dak Banglow at Pisangan</t>
  </si>
  <si>
    <t>48,00,000</t>
  </si>
  <si>
    <t>Construction of CC Road in various street in Ajaypal Nagar Dholabhata in Ward No 51 Ajmer</t>
  </si>
  <si>
    <t>1,61,70,000</t>
  </si>
  <si>
    <t>Package No RJ-01-03/North/2023-24</t>
  </si>
  <si>
    <t>2,22,05,000</t>
  </si>
  <si>
    <t>Package No RJ-01-01/North/LSG/2023-24</t>
  </si>
  <si>
    <t>16,50,00,000</t>
  </si>
  <si>
    <t>Construction of four lane road form Hiradas Circle to Mathura-Bypass via Subhash Nagar Gaushala.</t>
  </si>
  <si>
    <t>12,50,00,000</t>
  </si>
  <si>
    <t>Widening Road from Raja Khaimkaran Square to New Riico Industrial Area</t>
  </si>
  <si>
    <t>21,00,00,000</t>
  </si>
  <si>
    <t>Construction of four lane road railway station to Mathura bypass left out portion (SH-01)Bharatpur Mathura Road.</t>
  </si>
  <si>
    <t>Widening of Road from Khemkaran Tiraha to Jaghina</t>
  </si>
  <si>
    <t>1,70,00,000</t>
  </si>
  <si>
    <t>Construction of Road from Devnarayan Temple to Bholu Ki Khoti via Mundia Harrup Ka Beda in Distt. Karauli</t>
  </si>
  <si>
    <t>7,20,00,000</t>
  </si>
  <si>
    <t>Strengthening work of Road From Brambhad fatak to bandh baaretha road km 0/0 to 5/500</t>
  </si>
  <si>
    <t>Bayana</t>
  </si>
  <si>
    <t>PWD - CE AND AS||ACE - BHARATPUR||SE-KARAULI||EE-TODABHIM</t>
  </si>
  <si>
    <t>1,81,00,000</t>
  </si>
  <si>
    <t>Construction of Shri Mahaveerji Railway Station to Kandroli Road Via Sanet Ka Pura</t>
  </si>
  <si>
    <t>HIndaun</t>
  </si>
  <si>
    <t>19,91,28,000</t>
  </si>
  <si>
    <t>CONSTRUCTION OF HIGH LEVEL BRIDGE ON NADAUTI-SHRI MAHAVEERJI-KHEDA ROAD AT GAMBHIR RIVER KARAULI</t>
  </si>
  <si>
    <t>Hindaun</t>
  </si>
  <si>
    <t>14,95,53,000</t>
  </si>
  <si>
    <t>WIDENING AND STRENGHTENING WORK ON JALAMPURA CHOURAHA TO RAWAT KHERA, CHABDIYA, BHUWANA TEJA KA BARDA, BHAWANIPURA NH-148-D (12 KM) (JAHAZPUR) BHILWARA</t>
  </si>
  <si>
    <t>PWD - CE AND AS||ACE - BHARATPUR||SE-DEEG||EE-KAMAN</t>
  </si>
  <si>
    <t>3,54,00,000</t>
  </si>
  <si>
    <t>Strengthenging and Upgradation work on Kaman to Bilond upto Kedarnath</t>
  </si>
  <si>
    <t>kaman</t>
  </si>
  <si>
    <t>Construction of Road from Goverdhan Drain Talphara To Korer Bypass via Didwari</t>
  </si>
  <si>
    <t>12,70,00,000</t>
  </si>
  <si>
    <t>Construction Of Road By Widening and Strengthening From Rupbas To Jatmasi</t>
  </si>
  <si>
    <t>Bharatpur</t>
  </si>
  <si>
    <t>10,99,00,000</t>
  </si>
  <si>
    <t>Construction of road Basai Vanshi Paharpur to Roopwas Road upto Roopwas and Mahalpur Chura to Vanshi Paharpur</t>
  </si>
  <si>
    <t>PWD - CE AND AS||ACE - BIKANER||SE-HANUMANGARH||EE-PILIBANGA</t>
  </si>
  <si>
    <t>80,00,000</t>
  </si>
  <si>
    <t>CONSULTANCY WORK FOR PREPARATION OF FEASIBILITY STUDY AND DETAILED PROJECT REPORT WITH LAND ACQUISITION FOR CONSTRUCTION OF BYPASS IN RAWATSAR (1 NO. FLYOVER AND 10 KM LA)</t>
  </si>
  <si>
    <t>Pilibanga</t>
  </si>
  <si>
    <t>PWD - CE AND AS||ACE - JAIPUR I||SE-JHUNJHUNU</t>
  </si>
  <si>
    <t>1,94,26,000</t>
  </si>
  <si>
    <t>Construction of various roads under Pakage RJ-20-01/ML/NWL/2025-26</t>
  </si>
  <si>
    <t>Nawalgarh Jhunjhunu</t>
  </si>
  <si>
    <t>17,01,38,000</t>
  </si>
  <si>
    <t>Strengthening and Widening Work on NH-552 to SH-122 (Kawad) Via Nayagaon Balaji, Dehkwa, Itawa Ka Balaji</t>
  </si>
  <si>
    <t>8,63,37,000</t>
  </si>
  <si>
    <t>Renewal of 7 Important Roads in Khandar (Sawai Madhopur)</t>
  </si>
  <si>
    <t>10,36,05,000</t>
  </si>
  <si>
    <t>Strengthning and Widening of Gangapur City-Tajpur-Dabra Road via Railway Station, Gangapur City Km 0/0 to 7/0</t>
  </si>
  <si>
    <t>1,16,54,000</t>
  </si>
  <si>
    <t>Construction of various roads under Pakage RJ-20-03/ML/PLN/2025-26</t>
  </si>
  <si>
    <t>Chirawa Jhunjhunu</t>
  </si>
  <si>
    <t>Construction of various roads under Pakage RJ-20-02/ML/BUH/2025-26</t>
  </si>
  <si>
    <t>1,89,94,000</t>
  </si>
  <si>
    <t>Construction of various roads under Pakage RJ-20-01/ML/SRG/2025-26</t>
  </si>
  <si>
    <t>1,67,50,000</t>
  </si>
  <si>
    <t>Construction of Banjdoli Bye Pass</t>
  </si>
  <si>
    <t>6,57,62,000</t>
  </si>
  <si>
    <t>Construction of Bridge at Bari Umreh road over Bamni river in Dholpur</t>
  </si>
  <si>
    <t>dholpur</t>
  </si>
  <si>
    <t>1,64,04,000</t>
  </si>
  <si>
    <t>Construction of various BT road under Pkg. No. RJ20-01/BT/ BGR/BA/2025-26</t>
  </si>
  <si>
    <t>30,00,000</t>
  </si>
  <si>
    <t>Annual Rate Contractor for Various Tentage work for B.No. 08 CM House under PWD Sub Dn. Civil Line-I, Jaipur</t>
  </si>
  <si>
    <t>21-May-2025 05:00 PM</t>
  </si>
  <si>
    <t>4,69,93,000</t>
  </si>
  <si>
    <t>Construction of Sankhwas Bypass</t>
  </si>
  <si>
    <t>5,49,48,000</t>
  </si>
  <si>
    <t>Construction of BT Road from saduwali headwork to Shivpur Headwork of Gangcanal in Sri Ganganagar</t>
  </si>
  <si>
    <t>14,31,47,000</t>
  </si>
  <si>
    <t>CONSTRUCTION OF DEV NARAYAN BOYS RESIDENTIAL SCHOOL AT KUCHAMAN CITY</t>
  </si>
  <si>
    <t>KUCHAMAN CITY</t>
  </si>
  <si>
    <t>3,45,34,000</t>
  </si>
  <si>
    <t>CONSTRUCTION OF BT ROAD FROM KADI SHANA TO MAL KHERA VIA MEENO KA JHOPRA</t>
  </si>
  <si>
    <t>Construction of BT Road from Badla to Sopura (Jaton Ka)</t>
  </si>
  <si>
    <t>6,99,33,000</t>
  </si>
  <si>
    <t>RENEWAL OF BT ROAD FROM RAGHUNATHPURA TO SHAMBHUGARH VIA ASIND WITH CAUSEWAY MDR-368</t>
  </si>
  <si>
    <t>3,88,63,000</t>
  </si>
  <si>
    <t>CONSTRUCTION OF VENTED CAUSEWAY AND ROAD FROM NATHDIYAS (RAIPUR) TO MOTRON KA KHERA (KOTHARI RIVER)</t>
  </si>
  <si>
    <t>32,40,70,000</t>
  </si>
  <si>
    <t>Widenning and strenthening of existing road from 3.75 to 10.00 mtr of Approach road from Tunkara -Balara- Rabriyawas to NH-158/SH-39 (Ras Merta Highway) KM 0/0 to 11/000</t>
  </si>
  <si>
    <t>28,23,66,000</t>
  </si>
  <si>
    <t>Widening and Strengthening Work from Kharnal to Dhundhiyadi Via - Paldi Vyasa - Mundiyad - Modi Kaliyas - Bhadora</t>
  </si>
  <si>
    <t>41,75,78,000</t>
  </si>
  <si>
    <t>Strengthening and Widening work of Kharnal - Barangaon - Basni - Singar - Goganada - Alay - Kaladi - Jakhaniya - Shri Balaji - Bukaramsota - Bayaji ka Rohida - Sewadi - Bordi ka Kuwa - Peepasar - Rohini Road</t>
  </si>
  <si>
    <t>21,23,33,000</t>
  </si>
  <si>
    <t>Widening work Silee Border Isharnawada - Panchla Sidha - Sainik Nagar - Achina - Madpura - Dujasar - upto SH-19 Road.</t>
  </si>
  <si>
    <t>29,75,68,000</t>
  </si>
  <si>
    <t>Strengthening on Deh (NH-58) to Genana (NH-458) Via Kheda - Chhapara - Rotu - Gorau - Sandas - Malgaon Road</t>
  </si>
  <si>
    <t>2,63,00,000</t>
  </si>
  <si>
    <t>CONSTRUCTION OF VARIOIUS ROAD PACAGE NO. RJ-18-04/BA 15.01/25-26 UNDER BUDGET GHOSHNA 2025-26</t>
  </si>
  <si>
    <t>1,33,96,000</t>
  </si>
  <si>
    <t>Construction of Road from Chui to Khinwtana Km 0/0 to 5/0</t>
  </si>
  <si>
    <t>Degana</t>
  </si>
  <si>
    <t>1,75,97,000</t>
  </si>
  <si>
    <t>Construction of CC road from Kharnal Bus Stand to Bungri Mata Temple</t>
  </si>
  <si>
    <t>2,64,40,000</t>
  </si>
  <si>
    <t>Construction of Missing link Road from Sankhwas to Senani km 0/0 to 11/500</t>
  </si>
  <si>
    <t>51,41,00,000</t>
  </si>
  <si>
    <t>Construction of Road From Salempur to Baloti-Dabra-Shekpura-Gothra-Virbasan Devi-Narauli-Kailadevi with High Level Bridge Karauli</t>
  </si>
  <si>
    <t>Sapotra</t>
  </si>
  <si>
    <t>2,81,00,000</t>
  </si>
  <si>
    <t>CONSTRUCTION OF VARIOIUS ROAD PACAGE NO. RJ-18-03/BA 15.01/25-26 UNDER BUDGET GHOSHNA 2025-26</t>
  </si>
  <si>
    <t>CONSTRUCTION OF VARIOIUS ROAD PACAGE NO. RJ-18-01/BA 15.01/25-26 UNDER BUDGET GHOSHNA 2025-26</t>
  </si>
  <si>
    <t>2,42,00,000</t>
  </si>
  <si>
    <t>CONSTRUCTION OF VARIOIUS ROAD PACAGE NO. RJ-18-02/BA 15.01/25-26 UNDER BUDGET GHOSHNA 2025-26</t>
  </si>
  <si>
    <t>3,37,00,000</t>
  </si>
  <si>
    <t>CONSTRUCTION OF VARIOIUS ROAD PACAGE NO. RJ-18-05/BA 15.01/25-26 UNDER BUDGET GHOSHNA 2025-26</t>
  </si>
  <si>
    <t>4,10,89,000</t>
  </si>
  <si>
    <t>Construction of Alwar Jaipur Road to Silished Garwa Ji Road (Risk and Cost)</t>
  </si>
  <si>
    <t>15,39,06,000</t>
  </si>
  <si>
    <t>Widening of road Chandgothi to Rampura Via Bhainsali Km 0/0 to 19/0</t>
  </si>
  <si>
    <t>RAJGARH</t>
  </si>
  <si>
    <t>11,97,03,000</t>
  </si>
  <si>
    <t>Widening of road Hameerwas to Rampura Via Bewad Km 0/0 to 15/0</t>
  </si>
  <si>
    <t>17,95,55,000</t>
  </si>
  <si>
    <t>Widening of road Harpalu to Rampura Via Bhojan Km 0/0 to 23/0</t>
  </si>
  <si>
    <t>1,25,72,000</t>
  </si>
  <si>
    <t>Repair and Maintenance of BOT Road Kota-Itawa-Khatoli Jharel ke Balaji (SH-70)</t>
  </si>
  <si>
    <t>9,47,99,000</t>
  </si>
  <si>
    <t>Widening and Strengthening work of Bhadoti Khirni Bonli Lakhanpur Mitrapura Borda Datwas NH-11A Extension Km 48/200 to 49/500 (MDR-233) in District Tonk</t>
  </si>
  <si>
    <t>Strengthening and Renewal work of road from Isarda to Madhorajpura Via Solpur</t>
  </si>
  <si>
    <t>15,54,06,000</t>
  </si>
  <si>
    <t>Strengthening and Renewal Of Khandar To Sanwata Via Naipur Talawada ODR 18 Road</t>
  </si>
  <si>
    <t>8,14,59,000</t>
  </si>
  <si>
    <t>Strengthening of Sumerganjmandi Daulatpura Kamleshwar Mahadev Chitara Lahsoda Bodal upto NH 552 on MDR 131 KM 34/0 to 42/0</t>
  </si>
  <si>
    <t>12,51,19,000</t>
  </si>
  <si>
    <t>Strengthening and Renewal Of Pancholas to Phalodi road with RCC culvert on Kalyanpura Nallah</t>
  </si>
  <si>
    <t>Construction of High Level Bridge work at Nathari Peeplu Ranoli Kathmana Road (SH-121) Bhopta Nala Nathari to Peeplu Road)</t>
  </si>
  <si>
    <t>Widening and Strengthening work of Road from SH-117 to Jebadiya with Vented Causeway</t>
  </si>
  <si>
    <t>PWD - CE AND AS||ACE-JODHPUR-I||SE-SANCHORE||EE-SANCHORE</t>
  </si>
  <si>
    <t>13,86,000</t>
  </si>
  <si>
    <t>Construction of BT Road on WBM Road Malasar to Punaniyo godara ki Dhani in MLA-LAD Sceme</t>
  </si>
  <si>
    <t>EE PWD SANCHORE</t>
  </si>
  <si>
    <t>13,60,000</t>
  </si>
  <si>
    <t>Construction of BT Road on WBM Medajagir ganv to Data Sarhad in MLA-LAD Sceme</t>
  </si>
  <si>
    <t>EE PWD DIVISION SANCHORE</t>
  </si>
  <si>
    <t>14,85,000</t>
  </si>
  <si>
    <t>Construction of BT Road Bhimguda Kalki ki Beri to Netaram ki Dhani to Punaniyo Godara ki Dhani in MLA-LAD Sceme</t>
  </si>
  <si>
    <t>EE PWD DN. SANCHORE</t>
  </si>
  <si>
    <t>17,00,000</t>
  </si>
  <si>
    <t>Construction of BT Road on Meda jagir Ganv to Badsam Sarhad in MLA-LAD Sceme</t>
  </si>
  <si>
    <t>14,53,000</t>
  </si>
  <si>
    <t>Construction of BT Road on WBM Vediya to Mehacharam rebari ki dhani amp Bhuram Thoriki Dhani in MLALAD Sceme</t>
  </si>
  <si>
    <t>2,61,34,000</t>
  </si>
  <si>
    <t>Reconstruction Work of Boys Ashram Hostal (TAD) at Danpur, Panchayat Samiti Chhoti Sarwan, Distt. Banswara (70 Beded)</t>
  </si>
  <si>
    <t>2,94,16,000</t>
  </si>
  <si>
    <t>Major Repair and Modernization of Existing EMRS Newai (Raj.)</t>
  </si>
  <si>
    <t>2,91,75,000</t>
  </si>
  <si>
    <t>Construction of Non Patchable Missing link on various roads in Ajmer District Package No RJ-01-02 LGS-2022-23 North 2025-26 Revised</t>
  </si>
  <si>
    <t>1,90,65,000</t>
  </si>
  <si>
    <t>Construction of Non Patchable-Missing link on various roads in Ajmer District Package No RJ-01-01 LGS-2021-22 North 2025-26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</si>
</sst>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0"/>
  <sheetViews>
    <sheetView tabSelected="1" workbookViewId="0">
      <selection activeCell="B8" sqref="B8"/>
    </sheetView>
  </sheetViews>
  <sheetFormatPr baseColWidth="10" defaultColWidth="8.83203125" defaultRowHeight="15" x14ac:dyDescent="0.2"/>
  <cols>
    <col min="2" max="2" width="43.6640625" customWidth="1"/>
    <col min="3" max="3" width="43.33203125" customWidth="1"/>
    <col min="4" max="4" width="30.6640625" customWidth="1"/>
    <col min="5" max="5" width="24.1640625" customWidth="1"/>
    <col min="6" max="6" width="29" customWidth="1"/>
    <col min="7" max="7" width="25.33203125" customWidth="1"/>
  </cols>
  <sheetData>
    <row r="1" spans="1:7" x14ac:dyDescent="0.2">
      <c r="A1" s="1" t="s">
        <v>0</v>
      </c>
      <c r="B1" s="1" t="s">
        <v>1</v>
      </c>
      <c r="C1" s="1" t="s">
        <v>2</v>
      </c>
      <c r="D1" s="1" t="s">
        <v>3</v>
      </c>
      <c r="E1" s="1" t="s">
        <v>4</v>
      </c>
      <c r="F1" s="1" t="s">
        <v>5</v>
      </c>
      <c r="G1" s="1" t="s">
        <v>6</v>
      </c>
    </row>
    <row r="2" spans="1:7" x14ac:dyDescent="0.2">
      <c r="A2" s="1">
        <v>0</v>
      </c>
      <c r="B2" t="str">
        <f>HYPERLINK("https://eproc.rajasthan.gov.in/nicgep/app?component=%24DirectLink&amp;page=FrontEndViewTender&amp;service=direct&amp;session=T&amp;sp=SBMb4iI%2FQe2G4juQu1jDTig%3D%3D", "WIDENING AND RENEWAL OF BANSUR TO FATEHPUR ROAD KM 0/00 TO 5/000")</f>
        <v>WIDENING AND RENEWAL OF BANSUR TO FATEHPUR ROAD KM 0/00 TO 5/000</v>
      </c>
      <c r="C2" t="s">
        <v>7</v>
      </c>
      <c r="D2" t="s">
        <v>8</v>
      </c>
      <c r="E2" t="s">
        <v>9</v>
      </c>
      <c r="F2" t="s">
        <v>10</v>
      </c>
      <c r="G2" t="s">
        <v>11</v>
      </c>
    </row>
    <row r="3" spans="1:7" x14ac:dyDescent="0.2">
      <c r="A3" s="1">
        <v>1</v>
      </c>
      <c r="B3" t="str">
        <f>HYPERLINK("https://eproc.rajasthan.gov.in/nicgep/app?component=%24DirectLink&amp;page=FrontEndViewTender&amp;service=direct&amp;session=T&amp;sp=SQxWWeN2Quyk4PTaY6kNN3g%3D%3D", "WINDENING AND STRENGTHENING OF FROM SH-52 KM 58/800 TO SH 19/500 VIA KOTHIYA, GADHI, AJABPURA, KHARION KI DHANI, BASAI JOGIYAN, THANAGAJI, JODHPURA, TONDI LUHAR, KISORI, BHIKAPUR, AJABGARH KM 0/00 TO 13/000 (MDR-255)")</f>
        <v>WINDENING AND STRENGTHENING OF FROM SH-52 KM 58/800 TO SH 19/500 VIA KOTHIYA, GADHI, AJABPURA, KHARION KI DHANI, BASAI JOGIYAN, THANAGAJI, JODHPURA, TONDI LUHAR, KISORI, BHIKAPUR, AJABGARH KM 0/00 TO 13/000 (MDR-255)</v>
      </c>
      <c r="C3" t="s">
        <v>7</v>
      </c>
      <c r="D3" t="s">
        <v>8</v>
      </c>
      <c r="E3" t="s">
        <v>12</v>
      </c>
      <c r="F3" t="s">
        <v>13</v>
      </c>
      <c r="G3" t="s">
        <v>11</v>
      </c>
    </row>
    <row r="4" spans="1:7" x14ac:dyDescent="0.2">
      <c r="A4" s="1">
        <v>2</v>
      </c>
      <c r="B4" t="str">
        <f>HYPERLINK("https://eproc.rajasthan.gov.in/nicgep/app?component=%24DirectLink&amp;page=FrontEndViewTender&amp;service=direct&amp;session=T&amp;sp=S9Bgd8u%2FCEHKEHdfjcMZpOQ%3D%3D", "WIDENING AND STRENGTHENING OF SH-52 TO NEEMUCHANA-KUNDLI-KARANA- CHIANPURA KM 0/00 TO 13/500")</f>
        <v>WIDENING AND STRENGTHENING OF SH-52 TO NEEMUCHANA-KUNDLI-KARANA- CHIANPURA KM 0/00 TO 13/500</v>
      </c>
      <c r="C4" t="s">
        <v>7</v>
      </c>
      <c r="D4" t="s">
        <v>8</v>
      </c>
      <c r="E4" t="s">
        <v>14</v>
      </c>
      <c r="F4" t="s">
        <v>15</v>
      </c>
      <c r="G4" t="s">
        <v>11</v>
      </c>
    </row>
    <row r="5" spans="1:7" x14ac:dyDescent="0.2">
      <c r="A5" s="1">
        <v>3</v>
      </c>
      <c r="B5" t="str">
        <f>HYPERLINK("https://eproc.rajasthan.gov.in/nicgep/app?component=%24DirectLink&amp;page=FrontEndViewTender&amp;service=direct&amp;session=T&amp;sp=SzegAbHlXYUW%2Bao%2BS1tu%2Bmw%3D%3D", "WIDENING AND STRENGTHENING OF AJABPURA CHANDPURI ROAD KM 0/00 TO 8/500")</f>
        <v>WIDENING AND STRENGTHENING OF AJABPURA CHANDPURI ROAD KM 0/00 TO 8/500</v>
      </c>
      <c r="C5" t="s">
        <v>7</v>
      </c>
      <c r="D5" t="s">
        <v>8</v>
      </c>
      <c r="E5" t="s">
        <v>16</v>
      </c>
      <c r="F5" t="s">
        <v>17</v>
      </c>
      <c r="G5" t="s">
        <v>11</v>
      </c>
    </row>
    <row r="6" spans="1:7" x14ac:dyDescent="0.2">
      <c r="A6" s="1">
        <v>4</v>
      </c>
      <c r="B6" t="str">
        <f>HYPERLINK("https://eproc.rajasthan.gov.in/nicgep/app?component=%24DirectLink&amp;page=FrontEndViewTender&amp;service=direct&amp;session=T&amp;sp=SLXnqiQgw7w8JZoAFxCUHGw%3D%3D", "WIDENING AND STRENGTHENING HARSORA CHIPARI BHURIYAWAS KISHORPURA TO BAMANWAS KM 0/00 TO 11/000")</f>
        <v>WIDENING AND STRENGTHENING HARSORA CHIPARI BHURIYAWAS KISHORPURA TO BAMANWAS KM 0/00 TO 11/000</v>
      </c>
      <c r="C6" t="s">
        <v>7</v>
      </c>
      <c r="D6" t="s">
        <v>8</v>
      </c>
      <c r="E6" t="s">
        <v>18</v>
      </c>
      <c r="F6" t="s">
        <v>19</v>
      </c>
      <c r="G6" t="s">
        <v>11</v>
      </c>
    </row>
    <row r="7" spans="1:7" x14ac:dyDescent="0.2">
      <c r="A7" s="1">
        <v>5</v>
      </c>
      <c r="B7" t="str">
        <f>HYPERLINK("https://eproc.rajasthan.gov.in/nicgep/app?component=%24DirectLink&amp;page=FrontEndViewTender&amp;service=direct&amp;session=T&amp;sp=SMoM0nesho4PEtnPrm%2FGvfw%3D%3D", "Repair and Maintenance work at BN 6 Hospital Road Jaipur (Sh Ambrish Kumar IAS), Heera Bagh (Civil Work)")</f>
        <v>Repair and Maintenance work at BN 6 Hospital Road Jaipur (Sh Ambrish Kumar IAS), Heera Bagh (Civil Work)</v>
      </c>
      <c r="C7" t="s">
        <v>20</v>
      </c>
      <c r="D7" t="s">
        <v>21</v>
      </c>
      <c r="E7" t="s">
        <v>22</v>
      </c>
      <c r="F7" t="s">
        <v>23</v>
      </c>
      <c r="G7" t="s">
        <v>24</v>
      </c>
    </row>
    <row r="8" spans="1:7" x14ac:dyDescent="0.2">
      <c r="A8" s="1">
        <v>6</v>
      </c>
      <c r="B8" t="str">
        <f>HYPERLINK("https://eproc.rajasthan.gov.in/nicgep/app?component=%24DirectLink&amp;page=FrontEndViewTender&amp;service=direct&amp;session=T&amp;sp=Sd3IGyf5VR%2FItd2na251svQ%3D%3D", "CONSTRUCTION OF TOILET IN VARIOUS SCHOOL OF BLOCK AMET UNDER PWD DN AMET (PACKAGE NO 01/DMFT/GC16/2025-26)")</f>
        <v>CONSTRUCTION OF TOILET IN VARIOUS SCHOOL OF BLOCK AMET UNDER PWD DN AMET (PACKAGE NO 01/DMFT/GC16/2025-26)</v>
      </c>
      <c r="C8" t="s">
        <v>25</v>
      </c>
      <c r="D8" t="s">
        <v>26</v>
      </c>
      <c r="E8" t="s">
        <v>27</v>
      </c>
      <c r="F8" t="s">
        <v>28</v>
      </c>
      <c r="G8" t="s">
        <v>29</v>
      </c>
    </row>
    <row r="9" spans="1:7" x14ac:dyDescent="0.2">
      <c r="A9" s="1">
        <v>7</v>
      </c>
      <c r="B9" t="str">
        <f>HYPERLINK("https://eproc.rajasthan.gov.in/nicgep/app?component=%24DirectLink&amp;page=FrontEndViewTender&amp;service=direct&amp;session=T&amp;sp=Sb9EVSdJuymtaAJG5iYmclg%3D%3D", "CONSTRUCTION OF TOILET IN VARIOUS SCHOOL OF BLOCK AMET UNDER PWD DN AMET (PACKAGE NO 02/DMFT/GC16/2025-26)")</f>
        <v>CONSTRUCTION OF TOILET IN VARIOUS SCHOOL OF BLOCK AMET UNDER PWD DN AMET (PACKAGE NO 02/DMFT/GC16/2025-26)</v>
      </c>
      <c r="C9" t="s">
        <v>25</v>
      </c>
      <c r="D9" t="s">
        <v>26</v>
      </c>
      <c r="E9" t="s">
        <v>27</v>
      </c>
      <c r="F9" t="s">
        <v>30</v>
      </c>
      <c r="G9" t="s">
        <v>29</v>
      </c>
    </row>
    <row r="10" spans="1:7" x14ac:dyDescent="0.2">
      <c r="A10" s="1">
        <v>8</v>
      </c>
      <c r="B10" t="str">
        <f>HYPERLINK("https://eproc.rajasthan.gov.in/nicgep/app?component=%24DirectLink&amp;page=FrontEndViewTender&amp;service=direct&amp;session=T&amp;sp=S%2F7LJkNic6VGUSXKTGU5lxw%3D%3D", "CONSTRUCTION OF TOILET IN VARIOUS SCHOOL OF BLOCK KUMBHALGARH UNDER PWD DN AMET (PACKAGE NO 04/DMFT/GC16/2025-26)")</f>
        <v>CONSTRUCTION OF TOILET IN VARIOUS SCHOOL OF BLOCK KUMBHALGARH UNDER PWD DN AMET (PACKAGE NO 04/DMFT/GC16/2025-26)</v>
      </c>
      <c r="C10" t="s">
        <v>25</v>
      </c>
      <c r="D10" t="s">
        <v>26</v>
      </c>
      <c r="E10" t="s">
        <v>31</v>
      </c>
      <c r="F10" t="s">
        <v>32</v>
      </c>
      <c r="G10" t="s">
        <v>29</v>
      </c>
    </row>
    <row r="11" spans="1:7" x14ac:dyDescent="0.2">
      <c r="A11" s="1">
        <v>9</v>
      </c>
      <c r="B11" t="str">
        <f>HYPERLINK("https://eproc.rajasthan.gov.in/nicgep/app?component=%24DirectLink&amp;page=FrontEndViewTender&amp;service=direct&amp;session=T&amp;sp=SjGtfqvQHRFM%2FcW2dX6LiNg%3D%3D", "CONSTRUCTION OF TOILET IN VARIOUS SCHOOL OF BLOCK KUMBHALGARH UNDER PWD DN AMET (PACKAGE NO 03/DMFT/GC16/2025-26)")</f>
        <v>CONSTRUCTION OF TOILET IN VARIOUS SCHOOL OF BLOCK KUMBHALGARH UNDER PWD DN AMET (PACKAGE NO 03/DMFT/GC16/2025-26)</v>
      </c>
      <c r="C11" t="s">
        <v>25</v>
      </c>
      <c r="D11" t="s">
        <v>26</v>
      </c>
      <c r="E11" t="s">
        <v>33</v>
      </c>
      <c r="F11" t="s">
        <v>34</v>
      </c>
      <c r="G11" t="s">
        <v>29</v>
      </c>
    </row>
    <row r="12" spans="1:7" x14ac:dyDescent="0.2">
      <c r="A12" s="1">
        <v>10</v>
      </c>
      <c r="B12" t="str">
        <f>HYPERLINK("https://eproc.rajasthan.gov.in/nicgep/app?component=%24DirectLink&amp;page=FrontEndViewTender&amp;service=direct&amp;session=T&amp;sp=S8F2lEm%2FebFIAgtk8wqynfA%3D%3D", "CONSTRUCTION OF FOUR LANE ROB INCLUDING UNDERPASS IN LIEU OF LC NO.90/SPL AT NADI KA PHATAK ON JAIPUR SIKAR RAILWAY LINE")</f>
        <v>CONSTRUCTION OF FOUR LANE ROB INCLUDING UNDERPASS IN LIEU OF LC NO.90/SPL AT NADI KA PHATAK ON JAIPUR SIKAR RAILWAY LINE</v>
      </c>
      <c r="C12" t="s">
        <v>35</v>
      </c>
      <c r="D12" t="s">
        <v>36</v>
      </c>
      <c r="E12" t="s">
        <v>37</v>
      </c>
      <c r="F12" t="s">
        <v>38</v>
      </c>
      <c r="G12" t="s">
        <v>39</v>
      </c>
    </row>
    <row r="13" spans="1:7" x14ac:dyDescent="0.2">
      <c r="A13" s="1">
        <v>11</v>
      </c>
      <c r="B13" t="str">
        <f>HYPERLINK("https://eproc.rajasthan.gov.in/nicgep/app?component=%24DirectLink&amp;page=FrontEndViewTender&amp;service=direct&amp;session=T&amp;sp=S2WAZRQFRQQfZjba6eNDLWw%3D%3D", "Widening and Strengthening work of Didwana Marwar Baliya Khunkhuna Runwa Badabara upto Khatu Khurd Road")</f>
        <v>Widening and Strengthening work of Didwana Marwar Baliya Khunkhuna Runwa Badabara upto Khatu Khurd Road</v>
      </c>
      <c r="C13" t="s">
        <v>40</v>
      </c>
      <c r="D13" t="s">
        <v>41</v>
      </c>
      <c r="E13" t="s">
        <v>42</v>
      </c>
      <c r="F13" t="s">
        <v>43</v>
      </c>
      <c r="G13" t="s">
        <v>44</v>
      </c>
    </row>
    <row r="14" spans="1:7" x14ac:dyDescent="0.2">
      <c r="A14" s="1">
        <v>12</v>
      </c>
      <c r="B14" t="str">
        <f>HYPERLINK("https://eproc.rajasthan.gov.in/nicgep/app?component=%24DirectLink&amp;page=FrontEndViewTender&amp;service=direct&amp;session=T&amp;sp=SY9IVE8VKHDd14c2RN%2Bz3wg%3D%3D", "Compreshensive Annual Maintenance Contract for Fire Fighting and Fire Detection System at RUHS Hospital , Jaipur")</f>
        <v>Compreshensive Annual Maintenance Contract for Fire Fighting and Fire Detection System at RUHS Hospital , Jaipur</v>
      </c>
      <c r="C14" t="s">
        <v>45</v>
      </c>
      <c r="D14" t="s">
        <v>26</v>
      </c>
      <c r="E14" t="s">
        <v>46</v>
      </c>
      <c r="F14" t="s">
        <v>47</v>
      </c>
      <c r="G14" t="s">
        <v>48</v>
      </c>
    </row>
    <row r="15" spans="1:7" x14ac:dyDescent="0.2">
      <c r="A15" s="1">
        <v>13</v>
      </c>
      <c r="B15" t="str">
        <f>HYPERLINK("https://eproc.rajasthan.gov.in/nicgep/app?component=%24DirectLink&amp;page=FrontEndViewTender&amp;service=direct&amp;session=T&amp;sp=SuKgOt2LrbCUetwzTm3SO0g%3D%3D", "AMC of Equipment of Microbiology Lab at Drug Testing Lab Sethi Colony Jaipur")</f>
        <v>AMC of Equipment of Microbiology Lab at Drug Testing Lab Sethi Colony Jaipur</v>
      </c>
      <c r="C15" t="s">
        <v>45</v>
      </c>
      <c r="D15" t="s">
        <v>26</v>
      </c>
      <c r="E15" t="s">
        <v>49</v>
      </c>
      <c r="F15" t="s">
        <v>50</v>
      </c>
      <c r="G15" t="s">
        <v>51</v>
      </c>
    </row>
    <row r="16" spans="1:7" x14ac:dyDescent="0.2">
      <c r="A16" s="1">
        <v>14</v>
      </c>
      <c r="B16" t="str">
        <f>HYPERLINK("https://eproc.rajasthan.gov.in/nicgep/app?component=%24DirectLink&amp;page=FrontEndViewTender&amp;service=direct&amp;session=T&amp;sp=SZxdBSJwLb5ljgHFEKxpJRw%3D%3D", "Compreshensive Annual Maintenance Contract for Electric Substation at RUHS Hospital, Jaipur")</f>
        <v>Compreshensive Annual Maintenance Contract for Electric Substation at RUHS Hospital, Jaipur</v>
      </c>
      <c r="C16" t="s">
        <v>45</v>
      </c>
      <c r="D16" t="s">
        <v>26</v>
      </c>
      <c r="E16" t="s">
        <v>52</v>
      </c>
      <c r="F16" t="s">
        <v>53</v>
      </c>
      <c r="G16" t="s">
        <v>54</v>
      </c>
    </row>
    <row r="17" spans="1:7" x14ac:dyDescent="0.2">
      <c r="A17" s="1">
        <v>15</v>
      </c>
      <c r="B17" t="str">
        <f>HYPERLINK("https://eproc.rajasthan.gov.in/nicgep/app?component=%24DirectLink&amp;page=FrontEndViewTender&amp;service=direct&amp;session=T&amp;sp=S5aCYfosMdBip%2FdWGKTYHCA%3D%3D", "Additional and Alteration work in B.No. 383-A, Civil Line, Jaipur.(Joinery Work)")</f>
        <v>Additional and Alteration work in B.No. 383-A, Civil Line, Jaipur.(Joinery Work)</v>
      </c>
      <c r="C17" t="s">
        <v>55</v>
      </c>
      <c r="D17" t="s">
        <v>56</v>
      </c>
      <c r="E17" t="s">
        <v>57</v>
      </c>
      <c r="F17" t="s">
        <v>58</v>
      </c>
      <c r="G17" t="s">
        <v>59</v>
      </c>
    </row>
    <row r="18" spans="1:7" x14ac:dyDescent="0.2">
      <c r="A18" s="1">
        <v>16</v>
      </c>
      <c r="B18" t="str">
        <f>HYPERLINK("https://eproc.rajasthan.gov.in/nicgep/app?component=%24DirectLink&amp;page=FrontEndViewTender&amp;service=direct&amp;session=T&amp;sp=SGXOlGeHxxYys%2BCtPpw%2BiAw%3D%3D", "Additional and Alteration work in B.No. 383-A, Civil Line, Jaipur. (Sanitary work)")</f>
        <v>Additional and Alteration work in B.No. 383-A, Civil Line, Jaipur. (Sanitary work)</v>
      </c>
      <c r="C18" t="s">
        <v>55</v>
      </c>
      <c r="D18" t="s">
        <v>56</v>
      </c>
      <c r="E18" t="s">
        <v>60</v>
      </c>
      <c r="F18" t="s">
        <v>61</v>
      </c>
      <c r="G18" t="s">
        <v>59</v>
      </c>
    </row>
    <row r="19" spans="1:7" x14ac:dyDescent="0.2">
      <c r="A19" s="1">
        <v>17</v>
      </c>
      <c r="B19" t="str">
        <f>HYPERLINK("https://eproc.rajasthan.gov.in/nicgep/app?component=%24DirectLink&amp;page=FrontEndViewTender&amp;service=direct&amp;session=T&amp;sp=Sq5fsPgxa6vve99Zje0MeAQ%3D%3D", "Additional and Alteration work in B.No. 383-A, Civil Line, Jaipur. (Civil work)")</f>
        <v>Additional and Alteration work in B.No. 383-A, Civil Line, Jaipur. (Civil work)</v>
      </c>
      <c r="C19" t="s">
        <v>55</v>
      </c>
      <c r="D19" t="s">
        <v>56</v>
      </c>
      <c r="E19" t="s">
        <v>62</v>
      </c>
      <c r="F19" t="s">
        <v>63</v>
      </c>
      <c r="G19" t="s">
        <v>59</v>
      </c>
    </row>
    <row r="20" spans="1:7" x14ac:dyDescent="0.2">
      <c r="A20" s="1">
        <v>18</v>
      </c>
      <c r="B20" t="str">
        <f>HYPERLINK("https://eproc.rajasthan.gov.in/nicgep/app?component=%24DirectLink&amp;page=FrontEndViewTender&amp;service=direct&amp;session=T&amp;sp=SRRwIFHuR4bqLi01G5ozotA%3D%3D", "Widening and Strengthening Work Mahwa Palakhari Sawdi NH-248A")</f>
        <v>Widening and Strengthening Work Mahwa Palakhari Sawdi NH-248A</v>
      </c>
      <c r="C20" t="s">
        <v>64</v>
      </c>
      <c r="D20" t="s">
        <v>8</v>
      </c>
      <c r="E20" t="s">
        <v>65</v>
      </c>
      <c r="F20" t="s">
        <v>66</v>
      </c>
      <c r="G20" t="s">
        <v>67</v>
      </c>
    </row>
    <row r="21" spans="1:7" x14ac:dyDescent="0.2">
      <c r="A21" s="1">
        <v>19</v>
      </c>
      <c r="B21" t="str">
        <f>HYPERLINK("https://eproc.rajasthan.gov.in/nicgep/app?component=%24DirectLink&amp;page=FrontEndViewTender&amp;service=direct&amp;session=T&amp;sp=S9hJ25DbA1lofdpXQ11YYkg%3D%3D", "Widening and Strengthening Work Haldeena Nithari Jamalpur Khedala Rampura Kherli Pichnot Khareda Beejwar Mohabbatpur Kalyanpura Alahpur To NH-248A")</f>
        <v>Widening and Strengthening Work Haldeena Nithari Jamalpur Khedala Rampura Kherli Pichnot Khareda Beejwar Mohabbatpur Kalyanpura Alahpur To NH-248A</v>
      </c>
      <c r="C21" t="s">
        <v>64</v>
      </c>
      <c r="D21" t="s">
        <v>8</v>
      </c>
      <c r="E21" t="s">
        <v>68</v>
      </c>
      <c r="F21" t="s">
        <v>69</v>
      </c>
      <c r="G21" t="s">
        <v>67</v>
      </c>
    </row>
    <row r="22" spans="1:7" x14ac:dyDescent="0.2">
      <c r="A22" s="1">
        <v>20</v>
      </c>
      <c r="B22" t="str">
        <f>HYPERLINK("https://eproc.rajasthan.gov.in/nicgep/app?component=%24DirectLink&amp;page=FrontEndViewTender&amp;service=direct&amp;session=T&amp;sp=Skf21J6Hu%2BK6tS7ZCDsJJDQ%3D%3D", "Widening and Strengthening of Road From Jaluki Chouraha to Sikari Via Govindgarh (SH-35)")</f>
        <v>Widening and Strengthening of Road From Jaluki Chouraha to Sikari Via Govindgarh (SH-35)</v>
      </c>
      <c r="C22" t="s">
        <v>70</v>
      </c>
      <c r="D22" t="s">
        <v>8</v>
      </c>
      <c r="E22" t="s">
        <v>71</v>
      </c>
      <c r="F22" t="s">
        <v>72</v>
      </c>
      <c r="G22" t="s">
        <v>67</v>
      </c>
    </row>
    <row r="23" spans="1:7" x14ac:dyDescent="0.2">
      <c r="A23" s="1">
        <v>21</v>
      </c>
      <c r="B23" t="str">
        <f>HYPERLINK("https://eproc.rajasthan.gov.in/nicgep/app?component=%24DirectLink&amp;page=FrontEndViewTender&amp;service=direct&amp;session=T&amp;sp=SN1hUpYVk4xTs9ps2lnRKQw%3D%3D", "Tiles and Sanitary Work at Circuit House, Jodhpur")</f>
        <v>Tiles and Sanitary Work at Circuit House, Jodhpur</v>
      </c>
      <c r="C23" t="s">
        <v>73</v>
      </c>
      <c r="D23" t="s">
        <v>26</v>
      </c>
      <c r="E23" t="s">
        <v>74</v>
      </c>
      <c r="F23" t="s">
        <v>75</v>
      </c>
      <c r="G23" t="s">
        <v>76</v>
      </c>
    </row>
    <row r="24" spans="1:7" x14ac:dyDescent="0.2">
      <c r="A24" s="1">
        <v>22</v>
      </c>
      <c r="B24" t="str">
        <f>HYPERLINK("https://eproc.rajasthan.gov.in/nicgep/app?component=%24DirectLink&amp;page=FrontEndViewTender&amp;service=direct&amp;session=T&amp;sp=SBMqMSQp4Ss3uLV6X26r0VQ%3D%3D", "Widening and Renewal Work from Ramgarh - Govindgarh Road Village Chidwai to Baroda Meo Via Jaisinghpura Cholai ka Bas Road")</f>
        <v>Widening and Renewal Work from Ramgarh - Govindgarh Road Village Chidwai to Baroda Meo Via Jaisinghpura Cholai ka Bas Road</v>
      </c>
      <c r="C24" t="s">
        <v>70</v>
      </c>
      <c r="D24" t="s">
        <v>8</v>
      </c>
      <c r="E24" t="s">
        <v>77</v>
      </c>
      <c r="F24" t="s">
        <v>78</v>
      </c>
      <c r="G24" t="s">
        <v>67</v>
      </c>
    </row>
    <row r="25" spans="1:7" x14ac:dyDescent="0.2">
      <c r="A25" s="1">
        <v>23</v>
      </c>
      <c r="B25" t="str">
        <f>HYPERLINK("https://eproc.rajasthan.gov.in/nicgep/app?component=%24DirectLink&amp;page=FrontEndViewTender&amp;service=direct&amp;session=T&amp;sp=SlvSNcYvDanoJ2dUUUyeOWw%3D%3D", "Repair and Mtc. work of 4th type GAD Qtrs at Sardar Patel Colony, High Court Colony and Olympic Road, Jodhpur")</f>
        <v>Repair and Mtc. work of 4th type GAD Qtrs at Sardar Patel Colony, High Court Colony and Olympic Road, Jodhpur</v>
      </c>
      <c r="C25" t="s">
        <v>73</v>
      </c>
      <c r="D25" t="s">
        <v>26</v>
      </c>
      <c r="E25" t="s">
        <v>79</v>
      </c>
      <c r="F25" t="s">
        <v>80</v>
      </c>
      <c r="G25" t="s">
        <v>76</v>
      </c>
    </row>
    <row r="26" spans="1:7" x14ac:dyDescent="0.2">
      <c r="A26" s="1">
        <v>24</v>
      </c>
      <c r="B26" t="str">
        <f>HYPERLINK("https://eproc.rajasthan.gov.in/nicgep/app?component=%24DirectLink&amp;page=FrontEndViewTender&amp;service=direct&amp;session=T&amp;sp=SPjxnNLTlwv8%2Bta2xMA0SoQ%3D%3D", "Misc. Repair and Other Work at Collectorate Campus, Jodhpur")</f>
        <v>Misc. Repair and Other Work at Collectorate Campus, Jodhpur</v>
      </c>
      <c r="C26" t="s">
        <v>73</v>
      </c>
      <c r="D26" t="s">
        <v>26</v>
      </c>
      <c r="E26" t="s">
        <v>81</v>
      </c>
      <c r="F26" t="s">
        <v>82</v>
      </c>
      <c r="G26" t="s">
        <v>76</v>
      </c>
    </row>
    <row r="27" spans="1:7" x14ac:dyDescent="0.2">
      <c r="A27" s="1">
        <v>25</v>
      </c>
      <c r="B27" t="str">
        <f>HYPERLINK("https://eproc.rajasthan.gov.in/nicgep/app?component=%24DirectLink&amp;page=FrontEndViewTender&amp;service=direct&amp;session=T&amp;sp=SGr311pMQ7Y8mIdjPpXBCBA%3D%3D", "Construction of Soorwal to Kustala Sawai Madhopur Bye pass Part-II Km. 9/690 to 14/850 Including ROB")</f>
        <v>Construction of Soorwal to Kustala Sawai Madhopur Bye pass Part-II Km. 9/690 to 14/850 Including ROB</v>
      </c>
      <c r="C27" t="s">
        <v>83</v>
      </c>
      <c r="D27" t="s">
        <v>84</v>
      </c>
      <c r="E27" t="s">
        <v>85</v>
      </c>
      <c r="F27" t="s">
        <v>86</v>
      </c>
      <c r="G27" t="s">
        <v>87</v>
      </c>
    </row>
    <row r="28" spans="1:7" x14ac:dyDescent="0.2">
      <c r="A28" s="1">
        <v>26</v>
      </c>
      <c r="B28" t="str">
        <f>HYPERLINK("https://eproc.rajasthan.gov.in/nicgep/app?component=%24DirectLink&amp;page=FrontEndViewTender&amp;service=direct&amp;session=T&amp;sp=SajW%2B%2BcVFafoCNzCROAqhaQ%3D%3D", "Repair and Mtc. work of 3rd type GAD Qtrs at Sardar Patel Colony, High Court Colony and Olympic Road, Jodhpur")</f>
        <v>Repair and Mtc. work of 3rd type GAD Qtrs at Sardar Patel Colony, High Court Colony and Olympic Road, Jodhpur</v>
      </c>
      <c r="C28" t="s">
        <v>73</v>
      </c>
      <c r="D28" t="s">
        <v>26</v>
      </c>
      <c r="E28" t="s">
        <v>88</v>
      </c>
      <c r="F28" t="s">
        <v>89</v>
      </c>
      <c r="G28" t="s">
        <v>76</v>
      </c>
    </row>
    <row r="29" spans="1:7" x14ac:dyDescent="0.2">
      <c r="A29" s="1">
        <v>27</v>
      </c>
      <c r="B29" t="str">
        <f>HYPERLINK("https://eproc.rajasthan.gov.in/nicgep/app?component=%24DirectLink&amp;page=FrontEndViewTender&amp;service=direct&amp;session=T&amp;sp=S6rtq8PK4u97l5HvqgEftEA%3D%3D", "Supply of Sweeper for Cleaning of PWD Campus and Dak Bungalow, under PWD City Sub Dn. II, Jodhpur")</f>
        <v>Supply of Sweeper for Cleaning of PWD Campus and Dak Bungalow, under PWD City Sub Dn. II, Jodhpur</v>
      </c>
      <c r="C29" t="s">
        <v>73</v>
      </c>
      <c r="D29" t="s">
        <v>26</v>
      </c>
      <c r="E29" t="s">
        <v>90</v>
      </c>
      <c r="F29" t="s">
        <v>91</v>
      </c>
      <c r="G29" t="s">
        <v>76</v>
      </c>
    </row>
    <row r="30" spans="1:7" x14ac:dyDescent="0.2">
      <c r="A30" s="1">
        <v>28</v>
      </c>
      <c r="B30" t="str">
        <f>HYPERLINK("https://eproc.rajasthan.gov.in/nicgep/app?component=%24DirectLink&amp;page=FrontEndViewTender&amp;service=direct&amp;session=T&amp;sp=SBNh1z7f5OC5QTz2IWNweiw%3D%3D", "Repair and Maintenance Work at Various Ist and IInd Type GAD Bungalows, Jodhpur")</f>
        <v>Repair and Maintenance Work at Various Ist and IInd Type GAD Bungalows, Jodhpur</v>
      </c>
      <c r="C30" t="s">
        <v>73</v>
      </c>
      <c r="D30" t="s">
        <v>26</v>
      </c>
      <c r="E30" t="s">
        <v>92</v>
      </c>
      <c r="F30" t="s">
        <v>93</v>
      </c>
      <c r="G30" t="s">
        <v>76</v>
      </c>
    </row>
    <row r="31" spans="1:7" x14ac:dyDescent="0.2">
      <c r="A31" s="1">
        <v>29</v>
      </c>
      <c r="B31" t="str">
        <f>HYPERLINK("https://eproc.rajasthan.gov.in/nicgep/app?component=%24DirectLink&amp;page=FrontEndViewTender&amp;service=direct&amp;session=T&amp;sp=S08Mb5lojunqObX6bghPj7Q%3D%3D", "Supply of Fitter (Plumber) and Carpenter for Repair work under PWD City Division, Jodhpur")</f>
        <v>Supply of Fitter (Plumber) and Carpenter for Repair work under PWD City Division, Jodhpur</v>
      </c>
      <c r="C31" t="s">
        <v>73</v>
      </c>
      <c r="D31" t="s">
        <v>26</v>
      </c>
      <c r="E31" t="s">
        <v>94</v>
      </c>
      <c r="F31" t="s">
        <v>95</v>
      </c>
      <c r="G31" t="s">
        <v>76</v>
      </c>
    </row>
    <row r="32" spans="1:7" x14ac:dyDescent="0.2">
      <c r="A32" s="1">
        <v>30</v>
      </c>
      <c r="B32" t="str">
        <f>HYPERLINK("https://eproc.rajasthan.gov.in/nicgep/app?component=%24DirectLink&amp;page=FrontEndViewTender&amp;service=direct&amp;session=T&amp;sp=SIYdEhPUiRlW39XvLMgSiIw%3D%3D", "Repair and Maintenance Work at Various Honble RHC Bungalows, Jodhpur")</f>
        <v>Repair and Maintenance Work at Various Honble RHC Bungalows, Jodhpur</v>
      </c>
      <c r="C32" t="s">
        <v>73</v>
      </c>
      <c r="D32" t="s">
        <v>26</v>
      </c>
      <c r="E32" t="s">
        <v>96</v>
      </c>
      <c r="F32" t="s">
        <v>97</v>
      </c>
      <c r="G32" t="s">
        <v>76</v>
      </c>
    </row>
    <row r="33" spans="1:7" x14ac:dyDescent="0.2">
      <c r="A33" s="1">
        <v>31</v>
      </c>
      <c r="B33" t="str">
        <f>HYPERLINK("https://eproc.rajasthan.gov.in/nicgep/app?component=%24DirectLink&amp;page=FrontEndViewTender&amp;service=direct&amp;session=T&amp;sp=S99mlUu%2BmR3z1gKhw%2BIwSYA%3D%3D", "Repair and Maintenance Work at Various Judicial Bungalows in Vikramaditya Nagar, Jodhpur")</f>
        <v>Repair and Maintenance Work at Various Judicial Bungalows in Vikramaditya Nagar, Jodhpur</v>
      </c>
      <c r="C33" t="s">
        <v>73</v>
      </c>
      <c r="D33" t="s">
        <v>26</v>
      </c>
      <c r="E33" t="s">
        <v>98</v>
      </c>
      <c r="F33" t="s">
        <v>99</v>
      </c>
      <c r="G33" t="s">
        <v>76</v>
      </c>
    </row>
    <row r="34" spans="1:7" x14ac:dyDescent="0.2">
      <c r="A34" s="1">
        <v>32</v>
      </c>
      <c r="B34" t="str">
        <f>HYPERLINK("https://eproc.rajasthan.gov.in/nicgep/app?component=%24DirectLink&amp;page=FrontEndViewTender&amp;service=direct&amp;session=T&amp;sp=SbtoO02nMBvZ7rsPBp09Scw%3D%3D", "Repair and Mtc. work of 5th type and 6th type GAD Qtrs at Sardar Patel Colony, High Court Colony, Marushthaliya Colony and Olympic Road, Jodhpur")</f>
        <v>Repair and Mtc. work of 5th type and 6th type GAD Qtrs at Sardar Patel Colony, High Court Colony, Marushthaliya Colony and Olympic Road, Jodhpur</v>
      </c>
      <c r="C34" t="s">
        <v>73</v>
      </c>
      <c r="D34" t="s">
        <v>26</v>
      </c>
      <c r="E34" t="s">
        <v>100</v>
      </c>
      <c r="F34" t="s">
        <v>101</v>
      </c>
      <c r="G34" t="s">
        <v>76</v>
      </c>
    </row>
    <row r="35" spans="1:7" x14ac:dyDescent="0.2">
      <c r="A35" s="1">
        <v>33</v>
      </c>
      <c r="B35" t="str">
        <f>HYPERLINK("https://eproc.rajasthan.gov.in/nicgep/app?component=%24DirectLink&amp;page=FrontEndViewTender&amp;service=direct&amp;session=T&amp;sp=Sq4NP7rTK7rOEtcJAm79A5Q%3D%3D", "Making Accessible Building features under Accessible India Campaigning at Rajasthan High Court Building Jaipur (Joinery work) (Sanction work)")</f>
        <v>Making Accessible Building features under Accessible India Campaigning at Rajasthan High Court Building Jaipur (Joinery work) (Sanction work)</v>
      </c>
      <c r="C35" t="s">
        <v>102</v>
      </c>
      <c r="D35" t="s">
        <v>26</v>
      </c>
      <c r="E35" t="s">
        <v>103</v>
      </c>
      <c r="F35" t="s">
        <v>104</v>
      </c>
      <c r="G35" t="s">
        <v>105</v>
      </c>
    </row>
    <row r="36" spans="1:7" x14ac:dyDescent="0.2">
      <c r="A36" s="1">
        <v>34</v>
      </c>
      <c r="B36" t="str">
        <f>HYPERLINK("https://eproc.rajasthan.gov.in/nicgep/app?component=%24DirectLink&amp;page=FrontEndViewTender&amp;service=direct&amp;session=T&amp;sp=SnE63gzoZquGKYYyM1%2BD1fA%3D%3D", "Making Accessible Building features under Accessible India Campaigning at Rajasthan High Court Building Jaipur (Civil work) (Sanction work)")</f>
        <v>Making Accessible Building features under Accessible India Campaigning at Rajasthan High Court Building Jaipur (Civil work) (Sanction work)</v>
      </c>
      <c r="C36" t="s">
        <v>102</v>
      </c>
      <c r="D36" t="s">
        <v>26</v>
      </c>
      <c r="E36" t="s">
        <v>106</v>
      </c>
      <c r="F36" t="s">
        <v>107</v>
      </c>
      <c r="G36" t="s">
        <v>105</v>
      </c>
    </row>
    <row r="37" spans="1:7" x14ac:dyDescent="0.2">
      <c r="A37" s="1">
        <v>35</v>
      </c>
      <c r="B37" t="str">
        <f>HYPERLINK("https://eproc.rajasthan.gov.in/nicgep/app?component=%24DirectLink&amp;page=FrontEndViewTender&amp;service=direct&amp;session=T&amp;sp=SHLIZYmmANicxFxLuJ9FbIQ%3D%3D", "Making Accessible Building features under Accessible India Campaigning at Rajasthan High Court Building Jaipur (Sanitary work) (Sanction work)")</f>
        <v>Making Accessible Building features under Accessible India Campaigning at Rajasthan High Court Building Jaipur (Sanitary work) (Sanction work)</v>
      </c>
      <c r="C37" t="s">
        <v>102</v>
      </c>
      <c r="D37" t="s">
        <v>26</v>
      </c>
      <c r="E37" t="s">
        <v>108</v>
      </c>
      <c r="F37" t="s">
        <v>109</v>
      </c>
      <c r="G37" t="s">
        <v>105</v>
      </c>
    </row>
    <row r="38" spans="1:7" x14ac:dyDescent="0.2">
      <c r="A38" s="1">
        <v>36</v>
      </c>
      <c r="B38" t="str">
        <f>HYPERLINK("https://eproc.rajasthan.gov.in/nicgep/app?component=%24DirectLink&amp;page=FrontEndViewTender&amp;service=direct&amp;session=T&amp;sp=SPUG1g0UAVpOtKgULbZGwpQ%3D%3D", "Sanitary works at various places in Vidhan Sabha Staff quarters under Sub Dn. Vidhan Sabha-I, Jaipur")</f>
        <v>Sanitary works at various places in Vidhan Sabha Staff quarters under Sub Dn. Vidhan Sabha-I, Jaipur</v>
      </c>
      <c r="C38" t="s">
        <v>55</v>
      </c>
      <c r="D38" t="s">
        <v>56</v>
      </c>
      <c r="E38" t="s">
        <v>110</v>
      </c>
      <c r="F38" t="s">
        <v>111</v>
      </c>
      <c r="G38" t="s">
        <v>59</v>
      </c>
    </row>
    <row r="39" spans="1:7" x14ac:dyDescent="0.2">
      <c r="A39" s="1">
        <v>37</v>
      </c>
      <c r="B39" t="str">
        <f>HYPERLINK("https://eproc.rajasthan.gov.in/nicgep/app?component=%24DirectLink&amp;page=FrontEndViewTender&amp;service=direct&amp;session=T&amp;sp=SFOgDcQu16qACb03p2JOLDg%3D%3D", "Supply and Fixing of Modular Kitchen Components in B.No. 8 CM House, Jaipur")</f>
        <v>Supply and Fixing of Modular Kitchen Components in B.No. 8 CM House, Jaipur</v>
      </c>
      <c r="C39" t="s">
        <v>55</v>
      </c>
      <c r="D39" t="s">
        <v>26</v>
      </c>
      <c r="E39" t="s">
        <v>112</v>
      </c>
      <c r="F39" t="s">
        <v>113</v>
      </c>
      <c r="G39" t="s">
        <v>59</v>
      </c>
    </row>
    <row r="40" spans="1:7" x14ac:dyDescent="0.2">
      <c r="A40" s="1">
        <v>38</v>
      </c>
      <c r="B40" t="str">
        <f>HYPERLINK("https://eproc.rajasthan.gov.in/nicgep/app?component=%24DirectLink&amp;page=FrontEndViewTender&amp;service=direct&amp;session=T&amp;sp=SNVoICwMnIbOUDHBgjY80fg%3D%3D", "Urgent and Emergent Repair and Maintenance work in SMS Hospital Jaipur SMS - I (Civil Work)")</f>
        <v>Urgent and Emergent Repair and Maintenance work in SMS Hospital Jaipur SMS - I (Civil Work)</v>
      </c>
      <c r="C40" t="s">
        <v>20</v>
      </c>
      <c r="D40" t="s">
        <v>84</v>
      </c>
      <c r="E40" t="s">
        <v>114</v>
      </c>
      <c r="F40" t="s">
        <v>115</v>
      </c>
      <c r="G40" t="s">
        <v>24</v>
      </c>
    </row>
    <row r="41" spans="1:7" x14ac:dyDescent="0.2">
      <c r="A41" s="1">
        <v>39</v>
      </c>
      <c r="B41" t="str">
        <f>HYPERLINK("https://eproc.rajasthan.gov.in/nicgep/app?component=%24DirectLink&amp;page=FrontEndViewTender&amp;service=direct&amp;session=T&amp;sp=SXJzNdx7UDk33YTXBkj06fQ%3D%3D", "Urgent and Emergent Repair and Maintenance work in SMS Hospital Jaipur SMS - 1 (Sanitary Work)")</f>
        <v>Urgent and Emergent Repair and Maintenance work in SMS Hospital Jaipur SMS - 1 (Sanitary Work)</v>
      </c>
      <c r="C41" t="s">
        <v>20</v>
      </c>
      <c r="D41" t="s">
        <v>26</v>
      </c>
      <c r="E41" t="s">
        <v>116</v>
      </c>
      <c r="F41" t="s">
        <v>117</v>
      </c>
      <c r="G41" t="s">
        <v>24</v>
      </c>
    </row>
    <row r="42" spans="1:7" x14ac:dyDescent="0.2">
      <c r="A42" s="1">
        <v>40</v>
      </c>
      <c r="B42" t="str">
        <f>HYPERLINK("https://eproc.rajasthan.gov.in/nicgep/app?component=%24DirectLink&amp;page=FrontEndViewTender&amp;service=direct&amp;session=T&amp;sp=STLNdv3F7wylGFIojxS95%2Fg%3D%3D", "Urgent and Emergent Repair and Maintenance work in SMS Hospital Jaipur SMS - 2 (Painting Work)")</f>
        <v>Urgent and Emergent Repair and Maintenance work in SMS Hospital Jaipur SMS - 2 (Painting Work)</v>
      </c>
      <c r="C42" t="s">
        <v>20</v>
      </c>
      <c r="D42" t="s">
        <v>26</v>
      </c>
      <c r="E42" t="s">
        <v>118</v>
      </c>
      <c r="F42" t="s">
        <v>119</v>
      </c>
      <c r="G42" t="s">
        <v>24</v>
      </c>
    </row>
    <row r="43" spans="1:7" x14ac:dyDescent="0.2">
      <c r="A43" s="1">
        <v>41</v>
      </c>
      <c r="B43" t="str">
        <f>HYPERLINK("https://eproc.rajasthan.gov.in/nicgep/app?component=%24DirectLink&amp;page=FrontEndViewTender&amp;service=direct&amp;session=T&amp;sp=S6G49sugulD53%2FdAjGlMBHw%3D%3D", "Urgent and Emergent Repair and Maintenance work in SMS Hospital Jaipur SMS - 2 (Joinery Work)")</f>
        <v>Urgent and Emergent Repair and Maintenance work in SMS Hospital Jaipur SMS - 2 (Joinery Work)</v>
      </c>
      <c r="C43" t="s">
        <v>20</v>
      </c>
      <c r="D43" t="s">
        <v>26</v>
      </c>
      <c r="E43" t="s">
        <v>120</v>
      </c>
      <c r="F43" t="s">
        <v>121</v>
      </c>
      <c r="G43" t="s">
        <v>24</v>
      </c>
    </row>
    <row r="44" spans="1:7" x14ac:dyDescent="0.2">
      <c r="A44" s="1">
        <v>42</v>
      </c>
      <c r="B44" t="str">
        <f>HYPERLINK("https://eproc.rajasthan.gov.in/nicgep/app?component=%24DirectLink&amp;page=FrontEndViewTender&amp;service=direct&amp;session=T&amp;sp=SOr7fBxZ6lymwr8hEAtQgsg%3D%3D", "Urgent and Emergent Repair and Maintenance work in SMS Hospital Jaipur SMS - 2 (Sanitary Work)")</f>
        <v>Urgent and Emergent Repair and Maintenance work in SMS Hospital Jaipur SMS - 2 (Sanitary Work)</v>
      </c>
      <c r="C44" t="s">
        <v>20</v>
      </c>
      <c r="D44" t="s">
        <v>26</v>
      </c>
      <c r="E44" t="s">
        <v>122</v>
      </c>
      <c r="F44" t="s">
        <v>123</v>
      </c>
      <c r="G44" t="s">
        <v>24</v>
      </c>
    </row>
    <row r="45" spans="1:7" x14ac:dyDescent="0.2">
      <c r="A45" s="1">
        <v>43</v>
      </c>
      <c r="B45" t="str">
        <f>HYPERLINK("https://eproc.rajasthan.gov.in/nicgep/app?component=%24DirectLink&amp;page=FrontEndViewTender&amp;service=direct&amp;session=T&amp;sp=Scz9wiEug6tD98sT9YQ0kyg%3D%3D", "Consultancy services for preparation, Submission and obtaining Forest Clearance for Widening and Strengthening of Road From Badi Gudhakhera Up to Chittorgarh District Border Km 0/000 to 8/500")</f>
        <v>Consultancy services for preparation, Submission and obtaining Forest Clearance for Widening and Strengthening of Road From Badi Gudhakhera Up to Chittorgarh District Border Km 0/000 to 8/500</v>
      </c>
      <c r="C45" t="s">
        <v>124</v>
      </c>
      <c r="D45" t="s">
        <v>56</v>
      </c>
      <c r="E45" t="s">
        <v>125</v>
      </c>
      <c r="F45" t="s">
        <v>126</v>
      </c>
      <c r="G45" t="s">
        <v>127</v>
      </c>
    </row>
    <row r="46" spans="1:7" x14ac:dyDescent="0.2">
      <c r="A46" s="1">
        <v>44</v>
      </c>
      <c r="B46" t="str">
        <f>HYPERLINK("https://eproc.rajasthan.gov.in/nicgep/app?component=%24DirectLink&amp;page=FrontEndViewTender&amp;service=direct&amp;session=T&amp;sp=S4HsDyD8JzHXxpWNDZO7foA%3D%3D", "Construction of MPC Building at Bansthuni, Kishanganj in Distt Baran")</f>
        <v>Construction of MPC Building at Bansthuni, Kishanganj in Distt Baran</v>
      </c>
      <c r="C46" t="s">
        <v>128</v>
      </c>
      <c r="D46" t="s">
        <v>129</v>
      </c>
      <c r="E46" t="s">
        <v>130</v>
      </c>
      <c r="F46" t="s">
        <v>131</v>
      </c>
      <c r="G46" t="s">
        <v>132</v>
      </c>
    </row>
    <row r="47" spans="1:7" x14ac:dyDescent="0.2">
      <c r="A47" s="1">
        <v>45</v>
      </c>
      <c r="B47" t="str">
        <f>HYPERLINK("https://eproc.rajasthan.gov.in/nicgep/app?component=%24DirectLink&amp;page=FrontEndViewTender&amp;service=direct&amp;session=T&amp;sp=SUmS5vnQ957zWISkFvfEbRw%3D%3D", "Urgent and Emergent Repair and Maintenance work in SMS Hospital Jaipur SMS - 2 (Civil Work)")</f>
        <v>Urgent and Emergent Repair and Maintenance work in SMS Hospital Jaipur SMS - 2 (Civil Work)</v>
      </c>
      <c r="C47" t="s">
        <v>20</v>
      </c>
      <c r="D47" t="s">
        <v>26</v>
      </c>
      <c r="E47" t="s">
        <v>133</v>
      </c>
      <c r="F47" t="s">
        <v>134</v>
      </c>
      <c r="G47" t="s">
        <v>24</v>
      </c>
    </row>
    <row r="48" spans="1:7" x14ac:dyDescent="0.2">
      <c r="A48" s="1">
        <v>46</v>
      </c>
      <c r="B48" t="str">
        <f>HYPERLINK("https://eproc.rajasthan.gov.in/nicgep/app?component=%24DirectLink&amp;page=FrontEndViewTender&amp;service=direct&amp;session=T&amp;sp=Svms79pkMCUYHvyun3k2k9w%3D%3D", "Urgent and Emergent Repair and Maintenance work in SMS Hospital Jaipur SMS - 1 (Painting Work)")</f>
        <v>Urgent and Emergent Repair and Maintenance work in SMS Hospital Jaipur SMS - 1 (Painting Work)</v>
      </c>
      <c r="C48" t="s">
        <v>20</v>
      </c>
      <c r="D48" t="s">
        <v>26</v>
      </c>
      <c r="E48" t="s">
        <v>135</v>
      </c>
      <c r="F48" t="s">
        <v>136</v>
      </c>
      <c r="G48" t="s">
        <v>24</v>
      </c>
    </row>
    <row r="49" spans="1:7" x14ac:dyDescent="0.2">
      <c r="A49" s="1">
        <v>47</v>
      </c>
      <c r="B49" t="str">
        <f>HYPERLINK("https://eproc.rajasthan.gov.in/nicgep/app?component=%24DirectLink&amp;page=FrontEndViewTender&amp;service=direct&amp;session=T&amp;sp=SquKzt9CWGDtX6m7Rswe%2BvA%3D%3D", "Urgent and Emergent Repair and Maintenance work in SMS Hospital Jaipur SMS - 1 (Joinery Work)")</f>
        <v>Urgent and Emergent Repair and Maintenance work in SMS Hospital Jaipur SMS - 1 (Joinery Work)</v>
      </c>
      <c r="C49" t="s">
        <v>20</v>
      </c>
      <c r="D49" t="s">
        <v>26</v>
      </c>
      <c r="E49" t="s">
        <v>137</v>
      </c>
      <c r="F49" t="s">
        <v>138</v>
      </c>
      <c r="G49" t="s">
        <v>24</v>
      </c>
    </row>
    <row r="50" spans="1:7" x14ac:dyDescent="0.2">
      <c r="A50" s="1">
        <v>48</v>
      </c>
      <c r="B50" t="str">
        <f>HYPERLINK("https://eproc.rajasthan.gov.in/nicgep/app?component=%24DirectLink&amp;page=FrontEndViewTender&amp;service=direct&amp;session=T&amp;sp=SjiIhxqyzCg0m%2FZ57LPIGxA%3D%3D", "Annual Rate Contract for supply, providing and fixing various Electric items and various electric works under Sub Division HC I Jodhpur")</f>
        <v>Annual Rate Contract for supply, providing and fixing various Electric items and various electric works under Sub Division HC I Jodhpur</v>
      </c>
      <c r="C50" t="s">
        <v>139</v>
      </c>
      <c r="D50" t="s">
        <v>140</v>
      </c>
      <c r="E50" t="s">
        <v>141</v>
      </c>
      <c r="F50" t="s">
        <v>142</v>
      </c>
      <c r="G50" t="s">
        <v>76</v>
      </c>
    </row>
    <row r="51" spans="1:7" x14ac:dyDescent="0.2">
      <c r="A51" s="1">
        <v>49</v>
      </c>
      <c r="B51" t="str">
        <f>HYPERLINK("https://eproc.rajasthan.gov.in/nicgep/app?component=%24DirectLink&amp;page=FrontEndViewTender&amp;service=direct&amp;session=T&amp;sp=SapGjEKZNRctq2arKjzgUAA%3D%3D", "Annual Rate Contract for supply, providing and fixing various Electric items and various electric works under Sub Division HC I Jodhpur")</f>
        <v>Annual Rate Contract for supply, providing and fixing various Electric items and various electric works under Sub Division HC I Jodhpur</v>
      </c>
      <c r="C51" t="s">
        <v>139</v>
      </c>
      <c r="D51" t="s">
        <v>140</v>
      </c>
      <c r="E51" t="s">
        <v>143</v>
      </c>
      <c r="F51" t="s">
        <v>144</v>
      </c>
      <c r="G51" t="s">
        <v>76</v>
      </c>
    </row>
    <row r="52" spans="1:7" x14ac:dyDescent="0.2">
      <c r="A52" s="1">
        <v>50</v>
      </c>
      <c r="B52" t="str">
        <f>HYPERLINK("https://eproc.rajasthan.gov.in/nicgep/app?component=%24DirectLink&amp;page=FrontEndViewTender&amp;service=direct&amp;session=T&amp;sp=SyOy8qadbOUs4EKg8Qb4v6w%3D%3D", "Annual Rate Contract for supply, providing and fixing various Electric items and various electric works under Sub Division Barmer")</f>
        <v>Annual Rate Contract for supply, providing and fixing various Electric items and various electric works under Sub Division Barmer</v>
      </c>
      <c r="C52" t="s">
        <v>139</v>
      </c>
      <c r="D52" t="s">
        <v>140</v>
      </c>
      <c r="E52" t="s">
        <v>145</v>
      </c>
      <c r="F52" t="s">
        <v>146</v>
      </c>
      <c r="G52" t="s">
        <v>76</v>
      </c>
    </row>
    <row r="53" spans="1:7" x14ac:dyDescent="0.2">
      <c r="A53" s="1">
        <v>51</v>
      </c>
      <c r="B53" t="str">
        <f>HYPERLINK("https://eproc.rajasthan.gov.in/nicgep/app?component=%24DirectLink&amp;page=FrontEndViewTender&amp;service=direct&amp;session=T&amp;sp=SOysb3rWD18SN%2FbzQUrKUDg%3D%3D", "Annual Rate contract for hiring of labours for Various electric works in District pali.")</f>
        <v>Annual Rate contract for hiring of labours for Various electric works in District pali.</v>
      </c>
      <c r="C53" t="s">
        <v>139</v>
      </c>
      <c r="D53" t="s">
        <v>140</v>
      </c>
      <c r="E53" t="s">
        <v>147</v>
      </c>
      <c r="F53" t="s">
        <v>148</v>
      </c>
      <c r="G53" t="s">
        <v>76</v>
      </c>
    </row>
    <row r="54" spans="1:7" x14ac:dyDescent="0.2">
      <c r="A54" s="1">
        <v>52</v>
      </c>
      <c r="B54" t="str">
        <f>HYPERLINK("https://eproc.rajasthan.gov.in/nicgep/app?component=%24DirectLink&amp;page=FrontEndViewTender&amp;service=direct&amp;session=T&amp;sp=SbVEvn0%2F8K0f34f4gFlmNMA%3D%3D", "Annual Rate Contract for supply, providing and fixing various Electric items and various electric works in Non Residential Building In District pali.")</f>
        <v>Annual Rate Contract for supply, providing and fixing various Electric items and various electric works in Non Residential Building In District pali.</v>
      </c>
      <c r="C54" t="s">
        <v>139</v>
      </c>
      <c r="D54" t="s">
        <v>140</v>
      </c>
      <c r="E54" t="s">
        <v>149</v>
      </c>
      <c r="F54" t="s">
        <v>150</v>
      </c>
      <c r="G54" t="s">
        <v>76</v>
      </c>
    </row>
    <row r="55" spans="1:7" x14ac:dyDescent="0.2">
      <c r="A55" s="1">
        <v>53</v>
      </c>
      <c r="B55" t="str">
        <f>HYPERLINK("https://eproc.rajasthan.gov.in/nicgep/app?component=%24DirectLink&amp;page=FrontEndViewTender&amp;service=direct&amp;session=T&amp;sp=SEpYRauHBL%2Fuu2j137ZANcg%3D%3D", "Annual Rate Contract for supply, providing and fixing various Electric items and various electric works in Residential Building In District pali.")</f>
        <v>Annual Rate Contract for supply, providing and fixing various Electric items and various electric works in Residential Building In District pali.</v>
      </c>
      <c r="C55" t="s">
        <v>139</v>
      </c>
      <c r="D55" t="s">
        <v>140</v>
      </c>
      <c r="E55" t="s">
        <v>151</v>
      </c>
      <c r="F55" t="s">
        <v>152</v>
      </c>
      <c r="G55" t="s">
        <v>76</v>
      </c>
    </row>
    <row r="56" spans="1:7" x14ac:dyDescent="0.2">
      <c r="A56" s="1">
        <v>54</v>
      </c>
      <c r="B56" t="str">
        <f>HYPERLINK("https://eproc.rajasthan.gov.in/nicgep/app?component=%24DirectLink&amp;page=FrontEndViewTender&amp;service=direct&amp;session=T&amp;sp=SsOAR6BLN7N%2BG9q4jFImI%2Fg%3D%3D", "Annual Rate Contract for hiring of labours for various electric works under sub division Barmer")</f>
        <v>Annual Rate Contract for hiring of labours for various electric works under sub division Barmer</v>
      </c>
      <c r="C56" t="s">
        <v>139</v>
      </c>
      <c r="D56" t="s">
        <v>140</v>
      </c>
      <c r="E56" t="s">
        <v>147</v>
      </c>
      <c r="F56" t="s">
        <v>153</v>
      </c>
      <c r="G56" t="s">
        <v>76</v>
      </c>
    </row>
    <row r="57" spans="1:7" x14ac:dyDescent="0.2">
      <c r="A57" s="1">
        <v>55</v>
      </c>
      <c r="B57" t="str">
        <f>HYPERLINK("https://eproc.rajasthan.gov.in/nicgep/app?component=%24DirectLink&amp;page=FrontEndViewTender&amp;service=direct&amp;session=T&amp;sp=SJxppd80fuyh1PAo9dmlglw%3D%3D", "Annual Rate contract for hiring of labours for Various electric works in District Sirohi.")</f>
        <v>Annual Rate contract for hiring of labours for Various electric works in District Sirohi.</v>
      </c>
      <c r="C57" t="s">
        <v>139</v>
      </c>
      <c r="D57" t="s">
        <v>140</v>
      </c>
      <c r="E57" t="s">
        <v>147</v>
      </c>
      <c r="F57" t="s">
        <v>154</v>
      </c>
      <c r="G57" t="s">
        <v>76</v>
      </c>
    </row>
    <row r="58" spans="1:7" x14ac:dyDescent="0.2">
      <c r="A58" s="1">
        <v>56</v>
      </c>
      <c r="B58" t="str">
        <f>HYPERLINK("https://eproc.rajasthan.gov.in/nicgep/app?component=%24DirectLink&amp;page=FrontEndViewTender&amp;service=direct&amp;session=T&amp;sp=SLQ6s6pRveVAOXFTsgRtZkQ%3D%3D", "Annual Rate Contract for supply, providindg and fixing various Electric items and various electric works under Sub Division HC II Jodhpur")</f>
        <v>Annual Rate Contract for supply, providindg and fixing various Electric items and various electric works under Sub Division HC II Jodhpur</v>
      </c>
      <c r="C58" t="s">
        <v>139</v>
      </c>
      <c r="D58" t="s">
        <v>140</v>
      </c>
      <c r="E58" t="s">
        <v>155</v>
      </c>
      <c r="F58" t="s">
        <v>156</v>
      </c>
      <c r="G58" t="s">
        <v>76</v>
      </c>
    </row>
    <row r="59" spans="1:7" x14ac:dyDescent="0.2">
      <c r="A59" s="1">
        <v>57</v>
      </c>
      <c r="B59" t="str">
        <f>HYPERLINK("https://eproc.rajasthan.gov.in/nicgep/app?component=%24DirectLink&amp;page=FrontEndViewTender&amp;service=direct&amp;session=T&amp;sp=SMiv%2F0sM%2FXQkIgSWCJAdCQQ%3D%3D", "Replacement of Underground Service cable to Overhead line at sardar patel university of police, Security and Criminal Justice Jodhpur")</f>
        <v>Replacement of Underground Service cable to Overhead line at sardar patel university of police, Security and Criminal Justice Jodhpur</v>
      </c>
      <c r="C59" t="s">
        <v>139</v>
      </c>
      <c r="D59" t="s">
        <v>140</v>
      </c>
      <c r="E59" t="s">
        <v>157</v>
      </c>
      <c r="F59" t="s">
        <v>158</v>
      </c>
      <c r="G59" t="s">
        <v>76</v>
      </c>
    </row>
    <row r="60" spans="1:7" x14ac:dyDescent="0.2">
      <c r="A60" s="1">
        <v>58</v>
      </c>
      <c r="B60" t="str">
        <f>HYPERLINK("https://eproc.rajasthan.gov.in/nicgep/app?component=%24DirectLink&amp;page=FrontEndViewTender&amp;service=direct&amp;session=T&amp;sp=STohS5E9MZjSiN3dWds7rBA%3D%3D", "Restoration of road cuttings made by different agencies on various roads under jurisdiction of City Sub Division IV Ajmer")</f>
        <v>Restoration of road cuttings made by different agencies on various roads under jurisdiction of City Sub Division IV Ajmer</v>
      </c>
      <c r="C60" t="s">
        <v>159</v>
      </c>
      <c r="D60" t="s">
        <v>129</v>
      </c>
      <c r="E60" t="s">
        <v>160</v>
      </c>
      <c r="F60" t="s">
        <v>161</v>
      </c>
      <c r="G60" t="s">
        <v>162</v>
      </c>
    </row>
    <row r="61" spans="1:7" x14ac:dyDescent="0.2">
      <c r="A61" s="1">
        <v>59</v>
      </c>
      <c r="B61" t="str">
        <f>HYPERLINK("https://eproc.rajasthan.gov.in/nicgep/app?component=%24DirectLink&amp;page=FrontEndViewTender&amp;service=direct&amp;session=T&amp;sp=SDEBT0A2YO9N%2BO2xJKTbB2w%3D%3D", "Annual Rate Contract for supply, providing and fixing various Electric items and various electric works under Sub Division Barmer")</f>
        <v>Annual Rate Contract for supply, providing and fixing various Electric items and various electric works under Sub Division Barmer</v>
      </c>
      <c r="C61" t="s">
        <v>139</v>
      </c>
      <c r="D61" t="s">
        <v>140</v>
      </c>
      <c r="E61" t="s">
        <v>163</v>
      </c>
      <c r="F61" t="s">
        <v>164</v>
      </c>
      <c r="G61" t="s">
        <v>76</v>
      </c>
    </row>
    <row r="62" spans="1:7" x14ac:dyDescent="0.2">
      <c r="A62" s="1">
        <v>60</v>
      </c>
      <c r="B62" t="str">
        <f>HYPERLINK("https://eproc.rajasthan.gov.in/nicgep/app?component=%24DirectLink&amp;page=FrontEndViewTender&amp;service=direct&amp;session=T&amp;sp=S%2BfNhj4O7Q5wbuyKGnaqC%2Bw%3D%3D", "Restoration of road cuttings made by different agencies on various roads under jurisdiction of Ajmer")</f>
        <v>Restoration of road cuttings made by different agencies on various roads under jurisdiction of Ajmer</v>
      </c>
      <c r="C62" t="s">
        <v>159</v>
      </c>
      <c r="D62" t="s">
        <v>129</v>
      </c>
      <c r="E62" t="s">
        <v>160</v>
      </c>
      <c r="F62" t="s">
        <v>165</v>
      </c>
      <c r="G62" t="s">
        <v>166</v>
      </c>
    </row>
    <row r="63" spans="1:7" x14ac:dyDescent="0.2">
      <c r="A63" s="1">
        <v>61</v>
      </c>
      <c r="B63" t="str">
        <f>HYPERLINK("https://eproc.rajasthan.gov.in/nicgep/app?component=%24DirectLink&amp;page=FrontEndViewTender&amp;service=direct&amp;session=T&amp;sp=SBdyjYgiq%2BpLd3hOuTDsVCQ%3D%3D", "Maintenance work on Various Roads under Jurisdiction of City Sub Div V Ajmer (Annual rate contract)")</f>
        <v>Maintenance work on Various Roads under Jurisdiction of City Sub Div V Ajmer (Annual rate contract)</v>
      </c>
      <c r="C63" t="s">
        <v>159</v>
      </c>
      <c r="D63" t="s">
        <v>129</v>
      </c>
      <c r="E63" t="s">
        <v>167</v>
      </c>
      <c r="F63" t="s">
        <v>168</v>
      </c>
      <c r="G63" t="s">
        <v>166</v>
      </c>
    </row>
    <row r="64" spans="1:7" x14ac:dyDescent="0.2">
      <c r="A64" s="1">
        <v>62</v>
      </c>
      <c r="B64" t="str">
        <f>HYPERLINK("https://eproc.rajasthan.gov.in/nicgep/app?component=%24DirectLink&amp;page=FrontEndViewTender&amp;service=direct&amp;session=T&amp;sp=S%2Br7PvvNn5TE3GqOB61s7nw%3D%3D", "Maintenance work on Various Roads under Jurisdiction of City Sub Div IV Ajmer (Annual rate contract)")</f>
        <v>Maintenance work on Various Roads under Jurisdiction of City Sub Div IV Ajmer (Annual rate contract)</v>
      </c>
      <c r="C64" t="s">
        <v>159</v>
      </c>
      <c r="D64" t="s">
        <v>129</v>
      </c>
      <c r="E64" t="s">
        <v>167</v>
      </c>
      <c r="F64" t="s">
        <v>169</v>
      </c>
      <c r="G64" t="s">
        <v>170</v>
      </c>
    </row>
    <row r="65" spans="1:7" x14ac:dyDescent="0.2">
      <c r="A65" s="1">
        <v>63</v>
      </c>
      <c r="B65" t="str">
        <f>HYPERLINK("https://eproc.rajasthan.gov.in/nicgep/app?component=%24DirectLink&amp;page=FrontEndViewTender&amp;service=direct&amp;session=T&amp;sp=S%2F%2Bs37r3MGF5fRN7yDvV%2BtA%3D%3D", "Annual Rate contract for hiring of Audio Visual Arrangement on various VIP Visits and other Function During year 2025-26")</f>
        <v>Annual Rate contract for hiring of Audio Visual Arrangement on various VIP Visits and other Function During year 2025-26</v>
      </c>
      <c r="C65" t="s">
        <v>139</v>
      </c>
      <c r="D65" t="s">
        <v>140</v>
      </c>
      <c r="E65" t="s">
        <v>171</v>
      </c>
      <c r="F65" t="s">
        <v>172</v>
      </c>
      <c r="G65" t="s">
        <v>76</v>
      </c>
    </row>
    <row r="66" spans="1:7" x14ac:dyDescent="0.2">
      <c r="A66" s="1">
        <v>64</v>
      </c>
      <c r="B66" t="str">
        <f>HYPERLINK("https://eproc.rajasthan.gov.in/nicgep/app?component=%24DirectLink&amp;page=FrontEndViewTender&amp;service=direct&amp;session=T&amp;sp=SNGwENyFVB5oCAhm%2BgoDmhQ%3D%3D", "Annual Rate contract for Hiring of Temporary lighting arrangement system on various VIP Visits and other Function During year 2025-26")</f>
        <v>Annual Rate contract for Hiring of Temporary lighting arrangement system on various VIP Visits and other Function During year 2025-26</v>
      </c>
      <c r="C66" t="s">
        <v>139</v>
      </c>
      <c r="D66" t="s">
        <v>140</v>
      </c>
      <c r="E66" t="s">
        <v>173</v>
      </c>
      <c r="F66" t="s">
        <v>174</v>
      </c>
      <c r="G66" t="s">
        <v>76</v>
      </c>
    </row>
    <row r="67" spans="1:7" x14ac:dyDescent="0.2">
      <c r="A67" s="1">
        <v>65</v>
      </c>
      <c r="B67" t="str">
        <f>HYPERLINK("https://eproc.rajasthan.gov.in/nicgep/app?component=%24DirectLink&amp;page=FrontEndViewTender&amp;service=direct&amp;session=T&amp;sp=S9JcBo412cuBaS6yKaoMJiw%3D%3D", "Annual Rate Contract for hiring of labours for various electric works under sub division HC II Jodhpur")</f>
        <v>Annual Rate Contract for hiring of labours for various electric works under sub division HC II Jodhpur</v>
      </c>
      <c r="C67" t="s">
        <v>139</v>
      </c>
      <c r="D67" t="s">
        <v>140</v>
      </c>
      <c r="E67" t="s">
        <v>175</v>
      </c>
      <c r="F67" t="s">
        <v>176</v>
      </c>
      <c r="G67" t="s">
        <v>76</v>
      </c>
    </row>
    <row r="68" spans="1:7" x14ac:dyDescent="0.2">
      <c r="A68" s="1">
        <v>66</v>
      </c>
      <c r="B68" t="str">
        <f>HYPERLINK("https://eproc.rajasthan.gov.in/nicgep/app?component=%24DirectLink&amp;page=FrontEndViewTender&amp;service=direct&amp;session=T&amp;sp=S4ce%2Fy%2FqepBuhA8wiKd71nw%3D%3D", "Annual Rate Contract for hiring of labours for various electric works under sub division HC I Jodhpur")</f>
        <v>Annual Rate Contract for hiring of labours for various electric works under sub division HC I Jodhpur</v>
      </c>
      <c r="C68" t="s">
        <v>139</v>
      </c>
      <c r="D68" t="s">
        <v>140</v>
      </c>
      <c r="E68" t="s">
        <v>177</v>
      </c>
      <c r="F68" t="s">
        <v>178</v>
      </c>
      <c r="G68" t="s">
        <v>76</v>
      </c>
    </row>
    <row r="69" spans="1:7" x14ac:dyDescent="0.2">
      <c r="A69" s="1">
        <v>67</v>
      </c>
      <c r="B69" t="str">
        <f>HYPERLINK("https://eproc.rajasthan.gov.in/nicgep/app?component=%24DirectLink&amp;page=FrontEndViewTender&amp;service=direct&amp;session=T&amp;sp=SjjW2mn3i4e%2BwsO8vMLiGwQ%3D%3D", "Additional Work Constt of Package No RJ-11-02/SRF/RR/ 2021-22")</f>
        <v>Additional Work Constt of Package No RJ-11-02/SRF/RR/ 2021-22</v>
      </c>
      <c r="C69" t="s">
        <v>179</v>
      </c>
      <c r="D69" t="s">
        <v>26</v>
      </c>
      <c r="E69" t="s">
        <v>180</v>
      </c>
      <c r="F69" t="s">
        <v>181</v>
      </c>
      <c r="G69" t="s">
        <v>182</v>
      </c>
    </row>
    <row r="70" spans="1:7" x14ac:dyDescent="0.2">
      <c r="A70" s="1">
        <v>68</v>
      </c>
      <c r="B70" t="str">
        <f>HYPERLINK("https://eproc.rajasthan.gov.in/nicgep/app?component=%24DirectLink&amp;page=FrontEndViewTender&amp;service=direct&amp;session=T&amp;sp=SaJ%2BcZAp%2Fhsk%2Bs03K9noglw%3D%3D", "Construction of Sankhala Fatak Underpass")</f>
        <v>Construction of Sankhala Fatak Underpass</v>
      </c>
      <c r="C70" t="s">
        <v>183</v>
      </c>
      <c r="D70" t="s">
        <v>184</v>
      </c>
      <c r="E70" t="s">
        <v>185</v>
      </c>
      <c r="F70" t="s">
        <v>186</v>
      </c>
      <c r="G70" t="s">
        <v>187</v>
      </c>
    </row>
    <row r="71" spans="1:7" x14ac:dyDescent="0.2">
      <c r="A71" s="1">
        <v>69</v>
      </c>
      <c r="B71" t="str">
        <f>HYPERLINK("https://eproc.rajasthan.gov.in/nicgep/app?component=%24DirectLink&amp;page=FrontEndViewTender&amp;service=direct&amp;session=T&amp;sp=SQ%2FeaoBRJyfdbcYHkaXqFrg%3D%3D", "Construction of two class rooms in govt. senior secondary school Ambasar.")</f>
        <v>Construction of two class rooms in govt. senior secondary school Ambasar.</v>
      </c>
      <c r="C71" t="s">
        <v>188</v>
      </c>
      <c r="D71" t="s">
        <v>56</v>
      </c>
      <c r="E71" t="s">
        <v>189</v>
      </c>
      <c r="F71" t="s">
        <v>190</v>
      </c>
      <c r="G71" t="s">
        <v>191</v>
      </c>
    </row>
    <row r="72" spans="1:7" x14ac:dyDescent="0.2">
      <c r="A72" s="1">
        <v>70</v>
      </c>
      <c r="B72" t="str">
        <f>HYPERLINK("https://eproc.rajasthan.gov.in/nicgep/app?component=%24DirectLink&amp;page=FrontEndViewTender&amp;service=direct&amp;session=T&amp;sp=Sw%2BpLeukoDD4h5tO2KCjgeQ%3D%3D", "Permanent Repair of CD work on Kotpura Jassupura Road")</f>
        <v>Permanent Repair of CD work on Kotpura Jassupura Road</v>
      </c>
      <c r="C72" t="s">
        <v>192</v>
      </c>
      <c r="D72" t="s">
        <v>26</v>
      </c>
      <c r="E72" t="s">
        <v>193</v>
      </c>
      <c r="F72" t="s">
        <v>194</v>
      </c>
      <c r="G72" t="s">
        <v>195</v>
      </c>
    </row>
    <row r="73" spans="1:7" x14ac:dyDescent="0.2">
      <c r="A73" s="1">
        <v>71</v>
      </c>
      <c r="B73" t="str">
        <f>HYPERLINK("https://eproc.rajasthan.gov.in/nicgep/app?component=%24DirectLink&amp;page=FrontEndViewTender&amp;service=direct&amp;session=T&amp;sp=SZxCZYNmKGLqbYN9zhnhQag%3D%3D", "Speical Repair of Road PWD Division Nagaur RJ-24-01/SR/2025-26 District Nagaur")</f>
        <v>Speical Repair of Road PWD Division Nagaur RJ-24-01/SR/2025-26 District Nagaur</v>
      </c>
      <c r="C73" t="s">
        <v>196</v>
      </c>
      <c r="D73" t="s">
        <v>26</v>
      </c>
      <c r="E73" t="s">
        <v>197</v>
      </c>
      <c r="F73" t="s">
        <v>198</v>
      </c>
      <c r="G73" t="s">
        <v>199</v>
      </c>
    </row>
    <row r="74" spans="1:7" x14ac:dyDescent="0.2">
      <c r="A74" s="1">
        <v>72</v>
      </c>
      <c r="B74" t="str">
        <f>HYPERLINK("https://eproc.rajasthan.gov.in/nicgep/app?component=%24DirectLink&amp;page=FrontEndViewTender&amp;service=direct&amp;session=T&amp;sp=SCcfxfI5LYh7ccUEquzTHIQ%3D%3D", "Construction of Various Road of Division Malpura Package No. RJ-32-01/VR/2025-26")</f>
        <v>Construction of Various Road of Division Malpura Package No. RJ-32-01/VR/2025-26</v>
      </c>
      <c r="C74" t="s">
        <v>200</v>
      </c>
      <c r="D74" t="s">
        <v>201</v>
      </c>
      <c r="E74" t="s">
        <v>202</v>
      </c>
      <c r="F74" t="s">
        <v>203</v>
      </c>
      <c r="G74" t="s">
        <v>204</v>
      </c>
    </row>
    <row r="75" spans="1:7" x14ac:dyDescent="0.2">
      <c r="A75" s="1">
        <v>73</v>
      </c>
      <c r="B75" t="str">
        <f>HYPERLINK("https://eproc.rajasthan.gov.in/nicgep/app?component=%24DirectLink&amp;page=FrontEndViewTender&amp;service=direct&amp;session=T&amp;sp=S%2Fa%2B5hn4On5WHO2lnC0nYaQ%3D%3D", "Detailed Project Report and EPC Documents etc. for Construction of High Level Bridge, Tonk Bamore Banetha Road (MDR-309) from Km 22/0 to 26/0 with approaches in District Tonk")</f>
        <v>Detailed Project Report and EPC Documents etc. for Construction of High Level Bridge, Tonk Bamore Banetha Road (MDR-309) from Km 22/0 to 26/0 with approaches in District Tonk</v>
      </c>
      <c r="C75" t="s">
        <v>205</v>
      </c>
      <c r="D75" t="s">
        <v>206</v>
      </c>
      <c r="E75" t="s">
        <v>207</v>
      </c>
      <c r="F75" t="s">
        <v>208</v>
      </c>
      <c r="G75" t="s">
        <v>204</v>
      </c>
    </row>
    <row r="76" spans="1:7" x14ac:dyDescent="0.2">
      <c r="A76" s="1">
        <v>74</v>
      </c>
      <c r="B76" t="str">
        <f>HYPERLINK("https://eproc.rajasthan.gov.in/nicgep/app?component=%24DirectLink&amp;page=FrontEndViewTender&amp;service=direct&amp;session=T&amp;sp=SLNvcdtjRJGQaHpFISfBejQ%3D%3D", "Repair and Maintenance Tehsil Office Gangapur city")</f>
        <v>Repair and Maintenance Tehsil Office Gangapur city</v>
      </c>
      <c r="C76" t="s">
        <v>205</v>
      </c>
      <c r="D76" t="s">
        <v>209</v>
      </c>
      <c r="E76" t="s">
        <v>210</v>
      </c>
      <c r="F76" t="s">
        <v>211</v>
      </c>
      <c r="G76" t="s">
        <v>212</v>
      </c>
    </row>
    <row r="77" spans="1:7" x14ac:dyDescent="0.2">
      <c r="A77" s="1">
        <v>75</v>
      </c>
      <c r="B77" t="str">
        <f>HYPERLINK("https://eproc.rajasthan.gov.in/nicgep/app?component=%24DirectLink&amp;page=FrontEndViewTender&amp;service=direct&amp;session=T&amp;sp=SRLXjZzbPruny2xJzCVireQ%3D%3D", "Repair SDO Residence Gangapur city")</f>
        <v>Repair SDO Residence Gangapur city</v>
      </c>
      <c r="C77" t="s">
        <v>205</v>
      </c>
      <c r="D77" t="s">
        <v>209</v>
      </c>
      <c r="E77" t="s">
        <v>213</v>
      </c>
      <c r="F77" t="s">
        <v>214</v>
      </c>
      <c r="G77" t="s">
        <v>212</v>
      </c>
    </row>
    <row r="78" spans="1:7" x14ac:dyDescent="0.2">
      <c r="A78" s="1">
        <v>76</v>
      </c>
      <c r="B78" t="str">
        <f>HYPERLINK("https://eproc.rajasthan.gov.in/nicgep/app?component=%24DirectLink&amp;page=FrontEndViewTender&amp;service=direct&amp;session=T&amp;sp=SRTpE8nAMVdYMQ6ecYVXYgg%3D%3D", "Construction of Bridge on Kadmali River at Sigri Hanumanji, Nimbahera Distt. Chittorgarh")</f>
        <v>Construction of Bridge on Kadmali River at Sigri Hanumanji, Nimbahera Distt. Chittorgarh</v>
      </c>
      <c r="C78" t="s">
        <v>215</v>
      </c>
      <c r="D78" t="s">
        <v>216</v>
      </c>
      <c r="E78" t="s">
        <v>217</v>
      </c>
      <c r="F78" t="s">
        <v>218</v>
      </c>
      <c r="G78" t="s">
        <v>219</v>
      </c>
    </row>
    <row r="79" spans="1:7" x14ac:dyDescent="0.2">
      <c r="A79" s="1">
        <v>77</v>
      </c>
      <c r="B79" t="str">
        <f>HYPERLINK("https://eproc.rajasthan.gov.in/nicgep/app?component=%24DirectLink&amp;page=FrontEndViewTender&amp;service=direct&amp;session=T&amp;sp=Stx8uxuB0blD97bgx0eQxMA%3D%3D", "Construction of Various Missing Link Roads in Barisadari Constituency in Distt. Chittorgarh")</f>
        <v>Construction of Various Missing Link Roads in Barisadari Constituency in Distt. Chittorgarh</v>
      </c>
      <c r="C79" t="s">
        <v>215</v>
      </c>
      <c r="D79" t="s">
        <v>216</v>
      </c>
      <c r="E79" t="s">
        <v>220</v>
      </c>
      <c r="F79" t="s">
        <v>221</v>
      </c>
      <c r="G79" t="s">
        <v>219</v>
      </c>
    </row>
    <row r="80" spans="1:7" x14ac:dyDescent="0.2">
      <c r="A80" s="1">
        <v>78</v>
      </c>
      <c r="B80" t="str">
        <f>HYPERLINK("https://eproc.rajasthan.gov.in/nicgep/app?component=%24DirectLink&amp;page=FrontEndViewTender&amp;service=direct&amp;session=T&amp;sp=Sx9GovBCm8UCASLbRxSQqBQ%3D%3D", "Construction of Work Shop Room and Class Room for New Fiber to Home Technician Trade at ITI Sikar")</f>
        <v>Construction of Work Shop Room and Class Room for New Fiber to Home Technician Trade at ITI Sikar</v>
      </c>
      <c r="C80" t="s">
        <v>222</v>
      </c>
      <c r="D80" t="s">
        <v>56</v>
      </c>
      <c r="E80" t="s">
        <v>223</v>
      </c>
      <c r="F80" t="s">
        <v>224</v>
      </c>
      <c r="G80" t="s">
        <v>225</v>
      </c>
    </row>
    <row r="81" spans="1:7" x14ac:dyDescent="0.2">
      <c r="A81" s="1">
        <v>79</v>
      </c>
      <c r="B81" t="str">
        <f>HYPERLINK("https://eproc.rajasthan.gov.in/nicgep/app?component=%24DirectLink&amp;page=FrontEndViewTender&amp;service=direct&amp;session=T&amp;sp=SYXxUxqyIcxe2%2FmKqGHXAqA%3D%3D", "Construction of Road from Gudha Khurd Gudha Kalan Road to Towards Grid (Johadi) Gudha Kalan (Remaning Work)")</f>
        <v>Construction of Road from Gudha Khurd Gudha Kalan Road to Towards Grid (Johadi) Gudha Kalan (Remaning Work)</v>
      </c>
      <c r="C81" t="s">
        <v>222</v>
      </c>
      <c r="D81" t="s">
        <v>56</v>
      </c>
      <c r="E81" t="s">
        <v>226</v>
      </c>
      <c r="F81" t="s">
        <v>227</v>
      </c>
      <c r="G81" t="s">
        <v>225</v>
      </c>
    </row>
    <row r="82" spans="1:7" x14ac:dyDescent="0.2">
      <c r="A82" s="1">
        <v>80</v>
      </c>
      <c r="B82" t="str">
        <f>HYPERLINK("https://eproc.rajasthan.gov.in/nicgep/app?component=%24DirectLink&amp;page=FrontEndViewTender&amp;service=direct&amp;session=T&amp;sp=S%2FXfDcZKpZReaQ5SB%2FHAoGg%3D%3D", "Construction of Road from Rajpura Balayion Ke Mohalle to Gogaji Side and Shishram Somra Ki Dhani (Remaining Work)")</f>
        <v>Construction of Road from Rajpura Balayion Ke Mohalle to Gogaji Side and Shishram Somra Ki Dhani (Remaining Work)</v>
      </c>
      <c r="C82" t="s">
        <v>222</v>
      </c>
      <c r="D82" t="s">
        <v>56</v>
      </c>
      <c r="E82" t="s">
        <v>228</v>
      </c>
      <c r="F82" t="s">
        <v>229</v>
      </c>
      <c r="G82" t="s">
        <v>225</v>
      </c>
    </row>
    <row r="83" spans="1:7" x14ac:dyDescent="0.2">
      <c r="A83" s="1">
        <v>81</v>
      </c>
      <c r="B83" t="str">
        <f>HYPERLINK("https://eproc.rajasthan.gov.in/nicgep/app?component=%24DirectLink&amp;page=FrontEndViewTender&amp;service=direct&amp;session=T&amp;sp=SITMJ10NKhotjBMK01GkPcw%3D%3D", "Renovation of Conference Hall at First Floor of ACB Jhalana Doongri, Jaipur (Furniture work)")</f>
        <v>Renovation of Conference Hall at First Floor of ACB Jhalana Doongri, Jaipur (Furniture work)</v>
      </c>
      <c r="C83" t="s">
        <v>55</v>
      </c>
      <c r="D83" t="s">
        <v>140</v>
      </c>
      <c r="E83" t="s">
        <v>230</v>
      </c>
      <c r="F83" t="s">
        <v>231</v>
      </c>
      <c r="G83" t="s">
        <v>59</v>
      </c>
    </row>
    <row r="84" spans="1:7" x14ac:dyDescent="0.2">
      <c r="A84" s="1">
        <v>82</v>
      </c>
      <c r="B84" t="str">
        <f>HYPERLINK("https://eproc.rajasthan.gov.in/nicgep/app?component=%24DirectLink&amp;page=FrontEndViewTender&amp;service=direct&amp;session=T&amp;sp=S3jjyWuIWoTVh9YvOqnNd%2BA%3D%3D", "Construction of CC road (Internal road) in EMRS Biharipura")</f>
        <v>Construction of CC road (Internal road) in EMRS Biharipura</v>
      </c>
      <c r="C84" t="s">
        <v>232</v>
      </c>
      <c r="D84" t="s">
        <v>26</v>
      </c>
      <c r="E84" t="s">
        <v>233</v>
      </c>
      <c r="F84" t="s">
        <v>234</v>
      </c>
      <c r="G84" t="s">
        <v>235</v>
      </c>
    </row>
    <row r="85" spans="1:7" x14ac:dyDescent="0.2">
      <c r="A85" s="1">
        <v>83</v>
      </c>
      <c r="B85" t="str">
        <f>HYPERLINK("https://eproc.rajasthan.gov.in/nicgep/app?component=%24DirectLink&amp;page=FrontEndViewTender&amp;service=direct&amp;session=T&amp;sp=SQGHJFTczAk296vibGdXuZg%3D%3D", "Construction of Class Room and Work Shop Room for Solar Technician Trade at ITI Sikar")</f>
        <v>Construction of Class Room and Work Shop Room for Solar Technician Trade at ITI Sikar</v>
      </c>
      <c r="C85" t="s">
        <v>222</v>
      </c>
      <c r="D85" t="s">
        <v>56</v>
      </c>
      <c r="E85" t="s">
        <v>236</v>
      </c>
      <c r="F85" t="s">
        <v>237</v>
      </c>
      <c r="G85" t="s">
        <v>225</v>
      </c>
    </row>
    <row r="86" spans="1:7" x14ac:dyDescent="0.2">
      <c r="A86" s="1">
        <v>84</v>
      </c>
      <c r="B86" t="str">
        <f>HYPERLINK("https://eproc.rajasthan.gov.in/nicgep/app?component=%24DirectLink&amp;page=FrontEndViewTender&amp;service=direct&amp;session=T&amp;sp=SG00nkyf8AcuZs5E5wwjwCw%3D%3D", "Construction of Road from Devgaon Sambhariya road to Mundli")</f>
        <v>Construction of Road from Devgaon Sambhariya road to Mundli</v>
      </c>
      <c r="C86" t="s">
        <v>232</v>
      </c>
      <c r="D86" t="s">
        <v>26</v>
      </c>
      <c r="E86" t="s">
        <v>238</v>
      </c>
      <c r="F86" t="s">
        <v>239</v>
      </c>
      <c r="G86" t="s">
        <v>235</v>
      </c>
    </row>
    <row r="87" spans="1:7" x14ac:dyDescent="0.2">
      <c r="A87" s="1">
        <v>85</v>
      </c>
      <c r="B87" t="str">
        <f>HYPERLINK("https://eproc.rajasthan.gov.in/nicgep/app?component=%24DirectLink&amp;page=FrontEndViewTender&amp;service=direct&amp;session=T&amp;sp=SL87RxJUxJT2AhzWSRXpkeA%3D%3D", "Renovation of Visitor room at Gate No. 2 in Raj Bhawan, Jaipur (Supply of Furniture)")</f>
        <v>Renovation of Visitor room at Gate No. 2 in Raj Bhawan, Jaipur (Supply of Furniture)</v>
      </c>
      <c r="C87" t="s">
        <v>55</v>
      </c>
      <c r="D87" t="s">
        <v>140</v>
      </c>
      <c r="E87" t="s">
        <v>240</v>
      </c>
      <c r="F87" t="s">
        <v>241</v>
      </c>
      <c r="G87" t="s">
        <v>59</v>
      </c>
    </row>
    <row r="88" spans="1:7" x14ac:dyDescent="0.2">
      <c r="A88" s="1">
        <v>86</v>
      </c>
      <c r="B88" t="str">
        <f>HYPERLINK("https://eproc.rajasthan.gov.in/nicgep/app?component=%24DirectLink&amp;page=FrontEndViewTender&amp;service=direct&amp;session=T&amp;sp=SiQlX4srMnVSmoyDuIt0UFQ%3D%3D", "Construction of Road Chomu Purohitan to Shahpura Thikriya, Hod to Barsinghpura, Athbigha to Sundardasji-Salwadi (Remaining Work)")</f>
        <v>Construction of Road Chomu Purohitan to Shahpura Thikriya, Hod to Barsinghpura, Athbigha to Sundardasji-Salwadi (Remaining Work)</v>
      </c>
      <c r="C88" t="s">
        <v>222</v>
      </c>
      <c r="D88" t="s">
        <v>56</v>
      </c>
      <c r="E88" t="s">
        <v>242</v>
      </c>
      <c r="F88" t="s">
        <v>243</v>
      </c>
      <c r="G88" t="s">
        <v>225</v>
      </c>
    </row>
    <row r="89" spans="1:7" x14ac:dyDescent="0.2">
      <c r="A89" s="1">
        <v>87</v>
      </c>
      <c r="B89" t="str">
        <f>HYPERLINK("https://eproc.rajasthan.gov.in/nicgep/app?component=%24DirectLink&amp;page=FrontEndViewTender&amp;service=direct&amp;session=T&amp;sp=SLsMRg%2B8uzDtVcrf%2FeCeRMQ%3D%3D", "Construction in Ward No 60 BT work on Main road of A-Block in Kalu ki dhani of Non Patchable-Missing Link sanction during 2022-23")</f>
        <v>Construction in Ward No 60 BT work on Main road of A-Block in Kalu ki dhani of Non Patchable-Missing Link sanction during 2022-23</v>
      </c>
      <c r="C89" t="s">
        <v>159</v>
      </c>
      <c r="D89" t="s">
        <v>244</v>
      </c>
      <c r="E89" t="s">
        <v>245</v>
      </c>
      <c r="F89" t="s">
        <v>246</v>
      </c>
      <c r="G89" t="s">
        <v>170</v>
      </c>
    </row>
    <row r="90" spans="1:7" x14ac:dyDescent="0.2">
      <c r="A90" s="1">
        <v>88</v>
      </c>
      <c r="B90" t="str">
        <f>HYPERLINK("https://eproc.rajasthan.gov.in/nicgep/app?component=%24DirectLink&amp;page=FrontEndViewTender&amp;service=direct&amp;session=T&amp;sp=S%2FNbA%2FJlUphXHFvfXGwFsmQ%3D%3D", "Construction of CC road in ward No 14 Khari Kui of Non Patchable-Missing Link sanction during 2022-23")</f>
        <v>Construction of CC road in ward No 14 Khari Kui of Non Patchable-Missing Link sanction during 2022-23</v>
      </c>
      <c r="C90" t="s">
        <v>159</v>
      </c>
      <c r="D90" t="s">
        <v>244</v>
      </c>
      <c r="E90" t="s">
        <v>247</v>
      </c>
      <c r="F90" t="s">
        <v>248</v>
      </c>
      <c r="G90" t="s">
        <v>170</v>
      </c>
    </row>
    <row r="91" spans="1:7" x14ac:dyDescent="0.2">
      <c r="A91" s="1">
        <v>89</v>
      </c>
      <c r="B91" t="str">
        <f>HYPERLINK("https://eproc.rajasthan.gov.in/nicgep/app?component=%24DirectLink&amp;page=FrontEndViewTender&amp;service=direct&amp;session=T&amp;sp=S0iiCmwVYsSgsIfVaLSqfhg%3D%3D", "CONSTRUCTION OF BOYS AND GIRLS TOILET WORK IN VARIOUS GOVT. SCHOOL BUILDING UNDER DMFT PACKAGE NO. DMFT/RAJ/GC-16/2025-26/01")</f>
        <v>CONSTRUCTION OF BOYS AND GIRLS TOILET WORK IN VARIOUS GOVT. SCHOOL BUILDING UNDER DMFT PACKAGE NO. DMFT/RAJ/GC-16/2025-26/01</v>
      </c>
      <c r="C91" t="s">
        <v>249</v>
      </c>
      <c r="D91" t="s">
        <v>250</v>
      </c>
      <c r="E91" t="s">
        <v>251</v>
      </c>
      <c r="F91" t="s">
        <v>252</v>
      </c>
      <c r="G91" t="s">
        <v>253</v>
      </c>
    </row>
    <row r="92" spans="1:7" x14ac:dyDescent="0.2">
      <c r="A92" s="1">
        <v>90</v>
      </c>
      <c r="B92" t="str">
        <f>HYPERLINK("https://eproc.rajasthan.gov.in/nicgep/app?component=%24DirectLink&amp;page=FrontEndViewTender&amp;service=direct&amp;session=T&amp;sp=Smd9d8qYEvMQvzUp3zEtW0A%3D%3D", "BT Road from Dhannadi Railway Phatak to Ramdev Mandir via reto ka mohalla Balupura Pani ki Tanki")</f>
        <v>BT Road from Dhannadi Railway Phatak to Ramdev Mandir via reto ka mohalla Balupura Pani ki Tanki</v>
      </c>
      <c r="C92" t="s">
        <v>159</v>
      </c>
      <c r="D92" t="s">
        <v>244</v>
      </c>
      <c r="E92" t="s">
        <v>254</v>
      </c>
      <c r="F92" t="s">
        <v>255</v>
      </c>
      <c r="G92" t="s">
        <v>170</v>
      </c>
    </row>
    <row r="93" spans="1:7" x14ac:dyDescent="0.2">
      <c r="A93" s="1">
        <v>91</v>
      </c>
      <c r="B93" t="str">
        <f>HYPERLINK("https://eproc.rajasthan.gov.in/nicgep/app?component=%24DirectLink&amp;page=FrontEndViewTender&amp;service=direct&amp;session=T&amp;sp=SNhZKwHbbLARYpV23UlmWKw%3D%3D", "CONSTRUCTION OF BOYS AND GIRLS TOILET WORK IN VARIOUS GOVT. SCHOOL BUILDING UNDER DMFT PACKAGE NO. DMFT/RAJ/GC-16/2025-26/02")</f>
        <v>CONSTRUCTION OF BOYS AND GIRLS TOILET WORK IN VARIOUS GOVT. SCHOOL BUILDING UNDER DMFT PACKAGE NO. DMFT/RAJ/GC-16/2025-26/02</v>
      </c>
      <c r="C93" t="s">
        <v>249</v>
      </c>
      <c r="D93" t="s">
        <v>250</v>
      </c>
      <c r="E93" t="s">
        <v>251</v>
      </c>
      <c r="F93" t="s">
        <v>256</v>
      </c>
      <c r="G93" t="s">
        <v>257</v>
      </c>
    </row>
    <row r="94" spans="1:7" x14ac:dyDescent="0.2">
      <c r="A94" s="1">
        <v>92</v>
      </c>
      <c r="B94" t="str">
        <f>HYPERLINK("https://eproc.rajasthan.gov.in/nicgep/app?component=%24DirectLink&amp;page=FrontEndViewTender&amp;service=direct&amp;session=T&amp;sp=S7xnSkBa7mEBo%2F15iqw18GQ%3D%3D", "Electrification work of Public Bunker at Jaisalmer")</f>
        <v>Electrification work of Public Bunker at Jaisalmer</v>
      </c>
      <c r="C94" t="s">
        <v>258</v>
      </c>
      <c r="D94" t="s">
        <v>259</v>
      </c>
      <c r="E94" t="s">
        <v>260</v>
      </c>
      <c r="F94" t="s">
        <v>261</v>
      </c>
      <c r="G94" t="s">
        <v>76</v>
      </c>
    </row>
    <row r="95" spans="1:7" x14ac:dyDescent="0.2">
      <c r="A95" s="1">
        <v>93</v>
      </c>
      <c r="B95" t="str">
        <f>HYPERLINK("https://eproc.rajasthan.gov.in/nicgep/app?component=%24DirectLink&amp;page=FrontEndViewTender&amp;service=direct&amp;session=T&amp;sp=Sl7wGl%2B3W1mNINvGlFM6Kww%3D%3D", "Work of sewer line from Anardeen shop to Badal Singh to Teliyo Khandera")</f>
        <v>Work of sewer line from Anardeen shop to Badal Singh to Teliyo Khandera</v>
      </c>
      <c r="C95" t="s">
        <v>188</v>
      </c>
      <c r="D95" t="s">
        <v>56</v>
      </c>
      <c r="E95" t="s">
        <v>262</v>
      </c>
      <c r="F95" t="s">
        <v>263</v>
      </c>
      <c r="G95" t="s">
        <v>264</v>
      </c>
    </row>
    <row r="96" spans="1:7" x14ac:dyDescent="0.2">
      <c r="A96" s="1">
        <v>94</v>
      </c>
      <c r="B96" t="str">
        <f>HYPERLINK("https://eproc.rajasthan.gov.in/nicgep/app?component=%24DirectLink&amp;page=FrontEndViewTender&amp;service=direct&amp;session=T&amp;sp=SRywFt2Bp%2B86gGh%2B%2FrVHtSQ%3D%3D", "Work of sewer line from infront of samudayik Hospital to Tarsingh mohta to Anardeen shop")</f>
        <v>Work of sewer line from infront of samudayik Hospital to Tarsingh mohta to Anardeen shop</v>
      </c>
      <c r="C96" t="s">
        <v>188</v>
      </c>
      <c r="D96" t="s">
        <v>56</v>
      </c>
      <c r="E96" t="s">
        <v>265</v>
      </c>
      <c r="F96" t="s">
        <v>266</v>
      </c>
      <c r="G96" t="s">
        <v>264</v>
      </c>
    </row>
    <row r="97" spans="1:7" x14ac:dyDescent="0.2">
      <c r="A97" s="1">
        <v>95</v>
      </c>
      <c r="B97" t="str">
        <f>HYPERLINK("https://eproc.rajasthan.gov.in/nicgep/app?component=%24DirectLink&amp;page=FrontEndViewTender&amp;service=direct&amp;session=T&amp;sp=S%2BHGPpT0sL82HOvCy%2BsQ2%2Fw%3D%3D", "Work of sewer line from Teliyo Khandera to end point of Bagolai.")</f>
        <v>Work of sewer line from Teliyo Khandera to end point of Bagolai.</v>
      </c>
      <c r="C97" t="s">
        <v>188</v>
      </c>
      <c r="D97" t="s">
        <v>56</v>
      </c>
      <c r="E97" t="s">
        <v>189</v>
      </c>
      <c r="F97" t="s">
        <v>267</v>
      </c>
      <c r="G97" t="s">
        <v>264</v>
      </c>
    </row>
    <row r="98" spans="1:7" x14ac:dyDescent="0.2">
      <c r="A98" s="1">
        <v>96</v>
      </c>
      <c r="B98" t="str">
        <f>HYPERLINK("https://eproc.rajasthan.gov.in/nicgep/app?component=%24DirectLink&amp;page=FrontEndViewTender&amp;service=direct&amp;session=T&amp;sp=SILpGCxkfBrspxFEAS9khLQ%3D%3D", "Work of sewer line from manuj depawat statue to samudayik hospital")</f>
        <v>Work of sewer line from manuj depawat statue to samudayik hospital</v>
      </c>
      <c r="C98" t="s">
        <v>188</v>
      </c>
      <c r="D98" t="s">
        <v>56</v>
      </c>
      <c r="E98" t="s">
        <v>268</v>
      </c>
      <c r="F98" t="s">
        <v>269</v>
      </c>
      <c r="G98" t="s">
        <v>264</v>
      </c>
    </row>
    <row r="99" spans="1:7" x14ac:dyDescent="0.2">
      <c r="A99" s="1">
        <v>97</v>
      </c>
      <c r="B99" t="str">
        <f>HYPERLINK("https://eproc.rajasthan.gov.in/nicgep/app?component=%24DirectLink&amp;page=FrontEndViewTender&amp;service=direct&amp;session=T&amp;sp=SLA8xo4aVmeZnyFKJ7VUkzQ%3D%3D", "Construction of Road From Raseedpura upto Akwa Distt-Sikar")</f>
        <v>Construction of Road From Raseedpura upto Akwa Distt-Sikar</v>
      </c>
      <c r="C99" t="s">
        <v>222</v>
      </c>
      <c r="D99" t="s">
        <v>270</v>
      </c>
      <c r="E99" t="s">
        <v>271</v>
      </c>
      <c r="F99" t="s">
        <v>272</v>
      </c>
      <c r="G99" t="s">
        <v>225</v>
      </c>
    </row>
    <row r="100" spans="1:7" x14ac:dyDescent="0.2">
      <c r="A100" s="1">
        <v>98</v>
      </c>
      <c r="B100" t="str">
        <f>HYPERLINK("https://eproc.rajasthan.gov.in/nicgep/app?component=%24DirectLink&amp;page=FrontEndViewTender&amp;service=direct&amp;session=T&amp;sp=Se226z5DAnedRmUCg6wpnYQ%3D%3D", "Strengthening and Widening Work of Nechhawa Mukhya stand to Sub division office and Balaji stand road Distt-Sikar")</f>
        <v>Strengthening and Widening Work of Nechhawa Mukhya stand to Sub division office and Balaji stand road Distt-Sikar</v>
      </c>
      <c r="C100" t="s">
        <v>222</v>
      </c>
      <c r="D100" t="s">
        <v>270</v>
      </c>
      <c r="E100" t="s">
        <v>273</v>
      </c>
      <c r="F100" t="s">
        <v>274</v>
      </c>
      <c r="G100" t="s">
        <v>275</v>
      </c>
    </row>
    <row r="101" spans="1:7" x14ac:dyDescent="0.2">
      <c r="A101" s="1">
        <v>99</v>
      </c>
      <c r="B101" t="str">
        <f>HYPERLINK("https://eproc.rajasthan.gov.in/nicgep/app?component=%24DirectLink&amp;page=FrontEndViewTender&amp;service=direct&amp;session=T&amp;sp=SojBRoh12TRYZPD3hAerolQ%3D%3D", "NH-52 REENGUS TO SHRIMADHOPUR (SH-113 KM 80/00 TO 89/00 AND SH-37 KM 56/600 TO 59/600) DISTT-SIKAR")</f>
        <v>NH-52 REENGUS TO SHRIMADHOPUR (SH-113 KM 80/00 TO 89/00 AND SH-37 KM 56/600 TO 59/600) DISTT-SIKAR</v>
      </c>
      <c r="C101" t="s">
        <v>222</v>
      </c>
      <c r="D101" t="s">
        <v>270</v>
      </c>
      <c r="E101" t="s">
        <v>276</v>
      </c>
      <c r="F101" t="s">
        <v>277</v>
      </c>
      <c r="G101" t="s">
        <v>225</v>
      </c>
    </row>
    <row r="102" spans="1:7" x14ac:dyDescent="0.2">
      <c r="A102" s="1">
        <v>100</v>
      </c>
      <c r="B102" t="str">
        <f>HYPERLINK("https://eproc.rajasthan.gov.in/nicgep/app?component=%24DirectLink&amp;page=FrontEndViewTender&amp;service=direct&amp;session=T&amp;sp=S4ji6aMQKBXwqVEsDI9nPjw%3D%3D", "CONSTRUCTION OF ROAD FROM SAMOTA KI DHANI ( KOTADI LUHARWAS) TO ABHAWAS VIA BHAIRA , SUKHPURA, GOKUL KA BAS , SURPURA, JHUFA, JANKIPURA, GOLDI JOHADI , VIJAYPURA, SONTHALIYA, LAKHANI, TAPIPALIYA ROAD Distt-Sikar")</f>
        <v>CONSTRUCTION OF ROAD FROM SAMOTA KI DHANI ( KOTADI LUHARWAS) TO ABHAWAS VIA BHAIRA , SUKHPURA, GOKUL KA BAS , SURPURA, JHUFA, JANKIPURA, GOLDI JOHADI , VIJAYPURA, SONTHALIYA, LAKHANI, TAPIPALIYA ROAD Distt-Sikar</v>
      </c>
      <c r="C102" t="s">
        <v>222</v>
      </c>
      <c r="D102" t="s">
        <v>270</v>
      </c>
      <c r="E102" t="s">
        <v>278</v>
      </c>
      <c r="F102" t="s">
        <v>279</v>
      </c>
      <c r="G102" t="s">
        <v>225</v>
      </c>
    </row>
    <row r="103" spans="1:7" x14ac:dyDescent="0.2">
      <c r="A103" s="1">
        <v>101</v>
      </c>
      <c r="B103" t="str">
        <f>HYPERLINK("https://eproc.rajasthan.gov.in/nicgep/app?component=%24DirectLink&amp;page=FrontEndViewTender&amp;service=direct&amp;session=T&amp;sp=SsoNleJp4lhZoMLBvztn9GQ%3D%3D", "REPAIR WORK IN QTR. NO DR-154 DHOLPUR")</f>
        <v>REPAIR WORK IN QTR. NO DR-154 DHOLPUR</v>
      </c>
      <c r="C103" t="s">
        <v>192</v>
      </c>
      <c r="D103" t="s">
        <v>270</v>
      </c>
      <c r="E103" t="s">
        <v>280</v>
      </c>
      <c r="F103" t="s">
        <v>281</v>
      </c>
      <c r="G103" t="s">
        <v>282</v>
      </c>
    </row>
    <row r="104" spans="1:7" x14ac:dyDescent="0.2">
      <c r="A104" s="1">
        <v>102</v>
      </c>
      <c r="B104" t="str">
        <f>HYPERLINK("https://eproc.rajasthan.gov.in/nicgep/app?component=%24DirectLink&amp;page=FrontEndViewTender&amp;service=direct&amp;session=T&amp;sp=SAr%2FjI3dsXR7qelmcypsrIQ%3D%3D", "REPAIR WORK IN COURT COMPALEX PREMISES,DHOLPUR")</f>
        <v>REPAIR WORK IN COURT COMPALEX PREMISES,DHOLPUR</v>
      </c>
      <c r="C104" t="s">
        <v>192</v>
      </c>
      <c r="D104" t="s">
        <v>270</v>
      </c>
      <c r="E104" t="s">
        <v>283</v>
      </c>
      <c r="F104" t="s">
        <v>284</v>
      </c>
      <c r="G104" t="s">
        <v>282</v>
      </c>
    </row>
    <row r="105" spans="1:7" x14ac:dyDescent="0.2">
      <c r="A105" s="1">
        <v>103</v>
      </c>
      <c r="B105" t="str">
        <f>HYPERLINK("https://eproc.rajasthan.gov.in/nicgep/app?component=%24DirectLink&amp;page=FrontEndViewTender&amp;service=direct&amp;session=T&amp;sp=SE%2F0e1Kd6hi2E2au2n5zVkA%3D%3D", "REPAIR AND MAINTENANCE WORK OF RESIDENTIAL BUILDING DHOLPUR F.Y 2025-26")</f>
        <v>REPAIR AND MAINTENANCE WORK OF RESIDENTIAL BUILDING DHOLPUR F.Y 2025-26</v>
      </c>
      <c r="C105" t="s">
        <v>192</v>
      </c>
      <c r="D105" t="s">
        <v>270</v>
      </c>
      <c r="E105" t="s">
        <v>285</v>
      </c>
      <c r="F105" t="s">
        <v>286</v>
      </c>
      <c r="G105" t="s">
        <v>282</v>
      </c>
    </row>
    <row r="106" spans="1:7" x14ac:dyDescent="0.2">
      <c r="A106" s="1">
        <v>104</v>
      </c>
      <c r="B106" t="str">
        <f>HYPERLINK("https://eproc.rajasthan.gov.in/nicgep/app?component=%24DirectLink&amp;page=FrontEndViewTender&amp;service=direct&amp;session=T&amp;sp=SFjSIdvM9jYG1TK9yFdNwIw%3D%3D", "BUILDING ROOM CONSTRUCITON WORK FOR OFFICER BUILDING NEAR CIRCUIT HOUSE, DHOLPUR")</f>
        <v>BUILDING ROOM CONSTRUCITON WORK FOR OFFICER BUILDING NEAR CIRCUIT HOUSE, DHOLPUR</v>
      </c>
      <c r="C106" t="s">
        <v>192</v>
      </c>
      <c r="D106" t="s">
        <v>270</v>
      </c>
      <c r="E106" t="s">
        <v>287</v>
      </c>
      <c r="F106" t="s">
        <v>288</v>
      </c>
      <c r="G106" t="s">
        <v>282</v>
      </c>
    </row>
    <row r="107" spans="1:7" x14ac:dyDescent="0.2">
      <c r="A107" s="1">
        <v>105</v>
      </c>
      <c r="B107" t="str">
        <f>HYPERLINK("https://eproc.rajasthan.gov.in/nicgep/app?component=%24DirectLink&amp;page=FrontEndViewTender&amp;service=direct&amp;session=T&amp;sp=SXtsmdtFchfGCsZeahTeeCg%3D%3D", "Construction of Road from Kasli to Binjasi Via Netarwas Bhuwala and Ladwa Distt-Sikar")</f>
        <v>Construction of Road from Kasli to Binjasi Via Netarwas Bhuwala and Ladwa Distt-Sikar</v>
      </c>
      <c r="C107" t="s">
        <v>222</v>
      </c>
      <c r="D107" t="s">
        <v>270</v>
      </c>
      <c r="E107" t="s">
        <v>289</v>
      </c>
      <c r="F107" t="s">
        <v>290</v>
      </c>
      <c r="G107" t="s">
        <v>225</v>
      </c>
    </row>
    <row r="108" spans="1:7" x14ac:dyDescent="0.2">
      <c r="A108" s="1">
        <v>106</v>
      </c>
      <c r="B108" t="str">
        <f>HYPERLINK("https://eproc.rajasthan.gov.in/nicgep/app?component=%24DirectLink&amp;page=FrontEndViewTender&amp;service=direct&amp;session=T&amp;sp=S3HW9cX03yQ%2FyfQBoM1Fm4Q%3D%3D", "Widening and Strengthening of road from Lunkaransar to Baderan Km 0/0 to 15/0")</f>
        <v>Widening and Strengthening of road from Lunkaransar to Baderan Km 0/0 to 15/0</v>
      </c>
      <c r="C108" t="s">
        <v>291</v>
      </c>
      <c r="D108" t="s">
        <v>184</v>
      </c>
      <c r="E108" t="s">
        <v>292</v>
      </c>
      <c r="F108" t="s">
        <v>293</v>
      </c>
      <c r="G108" t="s">
        <v>294</v>
      </c>
    </row>
    <row r="109" spans="1:7" x14ac:dyDescent="0.2">
      <c r="A109" s="1">
        <v>107</v>
      </c>
      <c r="B109" t="str">
        <f>HYPERLINK("https://eproc.rajasthan.gov.in/nicgep/app?component=%24DirectLink&amp;page=FrontEndViewTender&amp;service=direct&amp;session=T&amp;sp=StQWyVU%2BAKeYbK7fey8%2F%2FKA%3D%3D", "Painting work in Aranya Bhawan, Jaipur")</f>
        <v>Painting work in Aranya Bhawan, Jaipur</v>
      </c>
      <c r="C109" t="s">
        <v>55</v>
      </c>
      <c r="D109" t="s">
        <v>129</v>
      </c>
      <c r="E109" t="s">
        <v>295</v>
      </c>
      <c r="F109" t="s">
        <v>296</v>
      </c>
      <c r="G109" t="s">
        <v>59</v>
      </c>
    </row>
    <row r="110" spans="1:7" x14ac:dyDescent="0.2">
      <c r="A110" s="1">
        <v>108</v>
      </c>
      <c r="B110" t="str">
        <f>HYPERLINK("https://eproc.rajasthan.gov.in/nicgep/app?component=%24DirectLink&amp;page=FrontEndViewTender&amp;service=direct&amp;session=T&amp;sp=SCtyj0xY%2BsSqcz9o4QZ71PQ%3D%3D", "Repair and Maintenance work at J/1/1 and J/1/15 Judicial Bunglows in Vikrmaditya Colony, Jodhpur")</f>
        <v>Repair and Maintenance work at J/1/1 and J/1/15 Judicial Bunglows in Vikrmaditya Colony, Jodhpur</v>
      </c>
      <c r="C110" t="s">
        <v>73</v>
      </c>
      <c r="D110" t="s">
        <v>259</v>
      </c>
      <c r="E110" t="s">
        <v>297</v>
      </c>
      <c r="F110" t="s">
        <v>298</v>
      </c>
      <c r="G110" t="s">
        <v>76</v>
      </c>
    </row>
    <row r="111" spans="1:7" x14ac:dyDescent="0.2">
      <c r="A111" s="1">
        <v>109</v>
      </c>
      <c r="B111" t="str">
        <f>HYPERLINK("https://eproc.rajasthan.gov.in/nicgep/app?component=%24DirectLink&amp;page=FrontEndViewTender&amp;service=direct&amp;session=T&amp;sp=SnYIqftMlMACsSj2%2FHH8BiA%3D%3D", "Repair and Maintenance work at J/I/13 Judicial Bunglow in Vikrmaditya Colony, Jodhpur")</f>
        <v>Repair and Maintenance work at J/I/13 Judicial Bunglow in Vikrmaditya Colony, Jodhpur</v>
      </c>
      <c r="C111" t="s">
        <v>73</v>
      </c>
      <c r="D111" t="s">
        <v>259</v>
      </c>
      <c r="E111" t="s">
        <v>299</v>
      </c>
      <c r="F111" t="s">
        <v>300</v>
      </c>
      <c r="G111" t="s">
        <v>76</v>
      </c>
    </row>
    <row r="112" spans="1:7" x14ac:dyDescent="0.2">
      <c r="A112" s="1">
        <v>110</v>
      </c>
      <c r="B112" t="str">
        <f>HYPERLINK("https://eproc.rajasthan.gov.in/nicgep/app?component=%24DirectLink&amp;page=FrontEndViewTender&amp;service=direct&amp;session=T&amp;sp=SuZyzFAE4y9q4c1FLviYheg%3D%3D", "STRENGTHENING AND WIDENING AND WORK OF MDR25B TO KAMALSAR TO DELOI SOUTH TO SIRYASAR KHURD PURIA DELOI PUNIA KA BASS KUMAS SHEKHSAR NAND KA BASS NAND STAND TOLIYASAR TO SH37 IN MANDAWA")</f>
        <v>STRENGTHENING AND WIDENING AND WORK OF MDR25B TO KAMALSAR TO DELOI SOUTH TO SIRYASAR KHURD PURIA DELOI PUNIA KA BASS KUMAS SHEKHSAR NAND KA BASS NAND STAND TOLIYASAR TO SH37 IN MANDAWA</v>
      </c>
      <c r="C112" t="s">
        <v>301</v>
      </c>
      <c r="D112" t="s">
        <v>270</v>
      </c>
      <c r="E112" t="s">
        <v>302</v>
      </c>
      <c r="F112" t="s">
        <v>303</v>
      </c>
      <c r="G112" t="s">
        <v>304</v>
      </c>
    </row>
    <row r="113" spans="1:7" x14ac:dyDescent="0.2">
      <c r="A113" s="1">
        <v>111</v>
      </c>
      <c r="B113" t="str">
        <f>HYPERLINK("https://eproc.rajasthan.gov.in/nicgep/app?component=%24DirectLink&amp;page=FrontEndViewTender&amp;service=direct&amp;session=T&amp;sp=SlrW62AkVsL7njthrkj3OnA%3D%3D", "Construction of RUB at Kote Gate Railway Fatak")</f>
        <v>Construction of RUB at Kote Gate Railway Fatak</v>
      </c>
      <c r="C113" t="s">
        <v>183</v>
      </c>
      <c r="D113" t="s">
        <v>84</v>
      </c>
      <c r="E113" t="s">
        <v>305</v>
      </c>
      <c r="F113" t="s">
        <v>306</v>
      </c>
      <c r="G113" t="s">
        <v>294</v>
      </c>
    </row>
    <row r="114" spans="1:7" x14ac:dyDescent="0.2">
      <c r="A114" s="1">
        <v>112</v>
      </c>
      <c r="B114" t="str">
        <f>HYPERLINK("https://eproc.rajasthan.gov.in/nicgep/app?component=%24DirectLink&amp;page=FrontEndViewTender&amp;service=direct&amp;session=T&amp;sp=SoDSawjgdNM%2BI4%2FCxmULyDg%3D%3D", "Joinary Repair Work in Bunglow No. A-12 Under sub dn. Gandhi Nagar IV Jaipur. (Sanction work )")</f>
        <v>Joinary Repair Work in Bunglow No. A-12 Under sub dn. Gandhi Nagar IV Jaipur. (Sanction work )</v>
      </c>
      <c r="C114" t="s">
        <v>102</v>
      </c>
      <c r="D114" t="s">
        <v>56</v>
      </c>
      <c r="E114" t="s">
        <v>307</v>
      </c>
      <c r="F114" t="s">
        <v>308</v>
      </c>
      <c r="G114" t="s">
        <v>309</v>
      </c>
    </row>
    <row r="115" spans="1:7" x14ac:dyDescent="0.2">
      <c r="A115" s="1">
        <v>113</v>
      </c>
      <c r="B115" t="str">
        <f>HYPERLINK("https://eproc.rajasthan.gov.in/nicgep/app?component=%24DirectLink&amp;page=FrontEndViewTender&amp;service=direct&amp;session=T&amp;sp=SA70qiku23KnXoGhbeZqhnw%3D%3D", "Construction of New Room in Qtr. No. I-54 Under Sub Dn Gandhi Nagar I Jaipur. (Sanction work )")</f>
        <v>Construction of New Room in Qtr. No. I-54 Under Sub Dn Gandhi Nagar I Jaipur. (Sanction work )</v>
      </c>
      <c r="C115" t="s">
        <v>102</v>
      </c>
      <c r="D115" t="s">
        <v>56</v>
      </c>
      <c r="E115" t="s">
        <v>310</v>
      </c>
      <c r="F115" t="s">
        <v>311</v>
      </c>
      <c r="G115" t="s">
        <v>309</v>
      </c>
    </row>
    <row r="116" spans="1:7" x14ac:dyDescent="0.2">
      <c r="A116" s="1">
        <v>114</v>
      </c>
      <c r="B116" t="str">
        <f>HYPERLINK("https://eproc.rajasthan.gov.in/nicgep/app?component=%24DirectLink&amp;page=FrontEndViewTender&amp;service=direct&amp;session=T&amp;sp=SQ1pltZefgUxoDak%2BsBmCjA%3D%3D", "Various civil and repair work in Indira Gandhi Panchyati Raj Sansthan, JLN Marg Jaipur (deposit work)")</f>
        <v>Various civil and repair work in Indira Gandhi Panchyati Raj Sansthan, JLN Marg Jaipur (deposit work)</v>
      </c>
      <c r="C116" t="s">
        <v>102</v>
      </c>
      <c r="D116" t="s">
        <v>56</v>
      </c>
      <c r="E116" t="s">
        <v>312</v>
      </c>
      <c r="F116" t="s">
        <v>313</v>
      </c>
      <c r="G116" t="s">
        <v>309</v>
      </c>
    </row>
    <row r="117" spans="1:7" x14ac:dyDescent="0.2">
      <c r="A117" s="1">
        <v>115</v>
      </c>
      <c r="B117" t="str">
        <f>HYPERLINK("https://eproc.rajasthan.gov.in/nicgep/app?component=%24DirectLink&amp;page=FrontEndViewTender&amp;service=direct&amp;session=T&amp;sp=S8945j0w9%2BWB7KiAM3oMN7g%3D%3D", "Sanitary work in Qtrs. No. A-12 Under Sub Dn Gandhi Nagar IV Jaipur. (Sanction work )")</f>
        <v>Sanitary work in Qtrs. No. A-12 Under Sub Dn Gandhi Nagar IV Jaipur. (Sanction work )</v>
      </c>
      <c r="C117" t="s">
        <v>102</v>
      </c>
      <c r="D117" t="s">
        <v>56</v>
      </c>
      <c r="E117" t="s">
        <v>307</v>
      </c>
      <c r="F117" t="s">
        <v>314</v>
      </c>
      <c r="G117" t="s">
        <v>309</v>
      </c>
    </row>
    <row r="118" spans="1:7" x14ac:dyDescent="0.2">
      <c r="A118" s="1">
        <v>116</v>
      </c>
      <c r="B118" t="str">
        <f>HYPERLINK("https://eproc.rajasthan.gov.in/nicgep/app?component=%24DirectLink&amp;page=FrontEndViewTender&amp;service=direct&amp;session=T&amp;sp=SrI0X8gM4ykHK9In2xvUeOw%3D%3D", "Civil Repair Work in New Transit Hostal under Sub Dn Gandhi Nagar IV Jaipur (Sanction work )")</f>
        <v>Civil Repair Work in New Transit Hostal under Sub Dn Gandhi Nagar IV Jaipur (Sanction work )</v>
      </c>
      <c r="C118" t="s">
        <v>102</v>
      </c>
      <c r="D118" t="s">
        <v>56</v>
      </c>
      <c r="E118" t="s">
        <v>315</v>
      </c>
      <c r="F118" t="s">
        <v>316</v>
      </c>
      <c r="G118" t="s">
        <v>309</v>
      </c>
    </row>
    <row r="119" spans="1:7" x14ac:dyDescent="0.2">
      <c r="A119" s="1">
        <v>117</v>
      </c>
      <c r="B119" t="str">
        <f>HYPERLINK("https://eproc.rajasthan.gov.in/nicgep/app?component=%24DirectLink&amp;page=FrontEndViewTender&amp;service=direct&amp;session=T&amp;sp=SpG2IIfBUb7VydR%2F4KqeIzA%3D%3D", "Construction of New Hall and Supply of Chairs at Mokshdham Ganatpura Road Ward No 66 Jaipur. (deposit work)")</f>
        <v>Construction of New Hall and Supply of Chairs at Mokshdham Ganatpura Road Ward No 66 Jaipur. (deposit work)</v>
      </c>
      <c r="C119" t="s">
        <v>102</v>
      </c>
      <c r="D119" t="s">
        <v>56</v>
      </c>
      <c r="E119" t="s">
        <v>317</v>
      </c>
      <c r="F119" t="s">
        <v>318</v>
      </c>
      <c r="G119" t="s">
        <v>309</v>
      </c>
    </row>
    <row r="120" spans="1:7" x14ac:dyDescent="0.2">
      <c r="A120" s="1">
        <v>118</v>
      </c>
      <c r="B120" t="str">
        <f>HYPERLINK("https://eproc.rajasthan.gov.in/nicgep/app?component=%24DirectLink&amp;page=FrontEndViewTender&amp;service=direct&amp;session=T&amp;sp=S5m3gAx4rMlYXgeU%2FTiCKFg%3D%3D", "Construction of Boundary wall at Residential Qtr. Campus of Banipark Thana Jaipur. (Sanction work )")</f>
        <v>Construction of Boundary wall at Residential Qtr. Campus of Banipark Thana Jaipur. (Sanction work )</v>
      </c>
      <c r="C120" t="s">
        <v>102</v>
      </c>
      <c r="D120" t="s">
        <v>56</v>
      </c>
      <c r="E120" t="s">
        <v>319</v>
      </c>
      <c r="F120" t="s">
        <v>320</v>
      </c>
      <c r="G120" t="s">
        <v>309</v>
      </c>
    </row>
    <row r="121" spans="1:7" x14ac:dyDescent="0.2">
      <c r="A121" s="1">
        <v>119</v>
      </c>
      <c r="B121" t="str">
        <f>HYPERLINK("https://eproc.rajasthan.gov.in/nicgep/app?component=%24DirectLink&amp;page=FrontEndViewTender&amp;service=direct&amp;session=T&amp;sp=SEJWnYFgM1o6uWGuUe0x%2Bfg%3D%3D", "Civil Repair Work in Qtr. No. 4/5 Under Sub Dn. Sec III Gandhi Nagar I Jaipur (Sanction work )")</f>
        <v>Civil Repair Work in Qtr. No. 4/5 Under Sub Dn. Sec III Gandhi Nagar I Jaipur (Sanction work )</v>
      </c>
      <c r="C121" t="s">
        <v>102</v>
      </c>
      <c r="D121" t="s">
        <v>56</v>
      </c>
      <c r="E121" t="s">
        <v>321</v>
      </c>
      <c r="F121" t="s">
        <v>322</v>
      </c>
      <c r="G121" t="s">
        <v>309</v>
      </c>
    </row>
    <row r="122" spans="1:7" x14ac:dyDescent="0.2">
      <c r="A122" s="1">
        <v>120</v>
      </c>
      <c r="B122" t="str">
        <f>HYPERLINK("https://eproc.rajasthan.gov.in/nicgep/app?component=%24DirectLink&amp;page=FrontEndViewTender&amp;service=direct&amp;session=T&amp;sp=SzsTNbR%2FJ8tipoge1pKn7QA%3D%3D", "Painting work in Old Qtr. No. 1 to 6 at Police Station Sanganer Sadar Jaipur. (Sanction work )")</f>
        <v>Painting work in Old Qtr. No. 1 to 6 at Police Station Sanganer Sadar Jaipur. (Sanction work )</v>
      </c>
      <c r="C122" t="s">
        <v>102</v>
      </c>
      <c r="D122" t="s">
        <v>56</v>
      </c>
      <c r="E122" t="s">
        <v>323</v>
      </c>
      <c r="F122" t="s">
        <v>324</v>
      </c>
      <c r="G122" t="s">
        <v>309</v>
      </c>
    </row>
    <row r="123" spans="1:7" x14ac:dyDescent="0.2">
      <c r="A123" s="1">
        <v>121</v>
      </c>
      <c r="B123" t="str">
        <f>HYPERLINK("https://eproc.rajasthan.gov.in/nicgep/app?component=%24DirectLink&amp;page=FrontEndViewTender&amp;service=direct&amp;session=T&amp;sp=SfCOo7%2FUOnEQgFPo2mN9rVg%3D%3D", "Widening and Strengthening work of SH 13 Babai Kalota Madhogarh Padewa Dalelpura Sefraguwar Chinchroli Road")</f>
        <v>Widening and Strengthening work of SH 13 Babai Kalota Madhogarh Padewa Dalelpura Sefraguwar Chinchroli Road</v>
      </c>
      <c r="C123" t="s">
        <v>301</v>
      </c>
      <c r="D123" t="s">
        <v>216</v>
      </c>
      <c r="E123" t="s">
        <v>325</v>
      </c>
      <c r="F123" t="s">
        <v>326</v>
      </c>
      <c r="G123" t="s">
        <v>304</v>
      </c>
    </row>
    <row r="124" spans="1:7" x14ac:dyDescent="0.2">
      <c r="A124" s="1">
        <v>122</v>
      </c>
      <c r="B124" t="str">
        <f>HYPERLINK("https://eproc.rajasthan.gov.in/nicgep/app?component=%24DirectLink&amp;page=FrontEndViewTender&amp;service=direct&amp;session=T&amp;sp=SP2uQW8%2FyYVKQ8mQVeXS8bg%3D%3D", "Widening and strengthening work on Khara Phanta Sindhari,Mithoda Siwana Devandi Mokalsar up to NH-325 Km 0/0 to 18/00")</f>
        <v>Widening and strengthening work on Khara Phanta Sindhari,Mithoda Siwana Devandi Mokalsar up to NH-325 Km 0/0 to 18/00</v>
      </c>
      <c r="C124" t="s">
        <v>327</v>
      </c>
      <c r="D124" t="s">
        <v>209</v>
      </c>
      <c r="E124" t="s">
        <v>328</v>
      </c>
      <c r="F124" t="s">
        <v>329</v>
      </c>
      <c r="G124" t="s">
        <v>330</v>
      </c>
    </row>
    <row r="125" spans="1:7" x14ac:dyDescent="0.2">
      <c r="A125" s="1">
        <v>123</v>
      </c>
      <c r="B125" t="str">
        <f>HYPERLINK("https://eproc.rajasthan.gov.in/nicgep/app?component=%24DirectLink&amp;page=FrontEndViewTender&amp;service=direct&amp;session=T&amp;sp=SEzHzj9MPRcQCxrhXhAtyVw%3D%3D", "Widening and Strengthening work of Mehara Gorir Dudhwa Shimla Rawan Pacheri Road")</f>
        <v>Widening and Strengthening work of Mehara Gorir Dudhwa Shimla Rawan Pacheri Road</v>
      </c>
      <c r="C125" t="s">
        <v>301</v>
      </c>
      <c r="D125" t="s">
        <v>216</v>
      </c>
      <c r="E125" t="s">
        <v>331</v>
      </c>
      <c r="F125" t="s">
        <v>332</v>
      </c>
      <c r="G125" t="s">
        <v>304</v>
      </c>
    </row>
    <row r="126" spans="1:7" x14ac:dyDescent="0.2">
      <c r="A126" s="1">
        <v>124</v>
      </c>
      <c r="B126" t="str">
        <f>HYPERLINK("https://eproc.rajasthan.gov.in/nicgep/app?component=%24DirectLink&amp;page=FrontEndViewTender&amp;service=direct&amp;session=T&amp;sp=SeGzpL4%2Fg2hmqm%2FB8KR%2FGnQ%3D%3D", "STRENGTHENING OF ROAD FROM KOT TO BANAWAD, RAJPUR, LADANPUR AND BANAWAD GHATI")</f>
        <v>STRENGTHENING OF ROAD FROM KOT TO BANAWAD, RAJPUR, LADANPUR AND BANAWAD GHATI</v>
      </c>
      <c r="C126" t="s">
        <v>333</v>
      </c>
      <c r="D126" t="s">
        <v>56</v>
      </c>
      <c r="E126" t="s">
        <v>334</v>
      </c>
      <c r="F126" t="s">
        <v>335</v>
      </c>
      <c r="G126" t="s">
        <v>336</v>
      </c>
    </row>
    <row r="127" spans="1:7" x14ac:dyDescent="0.2">
      <c r="A127" s="1">
        <v>125</v>
      </c>
      <c r="B127" t="str">
        <f>HYPERLINK("https://eproc.rajasthan.gov.in/nicgep/app?component=%24DirectLink&amp;page=FrontEndViewTender&amp;service=direct&amp;session=T&amp;sp=SPPrkZhrGEoesB9AiuoZAmw%3D%3D", "NANGAL KHANWAS ROAD TO TODARWAS VIA DEHLAS BABA KA STHAN ROAD")</f>
        <v>NANGAL KHANWAS ROAD TO TODARWAS VIA DEHLAS BABA KA STHAN ROAD</v>
      </c>
      <c r="C127" t="s">
        <v>333</v>
      </c>
      <c r="D127" t="s">
        <v>56</v>
      </c>
      <c r="E127" t="s">
        <v>337</v>
      </c>
      <c r="F127" t="s">
        <v>338</v>
      </c>
      <c r="G127" t="s">
        <v>339</v>
      </c>
    </row>
    <row r="128" spans="1:7" x14ac:dyDescent="0.2">
      <c r="A128" s="1">
        <v>126</v>
      </c>
      <c r="B128" t="str">
        <f>HYPERLINK("https://eproc.rajasthan.gov.in/nicgep/app?component=%24DirectLink&amp;page=FrontEndViewTender&amp;service=direct&amp;session=T&amp;sp=ScJqXruK1rDkRXxNXccFtuw%3D%3D", "STRENGTHENING AND WIDENING OF ROAD FROM DISTRICT HOSPITAL DAUSA TO SHYALAWAS JAIL VIA RALAWATA")</f>
        <v>STRENGTHENING AND WIDENING OF ROAD FROM DISTRICT HOSPITAL DAUSA TO SHYALAWAS JAIL VIA RALAWATA</v>
      </c>
      <c r="C128" t="s">
        <v>333</v>
      </c>
      <c r="D128" t="s">
        <v>56</v>
      </c>
      <c r="E128" t="s">
        <v>340</v>
      </c>
      <c r="F128" t="s">
        <v>341</v>
      </c>
      <c r="G128" t="s">
        <v>339</v>
      </c>
    </row>
    <row r="129" spans="1:7" x14ac:dyDescent="0.2">
      <c r="A129" s="1">
        <v>127</v>
      </c>
      <c r="B129" t="str">
        <f>HYPERLINK("https://eproc.rajasthan.gov.in/nicgep/app?component=%24DirectLink&amp;page=FrontEndViewTender&amp;service=direct&amp;session=T&amp;sp=SsC8CY9Aj4RoRKTWFi2d6XA%3D%3D", "NH-21 KARODI MOD TO LOTWARA ROAD")</f>
        <v>NH-21 KARODI MOD TO LOTWARA ROAD</v>
      </c>
      <c r="C129" t="s">
        <v>333</v>
      </c>
      <c r="D129" t="s">
        <v>56</v>
      </c>
      <c r="E129" t="s">
        <v>342</v>
      </c>
      <c r="F129" t="s">
        <v>343</v>
      </c>
      <c r="G129" t="s">
        <v>344</v>
      </c>
    </row>
    <row r="130" spans="1:7" x14ac:dyDescent="0.2">
      <c r="A130" s="1">
        <v>128</v>
      </c>
      <c r="B130" t="str">
        <f>HYPERLINK("https://eproc.rajasthan.gov.in/nicgep/app?component=%24DirectLink&amp;page=FrontEndViewTender&amp;service=direct&amp;session=T&amp;sp=SUsY08d%2FN5vEeQBPO5iT4MA%3D%3D", "STRENGTHENING AND WIDENING OF ROAD FROM KALLAWAS TO SONAD")</f>
        <v>STRENGTHENING AND WIDENING OF ROAD FROM KALLAWAS TO SONAD</v>
      </c>
      <c r="C130" t="s">
        <v>333</v>
      </c>
      <c r="D130" t="s">
        <v>56</v>
      </c>
      <c r="E130" t="s">
        <v>345</v>
      </c>
      <c r="F130" t="s">
        <v>346</v>
      </c>
      <c r="G130" t="s">
        <v>344</v>
      </c>
    </row>
    <row r="131" spans="1:7" x14ac:dyDescent="0.2">
      <c r="A131" s="1">
        <v>129</v>
      </c>
      <c r="B131" t="str">
        <f>HYPERLINK("https://eproc.rajasthan.gov.in/nicgep/app?component=%24DirectLink&amp;page=FrontEndViewTender&amp;service=direct&amp;session=T&amp;sp=S%2Fe%2Ffas2ELFxYbXwG5E%2BRhw%3D%3D", "STRENGTHENING AND WIDENING OF ROAD FROM BHADOTI TO BASSI VIA LALSOT TOONGA KM 49/00 TO 55/00 AND 58/500 TO 69/100 (SH-24)")</f>
        <v>STRENGTHENING AND WIDENING OF ROAD FROM BHADOTI TO BASSI VIA LALSOT TOONGA KM 49/00 TO 55/00 AND 58/500 TO 69/100 (SH-24)</v>
      </c>
      <c r="C131" t="s">
        <v>333</v>
      </c>
      <c r="D131" t="s">
        <v>56</v>
      </c>
      <c r="E131" t="s">
        <v>347</v>
      </c>
      <c r="F131" t="s">
        <v>348</v>
      </c>
      <c r="G131" t="s">
        <v>344</v>
      </c>
    </row>
    <row r="132" spans="1:7" x14ac:dyDescent="0.2">
      <c r="A132" s="1">
        <v>130</v>
      </c>
      <c r="B132" t="str">
        <f>HYPERLINK("https://eproc.rajasthan.gov.in/nicgep/app?component=%24DirectLink&amp;page=FrontEndViewTender&amp;service=direct&amp;session=T&amp;sp=SpGKXsegR9oK4W84d%2FSvZRw%3D%3D", "SH-22 TO KARIRI UPTO DISTT. BORDER")</f>
        <v>SH-22 TO KARIRI UPTO DISTT. BORDER</v>
      </c>
      <c r="C132" t="s">
        <v>333</v>
      </c>
      <c r="D132" t="s">
        <v>56</v>
      </c>
      <c r="E132" t="s">
        <v>349</v>
      </c>
      <c r="F132" t="s">
        <v>350</v>
      </c>
      <c r="G132" t="s">
        <v>344</v>
      </c>
    </row>
    <row r="133" spans="1:7" x14ac:dyDescent="0.2">
      <c r="A133" s="1">
        <v>131</v>
      </c>
      <c r="B133" t="str">
        <f>HYPERLINK("https://eproc.rajasthan.gov.in/nicgep/app?component=%24DirectLink&amp;page=FrontEndViewTender&amp;service=direct&amp;session=T&amp;sp=SbBL%2Fim5eWcSK6Vcp89QF%2FA%3D%3D", "STRENGTHENING OF C.C. ROAD AT LALSOT URBAN GAURAV PATH (ODR-21)")</f>
        <v>STRENGTHENING OF C.C. ROAD AT LALSOT URBAN GAURAV PATH (ODR-21)</v>
      </c>
      <c r="C133" t="s">
        <v>333</v>
      </c>
      <c r="D133" t="s">
        <v>56</v>
      </c>
      <c r="E133" t="s">
        <v>351</v>
      </c>
      <c r="F133" t="s">
        <v>352</v>
      </c>
      <c r="G133" t="s">
        <v>344</v>
      </c>
    </row>
    <row r="134" spans="1:7" x14ac:dyDescent="0.2">
      <c r="A134" s="1">
        <v>132</v>
      </c>
      <c r="B134" t="str">
        <f>HYPERLINK("https://eproc.rajasthan.gov.in/nicgep/app?component=%24DirectLink&amp;page=FrontEndViewTender&amp;service=direct&amp;session=T&amp;sp=SxE0VQ02zDNOBckF9eT4hmg%3D%3D", "STRENGTHENING AND WIDENING OF ROAD FROM SH-24 TO HEMLIYAWALA VIA BHAIPUR")</f>
        <v>STRENGTHENING AND WIDENING OF ROAD FROM SH-24 TO HEMLIYAWALA VIA BHAIPUR</v>
      </c>
      <c r="C134" t="s">
        <v>333</v>
      </c>
      <c r="D134" t="s">
        <v>56</v>
      </c>
      <c r="E134" t="s">
        <v>353</v>
      </c>
      <c r="F134" t="s">
        <v>354</v>
      </c>
      <c r="G134" t="s">
        <v>344</v>
      </c>
    </row>
    <row r="135" spans="1:7" x14ac:dyDescent="0.2">
      <c r="A135" s="1">
        <v>133</v>
      </c>
      <c r="B135" t="str">
        <f>HYPERLINK("https://eproc.rajasthan.gov.in/nicgep/app?component=%24DirectLink&amp;page=FrontEndViewTender&amp;service=direct&amp;session=T&amp;sp=S%2FW6WfR5%2FDkecn19CTsV3hA%3D%3D", "NH-921 TO DAUSA - KUNDAL - BANDIKUI - MANDAWAR - KATHUMAR ROAD")</f>
        <v>NH-921 TO DAUSA - KUNDAL - BANDIKUI - MANDAWAR - KATHUMAR ROAD</v>
      </c>
      <c r="C135" t="s">
        <v>333</v>
      </c>
      <c r="D135" t="s">
        <v>56</v>
      </c>
      <c r="E135" t="s">
        <v>349</v>
      </c>
      <c r="F135" t="s">
        <v>355</v>
      </c>
      <c r="G135" t="s">
        <v>344</v>
      </c>
    </row>
    <row r="136" spans="1:7" x14ac:dyDescent="0.2">
      <c r="A136" s="1">
        <v>134</v>
      </c>
      <c r="B136" t="str">
        <f>HYPERLINK("https://eproc.rajasthan.gov.in/nicgep/app?component=%24DirectLink&amp;page=FrontEndViewTender&amp;service=direct&amp;session=T&amp;sp=S6vcw4nzYDbWv4ClzodJ0Kw%3D%3D", "Supply , Fixing andCommissioning Universal Testing Machine(UTM)-1000KN capacity at Regional Laboratories in PWD Raj")</f>
        <v>Supply , Fixing andCommissioning Universal Testing Machine(UTM)-1000KN capacity at Regional Laboratories in PWD Raj</v>
      </c>
      <c r="C136" t="s">
        <v>188</v>
      </c>
      <c r="D136" t="s">
        <v>250</v>
      </c>
      <c r="E136" t="s">
        <v>356</v>
      </c>
      <c r="F136" t="s">
        <v>357</v>
      </c>
      <c r="G136" t="s">
        <v>358</v>
      </c>
    </row>
    <row r="137" spans="1:7" x14ac:dyDescent="0.2">
      <c r="A137" s="1">
        <v>135</v>
      </c>
      <c r="B137" t="str">
        <f>HYPERLINK("https://eproc.rajasthan.gov.in/nicgep/app?component=%24DirectLink&amp;page=FrontEndViewTender&amp;service=direct&amp;session=T&amp;sp=SyeLPKdxvgx4Ss1jjWkl%2Bfw%3D%3D", "Construction of Road Bhawarani to Rojiyo ki Dhani upto Raithal.")</f>
        <v>Construction of Road Bhawarani to Rojiyo ki Dhani upto Raithal.</v>
      </c>
      <c r="C137" t="s">
        <v>359</v>
      </c>
      <c r="D137" t="s">
        <v>360</v>
      </c>
      <c r="E137" t="s">
        <v>361</v>
      </c>
      <c r="F137" t="s">
        <v>362</v>
      </c>
      <c r="G137" t="s">
        <v>363</v>
      </c>
    </row>
    <row r="138" spans="1:7" x14ac:dyDescent="0.2">
      <c r="A138" s="1">
        <v>136</v>
      </c>
      <c r="B138" t="str">
        <f>HYPERLINK("https://eproc.rajasthan.gov.in/nicgep/app?component=%24DirectLink&amp;page=FrontEndViewTender&amp;service=direct&amp;session=T&amp;sp=SkicecoJiI0hwMKRocoQSwQ%3D%3D", "Causway culvert construction work on Mangli river, on the road connecting Mandi with Lalpura village")</f>
        <v>Causway culvert construction work on Mangli river, on the road connecting Mandi with Lalpura village</v>
      </c>
      <c r="C138" t="s">
        <v>364</v>
      </c>
      <c r="D138" t="s">
        <v>26</v>
      </c>
      <c r="E138" t="s">
        <v>365</v>
      </c>
      <c r="F138" t="s">
        <v>366</v>
      </c>
      <c r="G138" t="s">
        <v>367</v>
      </c>
    </row>
    <row r="139" spans="1:7" x14ac:dyDescent="0.2">
      <c r="A139" s="1">
        <v>137</v>
      </c>
      <c r="B139" t="str">
        <f>HYPERLINK("https://eproc.rajasthan.gov.in/nicgep/app?component=%24DirectLink&amp;page=FrontEndViewTender&amp;service=direct&amp;session=T&amp;sp=SQfFriKg3nWqHTpfGPZqd6w%3D%3D", "Missing Link Road Construction from Mehrasar Upadhiyan upto Luksa Temple and college km 5.00")</f>
        <v>Missing Link Road Construction from Mehrasar Upadhiyan upto Luksa Temple and college km 5.00</v>
      </c>
      <c r="C139" t="s">
        <v>368</v>
      </c>
      <c r="D139" t="s">
        <v>56</v>
      </c>
      <c r="E139" t="s">
        <v>369</v>
      </c>
      <c r="F139" t="s">
        <v>370</v>
      </c>
      <c r="G139" t="s">
        <v>371</v>
      </c>
    </row>
    <row r="140" spans="1:7" x14ac:dyDescent="0.2">
      <c r="A140" s="1">
        <v>138</v>
      </c>
      <c r="B140" t="str">
        <f>HYPERLINK("https://eproc.rajasthan.gov.in/nicgep/app?component=%24DirectLink&amp;page=FrontEndViewTender&amp;service=direct&amp;session=T&amp;sp=SsNmvCWZ828mZDDPSR6OzZw%3D%3D", "Missing Link Road Construction from Buchawas to Gajuwas 7.00 Km.")</f>
        <v>Missing Link Road Construction from Buchawas to Gajuwas 7.00 Km.</v>
      </c>
      <c r="C140" t="s">
        <v>368</v>
      </c>
      <c r="D140" t="s">
        <v>56</v>
      </c>
      <c r="E140" t="s">
        <v>372</v>
      </c>
      <c r="F140" t="s">
        <v>373</v>
      </c>
      <c r="G140" t="s">
        <v>371</v>
      </c>
    </row>
    <row r="141" spans="1:7" x14ac:dyDescent="0.2">
      <c r="A141" s="1">
        <v>139</v>
      </c>
      <c r="B141" t="str">
        <f>HYPERLINK("https://eproc.rajasthan.gov.in/nicgep/app?component=%24DirectLink&amp;page=FrontEndViewTender&amp;service=direct&amp;session=T&amp;sp=S5BAzreI8ACttSBlb2tQplA%3D%3D", "Construction of public library hall at Dali Bai Ashram Gomat")</f>
        <v>Construction of public library hall at Dali Bai Ashram Gomat</v>
      </c>
      <c r="C141" t="s">
        <v>374</v>
      </c>
      <c r="D141" t="s">
        <v>375</v>
      </c>
      <c r="E141" t="s">
        <v>376</v>
      </c>
      <c r="F141" t="s">
        <v>377</v>
      </c>
      <c r="G141" t="s">
        <v>378</v>
      </c>
    </row>
    <row r="142" spans="1:7" x14ac:dyDescent="0.2">
      <c r="A142" s="1">
        <v>140</v>
      </c>
      <c r="B142" t="str">
        <f>HYPERLINK("https://eproc.rajasthan.gov.in/nicgep/app?component=%24DirectLink&amp;page=FrontEndViewTender&amp;service=direct&amp;session=T&amp;sp=SOg%2BdriCv6wnh%2FVOsPH7zWQ%3D%3D", "Construction of public library basic facility and extension work near Meghwal Samaj Hostel Pokaran.")</f>
        <v>Construction of public library basic facility and extension work near Meghwal Samaj Hostel Pokaran.</v>
      </c>
      <c r="C142" t="s">
        <v>374</v>
      </c>
      <c r="D142" t="s">
        <v>375</v>
      </c>
      <c r="E142" t="s">
        <v>379</v>
      </c>
      <c r="F142" t="s">
        <v>380</v>
      </c>
      <c r="G142" t="s">
        <v>378</v>
      </c>
    </row>
    <row r="143" spans="1:7" x14ac:dyDescent="0.2">
      <c r="A143" s="1">
        <v>141</v>
      </c>
      <c r="B143" t="str">
        <f>HYPERLINK("https://eproc.rajasthan.gov.in/nicgep/app?component=%24DirectLink&amp;page=FrontEndViewTender&amp;service=direct&amp;session=T&amp;sp=SN2CartpJtJJWY7YhbYfDmQ%3D%3D", "Construction of Missing Link Road Dhaana Patta Rajpura to NH 52, Km. 0/00 to 4/000")</f>
        <v>Construction of Missing Link Road Dhaana Patta Rajpura to NH 52, Km. 0/00 to 4/000</v>
      </c>
      <c r="C143" t="s">
        <v>368</v>
      </c>
      <c r="D143" t="s">
        <v>56</v>
      </c>
      <c r="E143" t="s">
        <v>381</v>
      </c>
      <c r="F143" t="s">
        <v>382</v>
      </c>
      <c r="G143" t="s">
        <v>371</v>
      </c>
    </row>
    <row r="144" spans="1:7" x14ac:dyDescent="0.2">
      <c r="A144" s="1">
        <v>142</v>
      </c>
      <c r="B144" t="str">
        <f>HYPERLINK("https://eproc.rajasthan.gov.in/nicgep/app?component=%24DirectLink&amp;page=FrontEndViewTender&amp;service=direct&amp;session=T&amp;sp=SD2EYygKc03nyOsM3KlJ0tA%3D%3D", "Civil repair and maintenance works for flooring work in Chamber No. 16 and flooring and furniture polish work in Chamber and Court room 6 at RHCB, Jaipur (JOINERY WORK) (Sanction work )")</f>
        <v>Civil repair and maintenance works for flooring work in Chamber No. 16 and flooring and furniture polish work in Chamber and Court room 6 at RHCB, Jaipur (JOINERY WORK) (Sanction work )</v>
      </c>
      <c r="C144" t="s">
        <v>102</v>
      </c>
      <c r="D144" t="s">
        <v>56</v>
      </c>
      <c r="E144" t="s">
        <v>319</v>
      </c>
      <c r="F144" t="s">
        <v>383</v>
      </c>
      <c r="G144" t="s">
        <v>309</v>
      </c>
    </row>
    <row r="145" spans="1:7" x14ac:dyDescent="0.2">
      <c r="A145" s="1">
        <v>143</v>
      </c>
      <c r="B145" t="str">
        <f>HYPERLINK("https://eproc.rajasthan.gov.in/nicgep/app?component=%24DirectLink&amp;page=FrontEndViewTender&amp;service=direct&amp;session=T&amp;sp=Svy9WFpxajG5O9k1DS7QcEA%3D%3D", "Construction of BT Road Akoli to Rambotaki, Digaon to Narnawas, Sumergarh Kheda to Dewara,. Sapni to Bokra, Kawrada to Bhooti, Harjee to Valdiya Mahadev, Ukarda to Chandrai, Khoda Mamaji to Kuara upto Thanwala.")</f>
        <v>Construction of BT Road Akoli to Rambotaki, Digaon to Narnawas, Sumergarh Kheda to Dewara,. Sapni to Bokra, Kawrada to Bhooti, Harjee to Valdiya Mahadev, Ukarda to Chandrai, Khoda Mamaji to Kuara upto Thanwala.</v>
      </c>
      <c r="C145" t="s">
        <v>359</v>
      </c>
      <c r="D145" t="s">
        <v>360</v>
      </c>
      <c r="E145" t="s">
        <v>384</v>
      </c>
      <c r="F145" t="s">
        <v>385</v>
      </c>
      <c r="G145" t="s">
        <v>363</v>
      </c>
    </row>
    <row r="146" spans="1:7" x14ac:dyDescent="0.2">
      <c r="A146" s="1">
        <v>144</v>
      </c>
      <c r="B146" t="str">
        <f>HYPERLINK("https://eproc.rajasthan.gov.in/nicgep/app?component=%24DirectLink&amp;page=FrontEndViewTender&amp;service=direct&amp;session=T&amp;sp=SD%2FqEMcfjN26qYLJs1QyBCA%3D%3D", "Construction of Internal C.C. Road in EMRS Newai")</f>
        <v>Construction of Internal C.C. Road in EMRS Newai</v>
      </c>
      <c r="C146" t="s">
        <v>200</v>
      </c>
      <c r="D146" t="s">
        <v>129</v>
      </c>
      <c r="E146" t="s">
        <v>386</v>
      </c>
      <c r="F146" t="s">
        <v>387</v>
      </c>
      <c r="G146" t="s">
        <v>388</v>
      </c>
    </row>
    <row r="147" spans="1:7" x14ac:dyDescent="0.2">
      <c r="A147" s="1">
        <v>145</v>
      </c>
      <c r="B147" t="str">
        <f>HYPERLINK("https://eproc.rajasthan.gov.in/nicgep/app?component=%24DirectLink&amp;page=FrontEndViewTender&amp;service=direct&amp;session=T&amp;sp=SKvReQZ1nOurCEzNinRmX5Q%3D%3D", "Dak bunglow reparing works - Jaitaran")</f>
        <v>Dak bunglow reparing works - Jaitaran</v>
      </c>
      <c r="C147" t="s">
        <v>389</v>
      </c>
      <c r="D147" t="s">
        <v>390</v>
      </c>
      <c r="E147" t="s">
        <v>391</v>
      </c>
      <c r="F147" t="s">
        <v>392</v>
      </c>
      <c r="G147" t="s">
        <v>393</v>
      </c>
    </row>
    <row r="148" spans="1:7" x14ac:dyDescent="0.2">
      <c r="A148" s="1">
        <v>146</v>
      </c>
      <c r="B148" t="str">
        <f>HYPERLINK("https://eproc.rajasthan.gov.in/nicgep/app?component=%24DirectLink&amp;page=FrontEndViewTender&amp;service=direct&amp;session=T&amp;sp=S2qixx9VmuvWanJecJY95Jg%3D%3D", "Construction of Various Work at Devnarayan Residential Boys School at Ras")</f>
        <v>Construction of Various Work at Devnarayan Residential Boys School at Ras</v>
      </c>
      <c r="C148" t="s">
        <v>389</v>
      </c>
      <c r="D148" t="s">
        <v>390</v>
      </c>
      <c r="E148" t="s">
        <v>394</v>
      </c>
      <c r="F148" t="s">
        <v>395</v>
      </c>
      <c r="G148" t="s">
        <v>393</v>
      </c>
    </row>
    <row r="149" spans="1:7" x14ac:dyDescent="0.2">
      <c r="A149" s="1">
        <v>147</v>
      </c>
      <c r="B149" t="str">
        <f>HYPERLINK("https://eproc.rajasthan.gov.in/nicgep/app?component=%24DirectLink&amp;page=FrontEndViewTender&amp;service=direct&amp;session=T&amp;sp=SSZUwo9nxIUeJnjo6QGnEeQ%3D%3D", "Various development works in Pensioners society Sub branch - Jaitaran")</f>
        <v>Various development works in Pensioners society Sub branch - Jaitaran</v>
      </c>
      <c r="C149" t="s">
        <v>389</v>
      </c>
      <c r="D149" t="s">
        <v>390</v>
      </c>
      <c r="E149" t="s">
        <v>396</v>
      </c>
      <c r="F149" t="s">
        <v>397</v>
      </c>
      <c r="G149" t="s">
        <v>393</v>
      </c>
    </row>
    <row r="150" spans="1:7" x14ac:dyDescent="0.2">
      <c r="A150" s="1">
        <v>148</v>
      </c>
      <c r="B150" t="str">
        <f>HYPERLINK("https://eproc.rajasthan.gov.in/nicgep/app?component=%24DirectLink&amp;page=FrontEndViewTender&amp;service=direct&amp;session=T&amp;sp=S7F8TIZMAkUJ0KYGDPU8i2w%3D%3D", "Comprehensive Maintenance for Civil and Electrical works for Residential Buildings Under Jurisdiction of PWD City Division-III Jaipur")</f>
        <v>Comprehensive Maintenance for Civil and Electrical works for Residential Buildings Under Jurisdiction of PWD City Division-III Jaipur</v>
      </c>
      <c r="C150" t="s">
        <v>102</v>
      </c>
      <c r="D150" t="s">
        <v>398</v>
      </c>
      <c r="E150" t="s">
        <v>399</v>
      </c>
      <c r="F150" t="s">
        <v>400</v>
      </c>
      <c r="G150" t="s">
        <v>105</v>
      </c>
    </row>
    <row r="151" spans="1:7" x14ac:dyDescent="0.2">
      <c r="A151" s="1">
        <v>149</v>
      </c>
      <c r="B151" t="str">
        <f>HYPERLINK("https://eproc.rajasthan.gov.in/nicgep/app?component=%24DirectLink&amp;page=FrontEndViewTender&amp;service=direct&amp;session=T&amp;sp=S%2FWMlGjZK1fgWCIjbBFQfrQ%3D%3D", "Construction of tehsil office Maniya")</f>
        <v>Construction of tehsil office Maniya</v>
      </c>
      <c r="C151" t="s">
        <v>192</v>
      </c>
      <c r="D151" t="s">
        <v>21</v>
      </c>
      <c r="E151" t="s">
        <v>401</v>
      </c>
      <c r="F151" t="s">
        <v>402</v>
      </c>
      <c r="G151" t="s">
        <v>282</v>
      </c>
    </row>
    <row r="152" spans="1:7" x14ac:dyDescent="0.2">
      <c r="A152" s="1">
        <v>150</v>
      </c>
      <c r="B152" t="str">
        <f>HYPERLINK("https://eproc.rajasthan.gov.in/nicgep/app?component=%24DirectLink&amp;page=FrontEndViewTender&amp;service=direct&amp;session=T&amp;sp=Sz0Zqeml%2Bp1noBVsdky%2BpLg%3D%3D", "Remaining Work of Rehabilitation of various raods in Division Rajsamand MDR-ODR and VR under SRF for Package No. RJ/5054/SRF/2021-22, Under Risk and Cost")</f>
        <v>Remaining Work of Rehabilitation of various raods in Division Rajsamand MDR-ODR and VR under SRF for Package No. RJ/5054/SRF/2021-22, Under Risk and Cost</v>
      </c>
      <c r="C152" t="s">
        <v>25</v>
      </c>
      <c r="D152" t="s">
        <v>56</v>
      </c>
      <c r="E152" t="s">
        <v>403</v>
      </c>
      <c r="F152" t="s">
        <v>404</v>
      </c>
      <c r="G152" t="s">
        <v>405</v>
      </c>
    </row>
    <row r="153" spans="1:7" x14ac:dyDescent="0.2">
      <c r="A153" s="1">
        <v>151</v>
      </c>
      <c r="B153" t="str">
        <f>HYPERLINK("https://eproc.rajasthan.gov.in/nicgep/app?component=%24DirectLink&amp;page=FrontEndViewTender&amp;service=direct&amp;session=T&amp;sp=SP5rJlhUFBFIITsBs0EvJCw%3D%3D", "200 FEET ROAD GHILOT INDUSTRIAL AREA TO MOHANPUR (HARIYANA BORDER VIA KUTINA KM 0/00 TO 8/00 (KOTPUTLI-BEHROR)")</f>
        <v>200 FEET ROAD GHILOT INDUSTRIAL AREA TO MOHANPUR (HARIYANA BORDER VIA KUTINA KM 0/00 TO 8/00 (KOTPUTLI-BEHROR)</v>
      </c>
      <c r="C153" t="s">
        <v>70</v>
      </c>
      <c r="D153" t="s">
        <v>406</v>
      </c>
      <c r="E153" t="s">
        <v>407</v>
      </c>
      <c r="F153" t="s">
        <v>408</v>
      </c>
      <c r="G153" t="s">
        <v>409</v>
      </c>
    </row>
    <row r="154" spans="1:7" x14ac:dyDescent="0.2">
      <c r="A154" s="1">
        <v>152</v>
      </c>
      <c r="B154" t="str">
        <f>HYPERLINK("https://eproc.rajasthan.gov.in/nicgep/app?component=%24DirectLink&amp;page=FrontEndViewTender&amp;service=direct&amp;session=T&amp;sp=SEOVYHZ6PkGXhLeWALt8XIg%3D%3D", "BOYS AND GIRLS TOILET WORK IN VARIOUS GOVT. SCHOOL BUILDINGS, IN PWD DN. NATHDWARA DISTT. RAJSAMAND")</f>
        <v>BOYS AND GIRLS TOILET WORK IN VARIOUS GOVT. SCHOOL BUILDINGS, IN PWD DN. NATHDWARA DISTT. RAJSAMAND</v>
      </c>
      <c r="C154" t="s">
        <v>25</v>
      </c>
      <c r="D154" t="s">
        <v>56</v>
      </c>
      <c r="E154" t="s">
        <v>410</v>
      </c>
      <c r="F154" t="s">
        <v>411</v>
      </c>
      <c r="G154" t="s">
        <v>405</v>
      </c>
    </row>
    <row r="155" spans="1:7" x14ac:dyDescent="0.2">
      <c r="A155" s="1">
        <v>153</v>
      </c>
      <c r="B155" t="str">
        <f>HYPERLINK("https://eproc.rajasthan.gov.in/nicgep/app?component=%24DirectLink&amp;page=FrontEndViewTender&amp;service=direct&amp;session=T&amp;sp=S08YS3yDWQjEwNmQtc%2FlBvA%3D%3D", "Construction of Bridge Near Aapeshwar Mahadev on Rohida River.")</f>
        <v>Construction of Bridge Near Aapeshwar Mahadev on Rohida River.</v>
      </c>
      <c r="C155" t="s">
        <v>359</v>
      </c>
      <c r="D155" t="s">
        <v>360</v>
      </c>
      <c r="E155" t="s">
        <v>412</v>
      </c>
      <c r="F155" t="s">
        <v>413</v>
      </c>
      <c r="G155" t="s">
        <v>414</v>
      </c>
    </row>
    <row r="156" spans="1:7" x14ac:dyDescent="0.2">
      <c r="A156" s="1">
        <v>154</v>
      </c>
      <c r="B156" t="str">
        <f>HYPERLINK("https://eproc.rajasthan.gov.in/nicgep/app?component=%24DirectLink&amp;page=FrontEndViewTender&amp;service=direct&amp;session=T&amp;sp=SC1e%2BVpYQ83wGcCKzv4rRxQ%3D%3D", "Widening of Bhagatsingh Circle to Jakhnagar NH-62 Circle.")</f>
        <v>Widening of Bhagatsingh Circle to Jakhnagar NH-62 Circle.</v>
      </c>
      <c r="C156" t="s">
        <v>359</v>
      </c>
      <c r="D156" t="s">
        <v>360</v>
      </c>
      <c r="E156" t="s">
        <v>415</v>
      </c>
      <c r="F156" t="s">
        <v>416</v>
      </c>
      <c r="G156" t="s">
        <v>417</v>
      </c>
    </row>
    <row r="157" spans="1:7" x14ac:dyDescent="0.2">
      <c r="A157" s="1">
        <v>155</v>
      </c>
      <c r="B157" t="str">
        <f>HYPERLINK("https://eproc.rajasthan.gov.in/nicgep/app?component=%24DirectLink&amp;page=FrontEndViewTender&amp;service=direct&amp;session=T&amp;sp=Sf36F7ERVbsl9N39kQ%2Bm3zA%3D%3D", "Construction of Bridge on Bhuti-Rodla Road/plan/RR/2023-24")</f>
        <v>Construction of Bridge on Bhuti-Rodla Road/plan/RR/2023-24</v>
      </c>
      <c r="C157" t="s">
        <v>359</v>
      </c>
      <c r="D157" t="s">
        <v>360</v>
      </c>
      <c r="E157" t="s">
        <v>418</v>
      </c>
      <c r="F157" t="s">
        <v>419</v>
      </c>
      <c r="G157" t="s">
        <v>363</v>
      </c>
    </row>
    <row r="158" spans="1:7" x14ac:dyDescent="0.2">
      <c r="A158" s="1">
        <v>156</v>
      </c>
      <c r="B158" t="str">
        <f>HYPERLINK("https://eproc.rajasthan.gov.in/nicgep/app?component=%24DirectLink&amp;page=FrontEndViewTender&amp;service=direct&amp;session=T&amp;sp=SJo0pX7PvEr0fSpmuK0CSTg%3D%3D", "Strengthening of Biliya Kala to Kherabad Road Under DMFT Scheme (Risk and Cost)")</f>
        <v>Strengthening of Biliya Kala to Kherabad Road Under DMFT Scheme (Risk and Cost)</v>
      </c>
      <c r="C158" t="s">
        <v>420</v>
      </c>
      <c r="D158" t="s">
        <v>56</v>
      </c>
      <c r="E158" t="s">
        <v>421</v>
      </c>
      <c r="F158" t="s">
        <v>422</v>
      </c>
      <c r="G158" t="s">
        <v>423</v>
      </c>
    </row>
    <row r="159" spans="1:7" x14ac:dyDescent="0.2">
      <c r="A159" s="1">
        <v>157</v>
      </c>
      <c r="B159" t="str">
        <f>HYPERLINK("https://eproc.rajasthan.gov.in/nicgep/app?component=%24DirectLink&amp;page=FrontEndViewTender&amp;service=direct&amp;session=T&amp;sp=SxfEOoTUmIoyu7Bext49ToA%3D%3D", "Construction of BT Road from Hoda to Hanuman Ji Temple Under DMFT km 0/0 to 2/500")</f>
        <v>Construction of BT Road from Hoda to Hanuman Ji Temple Under DMFT km 0/0 to 2/500</v>
      </c>
      <c r="C159" t="s">
        <v>420</v>
      </c>
      <c r="D159" t="s">
        <v>56</v>
      </c>
      <c r="E159" t="s">
        <v>424</v>
      </c>
      <c r="F159" t="s">
        <v>425</v>
      </c>
      <c r="G159" t="s">
        <v>423</v>
      </c>
    </row>
    <row r="160" spans="1:7" x14ac:dyDescent="0.2">
      <c r="A160" s="1">
        <v>158</v>
      </c>
      <c r="B160" t="str">
        <f>HYPERLINK("https://eproc.rajasthan.gov.in/nicgep/app?component=%24DirectLink&amp;page=FrontEndViewTender&amp;service=direct&amp;session=T&amp;sp=SqUqjqbJ5c%2BYnH8TiD%2FoeOQ%3D%3D", "Food Street at Poonchari Distrit Deeg (Rajasthan)")</f>
        <v>Food Street at Poonchari Distrit Deeg (Rajasthan)</v>
      </c>
      <c r="C160" t="s">
        <v>426</v>
      </c>
      <c r="D160" t="s">
        <v>244</v>
      </c>
      <c r="E160" t="s">
        <v>427</v>
      </c>
      <c r="F160" t="s">
        <v>428</v>
      </c>
      <c r="G160" t="s">
        <v>429</v>
      </c>
    </row>
    <row r="161" spans="1:7" x14ac:dyDescent="0.2">
      <c r="A161" s="1">
        <v>159</v>
      </c>
      <c r="B161" t="str">
        <f>HYPERLINK("https://eproc.rajasthan.gov.in/nicgep/app?component=%24DirectLink&amp;page=FrontEndViewTender&amp;service=direct&amp;session=T&amp;sp=S%2B8vmg6ydvsanOzPZ4cKkxg%3D%3D", "Construction of road from Samidhi to Khatauli via Chavandpura")</f>
        <v>Construction of road from Samidhi to Khatauli via Chavandpura</v>
      </c>
      <c r="C161" t="s">
        <v>430</v>
      </c>
      <c r="D161" t="s">
        <v>26</v>
      </c>
      <c r="E161" t="s">
        <v>431</v>
      </c>
      <c r="F161" t="s">
        <v>432</v>
      </c>
      <c r="G161" t="s">
        <v>367</v>
      </c>
    </row>
    <row r="162" spans="1:7" x14ac:dyDescent="0.2">
      <c r="A162" s="1">
        <v>160</v>
      </c>
      <c r="B162" t="str">
        <f>HYPERLINK("https://eproc.rajasthan.gov.in/nicgep/app?component=%24DirectLink&amp;page=FrontEndViewTender&amp;service=direct&amp;session=T&amp;sp=Sy6Vu8s1L4GqgUnZaxUONfg%3D%3D", "Strengthning and widening of road from Keru Salori road to Joliyali via Popawas Bambore Pooniya ki Pyau")</f>
        <v>Strengthning and widening of road from Keru Salori road to Joliyali via Popawas Bambore Pooniya ki Pyau</v>
      </c>
      <c r="C162" t="s">
        <v>73</v>
      </c>
      <c r="D162" t="s">
        <v>360</v>
      </c>
      <c r="E162" t="s">
        <v>433</v>
      </c>
      <c r="F162" t="s">
        <v>434</v>
      </c>
      <c r="G162" t="s">
        <v>76</v>
      </c>
    </row>
    <row r="163" spans="1:7" x14ac:dyDescent="0.2">
      <c r="A163" s="1">
        <v>161</v>
      </c>
      <c r="B163" t="str">
        <f>HYPERLINK("https://eproc.rajasthan.gov.in/nicgep/app?component=%24DirectLink&amp;page=FrontEndViewTender&amp;service=direct&amp;session=T&amp;sp=S8hJVJSJaw9%2F3iNbpQ8vujg%3D%3D", "Widening and Strengthening of Nande Val ki Haveli Lohawat to Bhakari Road")</f>
        <v>Widening and Strengthening of Nande Val ki Haveli Lohawat to Bhakari Road</v>
      </c>
      <c r="C163" t="s">
        <v>73</v>
      </c>
      <c r="D163" t="s">
        <v>360</v>
      </c>
      <c r="E163" t="s">
        <v>435</v>
      </c>
      <c r="F163" t="s">
        <v>436</v>
      </c>
      <c r="G163" t="s">
        <v>437</v>
      </c>
    </row>
    <row r="164" spans="1:7" x14ac:dyDescent="0.2">
      <c r="A164" s="1">
        <v>162</v>
      </c>
      <c r="B164" t="str">
        <f>HYPERLINK("https://eproc.rajasthan.gov.in/nicgep/app?component=%24DirectLink&amp;page=FrontEndViewTender&amp;service=direct&amp;session=T&amp;sp=Spj1uhxBHmqnRCRhX2VDfjA%3D%3D", "Strengthening and Widening of Chamu Chaba Road 39/0 to 48/750 and 59/300 to 62/800")</f>
        <v>Strengthening and Widening of Chamu Chaba Road 39/0 to 48/750 and 59/300 to 62/800</v>
      </c>
      <c r="C164" t="s">
        <v>73</v>
      </c>
      <c r="D164" t="s">
        <v>360</v>
      </c>
      <c r="E164" t="s">
        <v>438</v>
      </c>
      <c r="F164" t="s">
        <v>439</v>
      </c>
      <c r="G164" t="s">
        <v>76</v>
      </c>
    </row>
    <row r="165" spans="1:7" x14ac:dyDescent="0.2">
      <c r="A165" s="1">
        <v>163</v>
      </c>
      <c r="B165" t="str">
        <f>HYPERLINK("https://eproc.rajasthan.gov.in/nicgep/app?component=%24DirectLink&amp;page=FrontEndViewTender&amp;service=direct&amp;session=T&amp;sp=SBkYbTc35JReGDQou%2FrrTJg%3D%3D", "Construction of Sub Tehsil Office Kolari (Saipau)")</f>
        <v>Construction of Sub Tehsil Office Kolari (Saipau)</v>
      </c>
      <c r="C165" t="s">
        <v>192</v>
      </c>
      <c r="D165" t="s">
        <v>21</v>
      </c>
      <c r="E165" t="s">
        <v>440</v>
      </c>
      <c r="F165" t="s">
        <v>441</v>
      </c>
      <c r="G165" t="s">
        <v>442</v>
      </c>
    </row>
    <row r="166" spans="1:7" x14ac:dyDescent="0.2">
      <c r="A166" s="1">
        <v>164</v>
      </c>
      <c r="B166" t="str">
        <f>HYPERLINK("https://eproc.rajasthan.gov.in/nicgep/app?component=%24DirectLink&amp;page=FrontEndViewTender&amp;service=direct&amp;session=T&amp;sp=SUeCVuOaeqmUSVAXPc152aw%3D%3D", "Renovation Work at Girls College Chittorgarh, Distt. - Chittorgarh")</f>
        <v>Renovation Work at Girls College Chittorgarh, Distt. - Chittorgarh</v>
      </c>
      <c r="C166" t="s">
        <v>443</v>
      </c>
      <c r="D166" t="s">
        <v>56</v>
      </c>
      <c r="E166" t="s">
        <v>444</v>
      </c>
      <c r="F166" t="s">
        <v>445</v>
      </c>
      <c r="G166" t="s">
        <v>219</v>
      </c>
    </row>
    <row r="167" spans="1:7" x14ac:dyDescent="0.2">
      <c r="A167" s="1">
        <v>165</v>
      </c>
      <c r="B167" t="str">
        <f>HYPERLINK("https://eproc.rajasthan.gov.in/nicgep/app?component=%24DirectLink&amp;page=FrontEndViewTender&amp;service=direct&amp;session=T&amp;sp=SycvsFhM02CacHMZoTmduwQ%3D%3D", "ANNUAL RATE CONTRACT FOR SUPPLY AND FIXING OF TENT, BARRICADING AND TEMPERORY HELIPAD WORK FOR GOVT. FUNCTION AND OTHER WORK UNDER DN. CHITTORGARH - AS PER REQUIREMENT")</f>
        <v>ANNUAL RATE CONTRACT FOR SUPPLY AND FIXING OF TENT, BARRICADING AND TEMPERORY HELIPAD WORK FOR GOVT. FUNCTION AND OTHER WORK UNDER DN. CHITTORGARH - AS PER REQUIREMENT</v>
      </c>
      <c r="C167" t="s">
        <v>443</v>
      </c>
      <c r="D167" t="s">
        <v>56</v>
      </c>
      <c r="E167" t="s">
        <v>446</v>
      </c>
      <c r="F167" t="s">
        <v>447</v>
      </c>
      <c r="G167" t="s">
        <v>219</v>
      </c>
    </row>
    <row r="168" spans="1:7" x14ac:dyDescent="0.2">
      <c r="A168" s="1">
        <v>166</v>
      </c>
      <c r="B168" t="str">
        <f>HYPERLINK("https://eproc.rajasthan.gov.in/nicgep/app?component=%24DirectLink&amp;page=FrontEndViewTender&amp;service=direct&amp;session=T&amp;sp=Spk4rSSf2uB2OedrToHT%2FAQ%3D%3D", "Construction of Class Rooms and Labs at ITI College Building at Chittorgarh, Distt. - Chittorgarh")</f>
        <v>Construction of Class Rooms and Labs at ITI College Building at Chittorgarh, Distt. - Chittorgarh</v>
      </c>
      <c r="C168" t="s">
        <v>443</v>
      </c>
      <c r="D168" t="s">
        <v>56</v>
      </c>
      <c r="E168" t="s">
        <v>448</v>
      </c>
      <c r="F168" t="s">
        <v>449</v>
      </c>
      <c r="G168" t="s">
        <v>219</v>
      </c>
    </row>
    <row r="169" spans="1:7" x14ac:dyDescent="0.2">
      <c r="A169" s="1">
        <v>167</v>
      </c>
      <c r="B169" t="str">
        <f>HYPERLINK("https://eproc.rajasthan.gov.in/nicgep/app?component=%24DirectLink&amp;page=FrontEndViewTender&amp;service=direct&amp;session=T&amp;sp=SqRpfVev0yHsG7sQv0dQkdg%3D%3D", "Construction of Sub Tehsil office Marena")</f>
        <v>Construction of Sub Tehsil office Marena</v>
      </c>
      <c r="C169" t="s">
        <v>192</v>
      </c>
      <c r="D169" t="s">
        <v>21</v>
      </c>
      <c r="E169" t="s">
        <v>450</v>
      </c>
      <c r="F169" t="s">
        <v>451</v>
      </c>
      <c r="G169" t="s">
        <v>195</v>
      </c>
    </row>
    <row r="170" spans="1:7" x14ac:dyDescent="0.2">
      <c r="A170" s="1">
        <v>168</v>
      </c>
      <c r="B170" t="str">
        <f>HYPERLINK("https://eproc.rajasthan.gov.in/nicgep/app?component=%24DirectLink&amp;page=FrontEndViewTender&amp;service=direct&amp;session=T&amp;sp=S3l5XSAZ5NmewUvdQcZFQ7Q%3D%3D", "All in all comprehensive Maintenance of various type Air Conditioners, R.O. and Water Coolers installed at Honble CM and Ministers bunglows and Furniture Store, Gandhi Nagar, Jaipur.")</f>
        <v>All in all comprehensive Maintenance of various type Air Conditioners, R.O. and Water Coolers installed at Honble CM and Ministers bunglows and Furniture Store, Gandhi Nagar, Jaipur.</v>
      </c>
      <c r="C170" t="s">
        <v>452</v>
      </c>
      <c r="D170" t="s">
        <v>453</v>
      </c>
      <c r="E170" t="s">
        <v>454</v>
      </c>
      <c r="F170" t="s">
        <v>455</v>
      </c>
      <c r="G170" t="s">
        <v>456</v>
      </c>
    </row>
    <row r="171" spans="1:7" x14ac:dyDescent="0.2">
      <c r="A171" s="1">
        <v>169</v>
      </c>
      <c r="B171" t="str">
        <f>HYPERLINK("https://eproc.rajasthan.gov.in/nicgep/app?component=%24DirectLink&amp;page=FrontEndViewTender&amp;service=direct&amp;session=T&amp;sp=Srj4QJdYmOeUP6nXwaE5v1g%3D%3D", "SITC of Lifts in Construction of Centre for Excellence Building at PWD Campus ,Jaipur.")</f>
        <v>SITC of Lifts in Construction of Centre for Excellence Building at PWD Campus ,Jaipur.</v>
      </c>
      <c r="C171" t="s">
        <v>452</v>
      </c>
      <c r="D171" t="s">
        <v>453</v>
      </c>
      <c r="E171" t="s">
        <v>457</v>
      </c>
      <c r="F171" t="s">
        <v>458</v>
      </c>
      <c r="G171" t="s">
        <v>459</v>
      </c>
    </row>
    <row r="172" spans="1:7" x14ac:dyDescent="0.2">
      <c r="A172" s="1">
        <v>170</v>
      </c>
      <c r="B172" t="str">
        <f>HYPERLINK("https://eproc.rajasthan.gov.in/nicgep/app?component=%24DirectLink&amp;page=FrontEndViewTender&amp;service=direct&amp;session=T&amp;sp=SkUM9yWI%2FVnXx1P9orF5IWQ%3D%3D", "Repair work on Bagdi to Pyawadi, Diggi Road to Mohammad Nagar (Risk and Cost)")</f>
        <v>Repair work on Bagdi to Pyawadi, Diggi Road to Mohammad Nagar (Risk and Cost)</v>
      </c>
      <c r="C172" t="s">
        <v>200</v>
      </c>
      <c r="D172" t="s">
        <v>56</v>
      </c>
      <c r="E172" t="s">
        <v>460</v>
      </c>
      <c r="F172" t="s">
        <v>461</v>
      </c>
      <c r="G172" t="s">
        <v>388</v>
      </c>
    </row>
    <row r="173" spans="1:7" x14ac:dyDescent="0.2">
      <c r="A173" s="1">
        <v>171</v>
      </c>
      <c r="B173" t="str">
        <f>HYPERLINK("https://eproc.rajasthan.gov.in/nicgep/app?component=%24DirectLink&amp;page=FrontEndViewTender&amp;service=direct&amp;session=T&amp;sp=SZ89P7tw6hkqBJJk3kibh%2Bg%3D%3D", "Repair work on Package No. RJ-32-05/5054/RIDF-25 / 2019-20 of RIDF-XXV in year 2019-20 in District Tonk (Risk and Cost)")</f>
        <v>Repair work on Package No. RJ-32-05/5054/RIDF-25 / 2019-20 of RIDF-XXV in year 2019-20 in District Tonk (Risk and Cost)</v>
      </c>
      <c r="C173" t="s">
        <v>200</v>
      </c>
      <c r="D173" t="s">
        <v>56</v>
      </c>
      <c r="E173" t="s">
        <v>462</v>
      </c>
      <c r="F173" t="s">
        <v>463</v>
      </c>
      <c r="G173" t="s">
        <v>388</v>
      </c>
    </row>
    <row r="174" spans="1:7" x14ac:dyDescent="0.2">
      <c r="A174" s="1">
        <v>172</v>
      </c>
      <c r="B174" t="str">
        <f>HYPERLINK("https://eproc.rajasthan.gov.in/nicgep/app?component=%24DirectLink&amp;page=FrontEndViewTender&amp;service=direct&amp;session=T&amp;sp=S57k37GJwt6yEQ%2BVEkYh5AA%3D%3D", "Repair work on Dholi Kadeela Kalmanda Naner Janwali Gehlod Tonk Road (Risk and Cost)")</f>
        <v>Repair work on Dholi Kadeela Kalmanda Naner Janwali Gehlod Tonk Road (Risk and Cost)</v>
      </c>
      <c r="C174" t="s">
        <v>200</v>
      </c>
      <c r="D174" t="s">
        <v>56</v>
      </c>
      <c r="E174" t="s">
        <v>464</v>
      </c>
      <c r="F174" t="s">
        <v>465</v>
      </c>
      <c r="G174" t="s">
        <v>388</v>
      </c>
    </row>
    <row r="175" spans="1:7" x14ac:dyDescent="0.2">
      <c r="A175" s="1">
        <v>173</v>
      </c>
      <c r="B175" t="str">
        <f>HYPERLINK("https://eproc.rajasthan.gov.in/nicgep/app?component=%24DirectLink&amp;page=FrontEndViewTender&amp;service=direct&amp;session=T&amp;sp=STDRNALlDMLXTmW%2BwcfWbtA%3D%3D", "Repair work on PMGSY Road Jhilai to Sirohi (Risk and Cost)")</f>
        <v>Repair work on PMGSY Road Jhilai to Sirohi (Risk and Cost)</v>
      </c>
      <c r="C175" t="s">
        <v>200</v>
      </c>
      <c r="D175" t="s">
        <v>56</v>
      </c>
      <c r="E175" t="s">
        <v>466</v>
      </c>
      <c r="F175" t="s">
        <v>467</v>
      </c>
      <c r="G175" t="s">
        <v>388</v>
      </c>
    </row>
    <row r="176" spans="1:7" x14ac:dyDescent="0.2">
      <c r="A176" s="1">
        <v>174</v>
      </c>
      <c r="B176" t="str">
        <f>HYPERLINK("https://eproc.rajasthan.gov.in/nicgep/app?component=%24DirectLink&amp;page=FrontEndViewTender&amp;service=direct&amp;session=T&amp;sp=S0tQntqQQgTR7dtctORMaFQ%3D%3D", "Repair work on PMGSY Road Gunsi to Raholi Road upto District Border (Risk and Cost)")</f>
        <v>Repair work on PMGSY Road Gunsi to Raholi Road upto District Border (Risk and Cost)</v>
      </c>
      <c r="C176" t="s">
        <v>200</v>
      </c>
      <c r="D176" t="s">
        <v>56</v>
      </c>
      <c r="E176" t="s">
        <v>468</v>
      </c>
      <c r="F176" t="s">
        <v>469</v>
      </c>
      <c r="G176" t="s">
        <v>388</v>
      </c>
    </row>
    <row r="177" spans="1:7" x14ac:dyDescent="0.2">
      <c r="A177" s="1">
        <v>175</v>
      </c>
      <c r="B177" t="str">
        <f>HYPERLINK("https://eproc.rajasthan.gov.in/nicgep/app?component=%24DirectLink&amp;page=FrontEndViewTender&amp;service=direct&amp;session=T&amp;sp=StJ7AOwer8rJXDZMAaPjOpg%3D%3D", "Repair work on Nathari Peeplu Ranoli Kalmanda Ajmeri Jaisinghpura Road Diggi Kurthal Pachewar (Risk and Cost)")</f>
        <v>Repair work on Nathari Peeplu Ranoli Kalmanda Ajmeri Jaisinghpura Road Diggi Kurthal Pachewar (Risk and Cost)</v>
      </c>
      <c r="C177" t="s">
        <v>200</v>
      </c>
      <c r="D177" t="s">
        <v>56</v>
      </c>
      <c r="E177" t="s">
        <v>470</v>
      </c>
      <c r="F177" t="s">
        <v>471</v>
      </c>
      <c r="G177" t="s">
        <v>388</v>
      </c>
    </row>
    <row r="178" spans="1:7" x14ac:dyDescent="0.2">
      <c r="A178" s="1">
        <v>176</v>
      </c>
      <c r="B178" t="str">
        <f>HYPERLINK("https://eproc.rajasthan.gov.in/nicgep/app?component=%24DirectLink&amp;page=FrontEndViewTender&amp;service=direct&amp;session=T&amp;sp=S3J7ZTCR%2F8OO2C9goyBRFXg%3D%3D", "Construction work of contact road Madhopura")</f>
        <v>Construction work of contact road Madhopura</v>
      </c>
      <c r="C178" t="s">
        <v>128</v>
      </c>
      <c r="D178" t="s">
        <v>56</v>
      </c>
      <c r="E178" t="s">
        <v>472</v>
      </c>
      <c r="F178" t="s">
        <v>473</v>
      </c>
      <c r="G178" t="s">
        <v>474</v>
      </c>
    </row>
    <row r="179" spans="1:7" x14ac:dyDescent="0.2">
      <c r="A179" s="1">
        <v>177</v>
      </c>
      <c r="B179" t="str">
        <f>HYPERLINK("https://eproc.rajasthan.gov.in/nicgep/app?component=%24DirectLink&amp;page=FrontEndViewTender&amp;service=direct&amp;session=T&amp;sp=SMATAiP8Y2F6DfKm2jNiLkA%3D%3D", "CONSTRUCTION OF B.T. ROAD JHADOL TO PHALASIYA MUKHAY MARG TO SHANI MAHARJ MANDIR APPROACH ROAD (6.0 Km.)")</f>
        <v>CONSTRUCTION OF B.T. ROAD JHADOL TO PHALASIYA MUKHAY MARG TO SHANI MAHARJ MANDIR APPROACH ROAD (6.0 Km.)</v>
      </c>
      <c r="C179" t="s">
        <v>475</v>
      </c>
      <c r="D179" t="s">
        <v>201</v>
      </c>
      <c r="E179" t="s">
        <v>476</v>
      </c>
      <c r="F179" t="s">
        <v>477</v>
      </c>
      <c r="G179" t="s">
        <v>478</v>
      </c>
    </row>
    <row r="180" spans="1:7" x14ac:dyDescent="0.2">
      <c r="A180" s="1">
        <v>178</v>
      </c>
      <c r="B180" t="str">
        <f>HYPERLINK("https://eproc.rajasthan.gov.in/nicgep/app?component=%24DirectLink&amp;page=FrontEndViewTender&amp;service=direct&amp;session=T&amp;sp=SKKM7r5RuIbEM4VbLQWZc2Q%3D%3D", "Mega Highway to Chanakya Dah (Banas River) via Baba Ashram Dhoonda")</f>
        <v>Mega Highway to Chanakya Dah (Banas River) via Baba Ashram Dhoonda</v>
      </c>
      <c r="C180" t="s">
        <v>479</v>
      </c>
      <c r="D180" t="s">
        <v>201</v>
      </c>
      <c r="E180" t="s">
        <v>431</v>
      </c>
      <c r="F180" t="s">
        <v>480</v>
      </c>
      <c r="G180" t="s">
        <v>87</v>
      </c>
    </row>
    <row r="181" spans="1:7" x14ac:dyDescent="0.2">
      <c r="A181" s="1">
        <v>179</v>
      </c>
      <c r="B181" t="str">
        <f>HYPERLINK("https://eproc.rajasthan.gov.in/nicgep/app?component=%24DirectLink&amp;page=FrontEndViewTender&amp;service=direct&amp;session=T&amp;sp=SUEVng68HOHL2Hz0xQMtY5g%3D%3D", "Hammir Circle to Ganeshdham Circle KM 70/0 to 71/0")</f>
        <v>Hammir Circle to Ganeshdham Circle KM 70/0 to 71/0</v>
      </c>
      <c r="C181" t="s">
        <v>479</v>
      </c>
      <c r="D181" t="s">
        <v>398</v>
      </c>
      <c r="E181" t="s">
        <v>481</v>
      </c>
      <c r="F181" t="s">
        <v>482</v>
      </c>
      <c r="G181" t="s">
        <v>87</v>
      </c>
    </row>
    <row r="182" spans="1:7" x14ac:dyDescent="0.2">
      <c r="A182" s="1">
        <v>180</v>
      </c>
      <c r="B182" t="str">
        <f>HYPERLINK("https://eproc.rajasthan.gov.in/nicgep/app?component=%24DirectLink&amp;page=FrontEndViewTender&amp;service=direct&amp;session=T&amp;sp=Su229KbDsoGYh7fLC%2FPAeGQ%3D%3D", "Strengthening work on SH-40 (Gadra road to Nachana via Barmer,Chava, Baytoo,Kanod,Falsoond,Pokaran Km 29/0 to 34/600 )(Chava to Baytoo Bhimji)")</f>
        <v>Strengthening work on SH-40 (Gadra road to Nachana via Barmer,Chava, Baytoo,Kanod,Falsoond,Pokaran Km 29/0 to 34/600 )(Chava to Baytoo Bhimji)</v>
      </c>
      <c r="C182" t="s">
        <v>327</v>
      </c>
      <c r="D182" t="s">
        <v>209</v>
      </c>
      <c r="E182" t="s">
        <v>483</v>
      </c>
      <c r="F182" t="s">
        <v>484</v>
      </c>
      <c r="G182" t="s">
        <v>330</v>
      </c>
    </row>
    <row r="183" spans="1:7" x14ac:dyDescent="0.2">
      <c r="A183" s="1">
        <v>181</v>
      </c>
      <c r="B183" t="str">
        <f>HYPERLINK("https://eproc.rajasthan.gov.in/nicgep/app?component=%24DirectLink&amp;page=FrontEndViewTender&amp;service=direct&amp;session=T&amp;sp=Srz857dqsWLwNwHvDesgytQ%3D%3D", "Construction of Gravel Roads for Community Gravel Road ODR 50 Km 14 to Bijpur Via Anant Basani Km 0/0 to 5/0 WBLDIBM")</f>
        <v>Construction of Gravel Roads for Community Gravel Road ODR 50 Km 14 to Bijpur Via Anant Basani Km 0/0 to 5/0 WBLDIBM</v>
      </c>
      <c r="C183" t="s">
        <v>485</v>
      </c>
      <c r="D183" t="s">
        <v>244</v>
      </c>
      <c r="E183" t="s">
        <v>486</v>
      </c>
      <c r="F183" t="s">
        <v>487</v>
      </c>
      <c r="G183" t="s">
        <v>488</v>
      </c>
    </row>
    <row r="184" spans="1:7" x14ac:dyDescent="0.2">
      <c r="A184" s="1">
        <v>182</v>
      </c>
      <c r="B184" t="str">
        <f>HYPERLINK("https://eproc.rajasthan.gov.in/nicgep/app?component=%24DirectLink&amp;page=FrontEndViewTender&amp;service=direct&amp;session=T&amp;sp=Sqsfpc5HSXf3MZzelpD%2BbUg%3D%3D", "Construction of Missing CD Work on Bhanawas -Kotri -Math Kharantiya road Km Chainage 0/600 to 0/800")</f>
        <v>Construction of Missing CD Work on Bhanawas -Kotri -Math Kharantiya road Km Chainage 0/600 to 0/800</v>
      </c>
      <c r="C184" t="s">
        <v>489</v>
      </c>
      <c r="D184" t="s">
        <v>209</v>
      </c>
      <c r="E184" t="s">
        <v>490</v>
      </c>
      <c r="F184" t="s">
        <v>491</v>
      </c>
      <c r="G184" t="s">
        <v>492</v>
      </c>
    </row>
    <row r="185" spans="1:7" x14ac:dyDescent="0.2">
      <c r="A185" s="1">
        <v>183</v>
      </c>
      <c r="B185" t="str">
        <f>HYPERLINK("https://eproc.rajasthan.gov.in/nicgep/app?component=%24DirectLink&amp;page=FrontEndViewTender&amp;service=direct&amp;session=T&amp;sp=SBTLbBXarVVI7kc3DXsj0NQ%3D%3D", "Widening and strengthening work on Tapra - Padru - Bawatra Upto Distt. Border Road ( km 26/0 to 46/300)")</f>
        <v>Widening and strengthening work on Tapra - Padru - Bawatra Upto Distt. Border Road ( km 26/0 to 46/300)</v>
      </c>
      <c r="C185" t="s">
        <v>489</v>
      </c>
      <c r="D185" t="s">
        <v>209</v>
      </c>
      <c r="E185" t="s">
        <v>493</v>
      </c>
      <c r="F185" t="s">
        <v>494</v>
      </c>
      <c r="G185" t="s">
        <v>492</v>
      </c>
    </row>
    <row r="186" spans="1:7" x14ac:dyDescent="0.2">
      <c r="A186" s="1">
        <v>184</v>
      </c>
      <c r="B186" t="str">
        <f>HYPERLINK("https://eproc.rajasthan.gov.in/nicgep/app?component=%24DirectLink&amp;page=FrontEndViewTender&amp;service=direct&amp;session=T&amp;sp=Sy0nkB200W9vdFamHVqP9Bw%3D%3D", "CONSTRUCTION OF DEVNARAYAN GIRLS RESIDENTIAL SCHOOL AT PASOPA (DEEG)")</f>
        <v>CONSTRUCTION OF DEVNARAYAN GIRLS RESIDENTIAL SCHOOL AT PASOPA (DEEG)</v>
      </c>
      <c r="C186" t="s">
        <v>495</v>
      </c>
      <c r="D186" t="s">
        <v>250</v>
      </c>
      <c r="E186" t="s">
        <v>496</v>
      </c>
      <c r="F186" t="s">
        <v>497</v>
      </c>
      <c r="G186" t="s">
        <v>498</v>
      </c>
    </row>
    <row r="187" spans="1:7" x14ac:dyDescent="0.2">
      <c r="A187" s="1">
        <v>185</v>
      </c>
      <c r="B187" t="str">
        <f>HYPERLINK("https://eproc.rajasthan.gov.in/nicgep/app?component=%24DirectLink&amp;page=FrontEndViewTender&amp;service=direct&amp;session=T&amp;sp=Smypf00bDaCjaSttANJOa5g%3D%3D", "Widening and strengthening work on Pali -Jetpura -Gelawas -Barwa -Mazal -Karmawas Road ( km 49/0 to 68/0)")</f>
        <v>Widening and strengthening work on Pali -Jetpura -Gelawas -Barwa -Mazal -Karmawas Road ( km 49/0 to 68/0)</v>
      </c>
      <c r="C187" t="s">
        <v>489</v>
      </c>
      <c r="D187" t="s">
        <v>209</v>
      </c>
      <c r="E187" t="s">
        <v>499</v>
      </c>
      <c r="F187" t="s">
        <v>500</v>
      </c>
      <c r="G187" t="s">
        <v>492</v>
      </c>
    </row>
    <row r="188" spans="1:7" x14ac:dyDescent="0.2">
      <c r="A188" s="1">
        <v>186</v>
      </c>
      <c r="B188" t="str">
        <f>HYPERLINK("https://eproc.rajasthan.gov.in/nicgep/app?component=%24DirectLink&amp;page=FrontEndViewTender&amp;service=direct&amp;session=T&amp;sp=S3ObMT7gm6XoMIPJm6vHG7w%3D%3D", "CONSTRUCTION OF DEVNARAYAN BOYS RESIDENTIAL SCHOOL AT BALI")</f>
        <v>CONSTRUCTION OF DEVNARAYAN BOYS RESIDENTIAL SCHOOL AT BALI</v>
      </c>
      <c r="C188" t="s">
        <v>73</v>
      </c>
      <c r="D188" t="s">
        <v>501</v>
      </c>
      <c r="E188" t="s">
        <v>502</v>
      </c>
      <c r="F188" t="s">
        <v>503</v>
      </c>
      <c r="G188" t="s">
        <v>417</v>
      </c>
    </row>
    <row r="189" spans="1:7" x14ac:dyDescent="0.2">
      <c r="A189" s="1">
        <v>187</v>
      </c>
      <c r="B189" t="str">
        <f>HYPERLINK("https://eproc.rajasthan.gov.in/nicgep/app?component=%24DirectLink&amp;page=FrontEndViewTender&amp;service=direct&amp;session=T&amp;sp=SlTLt2Hf0EURFdBuaGScUoQ%3D%3D", "MED BEELWARI ROAD TO KHEDA KI DHANI (MDR-321) VIA JHUMKA MANDIR BAD KI DHANI, KAPASAN MATA MANDIR")</f>
        <v>MED BEELWARI ROAD TO KHEDA KI DHANI (MDR-321) VIA JHUMKA MANDIR BAD KI DHANI, KAPASAN MATA MANDIR</v>
      </c>
      <c r="C189" t="s">
        <v>7</v>
      </c>
      <c r="D189" t="s">
        <v>244</v>
      </c>
      <c r="E189" t="s">
        <v>476</v>
      </c>
      <c r="F189" t="s">
        <v>504</v>
      </c>
      <c r="G189" t="s">
        <v>505</v>
      </c>
    </row>
    <row r="190" spans="1:7" x14ac:dyDescent="0.2">
      <c r="A190" s="1">
        <v>188</v>
      </c>
      <c r="B190" t="str">
        <f>HYPERLINK("https://eproc.rajasthan.gov.in/nicgep/app?component=%24DirectLink&amp;page=FrontEndViewTender&amp;service=direct&amp;session=T&amp;sp=S%2BVmR3tPCrGRk%2F82BRhytLw%3D%3D", "Construction of BT road Lasadiya to Pheela road, Sheshpur Mod to Dholagir Kheda Mahadev Distt Salumber")</f>
        <v>Construction of BT road Lasadiya to Pheela road, Sheshpur Mod to Dholagir Kheda Mahadev Distt Salumber</v>
      </c>
      <c r="C190" t="s">
        <v>215</v>
      </c>
      <c r="D190" t="s">
        <v>26</v>
      </c>
      <c r="E190" t="s">
        <v>506</v>
      </c>
      <c r="F190" t="s">
        <v>507</v>
      </c>
      <c r="G190" t="s">
        <v>508</v>
      </c>
    </row>
    <row r="191" spans="1:7" x14ac:dyDescent="0.2">
      <c r="A191" s="1">
        <v>189</v>
      </c>
      <c r="B191" t="str">
        <f>HYPERLINK("https://eproc.rajasthan.gov.in/nicgep/app?component=%24DirectLink&amp;page=FrontEndViewTender&amp;service=direct&amp;session=T&amp;sp=SUzYHpBKmIW%2F%2B%2F2H8Tp4tRA%3D%3D", "Strengthening and Widening of MDR 36 Bharodi to Palana Kalan via Chhoti Khedi Moti Khedi upto Bhansol NH road -Distt. Udaipur")</f>
        <v>Strengthening and Widening of MDR 36 Bharodi to Palana Kalan via Chhoti Khedi Moti Khedi upto Bhansol NH road -Distt. Udaipur</v>
      </c>
      <c r="C191" t="s">
        <v>215</v>
      </c>
      <c r="D191" t="s">
        <v>26</v>
      </c>
      <c r="E191" t="s">
        <v>509</v>
      </c>
      <c r="F191" t="s">
        <v>510</v>
      </c>
      <c r="G191" t="s">
        <v>511</v>
      </c>
    </row>
    <row r="192" spans="1:7" x14ac:dyDescent="0.2">
      <c r="A192" s="1">
        <v>190</v>
      </c>
      <c r="B192" t="str">
        <f>HYPERLINK("https://eproc.rajasthan.gov.in/nicgep/app?component=%24DirectLink&amp;page=FrontEndViewTender&amp;service=direct&amp;session=T&amp;sp=SBhtpHs7tMKabeMSWEdG5jg%3D%3D", "Re-construction and widening of Bhinder panund Fila, Bhamrasiya to Kurabad MDR - Distt. Udaipur")</f>
        <v>Re-construction and widening of Bhinder panund Fila, Bhamrasiya to Kurabad MDR - Distt. Udaipur</v>
      </c>
      <c r="C192" t="s">
        <v>215</v>
      </c>
      <c r="D192" t="s">
        <v>216</v>
      </c>
      <c r="E192" t="s">
        <v>512</v>
      </c>
      <c r="F192" t="s">
        <v>513</v>
      </c>
      <c r="G192" t="s">
        <v>511</v>
      </c>
    </row>
    <row r="193" spans="1:7" x14ac:dyDescent="0.2">
      <c r="A193" s="1">
        <v>191</v>
      </c>
      <c r="B193" t="str">
        <f>HYPERLINK("https://eproc.rajasthan.gov.in/nicgep/app?component=%24DirectLink&amp;page=FrontEndViewTender&amp;service=direct&amp;session=T&amp;sp=SbqEiVPmIg1RkCy4wrjR8nA%3D%3D", "Construction of BT Road Chhayan to Baroo Km 6/0 to 13/0")</f>
        <v>Construction of BT Road Chhayan to Baroo Km 6/0 to 13/0</v>
      </c>
      <c r="C193" t="s">
        <v>73</v>
      </c>
      <c r="D193" t="s">
        <v>501</v>
      </c>
      <c r="E193" t="s">
        <v>514</v>
      </c>
      <c r="F193" t="s">
        <v>515</v>
      </c>
      <c r="G193" t="s">
        <v>437</v>
      </c>
    </row>
    <row r="194" spans="1:7" x14ac:dyDescent="0.2">
      <c r="A194" s="1">
        <v>192</v>
      </c>
      <c r="B194" t="str">
        <f>HYPERLINK("https://eproc.rajasthan.gov.in/nicgep/app?component=%24DirectLink&amp;page=FrontEndViewTender&amp;service=direct&amp;session=T&amp;sp=SdQEF%2F1Dx%2FdfGeUbWb4LcJg%3D%3D", "NH-25 Jhulri to Khejarla two lane Road")</f>
        <v>NH-25 Jhulri to Khejarla two lane Road</v>
      </c>
      <c r="C194" t="s">
        <v>73</v>
      </c>
      <c r="D194" t="s">
        <v>501</v>
      </c>
      <c r="E194" t="s">
        <v>516</v>
      </c>
      <c r="F194" t="s">
        <v>517</v>
      </c>
      <c r="G194" t="s">
        <v>76</v>
      </c>
    </row>
    <row r="195" spans="1:7" x14ac:dyDescent="0.2">
      <c r="A195" s="1">
        <v>193</v>
      </c>
      <c r="B195" t="str">
        <f>HYPERLINK("https://eproc.rajasthan.gov.in/nicgep/app?component=%24DirectLink&amp;page=FrontEndViewTender&amp;service=direct&amp;session=T&amp;sp=Sks5LQ9T%2B4dADPJN7UNuyXg%3D%3D", "Widening and Strengthening of Soyala Osian Road Km 0/0 to 51/0 (MDR-384)")</f>
        <v>Widening and Strengthening of Soyala Osian Road Km 0/0 to 51/0 (MDR-384)</v>
      </c>
      <c r="C195" t="s">
        <v>73</v>
      </c>
      <c r="D195" t="s">
        <v>518</v>
      </c>
      <c r="E195" t="s">
        <v>519</v>
      </c>
      <c r="F195" t="s">
        <v>520</v>
      </c>
      <c r="G195" t="s">
        <v>76</v>
      </c>
    </row>
    <row r="196" spans="1:7" x14ac:dyDescent="0.2">
      <c r="A196" s="1">
        <v>194</v>
      </c>
      <c r="B196" t="str">
        <f>HYPERLINK("https://eproc.rajasthan.gov.in/nicgep/app?component=%24DirectLink&amp;page=FrontEndViewTender&amp;service=direct&amp;session=T&amp;sp=SYWu47zVj26CiO5aPadOupw%3D%3D", "Construction of Hall Near Amreshwar Mahadev Mandir Harsholav Talab Parisar Bikaner (MP Lad)")</f>
        <v>Construction of Hall Near Amreshwar Mahadev Mandir Harsholav Talab Parisar Bikaner (MP Lad)</v>
      </c>
      <c r="C196" t="s">
        <v>183</v>
      </c>
      <c r="D196" t="s">
        <v>244</v>
      </c>
      <c r="E196" t="s">
        <v>521</v>
      </c>
      <c r="F196" t="s">
        <v>522</v>
      </c>
      <c r="G196" t="s">
        <v>187</v>
      </c>
    </row>
    <row r="197" spans="1:7" x14ac:dyDescent="0.2">
      <c r="A197" s="1">
        <v>195</v>
      </c>
      <c r="B197" t="str">
        <f>HYPERLINK("https://eproc.rajasthan.gov.in/nicgep/app?component=%24DirectLink&amp;page=FrontEndViewTender&amp;service=direct&amp;session=T&amp;sp=Sm9AczJeaPpxptqfa17SmRw%3D%3D", "Construction of RUB at 321/9-10 Lalgarh Bikaner (Risk and Cost)")</f>
        <v>Construction of RUB at 321/9-10 Lalgarh Bikaner (Risk and Cost)</v>
      </c>
      <c r="C197" t="s">
        <v>183</v>
      </c>
      <c r="D197" t="s">
        <v>244</v>
      </c>
      <c r="E197" t="s">
        <v>523</v>
      </c>
      <c r="F197" t="s">
        <v>524</v>
      </c>
      <c r="G197" t="s">
        <v>187</v>
      </c>
    </row>
    <row r="198" spans="1:7" x14ac:dyDescent="0.2">
      <c r="A198" s="1">
        <v>196</v>
      </c>
      <c r="B198" t="str">
        <f>HYPERLINK("https://eproc.rajasthan.gov.in/nicgep/app?component=%24DirectLink&amp;page=FrontEndViewTender&amp;service=direct&amp;session=T&amp;sp=SlbwlDXabtlslO4HK0eOeNw%3D%3D", "Maintenance and Renovation works in Pathology Lab at SPMC College Bikaner")</f>
        <v>Maintenance and Renovation works in Pathology Lab at SPMC College Bikaner</v>
      </c>
      <c r="C198" t="s">
        <v>183</v>
      </c>
      <c r="D198" t="s">
        <v>244</v>
      </c>
      <c r="E198" t="s">
        <v>525</v>
      </c>
      <c r="F198" t="s">
        <v>526</v>
      </c>
      <c r="G198" t="s">
        <v>187</v>
      </c>
    </row>
    <row r="199" spans="1:7" x14ac:dyDescent="0.2">
      <c r="A199" s="1">
        <v>197</v>
      </c>
      <c r="B199" t="str">
        <f>HYPERLINK("https://eproc.rajasthan.gov.in/nicgep/app?component=%24DirectLink&amp;page=FrontEndViewTender&amp;service=direct&amp;session=T&amp;sp=S8PyrHfgRpc2C6UY%2FiStyDw%3D%3D", "Maintenance and Renovation works of Toilets and other Minor Works in PBM Hospital Bikaner")</f>
        <v>Maintenance and Renovation works of Toilets and other Minor Works in PBM Hospital Bikaner</v>
      </c>
      <c r="C199" t="s">
        <v>183</v>
      </c>
      <c r="D199" t="s">
        <v>244</v>
      </c>
      <c r="E199" t="s">
        <v>527</v>
      </c>
      <c r="F199" t="s">
        <v>528</v>
      </c>
      <c r="G199" t="s">
        <v>187</v>
      </c>
    </row>
    <row r="200" spans="1:7" x14ac:dyDescent="0.2">
      <c r="A200" s="1">
        <v>198</v>
      </c>
      <c r="B200" t="str">
        <f>HYPERLINK("https://eproc.rajasthan.gov.in/nicgep/app?component=%24DirectLink&amp;page=FrontEndViewTender&amp;service=direct&amp;session=T&amp;sp=SZkEc8ggaKbjqA%2BvG99qzWQ%3D%3D", "Maintenance and Upkeeping/Renovation works of Auditorium in SPMC, Bikaner")</f>
        <v>Maintenance and Upkeeping/Renovation works of Auditorium in SPMC, Bikaner</v>
      </c>
      <c r="C200" t="s">
        <v>183</v>
      </c>
      <c r="D200" t="s">
        <v>244</v>
      </c>
      <c r="E200" t="s">
        <v>529</v>
      </c>
      <c r="F200" t="s">
        <v>530</v>
      </c>
      <c r="G200" t="s">
        <v>187</v>
      </c>
    </row>
    <row r="201" spans="1:7" x14ac:dyDescent="0.2">
      <c r="A201" s="1">
        <v>199</v>
      </c>
      <c r="B201" t="str">
        <f>HYPERLINK("https://eproc.rajasthan.gov.in/nicgep/app?component=%24DirectLink&amp;page=FrontEndViewTender&amp;service=direct&amp;session=T&amp;sp=So6erx0L%2FeByxWq1m%2BywyFQ%3D%3D", "Construction of Road Dahlod Datwas to Seepura, Kurthal to Lunera Ashram, Badi Dhani, Lunera to Goverdhanpura, Seepura to Kerlidham, Shriram to Kerli Dham, Churad to Jetpura in District Tonk")</f>
        <v>Construction of Road Dahlod Datwas to Seepura, Kurthal to Lunera Ashram, Badi Dhani, Lunera to Goverdhanpura, Seepura to Kerlidham, Shriram to Kerli Dham, Churad to Jetpura in District Tonk</v>
      </c>
      <c r="C201" t="s">
        <v>200</v>
      </c>
      <c r="D201" t="s">
        <v>398</v>
      </c>
      <c r="E201" t="s">
        <v>531</v>
      </c>
      <c r="F201" t="s">
        <v>532</v>
      </c>
      <c r="G201" t="s">
        <v>204</v>
      </c>
    </row>
    <row r="202" spans="1:7" x14ac:dyDescent="0.2">
      <c r="A202" s="1">
        <v>200</v>
      </c>
      <c r="B202" t="str">
        <f>HYPERLINK("https://eproc.rajasthan.gov.in/nicgep/app?component=%24DirectLink&amp;page=FrontEndViewTender&amp;service=direct&amp;session=T&amp;sp=SUGrJixjIlTJwW5fQg%2F1f2A%3D%3D", "Widening and Strengthening work of Jhilai to Bahad upto District Border via Khidgi Bassi Kheda Road in District Tonk")</f>
        <v>Widening and Strengthening work of Jhilai to Bahad upto District Border via Khidgi Bassi Kheda Road in District Tonk</v>
      </c>
      <c r="C202" t="s">
        <v>200</v>
      </c>
      <c r="D202" t="s">
        <v>398</v>
      </c>
      <c r="E202" t="s">
        <v>533</v>
      </c>
      <c r="F202" t="s">
        <v>534</v>
      </c>
      <c r="G202" t="s">
        <v>204</v>
      </c>
    </row>
    <row r="203" spans="1:7" x14ac:dyDescent="0.2">
      <c r="A203" s="1">
        <v>201</v>
      </c>
      <c r="B203" t="str">
        <f>HYPERLINK("https://eproc.rajasthan.gov.in/nicgep/app?component=%24DirectLink&amp;page=FrontEndViewTender&amp;service=direct&amp;session=T&amp;sp=SDMmAzxljDUSlYnCfPb44sA%3D%3D", "Road Repair Work during Rainy Season under PWD Sub Dn Masuda")</f>
        <v>Road Repair Work during Rainy Season under PWD Sub Dn Masuda</v>
      </c>
      <c r="C203" t="s">
        <v>389</v>
      </c>
      <c r="D203" t="s">
        <v>453</v>
      </c>
      <c r="E203" t="s">
        <v>535</v>
      </c>
      <c r="F203" t="s">
        <v>536</v>
      </c>
      <c r="G203" t="s">
        <v>393</v>
      </c>
    </row>
    <row r="204" spans="1:7" x14ac:dyDescent="0.2">
      <c r="A204" s="1">
        <v>202</v>
      </c>
      <c r="B204" t="str">
        <f>HYPERLINK("https://eproc.rajasthan.gov.in/nicgep/app?component=%24DirectLink&amp;page=FrontEndViewTender&amp;service=direct&amp;session=T&amp;sp=SSHtiBLZxANxP4vONnxaKKw%3D%3D", "Road Repair Work during Rainy Season under PWD Sub Dn Jaitaran")</f>
        <v>Road Repair Work during Rainy Season under PWD Sub Dn Jaitaran</v>
      </c>
      <c r="C204" t="s">
        <v>389</v>
      </c>
      <c r="D204" t="s">
        <v>453</v>
      </c>
      <c r="E204" t="s">
        <v>535</v>
      </c>
      <c r="F204" t="s">
        <v>537</v>
      </c>
      <c r="G204" t="s">
        <v>393</v>
      </c>
    </row>
    <row r="205" spans="1:7" x14ac:dyDescent="0.2">
      <c r="A205" s="1">
        <v>203</v>
      </c>
      <c r="B205" t="str">
        <f>HYPERLINK("https://eproc.rajasthan.gov.in/nicgep/app?component=%24DirectLink&amp;page=FrontEndViewTender&amp;service=direct&amp;session=T&amp;sp=SR3YifFHL19QObPpQlLj00w%3D%3D", "Widening and Strengthening Work from Halena to Baroda Meo MDR-357 Km18/0 to 21/800 and 25/800 to 28/700 and 44/300 to 64/700")</f>
        <v>Widening and Strengthening Work from Halena to Baroda Meo MDR-357 Km18/0 to 21/800 and 25/800 to 28/700 and 44/300 to 64/700</v>
      </c>
      <c r="C205" t="s">
        <v>70</v>
      </c>
      <c r="D205" t="s">
        <v>406</v>
      </c>
      <c r="E205" t="s">
        <v>538</v>
      </c>
      <c r="F205" t="s">
        <v>539</v>
      </c>
      <c r="G205" t="s">
        <v>67</v>
      </c>
    </row>
    <row r="206" spans="1:7" x14ac:dyDescent="0.2">
      <c r="A206" s="1">
        <v>204</v>
      </c>
      <c r="B206" t="str">
        <f>HYPERLINK("https://eproc.rajasthan.gov.in/nicgep/app?component=%24DirectLink&amp;page=FrontEndViewTender&amp;service=direct&amp;session=T&amp;sp=SbjISLcj8Ww7eaQfr1ilA0Q%3D%3D", "Road Repair Work during Rainy Season under PWD Sub Dn Badnor")</f>
        <v>Road Repair Work during Rainy Season under PWD Sub Dn Badnor</v>
      </c>
      <c r="C206" t="s">
        <v>389</v>
      </c>
      <c r="D206" t="s">
        <v>453</v>
      </c>
      <c r="E206" t="s">
        <v>535</v>
      </c>
      <c r="F206" t="s">
        <v>540</v>
      </c>
      <c r="G206" t="s">
        <v>393</v>
      </c>
    </row>
    <row r="207" spans="1:7" x14ac:dyDescent="0.2">
      <c r="A207" s="1">
        <v>205</v>
      </c>
      <c r="B207" t="str">
        <f>HYPERLINK("https://eproc.rajasthan.gov.in/nicgep/app?component=%24DirectLink&amp;page=FrontEndViewTender&amp;service=direct&amp;session=T&amp;sp=Svv0v2tG9X9gK5zumggBk1w%3D%3D", "Shoulders Maintenance work in Road Repair Campaign under PWD Sub Dn Jaitaran")</f>
        <v>Shoulders Maintenance work in Road Repair Campaign under PWD Sub Dn Jaitaran</v>
      </c>
      <c r="C207" t="s">
        <v>389</v>
      </c>
      <c r="D207" t="s">
        <v>453</v>
      </c>
      <c r="E207" t="s">
        <v>535</v>
      </c>
      <c r="F207" t="s">
        <v>541</v>
      </c>
      <c r="G207" t="s">
        <v>393</v>
      </c>
    </row>
    <row r="208" spans="1:7" x14ac:dyDescent="0.2">
      <c r="A208" s="1">
        <v>206</v>
      </c>
      <c r="B208" t="str">
        <f>HYPERLINK("https://eproc.rajasthan.gov.in/nicgep/app?component=%24DirectLink&amp;page=FrontEndViewTender&amp;service=direct&amp;session=T&amp;sp=SiQvW%2FQdqTs6eAZpaqLcX9g%3D%3D", "Shoulders Maintenance work in Road Repair Campaign under PWD Sub Dn Bar")</f>
        <v>Shoulders Maintenance work in Road Repair Campaign under PWD Sub Dn Bar</v>
      </c>
      <c r="C208" t="s">
        <v>389</v>
      </c>
      <c r="D208" t="s">
        <v>453</v>
      </c>
      <c r="E208" t="s">
        <v>535</v>
      </c>
      <c r="F208" t="s">
        <v>542</v>
      </c>
      <c r="G208" t="s">
        <v>393</v>
      </c>
    </row>
    <row r="209" spans="1:7" x14ac:dyDescent="0.2">
      <c r="A209" s="1">
        <v>207</v>
      </c>
      <c r="B209" t="str">
        <f>HYPERLINK("https://eproc.rajasthan.gov.in/nicgep/app?component=%24DirectLink&amp;page=FrontEndViewTender&amp;service=direct&amp;session=T&amp;sp=SnlizqleIo0eJbB2Nq7BMvA%3D%3D", "Shoulders Maintenance work in Road Repair Campaign under PWD Sub Dn Beawar")</f>
        <v>Shoulders Maintenance work in Road Repair Campaign under PWD Sub Dn Beawar</v>
      </c>
      <c r="C209" t="s">
        <v>389</v>
      </c>
      <c r="D209" t="s">
        <v>453</v>
      </c>
      <c r="E209" t="s">
        <v>535</v>
      </c>
      <c r="F209" t="s">
        <v>543</v>
      </c>
      <c r="G209" t="s">
        <v>393</v>
      </c>
    </row>
    <row r="210" spans="1:7" x14ac:dyDescent="0.2">
      <c r="A210" s="1">
        <v>208</v>
      </c>
      <c r="B210" t="str">
        <f>HYPERLINK("https://eproc.rajasthan.gov.in/nicgep/app?component=%24DirectLink&amp;page=FrontEndViewTender&amp;service=direct&amp;session=T&amp;sp=Sn6juhwR50OfvH5ejGgjSWQ%3D%3D", "Widening and Strengthening work of SH-37A Gurjar Thadi to Rindliya Rampura and Pandraheda via Baori Road in District Tonk")</f>
        <v>Widening and Strengthening work of SH-37A Gurjar Thadi to Rindliya Rampura and Pandraheda via Baori Road in District Tonk</v>
      </c>
      <c r="C210" t="s">
        <v>200</v>
      </c>
      <c r="D210" t="s">
        <v>398</v>
      </c>
      <c r="E210" t="s">
        <v>544</v>
      </c>
      <c r="F210" t="s">
        <v>545</v>
      </c>
      <c r="G210" t="s">
        <v>204</v>
      </c>
    </row>
    <row r="211" spans="1:7" x14ac:dyDescent="0.2">
      <c r="A211" s="1">
        <v>209</v>
      </c>
      <c r="B211" t="str">
        <f>HYPERLINK("https://eproc.rajasthan.gov.in/nicgep/app?component=%24DirectLink&amp;page=FrontEndViewTender&amp;service=direct&amp;session=T&amp;sp=SmLYZoxcpcat50mYtJ2QSxA%3D%3D", "Widening and Strengthening Work from Titraka MDR 319 to Bhagoda MDR 200 Via Dhotayana Berla Jairoli Thons Km 0/0 to 14/0")</f>
        <v>Widening and Strengthening Work from Titraka MDR 319 to Bhagoda MDR 200 Via Dhotayana Berla Jairoli Thons Km 0/0 to 14/0</v>
      </c>
      <c r="C211" t="s">
        <v>70</v>
      </c>
      <c r="D211" t="s">
        <v>406</v>
      </c>
      <c r="E211" t="s">
        <v>546</v>
      </c>
      <c r="F211" t="s">
        <v>547</v>
      </c>
      <c r="G211" t="s">
        <v>548</v>
      </c>
    </row>
    <row r="212" spans="1:7" x14ac:dyDescent="0.2">
      <c r="A212" s="1">
        <v>210</v>
      </c>
      <c r="B212" t="str">
        <f>HYPERLINK("https://eproc.rajasthan.gov.in/nicgep/app?component=%24DirectLink&amp;page=FrontEndViewTender&amp;service=direct&amp;session=T&amp;sp=SQNidOfTGr7w2BPA%2Ba9212g%3D%3D", "Widening and Strengthening Work from Bibirani Karwad Udaipur Dhaki Shanker Ka Tibara Barka Shyamo Ki Dhani Tijara")</f>
        <v>Widening and Strengthening Work from Bibirani Karwad Udaipur Dhaki Shanker Ka Tibara Barka Shyamo Ki Dhani Tijara</v>
      </c>
      <c r="C212" t="s">
        <v>70</v>
      </c>
      <c r="D212" t="s">
        <v>406</v>
      </c>
      <c r="E212" t="s">
        <v>549</v>
      </c>
      <c r="F212" t="s">
        <v>550</v>
      </c>
      <c r="G212" t="s">
        <v>548</v>
      </c>
    </row>
    <row r="213" spans="1:7" x14ac:dyDescent="0.2">
      <c r="A213" s="1">
        <v>211</v>
      </c>
      <c r="B213" t="str">
        <f>HYPERLINK("https://eproc.rajasthan.gov.in/nicgep/app?component=%24DirectLink&amp;page=FrontEndViewTender&amp;service=direct&amp;session=T&amp;sp=SnAum5EmY9BQ5KDH5EKlNzQ%3D%3D", "Widening and Strengthening Work from Alwar- Bhiwadi Megha Highwa SH 25 to Kishangarh Kotkasim SH-109 Via Bhindusi Ghanker Gothra Km 0/0 to 6/0")</f>
        <v>Widening and Strengthening Work from Alwar- Bhiwadi Megha Highwa SH 25 to Kishangarh Kotkasim SH-109 Via Bhindusi Ghanker Gothra Km 0/0 to 6/0</v>
      </c>
      <c r="C213" t="s">
        <v>70</v>
      </c>
      <c r="D213" t="s">
        <v>406</v>
      </c>
      <c r="E213" t="s">
        <v>551</v>
      </c>
      <c r="F213" t="s">
        <v>552</v>
      </c>
      <c r="G213" t="s">
        <v>67</v>
      </c>
    </row>
    <row r="214" spans="1:7" x14ac:dyDescent="0.2">
      <c r="A214" s="1">
        <v>212</v>
      </c>
      <c r="B214" t="str">
        <f>HYPERLINK("https://eproc.rajasthan.gov.in/nicgep/app?component=%24DirectLink&amp;page=FrontEndViewTender&amp;service=direct&amp;session=T&amp;sp=SqaCokCq7Wi4mVrJKMsX5aA%3D%3D", "Widening and Strengthening of Pindwara to Udaipur Road Via Gadiya Ch. KM-4/000 to 8/000")</f>
        <v>Widening and Strengthening of Pindwara to Udaipur Road Via Gadiya Ch. KM-4/000 to 8/000</v>
      </c>
      <c r="C214" t="s">
        <v>359</v>
      </c>
      <c r="D214" t="s">
        <v>501</v>
      </c>
      <c r="E214" t="s">
        <v>553</v>
      </c>
      <c r="F214" t="s">
        <v>554</v>
      </c>
      <c r="G214" t="s">
        <v>414</v>
      </c>
    </row>
    <row r="215" spans="1:7" x14ac:dyDescent="0.2">
      <c r="A215" s="1">
        <v>213</v>
      </c>
      <c r="B215" t="str">
        <f>HYPERLINK("https://eproc.rajasthan.gov.in/nicgep/app?component=%24DirectLink&amp;page=FrontEndViewTender&amp;service=direct&amp;session=T&amp;sp=SvSg1EtpeDa8oVogqoOY8CQ%3D%3D", "Widening and Strengthening Work on Megha Highway (MDR-247) Garmora Road to MDR-219 Bhanwara Via Raghav Pura-Meena Koleta-Naneta Ghati Road")</f>
        <v>Widening and Strengthening Work on Megha Highway (MDR-247) Garmora Road to MDR-219 Bhanwara Via Raghav Pura-Meena Koleta-Naneta Ghati Road</v>
      </c>
      <c r="C215" t="s">
        <v>479</v>
      </c>
      <c r="D215" t="s">
        <v>398</v>
      </c>
      <c r="E215" t="s">
        <v>555</v>
      </c>
      <c r="F215" t="s">
        <v>556</v>
      </c>
      <c r="G215" t="s">
        <v>87</v>
      </c>
    </row>
    <row r="216" spans="1:7" x14ac:dyDescent="0.2">
      <c r="A216" s="1">
        <v>214</v>
      </c>
      <c r="B216" t="str">
        <f>HYPERLINK("https://eproc.rajasthan.gov.in/nicgep/app?component=%24DirectLink&amp;page=FrontEndViewTender&amp;service=direct&amp;session=T&amp;sp=Sa%2B5lkV20OU%2Bz2chvQ%2FENqA%3D%3D", "CONSTRUCTION OF MISSING LINK ROAD FROM MDR-219 TO RIVALI VIA DHOLA DANTA KI DHANI")</f>
        <v>CONSTRUCTION OF MISSING LINK ROAD FROM MDR-219 TO RIVALI VIA DHOLA DANTA KI DHANI</v>
      </c>
      <c r="C216" t="s">
        <v>479</v>
      </c>
      <c r="D216" t="s">
        <v>398</v>
      </c>
      <c r="E216" t="s">
        <v>557</v>
      </c>
      <c r="F216" t="s">
        <v>558</v>
      </c>
      <c r="G216" t="s">
        <v>87</v>
      </c>
    </row>
    <row r="217" spans="1:7" x14ac:dyDescent="0.2">
      <c r="A217" s="1">
        <v>215</v>
      </c>
      <c r="B217" t="str">
        <f>HYPERLINK("https://eproc.rajasthan.gov.in/nicgep/app?component=%24DirectLink&amp;page=FrontEndViewTender&amp;service=direct&amp;session=T&amp;sp=S3Rq0ppeiBaqcFy1rZOvW1w%3D%3D", "CONSTRUCTION OF MISSING LINK ROAD FROM GURJAR BARODA MODE SHYOSINGHPURA TO SURGARH VIA NEHARI KA BALAJI (RIVER BRIDGE 400MTR.)")</f>
        <v>CONSTRUCTION OF MISSING LINK ROAD FROM GURJAR BARODA MODE SHYOSINGHPURA TO SURGARH VIA NEHARI KA BALAJI (RIVER BRIDGE 400MTR.)</v>
      </c>
      <c r="C217" t="s">
        <v>479</v>
      </c>
      <c r="D217" t="s">
        <v>398</v>
      </c>
      <c r="E217" t="s">
        <v>559</v>
      </c>
      <c r="F217" t="s">
        <v>560</v>
      </c>
      <c r="G217" t="s">
        <v>87</v>
      </c>
    </row>
    <row r="218" spans="1:7" x14ac:dyDescent="0.2">
      <c r="A218" s="1">
        <v>216</v>
      </c>
      <c r="B218" t="str">
        <f>HYPERLINK("https://eproc.rajasthan.gov.in/nicgep/app?component=%24DirectLink&amp;page=FrontEndViewTender&amp;service=direct&amp;session=T&amp;sp=SnugbJH3EGVl3TaMcWC57aQ%3D%3D", "CONSTRUCTION OF MISSING LINK ROAD FROM BICHHOCHH ROAD (MDR-247) TO BAIRDA VIA HALKARA KI JHOPRI")</f>
        <v>CONSTRUCTION OF MISSING LINK ROAD FROM BICHHOCHH ROAD (MDR-247) TO BAIRDA VIA HALKARA KI JHOPRI</v>
      </c>
      <c r="C218" t="s">
        <v>479</v>
      </c>
      <c r="D218" t="s">
        <v>398</v>
      </c>
      <c r="E218" t="s">
        <v>369</v>
      </c>
      <c r="F218" t="s">
        <v>561</v>
      </c>
      <c r="G218" t="s">
        <v>87</v>
      </c>
    </row>
    <row r="219" spans="1:7" x14ac:dyDescent="0.2">
      <c r="A219" s="1">
        <v>217</v>
      </c>
      <c r="B219" t="str">
        <f>HYPERLINK("https://eproc.rajasthan.gov.in/nicgep/app?component=%24DirectLink&amp;page=FrontEndViewTender&amp;service=direct&amp;session=T&amp;sp=SBLeQsse3CUlmpZAxhjnegQ%3D%3D", "Walera GSS To Otwala Mamaji Oran -Through Hotel Neelkamal Upto Bhilwari Sayla Bypass")</f>
        <v>Walera GSS To Otwala Mamaji Oran -Through Hotel Neelkamal Upto Bhilwari Sayla Bypass</v>
      </c>
      <c r="C219" t="s">
        <v>359</v>
      </c>
      <c r="D219" t="s">
        <v>501</v>
      </c>
      <c r="E219" t="s">
        <v>562</v>
      </c>
      <c r="F219" t="s">
        <v>563</v>
      </c>
      <c r="G219" t="s">
        <v>363</v>
      </c>
    </row>
    <row r="220" spans="1:7" x14ac:dyDescent="0.2">
      <c r="A220" s="1">
        <v>218</v>
      </c>
      <c r="B220" t="str">
        <f>HYPERLINK("https://eproc.rajasthan.gov.in/nicgep/app?component=%24DirectLink&amp;page=FrontEndViewTender&amp;service=direct&amp;session=T&amp;sp=SFfYY%2FAGWm2twmOCrK9FgOQ%3D%3D", "Construction of BT Road Kawtra To Daspan Road Km 0/0 To 10/0")</f>
        <v>Construction of BT Road Kawtra To Daspan Road Km 0/0 To 10/0</v>
      </c>
      <c r="C220" t="s">
        <v>359</v>
      </c>
      <c r="D220" t="s">
        <v>501</v>
      </c>
      <c r="E220" t="s">
        <v>564</v>
      </c>
      <c r="F220" t="s">
        <v>565</v>
      </c>
      <c r="G220" t="s">
        <v>363</v>
      </c>
    </row>
    <row r="221" spans="1:7" x14ac:dyDescent="0.2">
      <c r="A221" s="1">
        <v>219</v>
      </c>
      <c r="B221" t="str">
        <f>HYPERLINK("https://eproc.rajasthan.gov.in/nicgep/app?component=%24DirectLink&amp;page=FrontEndViewTender&amp;service=direct&amp;session=T&amp;sp=SWwrW%2F6c7gv7%2FWmQPOu5asQ%3D%3D", "Mamli to Pachlavada Ganeshpura Road")</f>
        <v>Mamli to Pachlavada Ganeshpura Road</v>
      </c>
      <c r="C221" t="s">
        <v>128</v>
      </c>
      <c r="D221" t="s">
        <v>26</v>
      </c>
      <c r="E221" t="s">
        <v>566</v>
      </c>
      <c r="F221" t="s">
        <v>567</v>
      </c>
      <c r="G221" t="s">
        <v>474</v>
      </c>
    </row>
    <row r="222" spans="1:7" x14ac:dyDescent="0.2">
      <c r="A222" s="1">
        <v>220</v>
      </c>
      <c r="B222" t="str">
        <f>HYPERLINK("https://eproc.rajasthan.gov.in/nicgep/app?component=%24DirectLink&amp;page=FrontEndViewTender&amp;service=direct&amp;session=T&amp;sp=Spf4FnsKfd2uu9joFQLRshA%3D%3D", "Strengthening and Widening of NH- 62 to Bagsin -Van -Kailashnagar Km 0/0 to 18/0.")</f>
        <v>Strengthening and Widening of NH- 62 to Bagsin -Van -Kailashnagar Km 0/0 to 18/0.</v>
      </c>
      <c r="C222" t="s">
        <v>359</v>
      </c>
      <c r="D222" t="s">
        <v>501</v>
      </c>
      <c r="E222" t="s">
        <v>568</v>
      </c>
      <c r="F222" t="s">
        <v>569</v>
      </c>
      <c r="G222" t="s">
        <v>414</v>
      </c>
    </row>
    <row r="223" spans="1:7" x14ac:dyDescent="0.2">
      <c r="A223" s="1">
        <v>221</v>
      </c>
      <c r="B223" t="str">
        <f>HYPERLINK("https://eproc.rajasthan.gov.in/nicgep/app?component=%24DirectLink&amp;page=FrontEndViewTender&amp;service=direct&amp;session=T&amp;sp=StCreDXETkSZUd27IObX3yA%3D%3D", "RJ23-21/69-Imp.Work/2025-26")</f>
        <v>RJ23-21/69-Imp.Work/2025-26</v>
      </c>
      <c r="C223" t="s">
        <v>196</v>
      </c>
      <c r="D223" t="s">
        <v>270</v>
      </c>
      <c r="E223" t="s">
        <v>570</v>
      </c>
      <c r="F223" t="s">
        <v>571</v>
      </c>
      <c r="G223" t="s">
        <v>132</v>
      </c>
    </row>
    <row r="224" spans="1:7" x14ac:dyDescent="0.2">
      <c r="A224" s="1">
        <v>222</v>
      </c>
      <c r="B224" t="str">
        <f>HYPERLINK("https://eproc.rajasthan.gov.in/nicgep/app?component=%24DirectLink&amp;page=FrontEndViewTender&amp;service=direct&amp;session=T&amp;sp=SPyWmH75soJdWqOVS6aWuYA%3D%3D", "Strengthening and Widening of KRISHNGANJ-SIYAKARA-SANPUR Road km 0/0 to 16/0 Including CD works.")</f>
        <v>Strengthening and Widening of KRISHNGANJ-SIYAKARA-SANPUR Road km 0/0 to 16/0 Including CD works.</v>
      </c>
      <c r="C224" t="s">
        <v>359</v>
      </c>
      <c r="D224" t="s">
        <v>501</v>
      </c>
      <c r="E224" t="s">
        <v>572</v>
      </c>
      <c r="F224" t="s">
        <v>573</v>
      </c>
      <c r="G224" t="s">
        <v>414</v>
      </c>
    </row>
    <row r="225" spans="1:7" x14ac:dyDescent="0.2">
      <c r="A225" s="1">
        <v>223</v>
      </c>
      <c r="B225" t="str">
        <f>HYPERLINK("https://eproc.rajasthan.gov.in/nicgep/app?component=%24DirectLink&amp;page=FrontEndViewTender&amp;service=direct&amp;session=T&amp;sp=SZGxtPt4zEQGlN6obE%2FeREQ%3D%3D", "Widening and Strengthening from Achpura-Kasindra road up to NH-14 (NH-27) and Construction of Bridge work at Ch. KM-3/00.")</f>
        <v>Widening and Strengthening from Achpura-Kasindra road up to NH-14 (NH-27) and Construction of Bridge work at Ch. KM-3/00.</v>
      </c>
      <c r="C225" t="s">
        <v>359</v>
      </c>
      <c r="D225" t="s">
        <v>501</v>
      </c>
      <c r="E225" t="s">
        <v>433</v>
      </c>
      <c r="F225" t="s">
        <v>574</v>
      </c>
      <c r="G225" t="s">
        <v>414</v>
      </c>
    </row>
    <row r="226" spans="1:7" x14ac:dyDescent="0.2">
      <c r="A226" s="1">
        <v>224</v>
      </c>
      <c r="B226" t="str">
        <f>HYPERLINK("https://eproc.rajasthan.gov.in/nicgep/app?component=%24DirectLink&amp;page=FrontEndViewTender&amp;service=direct&amp;session=T&amp;sp=S7NuafNlfSONwn4EkvAst2g%3D%3D", "Strengthening and Widening of Sivera-Malnoo road Ch. KM-0/0 to 4/000 and Construction of Bridge on Ch. Km 3/00.")</f>
        <v>Strengthening and Widening of Sivera-Malnoo road Ch. KM-0/0 to 4/000 and Construction of Bridge on Ch. Km 3/00.</v>
      </c>
      <c r="C226" t="s">
        <v>359</v>
      </c>
      <c r="D226" t="s">
        <v>501</v>
      </c>
      <c r="E226" t="s">
        <v>575</v>
      </c>
      <c r="F226" t="s">
        <v>576</v>
      </c>
      <c r="G226" t="s">
        <v>414</v>
      </c>
    </row>
    <row r="227" spans="1:7" x14ac:dyDescent="0.2">
      <c r="A227" s="1">
        <v>225</v>
      </c>
      <c r="B227" t="str">
        <f>HYPERLINK("https://eproc.rajasthan.gov.in/nicgep/app?component=%24DirectLink&amp;page=FrontEndViewTender&amp;service=direct&amp;session=T&amp;sp=S%2Ba0YYNtX4F2YDktde3V31w%3D%3D", "FOUR LANE CONSTRUCTION WORK OF BHARATPUR ACHHANERA ROAD PART A FROM MANSINGH CIRCLE TO APNA GHAR")</f>
        <v>FOUR LANE CONSTRUCTION WORK OF BHARATPUR ACHHANERA ROAD PART A FROM MANSINGH CIRCLE TO APNA GHAR</v>
      </c>
      <c r="C227" t="s">
        <v>426</v>
      </c>
      <c r="D227" t="s">
        <v>184</v>
      </c>
      <c r="E227" t="s">
        <v>577</v>
      </c>
      <c r="F227" t="s">
        <v>578</v>
      </c>
      <c r="G227" t="s">
        <v>579</v>
      </c>
    </row>
    <row r="228" spans="1:7" x14ac:dyDescent="0.2">
      <c r="A228" s="1">
        <v>226</v>
      </c>
      <c r="B228" t="str">
        <f>HYPERLINK("https://eproc.rajasthan.gov.in/nicgep/app?component=%24DirectLink&amp;page=FrontEndViewTender&amp;service=direct&amp;session=T&amp;sp=SKU6VLxgolaFo7GYi2Q4yUA%3D%3D", "NIT No. 03 Item No. 01 of 2025-26 EE PWD DISTT DN PHALODI")</f>
        <v>NIT No. 03 Item No. 01 of 2025-26 EE PWD DISTT DN PHALODI</v>
      </c>
      <c r="C228" t="s">
        <v>580</v>
      </c>
      <c r="D228" t="s">
        <v>209</v>
      </c>
      <c r="E228" t="s">
        <v>581</v>
      </c>
      <c r="F228" t="s">
        <v>582</v>
      </c>
      <c r="G228" t="s">
        <v>583</v>
      </c>
    </row>
    <row r="229" spans="1:7" x14ac:dyDescent="0.2">
      <c r="A229" s="1">
        <v>227</v>
      </c>
      <c r="B229" t="str">
        <f>HYPERLINK("https://eproc.rajasthan.gov.in/nicgep/app?component=%24DirectLink&amp;page=FrontEndViewTender&amp;service=direct&amp;session=T&amp;sp=SrCsZElSIFm7dcblxKgVgTQ%3D%3D", "NIT No. 03 Item No. 02 of 2025-26 EE PWD DISTT DN PHALODI")</f>
        <v>NIT No. 03 Item No. 02 of 2025-26 EE PWD DISTT DN PHALODI</v>
      </c>
      <c r="C229" t="s">
        <v>580</v>
      </c>
      <c r="D229" t="s">
        <v>209</v>
      </c>
      <c r="E229" t="s">
        <v>584</v>
      </c>
      <c r="F229" t="s">
        <v>585</v>
      </c>
      <c r="G229" t="s">
        <v>583</v>
      </c>
    </row>
    <row r="230" spans="1:7" x14ac:dyDescent="0.2">
      <c r="A230" s="1">
        <v>228</v>
      </c>
      <c r="B230" t="str">
        <f>HYPERLINK("https://eproc.rajasthan.gov.in/nicgep/app?component=%24DirectLink&amp;page=FrontEndViewTender&amp;service=direct&amp;session=T&amp;sp=S5l%2F7j5FrKW9VHbjzIRDsVA%3D%3D", "Construction of Road Thobau to Nimbau road")</f>
        <v>Construction of Road Thobau to Nimbau road</v>
      </c>
      <c r="C230" t="s">
        <v>586</v>
      </c>
      <c r="D230" t="s">
        <v>129</v>
      </c>
      <c r="E230" t="s">
        <v>365</v>
      </c>
      <c r="F230" t="s">
        <v>587</v>
      </c>
      <c r="G230" t="s">
        <v>588</v>
      </c>
    </row>
    <row r="231" spans="1:7" x14ac:dyDescent="0.2">
      <c r="A231" s="1">
        <v>229</v>
      </c>
      <c r="B231" t="str">
        <f>HYPERLINK("https://eproc.rajasthan.gov.in/nicgep/app?component=%24DirectLink&amp;page=FrontEndViewTender&amp;service=direct&amp;session=T&amp;sp=SZoh0yGR24uTApVan%2B%2F13Cw%3D%3D", "Const.of Bridge on Jeevand kallan to dhani Ramdevji mandar river")</f>
        <v>Const.of Bridge on Jeevand kallan to dhani Ramdevji mandar river</v>
      </c>
      <c r="C231" t="s">
        <v>485</v>
      </c>
      <c r="D231" t="s">
        <v>501</v>
      </c>
      <c r="E231" t="s">
        <v>589</v>
      </c>
      <c r="F231" t="s">
        <v>590</v>
      </c>
      <c r="G231" t="s">
        <v>417</v>
      </c>
    </row>
    <row r="232" spans="1:7" x14ac:dyDescent="0.2">
      <c r="A232" s="1">
        <v>230</v>
      </c>
      <c r="B232" t="str">
        <f>HYPERLINK("https://eproc.rajasthan.gov.in/nicgep/app?component=%24DirectLink&amp;page=FrontEndViewTender&amp;service=direct&amp;session=T&amp;sp=STE81OhrnLha857PSEpB3gA%3D%3D", "Construction Of Road Dahiva to Bhata ( Balotra border )")</f>
        <v>Construction Of Road Dahiva to Bhata ( Balotra border )</v>
      </c>
      <c r="C232" t="s">
        <v>586</v>
      </c>
      <c r="D232" t="s">
        <v>129</v>
      </c>
      <c r="E232" t="s">
        <v>591</v>
      </c>
      <c r="F232" t="s">
        <v>592</v>
      </c>
      <c r="G232" t="s">
        <v>588</v>
      </c>
    </row>
    <row r="233" spans="1:7" x14ac:dyDescent="0.2">
      <c r="A233" s="1">
        <v>231</v>
      </c>
      <c r="B233" t="str">
        <f>HYPERLINK("https://eproc.rajasthan.gov.in/nicgep/app?component=%24DirectLink&amp;page=FrontEndViewTender&amp;service=direct&amp;session=T&amp;sp=SUHwtoKX2m8XgG5xZPhSgeA%3D%3D", "Construction of Road Ruchiyaar to Pathedi Road Km 0/0 to 5/00")</f>
        <v>Construction of Road Ruchiyaar to Pathedi Road Km 0/0 to 5/00</v>
      </c>
      <c r="C233" t="s">
        <v>586</v>
      </c>
      <c r="D233" t="s">
        <v>129</v>
      </c>
      <c r="E233" t="s">
        <v>365</v>
      </c>
      <c r="F233" t="s">
        <v>593</v>
      </c>
      <c r="G233" t="s">
        <v>588</v>
      </c>
    </row>
    <row r="234" spans="1:7" x14ac:dyDescent="0.2">
      <c r="A234" s="1">
        <v>232</v>
      </c>
      <c r="B234" t="str">
        <f>HYPERLINK("https://eproc.rajasthan.gov.in/nicgep/app?component=%24DirectLink&amp;page=FrontEndViewTender&amp;service=direct&amp;session=T&amp;sp=StOurFzg%2FUrNtZ0Hdky0uMQ%3D%3D", "Strengthening and Widening of Swroopganj-Kalandri road KM-0/0 to 19/0.")</f>
        <v>Strengthening and Widening of Swroopganj-Kalandri road KM-0/0 to 19/0.</v>
      </c>
      <c r="C234" t="s">
        <v>359</v>
      </c>
      <c r="D234" t="s">
        <v>501</v>
      </c>
      <c r="E234" t="s">
        <v>594</v>
      </c>
      <c r="F234" t="s">
        <v>595</v>
      </c>
      <c r="G234" t="s">
        <v>414</v>
      </c>
    </row>
    <row r="235" spans="1:7" x14ac:dyDescent="0.2">
      <c r="A235" s="1">
        <v>233</v>
      </c>
      <c r="B235" t="str">
        <f>HYPERLINK("https://eproc.rajasthan.gov.in/nicgep/app?component=%24DirectLink&amp;page=FrontEndViewTender&amp;service=direct&amp;session=T&amp;sp=SbtkTlfHM3Z8l9THL440qDg%3D%3D", "Construction of renewal and upgradation of N.P. /Missing Link Road from Road from Dashora Chhabra to Municipal Hall Centre near Lalgarh Gajner road (Bhutton ka Choraha to Tirthambh)")</f>
        <v>Construction of renewal and upgradation of N.P. /Missing Link Road from Road from Dashora Chhabra to Municipal Hall Centre near Lalgarh Gajner road (Bhutton ka Choraha to Tirthambh)</v>
      </c>
      <c r="C235" t="s">
        <v>183</v>
      </c>
      <c r="D235" t="s">
        <v>244</v>
      </c>
      <c r="E235" t="s">
        <v>596</v>
      </c>
      <c r="F235" t="s">
        <v>597</v>
      </c>
      <c r="G235" t="s">
        <v>187</v>
      </c>
    </row>
    <row r="236" spans="1:7" x14ac:dyDescent="0.2">
      <c r="A236" s="1">
        <v>234</v>
      </c>
      <c r="B236" t="str">
        <f>HYPERLINK("https://eproc.rajasthan.gov.in/nicgep/app?component=%24DirectLink&amp;page=FrontEndViewTender&amp;service=direct&amp;session=T&amp;sp=SeqV4mskc%2BLMhX2iE0vquKA%3D%3D", "Construction of renewal and upgradation of N.P. /Missing Link Road from NH-89 (Veternary Hospital ke Pass) to Industrial Area Road via Bandro Ka Baas Sharma Colony")</f>
        <v>Construction of renewal and upgradation of N.P. /Missing Link Road from NH-89 (Veternary Hospital ke Pass) to Industrial Area Road via Bandro Ka Baas Sharma Colony</v>
      </c>
      <c r="C236" t="s">
        <v>183</v>
      </c>
      <c r="D236" t="s">
        <v>244</v>
      </c>
      <c r="E236" t="s">
        <v>598</v>
      </c>
      <c r="F236" t="s">
        <v>599</v>
      </c>
      <c r="G236" t="s">
        <v>187</v>
      </c>
    </row>
    <row r="237" spans="1:7" x14ac:dyDescent="0.2">
      <c r="A237" s="1">
        <v>235</v>
      </c>
      <c r="B237" t="str">
        <f>HYPERLINK("https://eproc.rajasthan.gov.in/nicgep/app?component=%24DirectLink&amp;page=FrontEndViewTender&amp;service=direct&amp;session=T&amp;sp=SOXDJgajjD8SE4bLl%2B3kJNQ%3D%3D", "Construction Of New Road form Odwara to balwara")</f>
        <v>Construction Of New Road form Odwara to balwara</v>
      </c>
      <c r="C237" t="s">
        <v>586</v>
      </c>
      <c r="D237" t="s">
        <v>129</v>
      </c>
      <c r="E237" t="s">
        <v>365</v>
      </c>
      <c r="F237" t="s">
        <v>600</v>
      </c>
      <c r="G237" t="s">
        <v>588</v>
      </c>
    </row>
    <row r="238" spans="1:7" x14ac:dyDescent="0.2">
      <c r="A238" s="1">
        <v>236</v>
      </c>
      <c r="B238" t="str">
        <f>HYPERLINK("https://eproc.rajasthan.gov.in/nicgep/app?component=%24DirectLink&amp;page=FrontEndViewTender&amp;service=direct&amp;session=T&amp;sp=SdLgq6nnGAuuzFPiBCCKYKA%3D%3D", "Strengthening and Widening of Sanwalta to Jeevand Kalla and Kharda to Jeevand Kallan.")</f>
        <v>Strengthening and Widening of Sanwalta to Jeevand Kalla and Kharda to Jeevand Kallan.</v>
      </c>
      <c r="C238" t="s">
        <v>485</v>
      </c>
      <c r="D238" t="s">
        <v>501</v>
      </c>
      <c r="E238" t="s">
        <v>601</v>
      </c>
      <c r="F238" t="s">
        <v>602</v>
      </c>
      <c r="G238" t="s">
        <v>417</v>
      </c>
    </row>
    <row r="239" spans="1:7" x14ac:dyDescent="0.2">
      <c r="A239" s="1">
        <v>237</v>
      </c>
      <c r="B239" t="str">
        <f>HYPERLINK("https://eproc.rajasthan.gov.in/nicgep/app?component=%24DirectLink&amp;page=FrontEndViewTender&amp;service=direct&amp;session=T&amp;sp=SnThKGYjXM4Bm0U4bi2Kzng%3D%3D", "Construction of renewal and upgradation of N.P. /Missing Link Road from Bikaner-Gajner Road (Old) (From Chokhunti Rly crossing to NH-15)")</f>
        <v>Construction of renewal and upgradation of N.P. /Missing Link Road from Bikaner-Gajner Road (Old) (From Chokhunti Rly crossing to NH-15)</v>
      </c>
      <c r="C239" t="s">
        <v>183</v>
      </c>
      <c r="D239" t="s">
        <v>244</v>
      </c>
      <c r="E239" t="s">
        <v>603</v>
      </c>
      <c r="F239" t="s">
        <v>604</v>
      </c>
      <c r="G239" t="s">
        <v>187</v>
      </c>
    </row>
    <row r="240" spans="1:7" x14ac:dyDescent="0.2">
      <c r="A240" s="1">
        <v>238</v>
      </c>
      <c r="B240" t="str">
        <f>HYPERLINK("https://eproc.rajasthan.gov.in/nicgep/app?component=%24DirectLink&amp;page=FrontEndViewTender&amp;service=direct&amp;session=T&amp;sp=SoTyKCTrnhnE435dxgDbiOA%3D%3D", "Widening and Strengthening of Punasar to Chadi Road km 0/0 to 8/0")</f>
        <v>Widening and Strengthening of Punasar to Chadi Road km 0/0 to 8/0</v>
      </c>
      <c r="C240" t="s">
        <v>73</v>
      </c>
      <c r="D240" t="s">
        <v>501</v>
      </c>
      <c r="E240" t="s">
        <v>605</v>
      </c>
      <c r="F240" t="s">
        <v>606</v>
      </c>
      <c r="G240" t="s">
        <v>437</v>
      </c>
    </row>
    <row r="241" spans="1:7" x14ac:dyDescent="0.2">
      <c r="A241" s="1">
        <v>239</v>
      </c>
      <c r="B241" t="str">
        <f>HYPERLINK("https://eproc.rajasthan.gov.in/nicgep/app?component=%24DirectLink&amp;page=FrontEndViewTender&amp;service=direct&amp;session=T&amp;sp=Sqfjas8yE%2FcKCJmynwqPwTA%3D%3D", "Widening of Dasaniya -Utwaliya-Chandsama upto Lawan Border Road km (0/0 to 47/0)")</f>
        <v>Widening of Dasaniya -Utwaliya-Chandsama upto Lawan Border Road km (0/0 to 47/0)</v>
      </c>
      <c r="C241" t="s">
        <v>73</v>
      </c>
      <c r="D241" t="s">
        <v>501</v>
      </c>
      <c r="E241" t="s">
        <v>607</v>
      </c>
      <c r="F241" t="s">
        <v>608</v>
      </c>
      <c r="G241" t="s">
        <v>437</v>
      </c>
    </row>
    <row r="242" spans="1:7" x14ac:dyDescent="0.2">
      <c r="A242" s="1">
        <v>240</v>
      </c>
      <c r="B242" t="str">
        <f>HYPERLINK("https://eproc.rajasthan.gov.in/nicgep/app?component=%24DirectLink&amp;page=FrontEndViewTender&amp;service=direct&amp;session=T&amp;sp=SwFzs2wFgEpxEA7ueKIu5ew%3D%3D", "NIT No. 02 Item No. 02 of 2025-26 EE PWD DISTT DN PHALODI")</f>
        <v>NIT No. 02 Item No. 02 of 2025-26 EE PWD DISTT DN PHALODI</v>
      </c>
      <c r="C242" t="s">
        <v>580</v>
      </c>
      <c r="D242" t="s">
        <v>244</v>
      </c>
      <c r="E242" t="s">
        <v>609</v>
      </c>
      <c r="F242" t="s">
        <v>610</v>
      </c>
      <c r="G242" t="s">
        <v>583</v>
      </c>
    </row>
    <row r="243" spans="1:7" x14ac:dyDescent="0.2">
      <c r="A243" s="1">
        <v>241</v>
      </c>
      <c r="B243" t="str">
        <f>HYPERLINK("https://eproc.rajasthan.gov.in/nicgep/app?component=%24DirectLink&amp;page=FrontEndViewTender&amp;service=direct&amp;session=T&amp;sp=SdIS00TuhR0s%2BDWed%2BbbjPQ%3D%3D", "Construction work of road from Manoharpur to Sahharod in district Baran")</f>
        <v>Construction work of road from Manoharpur to Sahharod in district Baran</v>
      </c>
      <c r="C243" t="s">
        <v>611</v>
      </c>
      <c r="D243" t="s">
        <v>270</v>
      </c>
      <c r="E243" t="s">
        <v>612</v>
      </c>
      <c r="F243" t="s">
        <v>613</v>
      </c>
      <c r="G243" t="s">
        <v>474</v>
      </c>
    </row>
    <row r="244" spans="1:7" x14ac:dyDescent="0.2">
      <c r="A244" s="1">
        <v>242</v>
      </c>
      <c r="B244" t="str">
        <f>HYPERLINK("https://eproc.rajasthan.gov.in/nicgep/app?component=%24DirectLink&amp;page=FrontEndViewTender&amp;service=direct&amp;session=T&amp;sp=SXVVRh8XrVU7pkasZweTlFw%3D%3D", "Widening and strengthening of MDR-266 in Baran to Dadwara via Kujede in district Baran")</f>
        <v>Widening and strengthening of MDR-266 in Baran to Dadwara via Kujede in district Baran</v>
      </c>
      <c r="C244" t="s">
        <v>611</v>
      </c>
      <c r="D244" t="s">
        <v>270</v>
      </c>
      <c r="E244" t="s">
        <v>614</v>
      </c>
      <c r="F244" t="s">
        <v>615</v>
      </c>
      <c r="G244" t="s">
        <v>474</v>
      </c>
    </row>
    <row r="245" spans="1:7" x14ac:dyDescent="0.2">
      <c r="A245" s="1">
        <v>243</v>
      </c>
      <c r="B245" t="str">
        <f>HYPERLINK("https://eproc.rajasthan.gov.in/nicgep/app?component=%24DirectLink&amp;page=FrontEndViewTender&amp;service=direct&amp;session=T&amp;sp=S9KNZamaohH0D6cQuUbTOSA%3D%3D", "Reconstruction of Amli to Badora MDR-04 in district Baran")</f>
        <v>Reconstruction of Amli to Badora MDR-04 in district Baran</v>
      </c>
      <c r="C245" t="s">
        <v>611</v>
      </c>
      <c r="D245" t="s">
        <v>270</v>
      </c>
      <c r="E245" t="s">
        <v>616</v>
      </c>
      <c r="F245" t="s">
        <v>617</v>
      </c>
      <c r="G245" t="s">
        <v>474</v>
      </c>
    </row>
    <row r="246" spans="1:7" x14ac:dyDescent="0.2">
      <c r="A246" s="1">
        <v>244</v>
      </c>
      <c r="B246" t="str">
        <f>HYPERLINK("https://eproc.rajasthan.gov.in/nicgep/app?component=%24DirectLink&amp;page=FrontEndViewTender&amp;service=direct&amp;session=T&amp;sp=SQBcsAecvhDzMxeUhRQEtjg%3D%3D", "Construction work of CC Road in various villages of Kishanganj in district Baran")</f>
        <v>Construction work of CC Road in various villages of Kishanganj in district Baran</v>
      </c>
      <c r="C246" t="s">
        <v>128</v>
      </c>
      <c r="D246" t="s">
        <v>270</v>
      </c>
      <c r="E246" t="s">
        <v>618</v>
      </c>
      <c r="F246" t="s">
        <v>619</v>
      </c>
      <c r="G246" t="s">
        <v>474</v>
      </c>
    </row>
    <row r="247" spans="1:7" x14ac:dyDescent="0.2">
      <c r="A247" s="1">
        <v>245</v>
      </c>
      <c r="B247" t="str">
        <f>HYPERLINK("https://eproc.rajasthan.gov.in/nicgep/app?component=%24DirectLink&amp;page=FrontEndViewTender&amp;service=direct&amp;session=T&amp;sp=SG5zQLnmtZHPCykZerz2NJA%3D%3D", "Construction work of Mundiyar to Rajpur Behatha road in district Baran")</f>
        <v>Construction work of Mundiyar to Rajpur Behatha road in district Baran</v>
      </c>
      <c r="C247" t="s">
        <v>128</v>
      </c>
      <c r="D247" t="s">
        <v>270</v>
      </c>
      <c r="E247" t="s">
        <v>620</v>
      </c>
      <c r="F247" t="s">
        <v>621</v>
      </c>
      <c r="G247" t="s">
        <v>474</v>
      </c>
    </row>
    <row r="248" spans="1:7" x14ac:dyDescent="0.2">
      <c r="A248" s="1">
        <v>246</v>
      </c>
      <c r="B248" t="str">
        <f>HYPERLINK("https://eproc.rajasthan.gov.in/nicgep/app?component=%24DirectLink&amp;page=FrontEndViewTender&amp;service=direct&amp;session=T&amp;sp=SIHIjpDvh%2BefbCVGvd1BOnw%3D%3D", "Widening of Dechu 85 Mile to Chandsama Road km (0/0 to 12/0)")</f>
        <v>Widening of Dechu 85 Mile to Chandsama Road km (0/0 to 12/0)</v>
      </c>
      <c r="C248" t="s">
        <v>73</v>
      </c>
      <c r="D248" t="s">
        <v>501</v>
      </c>
      <c r="E248" t="s">
        <v>622</v>
      </c>
      <c r="F248" t="s">
        <v>623</v>
      </c>
      <c r="G248" t="s">
        <v>437</v>
      </c>
    </row>
    <row r="249" spans="1:7" x14ac:dyDescent="0.2">
      <c r="A249" s="1">
        <v>247</v>
      </c>
      <c r="B249" t="str">
        <f>HYPERLINK("https://eproc.rajasthan.gov.in/nicgep/app?component=%24DirectLink&amp;page=FrontEndViewTender&amp;service=direct&amp;session=T&amp;sp=SP%2BPVUIcp%2FPQDVwPf1OwE7Q%3D%3D", "Bhojasar to Padiyal Double Lane Road (km 0/0 to 12/0)")</f>
        <v>Bhojasar to Padiyal Double Lane Road (km 0/0 to 12/0)</v>
      </c>
      <c r="C249" t="s">
        <v>73</v>
      </c>
      <c r="D249" t="s">
        <v>501</v>
      </c>
      <c r="E249" t="s">
        <v>624</v>
      </c>
      <c r="F249" t="s">
        <v>625</v>
      </c>
      <c r="G249" t="s">
        <v>437</v>
      </c>
    </row>
    <row r="250" spans="1:7" x14ac:dyDescent="0.2">
      <c r="A250" s="1">
        <v>248</v>
      </c>
      <c r="B250" t="str">
        <f>HYPERLINK("https://eproc.rajasthan.gov.in/nicgep/app?component=%24DirectLink&amp;page=FrontEndViewTender&amp;service=direct&amp;session=T&amp;sp=SyJ3T6QS614U4%2FA8KX9Bd4A%3D%3D", "Construction of road from Boren to Kharda to Peepalda in district Baran")</f>
        <v>Construction of road from Boren to Kharda to Peepalda in district Baran</v>
      </c>
      <c r="C250" t="s">
        <v>128</v>
      </c>
      <c r="D250" t="s">
        <v>270</v>
      </c>
      <c r="E250" t="s">
        <v>626</v>
      </c>
      <c r="F250" t="s">
        <v>627</v>
      </c>
      <c r="G250" t="s">
        <v>474</v>
      </c>
    </row>
    <row r="251" spans="1:7" x14ac:dyDescent="0.2">
      <c r="A251" s="1">
        <v>249</v>
      </c>
      <c r="B251" t="str">
        <f>HYPERLINK("https://eproc.rajasthan.gov.in/nicgep/app?component=%24DirectLink&amp;page=FrontEndViewTender&amp;service=direct&amp;session=T&amp;sp=SjK29j5l1mbJKlJyuIw%2FdAQ%3D%3D", "Construction of BT Road From Devana to Badarada with Causeway")</f>
        <v>Construction of BT Road From Devana to Badarada with Causeway</v>
      </c>
      <c r="C251" t="s">
        <v>25</v>
      </c>
      <c r="D251" t="s">
        <v>628</v>
      </c>
      <c r="E251" t="s">
        <v>629</v>
      </c>
      <c r="F251" t="s">
        <v>630</v>
      </c>
      <c r="G251" t="s">
        <v>631</v>
      </c>
    </row>
    <row r="252" spans="1:7" x14ac:dyDescent="0.2">
      <c r="A252" s="1">
        <v>250</v>
      </c>
      <c r="B252" t="str">
        <f>HYPERLINK("https://eproc.rajasthan.gov.in/nicgep/app?component=%24DirectLink&amp;page=FrontEndViewTender&amp;service=direct&amp;session=T&amp;sp=S0pVeFt3kfqzswV%2F8fJkoRQ%3D%3D", "Construction of road from Rajpura to Semli Fhatak in district Baran")</f>
        <v>Construction of road from Rajpura to Semli Fhatak in district Baran</v>
      </c>
      <c r="C252" t="s">
        <v>128</v>
      </c>
      <c r="D252" t="s">
        <v>270</v>
      </c>
      <c r="E252" t="s">
        <v>632</v>
      </c>
      <c r="F252" t="s">
        <v>633</v>
      </c>
      <c r="G252" t="s">
        <v>474</v>
      </c>
    </row>
    <row r="253" spans="1:7" x14ac:dyDescent="0.2">
      <c r="A253" s="1">
        <v>251</v>
      </c>
      <c r="B253" t="str">
        <f>HYPERLINK("https://eproc.rajasthan.gov.in/nicgep/app?component=%24DirectLink&amp;page=FrontEndViewTender&amp;service=direct&amp;session=T&amp;sp=SfrQZJ6Bo5jGY%2F4WA61gEhA%3D%3D", "Widening of road from NH-27 Balachar to Niwari, Khatka, Ganeshpura, Semli Fhatak, Dhaturiya to Pahari, Rajpur in district Baran")</f>
        <v>Widening of road from NH-27 Balachar to Niwari, Khatka, Ganeshpura, Semli Fhatak, Dhaturiya to Pahari, Rajpur in district Baran</v>
      </c>
      <c r="C253" t="s">
        <v>128</v>
      </c>
      <c r="D253" t="s">
        <v>270</v>
      </c>
      <c r="E253" t="s">
        <v>634</v>
      </c>
      <c r="F253" t="s">
        <v>635</v>
      </c>
      <c r="G253" t="s">
        <v>474</v>
      </c>
    </row>
    <row r="254" spans="1:7" x14ac:dyDescent="0.2">
      <c r="A254" s="1">
        <v>252</v>
      </c>
      <c r="B254" t="str">
        <f>HYPERLINK("https://eproc.rajasthan.gov.in/nicgep/app?component=%24DirectLink&amp;page=FrontEndViewTender&amp;service=direct&amp;session=T&amp;sp=SX0POFeq4TnaCP%2FhBalm6pg%3D%3D", "Renovation work of Accounts and other rooms in building of Directorate of Technical Education, Jodhpur")</f>
        <v>Renovation work of Accounts and other rooms in building of Directorate of Technical Education, Jodhpur</v>
      </c>
      <c r="C254" t="s">
        <v>73</v>
      </c>
      <c r="D254" t="s">
        <v>244</v>
      </c>
      <c r="E254" t="s">
        <v>636</v>
      </c>
      <c r="F254" t="s">
        <v>637</v>
      </c>
      <c r="G254" t="s">
        <v>76</v>
      </c>
    </row>
    <row r="255" spans="1:7" x14ac:dyDescent="0.2">
      <c r="A255" s="1">
        <v>253</v>
      </c>
      <c r="B255" t="str">
        <f>HYPERLINK("https://eproc.rajasthan.gov.in/nicgep/app?component=%24DirectLink&amp;page=FrontEndViewTender&amp;service=direct&amp;session=T&amp;sp=S7vhaHCcq5%2FmXza6yirIFrA%3D%3D", "Furniture work at DJ Court Jodhpur Distt., Jodhpur")</f>
        <v>Furniture work at DJ Court Jodhpur Distt., Jodhpur</v>
      </c>
      <c r="C255" t="s">
        <v>73</v>
      </c>
      <c r="D255" t="s">
        <v>244</v>
      </c>
      <c r="E255" t="s">
        <v>638</v>
      </c>
      <c r="F255" t="s">
        <v>639</v>
      </c>
      <c r="G255" t="s">
        <v>76</v>
      </c>
    </row>
    <row r="256" spans="1:7" x14ac:dyDescent="0.2">
      <c r="A256" s="1">
        <v>254</v>
      </c>
      <c r="B256" t="str">
        <f>HYPERLINK("https://eproc.rajasthan.gov.in/nicgep/app?component=%24DirectLink&amp;page=FrontEndViewTender&amp;service=direct&amp;session=T&amp;sp=SWkDnE6zuQQV6c6lNSbAx1A%3D%3D", "NIT No. 02 Item No. 01 of 2025-26 EE PWD DISTT DN PHALODI")</f>
        <v>NIT No. 02 Item No. 01 of 2025-26 EE PWD DISTT DN PHALODI</v>
      </c>
      <c r="C256" t="s">
        <v>580</v>
      </c>
      <c r="D256" t="s">
        <v>244</v>
      </c>
      <c r="E256" t="s">
        <v>640</v>
      </c>
      <c r="F256" t="s">
        <v>641</v>
      </c>
      <c r="G256" t="s">
        <v>583</v>
      </c>
    </row>
    <row r="257" spans="1:7" x14ac:dyDescent="0.2">
      <c r="A257" s="1">
        <v>255</v>
      </c>
      <c r="B257" t="str">
        <f>HYPERLINK("https://eproc.rajasthan.gov.in/nicgep/app?component=%24DirectLink&amp;page=FrontEndViewTender&amp;service=direct&amp;session=T&amp;sp=SpkYY9ToEznBznlQ4gvb4Cw%3D%3D", "Wall panelling work in server room at DJ Court Jodhpur Distt., Jodhpur")</f>
        <v>Wall panelling work in server room at DJ Court Jodhpur Distt., Jodhpur</v>
      </c>
      <c r="C257" t="s">
        <v>73</v>
      </c>
      <c r="D257" t="s">
        <v>244</v>
      </c>
      <c r="E257" t="s">
        <v>642</v>
      </c>
      <c r="F257" t="s">
        <v>643</v>
      </c>
      <c r="G257" t="s">
        <v>76</v>
      </c>
    </row>
    <row r="258" spans="1:7" x14ac:dyDescent="0.2">
      <c r="A258" s="1">
        <v>256</v>
      </c>
      <c r="B258" t="str">
        <f>HYPERLINK("https://eproc.rajasthan.gov.in/nicgep/app?component=%24DirectLink&amp;page=FrontEndViewTender&amp;service=direct&amp;session=T&amp;sp=SCgbm3m7YWI6dyjOUnmhC2w%3D%3D", "Various repair and maintenance work in D.J. Court Campus Jodhpur Metro, Jodhpur under PWD City Sub Dn VI, Jodhpur")</f>
        <v>Various repair and maintenance work in D.J. Court Campus Jodhpur Metro, Jodhpur under PWD City Sub Dn VI, Jodhpur</v>
      </c>
      <c r="C258" t="s">
        <v>73</v>
      </c>
      <c r="D258" t="s">
        <v>244</v>
      </c>
      <c r="E258" t="s">
        <v>644</v>
      </c>
      <c r="F258" t="s">
        <v>645</v>
      </c>
      <c r="G258" t="s">
        <v>76</v>
      </c>
    </row>
    <row r="259" spans="1:7" x14ac:dyDescent="0.2">
      <c r="A259" s="1">
        <v>257</v>
      </c>
      <c r="B259" t="str">
        <f>HYPERLINK("https://eproc.rajasthan.gov.in/nicgep/app?component=%24DirectLink&amp;page=FrontEndViewTender&amp;service=direct&amp;session=T&amp;sp=Sd6nOqU71f7TF4h0kzjDVQQ%3D%3D", "Sanitary, polish and other repair work at DJ Court Campus, Jodhpur Metro, Jodhpur")</f>
        <v>Sanitary, polish and other repair work at DJ Court Campus, Jodhpur Metro, Jodhpur</v>
      </c>
      <c r="C259" t="s">
        <v>73</v>
      </c>
      <c r="D259" t="s">
        <v>244</v>
      </c>
      <c r="E259" t="s">
        <v>646</v>
      </c>
      <c r="F259" t="s">
        <v>647</v>
      </c>
      <c r="G259" t="s">
        <v>76</v>
      </c>
    </row>
    <row r="260" spans="1:7" x14ac:dyDescent="0.2">
      <c r="A260" s="1">
        <v>258</v>
      </c>
      <c r="B260" t="str">
        <f>HYPERLINK("https://eproc.rajasthan.gov.in/nicgep/app?component=%24DirectLink&amp;page=FrontEndViewTender&amp;service=direct&amp;session=T&amp;sp=SsMuXrwuq%2B8rE5hmhvSdi3w%3D%3D", "Strengthening and Widening of Rohicha phanta to Uttesar road km.0/0 to 12/0")</f>
        <v>Strengthening and Widening of Rohicha phanta to Uttesar road km.0/0 to 12/0</v>
      </c>
      <c r="C260" t="s">
        <v>73</v>
      </c>
      <c r="D260" t="s">
        <v>501</v>
      </c>
      <c r="E260" t="s">
        <v>648</v>
      </c>
      <c r="F260" t="s">
        <v>649</v>
      </c>
      <c r="G260" t="s">
        <v>76</v>
      </c>
    </row>
    <row r="261" spans="1:7" x14ac:dyDescent="0.2">
      <c r="A261" s="1">
        <v>259</v>
      </c>
      <c r="B261" t="str">
        <f>HYPERLINK("https://eproc.rajasthan.gov.in/nicgep/app?component=%24DirectLink&amp;page=FrontEndViewTender&amp;service=direct&amp;session=T&amp;sp=SyYn%2FhND2U%2F89joTbcBaYIw%3D%3D", "Strengthening of Kota-Dharnawada road in district Baran")</f>
        <v>Strengthening of Kota-Dharnawada road in district Baran</v>
      </c>
      <c r="C261" t="s">
        <v>611</v>
      </c>
      <c r="D261" t="s">
        <v>270</v>
      </c>
      <c r="E261" t="s">
        <v>650</v>
      </c>
      <c r="F261" t="s">
        <v>651</v>
      </c>
      <c r="G261" t="s">
        <v>474</v>
      </c>
    </row>
    <row r="262" spans="1:7" x14ac:dyDescent="0.2">
      <c r="A262" s="1">
        <v>260</v>
      </c>
      <c r="B262" t="str">
        <f>HYPERLINK("https://eproc.rajasthan.gov.in/nicgep/app?component=%24DirectLink&amp;page=FrontEndViewTender&amp;service=direct&amp;session=T&amp;sp=S5o4%2FpY%2BXlbiEeZ0jqZ%2BqAw%3D%3D", "Widening and strengthening of Chhipabarod to Jhanjhani Umariya Via Pithpur road in district Baran")</f>
        <v>Widening and strengthening of Chhipabarod to Jhanjhani Umariya Via Pithpur road in district Baran</v>
      </c>
      <c r="C262" t="s">
        <v>611</v>
      </c>
      <c r="D262" t="s">
        <v>270</v>
      </c>
      <c r="E262" t="s">
        <v>652</v>
      </c>
      <c r="F262" t="s">
        <v>653</v>
      </c>
      <c r="G262" t="s">
        <v>474</v>
      </c>
    </row>
    <row r="263" spans="1:7" x14ac:dyDescent="0.2">
      <c r="A263" s="1">
        <v>261</v>
      </c>
      <c r="B263" t="str">
        <f>HYPERLINK("https://eproc.rajasthan.gov.in/nicgep/app?component=%24DirectLink&amp;page=FrontEndViewTender&amp;service=direct&amp;session=T&amp;sp=SGLCLclEMkD7bUqdeytABDQ%3D%3D", "Divider repair work from Power House to Gugaur Tirahe in Chhabra in district Baran")</f>
        <v>Divider repair work from Power House to Gugaur Tirahe in Chhabra in district Baran</v>
      </c>
      <c r="C263" t="s">
        <v>611</v>
      </c>
      <c r="D263" t="s">
        <v>270</v>
      </c>
      <c r="E263" t="s">
        <v>654</v>
      </c>
      <c r="F263" t="s">
        <v>655</v>
      </c>
      <c r="G263" t="s">
        <v>474</v>
      </c>
    </row>
    <row r="264" spans="1:7" x14ac:dyDescent="0.2">
      <c r="A264" s="1">
        <v>262</v>
      </c>
      <c r="B264" t="str">
        <f>HYPERLINK("https://eproc.rajasthan.gov.in/nicgep/app?component=%24DirectLink&amp;page=FrontEndViewTender&amp;service=direct&amp;session=T&amp;sp=SIqHGW7oYqFwLq%2Bfrx0OPPw%3D%3D", "Construction of road from Kohani to Ganeshpura")</f>
        <v>Construction of road from Kohani to Ganeshpura</v>
      </c>
      <c r="C264" t="s">
        <v>611</v>
      </c>
      <c r="D264" t="s">
        <v>26</v>
      </c>
      <c r="E264" t="s">
        <v>656</v>
      </c>
      <c r="F264" t="s">
        <v>657</v>
      </c>
      <c r="G264" t="s">
        <v>474</v>
      </c>
    </row>
    <row r="265" spans="1:7" x14ac:dyDescent="0.2">
      <c r="A265" s="1">
        <v>263</v>
      </c>
      <c r="B265" t="str">
        <f>HYPERLINK("https://eproc.rajasthan.gov.in/nicgep/app?component=%24DirectLink&amp;page=FrontEndViewTender&amp;service=direct&amp;session=T&amp;sp=SlXsIlq3aNLMK9D98puvrfg%3D%3D", "(1) Const.of BT road Jeevand Kalla to Bordi via panchayat, VidHalIya bhawan road km 0/0 to 2/0 (2) Const.of BT road Jeevand Kalla to Kharda BT road Jeevand dhani -(Pali) km 0/0 to 2/0")</f>
        <v>(1) Const.of BT road Jeevand Kalla to Bordi via panchayat, VidHalIya bhawan road km 0/0 to 2/0 (2) Const.of BT road Jeevand Kalla to Kharda BT road Jeevand dhani -(Pali) km 0/0 to 2/0</v>
      </c>
      <c r="C265" t="s">
        <v>485</v>
      </c>
      <c r="D265" t="s">
        <v>209</v>
      </c>
      <c r="E265" t="s">
        <v>658</v>
      </c>
      <c r="F265" t="s">
        <v>659</v>
      </c>
      <c r="G265" t="s">
        <v>417</v>
      </c>
    </row>
    <row r="266" spans="1:7" x14ac:dyDescent="0.2">
      <c r="A266" s="1">
        <v>264</v>
      </c>
      <c r="B266" t="str">
        <f>HYPERLINK("https://eproc.rajasthan.gov.in/nicgep/app?component=%24DirectLink&amp;page=FrontEndViewTender&amp;service=direct&amp;session=T&amp;sp=S1BG5rgVChdS6ino666u1iQ%3D%3D", "Construction of road from Kelwad to Heerawas")</f>
        <v>Construction of road from Kelwad to Heerawas</v>
      </c>
      <c r="C266" t="s">
        <v>485</v>
      </c>
      <c r="D266" t="s">
        <v>209</v>
      </c>
      <c r="E266" t="s">
        <v>660</v>
      </c>
      <c r="F266" t="s">
        <v>661</v>
      </c>
      <c r="G266" t="s">
        <v>417</v>
      </c>
    </row>
    <row r="267" spans="1:7" x14ac:dyDescent="0.2">
      <c r="A267" s="1">
        <v>265</v>
      </c>
      <c r="B267" t="str">
        <f>HYPERLINK("https://eproc.rajasthan.gov.in/nicgep/app?component=%24DirectLink&amp;page=FrontEndViewTender&amp;service=direct&amp;session=T&amp;sp=SYRWHLUxDUYB8eot0FgrnKQ%3D%3D", "RJ-23-10/69-Imp.Work/2025-26")</f>
        <v>RJ-23-10/69-Imp.Work/2025-26</v>
      </c>
      <c r="C267" t="s">
        <v>662</v>
      </c>
      <c r="D267" t="s">
        <v>270</v>
      </c>
      <c r="E267" t="s">
        <v>663</v>
      </c>
      <c r="F267" t="s">
        <v>664</v>
      </c>
      <c r="G267" t="s">
        <v>132</v>
      </c>
    </row>
    <row r="268" spans="1:7" x14ac:dyDescent="0.2">
      <c r="A268" s="1">
        <v>266</v>
      </c>
      <c r="B268" t="str">
        <f>HYPERLINK("https://eproc.rajasthan.gov.in/nicgep/app?component=%24DirectLink&amp;page=FrontEndViewTender&amp;service=direct&amp;session=T&amp;sp=Syh7YwV62oD8Vi%2BWBt%2BKPIA%3D%3D", "Rehabilitation of non patchable BT Road Bakhasar to Radwa km 0/0 to 9/0")</f>
        <v>Rehabilitation of non patchable BT Road Bakhasar to Radwa km 0/0 to 9/0</v>
      </c>
      <c r="C268" t="s">
        <v>327</v>
      </c>
      <c r="D268" t="s">
        <v>209</v>
      </c>
      <c r="E268" t="s">
        <v>665</v>
      </c>
      <c r="F268" t="s">
        <v>666</v>
      </c>
      <c r="G268" t="s">
        <v>330</v>
      </c>
    </row>
    <row r="269" spans="1:7" x14ac:dyDescent="0.2">
      <c r="A269" s="1">
        <v>267</v>
      </c>
      <c r="B269" t="str">
        <f>HYPERLINK("https://eproc.rajasthan.gov.in/nicgep/app?component=%24DirectLink&amp;page=FrontEndViewTender&amp;service=direct&amp;session=T&amp;sp=SypkQ1ci6ovTlnygaZclvvQ%3D%3D", "Widenening and Strenengtheing of BT Road Dhorimana Krishi Mandi Fanta to Bharte Ki Beri Via Mithda Khari")</f>
        <v>Widenening and Strenengtheing of BT Road Dhorimana Krishi Mandi Fanta to Bharte Ki Beri Via Mithda Khari</v>
      </c>
      <c r="C269" t="s">
        <v>327</v>
      </c>
      <c r="D269" t="s">
        <v>209</v>
      </c>
      <c r="E269" t="s">
        <v>667</v>
      </c>
      <c r="F269" t="s">
        <v>668</v>
      </c>
      <c r="G269" t="s">
        <v>330</v>
      </c>
    </row>
    <row r="270" spans="1:7" x14ac:dyDescent="0.2">
      <c r="A270" s="1">
        <v>268</v>
      </c>
      <c r="B270" t="str">
        <f>HYPERLINK("https://eproc.rajasthan.gov.in/nicgep/app?component=%24DirectLink&amp;page=FrontEndViewTender&amp;service=direct&amp;session=T&amp;sp=SnH%2BkMCEcOrpvhFyqPwOEtA%3D%3D", "Widening and Strengthening of Road Jasai Radwa Ranigoan Isrol Dhanau km 17/0 to 37/0")</f>
        <v>Widening and Strengthening of Road Jasai Radwa Ranigoan Isrol Dhanau km 17/0 to 37/0</v>
      </c>
      <c r="C270" t="s">
        <v>327</v>
      </c>
      <c r="D270" t="s">
        <v>669</v>
      </c>
      <c r="E270" t="s">
        <v>670</v>
      </c>
      <c r="F270" t="s">
        <v>671</v>
      </c>
      <c r="G270" t="s">
        <v>330</v>
      </c>
    </row>
    <row r="271" spans="1:7" x14ac:dyDescent="0.2">
      <c r="A271" s="1">
        <v>269</v>
      </c>
      <c r="B271" t="str">
        <f>HYPERLINK("https://eproc.rajasthan.gov.in/nicgep/app?component=%24DirectLink&amp;page=FrontEndViewTender&amp;service=direct&amp;session=T&amp;sp=SYXnpCpSpZ1h%2FGJq2L6uMQA%3D%3D", "Widening Strengthening and Construction of BT Road Bhadrai (Dabli) to PH1 Via Chack Guda to Jeevaniyon ki Dhani PH3 Near Canal to Dhorimana Road")</f>
        <v>Widening Strengthening and Construction of BT Road Bhadrai (Dabli) to PH1 Via Chack Guda to Jeevaniyon ki Dhani PH3 Near Canal to Dhorimana Road</v>
      </c>
      <c r="C271" t="s">
        <v>327</v>
      </c>
      <c r="D271" t="s">
        <v>209</v>
      </c>
      <c r="E271" t="s">
        <v>672</v>
      </c>
      <c r="F271" t="s">
        <v>673</v>
      </c>
      <c r="G271" t="s">
        <v>330</v>
      </c>
    </row>
    <row r="272" spans="1:7" x14ac:dyDescent="0.2">
      <c r="A272" s="1">
        <v>270</v>
      </c>
      <c r="B272" t="str">
        <f>HYPERLINK("https://eproc.rajasthan.gov.in/nicgep/app?component=%24DirectLink&amp;page=FrontEndViewTender&amp;service=direct&amp;session=T&amp;sp=S2KZXjCK9tIMA2ADfs4XkuQ%3D%3D", "Majar Repair and Modernization of Existing EMRS Barnala (Raj)")</f>
        <v>Majar Repair and Modernization of Existing EMRS Barnala (Raj)</v>
      </c>
      <c r="C272" t="s">
        <v>479</v>
      </c>
      <c r="D272" t="s">
        <v>674</v>
      </c>
      <c r="E272" t="s">
        <v>675</v>
      </c>
      <c r="F272" t="s">
        <v>676</v>
      </c>
      <c r="G272" t="s">
        <v>87</v>
      </c>
    </row>
    <row r="273" spans="1:7" x14ac:dyDescent="0.2">
      <c r="A273" s="1">
        <v>271</v>
      </c>
      <c r="B273" t="str">
        <f>HYPERLINK("https://eproc.rajasthan.gov.in/nicgep/app?component=%24DirectLink&amp;page=FrontEndViewTender&amp;service=direct&amp;session=T&amp;sp=SJnnQQxCzC4S9igQmF8oN0g%3D%3D", "RAJASTHAN VIDHANSABHA KE GARDEN KA COMPLETE MAINTENANCE WORK")</f>
        <v>RAJASTHAN VIDHANSABHA KE GARDEN KA COMPLETE MAINTENANCE WORK</v>
      </c>
      <c r="C273" t="s">
        <v>677</v>
      </c>
      <c r="D273" t="s">
        <v>678</v>
      </c>
      <c r="E273" t="s">
        <v>679</v>
      </c>
      <c r="F273" t="s">
        <v>680</v>
      </c>
      <c r="G273" t="s">
        <v>105</v>
      </c>
    </row>
    <row r="274" spans="1:7" x14ac:dyDescent="0.2">
      <c r="A274" s="1">
        <v>272</v>
      </c>
      <c r="B274" t="str">
        <f>HYPERLINK("https://eproc.rajasthan.gov.in/nicgep/app?component=%24DirectLink&amp;page=FrontEndViewTender&amp;service=direct&amp;session=T&amp;sp=SdlOjfjfs%2BJAjpDyd8rh%2FDA%3D%3D", "YEAR 2025-26 KE LIYE RAMNIWAS BAGH OFFICE CAMPUS KA COMPLETE GARDEN MAINTENANCE WORK")</f>
        <v>YEAR 2025-26 KE LIYE RAMNIWAS BAGH OFFICE CAMPUS KA COMPLETE GARDEN MAINTENANCE WORK</v>
      </c>
      <c r="C274" t="s">
        <v>677</v>
      </c>
      <c r="D274" t="s">
        <v>678</v>
      </c>
      <c r="E274" t="s">
        <v>681</v>
      </c>
      <c r="F274" t="s">
        <v>682</v>
      </c>
      <c r="G274" t="s">
        <v>105</v>
      </c>
    </row>
    <row r="275" spans="1:7" x14ac:dyDescent="0.2">
      <c r="A275" s="1">
        <v>273</v>
      </c>
      <c r="B275" t="str">
        <f>HYPERLINK("https://eproc.rajasthan.gov.in/nicgep/app?component=%24DirectLink&amp;page=FrontEndViewTender&amp;service=direct&amp;session=T&amp;sp=SytBTNsnGz0BrX2HuU0Sk%2Bw%3D%3D", "YEAR 2025-26 KE LIYE RAJASTHAN HIGH COURT KHAND PEETH JAIPUR ME COMPLETE GARDEN MAINTENANCE WORK")</f>
        <v>YEAR 2025-26 KE LIYE RAJASTHAN HIGH COURT KHAND PEETH JAIPUR ME COMPLETE GARDEN MAINTENANCE WORK</v>
      </c>
      <c r="C275" t="s">
        <v>677</v>
      </c>
      <c r="D275" t="s">
        <v>678</v>
      </c>
      <c r="E275" t="s">
        <v>683</v>
      </c>
      <c r="F275" t="s">
        <v>684</v>
      </c>
      <c r="G275" t="s">
        <v>105</v>
      </c>
    </row>
    <row r="276" spans="1:7" x14ac:dyDescent="0.2">
      <c r="A276" s="1">
        <v>274</v>
      </c>
      <c r="B276" t="str">
        <f>HYPERLINK("https://eproc.rajasthan.gov.in/nicgep/app?component=%24DirectLink&amp;page=FrontEndViewTender&amp;service=direct&amp;session=T&amp;sp=SA6esMkaTV2yYdDR2jX0ttg%3D%3D", "Shoulders Maintenance work in Road Repair Campaign under PWD Sub Dn Masuda")</f>
        <v>Shoulders Maintenance work in Road Repair Campaign under PWD Sub Dn Masuda</v>
      </c>
      <c r="C276" t="s">
        <v>389</v>
      </c>
      <c r="D276" t="s">
        <v>453</v>
      </c>
      <c r="E276" t="s">
        <v>535</v>
      </c>
      <c r="F276" t="s">
        <v>685</v>
      </c>
      <c r="G276" t="s">
        <v>393</v>
      </c>
    </row>
    <row r="277" spans="1:7" x14ac:dyDescent="0.2">
      <c r="A277" s="1">
        <v>275</v>
      </c>
      <c r="B277" t="str">
        <f>HYPERLINK("https://eproc.rajasthan.gov.in/nicgep/app?component=%24DirectLink&amp;page=FrontEndViewTender&amp;service=direct&amp;session=T&amp;sp=SL1%2FagHF0p%2BIlQuXsxrEfkA%3D%3D", "YEAR 2025-26 KE LIYE BUNGLOW NO 8 CIVIL LINES KA COMPLETE GARDEN MAINTENANCE WORK")</f>
        <v>YEAR 2025-26 KE LIYE BUNGLOW NO 8 CIVIL LINES KA COMPLETE GARDEN MAINTENANCE WORK</v>
      </c>
      <c r="C277" t="s">
        <v>677</v>
      </c>
      <c r="D277" t="s">
        <v>678</v>
      </c>
      <c r="E277" t="s">
        <v>686</v>
      </c>
      <c r="F277" t="s">
        <v>687</v>
      </c>
      <c r="G277" t="s">
        <v>105</v>
      </c>
    </row>
    <row r="278" spans="1:7" x14ac:dyDescent="0.2">
      <c r="A278" s="1">
        <v>276</v>
      </c>
      <c r="B278" t="str">
        <f>HYPERLINK("https://eproc.rajasthan.gov.in/nicgep/app?component=%24DirectLink&amp;page=FrontEndViewTender&amp;service=direct&amp;session=T&amp;sp=SfRQkmL%2BEcAH09tyhZsyM0A%3D%3D", "Shoulders Maintenance work in Road Repair Campaign under PWD Sub Dn")</f>
        <v>Shoulders Maintenance work in Road Repair Campaign under PWD Sub Dn</v>
      </c>
      <c r="C278" t="s">
        <v>389</v>
      </c>
      <c r="D278" t="s">
        <v>453</v>
      </c>
      <c r="E278" t="s">
        <v>535</v>
      </c>
      <c r="F278" t="s">
        <v>688</v>
      </c>
      <c r="G278" t="s">
        <v>393</v>
      </c>
    </row>
    <row r="279" spans="1:7" x14ac:dyDescent="0.2">
      <c r="A279" s="1">
        <v>277</v>
      </c>
      <c r="B279" t="str">
        <f>HYPERLINK("https://eproc.rajasthan.gov.in/nicgep/app?component=%24DirectLink&amp;page=FrontEndViewTender&amp;service=direct&amp;session=T&amp;sp=SvKqj3iTFoU0yOFFn6GdKMg%3D%3D", "Road Repair Work during Rainy Season under PWD Sub Dn bar")</f>
        <v>Road Repair Work during Rainy Season under PWD Sub Dn bar</v>
      </c>
      <c r="C279" t="s">
        <v>389</v>
      </c>
      <c r="D279" t="s">
        <v>453</v>
      </c>
      <c r="E279" t="s">
        <v>535</v>
      </c>
      <c r="F279" t="s">
        <v>689</v>
      </c>
      <c r="G279" t="s">
        <v>393</v>
      </c>
    </row>
    <row r="280" spans="1:7" x14ac:dyDescent="0.2">
      <c r="A280" s="1">
        <v>278</v>
      </c>
      <c r="B280" t="str">
        <f>HYPERLINK("https://eproc.rajasthan.gov.in/nicgep/app?component=%24DirectLink&amp;page=FrontEndViewTender&amp;service=direct&amp;session=T&amp;sp=SrIHVcg7EHX7TVzi97EWaow%3D%3D", "Road Repair Work during Rainy Season under PWD Sub Dn Beawar")</f>
        <v>Road Repair Work during Rainy Season under PWD Sub Dn Beawar</v>
      </c>
      <c r="C280" t="s">
        <v>389</v>
      </c>
      <c r="D280" t="s">
        <v>453</v>
      </c>
      <c r="E280" t="s">
        <v>535</v>
      </c>
      <c r="F280" t="s">
        <v>690</v>
      </c>
      <c r="G280" t="s">
        <v>393</v>
      </c>
    </row>
    <row r="281" spans="1:7" x14ac:dyDescent="0.2">
      <c r="A281" s="1">
        <v>279</v>
      </c>
      <c r="B281" t="str">
        <f>HYPERLINK("https://eproc.rajasthan.gov.in/nicgep/app?component=%24DirectLink&amp;page=FrontEndViewTender&amp;service=direct&amp;session=T&amp;sp=SXopNHTMz98UQ0I7ilmfB7g%3D%3D", "Strengthening and widening of Kurad Dhoti Mandap Shyampura Sangod Road (MDR-178) in District Kota")</f>
        <v>Strengthening and widening of Kurad Dhoti Mandap Shyampura Sangod Road (MDR-178) in District Kota</v>
      </c>
      <c r="C281" t="s">
        <v>691</v>
      </c>
      <c r="D281" t="s">
        <v>26</v>
      </c>
      <c r="E281" t="s">
        <v>692</v>
      </c>
      <c r="F281" t="s">
        <v>693</v>
      </c>
      <c r="G281" t="s">
        <v>132</v>
      </c>
    </row>
    <row r="282" spans="1:7" x14ac:dyDescent="0.2">
      <c r="A282" s="1">
        <v>280</v>
      </c>
      <c r="B282" t="str">
        <f>HYPERLINK("https://eproc.rajasthan.gov.in/nicgep/app?component=%24DirectLink&amp;page=FrontEndViewTender&amp;service=direct&amp;session=T&amp;sp=SCm6s14iAHzbOxFEMFsVneQ%3D%3D", "Construction work on the Km 3/800 Aru river of contact road Katoon in District Kota")</f>
        <v>Construction work on the Km 3/800 Aru river of contact road Katoon in District Kota</v>
      </c>
      <c r="C282" t="s">
        <v>691</v>
      </c>
      <c r="D282" t="s">
        <v>26</v>
      </c>
      <c r="E282" t="s">
        <v>694</v>
      </c>
      <c r="F282" t="s">
        <v>695</v>
      </c>
      <c r="G282" t="s">
        <v>132</v>
      </c>
    </row>
    <row r="283" spans="1:7" x14ac:dyDescent="0.2">
      <c r="A283" s="1">
        <v>281</v>
      </c>
      <c r="B283" t="str">
        <f>HYPERLINK("https://eproc.rajasthan.gov.in/nicgep/app?component=%24DirectLink&amp;page=FrontEndViewTender&amp;service=direct&amp;session=T&amp;sp=S6aPLUDXBKEPwtJTHXOcJYQ%3D%3D", "Construction of road up to Khedli Gardana Kacholiya Kakooniya in district Kota")</f>
        <v>Construction of road up to Khedli Gardana Kacholiya Kakooniya in district Kota</v>
      </c>
      <c r="C283" t="s">
        <v>691</v>
      </c>
      <c r="D283" t="s">
        <v>26</v>
      </c>
      <c r="E283" t="s">
        <v>696</v>
      </c>
      <c r="F283" t="s">
        <v>697</v>
      </c>
      <c r="G283" t="s">
        <v>132</v>
      </c>
    </row>
    <row r="284" spans="1:7" x14ac:dyDescent="0.2">
      <c r="A284" s="1">
        <v>282</v>
      </c>
      <c r="B284" t="str">
        <f>HYPERLINK("https://eproc.rajasthan.gov.in/nicgep/app?component=%24DirectLink&amp;page=FrontEndViewTender&amp;service=direct&amp;session=T&amp;sp=S4UVD2Wy5f5UhDkBJiX42zA%3D%3D", "Remaining Work of Renewal and Stregthening of Non Patchable Roads under Package No. RJ-23-13/NP/2024-25")</f>
        <v>Remaining Work of Renewal and Stregthening of Non Patchable Roads under Package No. RJ-23-13/NP/2024-25</v>
      </c>
      <c r="C284" t="s">
        <v>196</v>
      </c>
      <c r="D284" t="s">
        <v>270</v>
      </c>
      <c r="E284" t="s">
        <v>698</v>
      </c>
      <c r="F284" t="s">
        <v>699</v>
      </c>
      <c r="G284" t="s">
        <v>132</v>
      </c>
    </row>
    <row r="285" spans="1:7" x14ac:dyDescent="0.2">
      <c r="A285" s="1">
        <v>283</v>
      </c>
      <c r="B285" t="str">
        <f>HYPERLINK("https://eproc.rajasthan.gov.in/nicgep/app?component=%24DirectLink&amp;page=FrontEndViewTender&amp;service=direct&amp;session=T&amp;sp=SlsZVXv76W979o70J6BA0BQ%3D%3D", "Construction work of the road from Sanmanpura to Bhopalganj on the road to Talav Minor")</f>
        <v>Construction work of the road from Sanmanpura to Bhopalganj on the road to Talav Minor</v>
      </c>
      <c r="C285" t="s">
        <v>700</v>
      </c>
      <c r="D285" t="s">
        <v>270</v>
      </c>
      <c r="E285" t="s">
        <v>701</v>
      </c>
      <c r="F285" t="s">
        <v>702</v>
      </c>
      <c r="G285" t="s">
        <v>132</v>
      </c>
    </row>
    <row r="286" spans="1:7" x14ac:dyDescent="0.2">
      <c r="A286" s="1">
        <v>284</v>
      </c>
      <c r="B286" t="str">
        <f>HYPERLINK("https://eproc.rajasthan.gov.in/nicgep/app?component=%24DirectLink&amp;page=FrontEndViewTender&amp;service=direct&amp;session=T&amp;sp=SCBUZ9ZmOJ%2BvdDdFZ1QRtIA%3D%3D", "Construction work of road from Nonera to Gaita")</f>
        <v>Construction work of road from Nonera to Gaita</v>
      </c>
      <c r="C286" t="s">
        <v>700</v>
      </c>
      <c r="D286" t="s">
        <v>270</v>
      </c>
      <c r="E286" t="s">
        <v>703</v>
      </c>
      <c r="F286" t="s">
        <v>704</v>
      </c>
      <c r="G286" t="s">
        <v>132</v>
      </c>
    </row>
    <row r="287" spans="1:7" x14ac:dyDescent="0.2">
      <c r="A287" s="1">
        <v>285</v>
      </c>
      <c r="B287" t="str">
        <f>HYPERLINK("https://eproc.rajasthan.gov.in/nicgep/app?component=%24DirectLink&amp;page=FrontEndViewTender&amp;service=direct&amp;session=T&amp;sp=S7d1WPdemCFEd9lwxaZ4aoA%3D%3D", "Construction work of culvert at Askali km 0/600")</f>
        <v>Construction work of culvert at Askali km 0/600</v>
      </c>
      <c r="C287" t="s">
        <v>662</v>
      </c>
      <c r="D287" t="s">
        <v>270</v>
      </c>
      <c r="E287" t="s">
        <v>705</v>
      </c>
      <c r="F287" t="s">
        <v>706</v>
      </c>
      <c r="G287" t="s">
        <v>132</v>
      </c>
    </row>
    <row r="288" spans="1:7" x14ac:dyDescent="0.2">
      <c r="A288" s="1">
        <v>286</v>
      </c>
      <c r="B288" t="str">
        <f>HYPERLINK("https://eproc.rajasthan.gov.in/nicgep/app?component=%24DirectLink&amp;page=FrontEndViewTender&amp;service=direct&amp;session=T&amp;sp=SwRhostDDgvd6qWZrAeDRGw%3D%3D", "Strengthening and widening of Sumernagar to Dhibri Chambal via Godalakalan road in Kota district")</f>
        <v>Strengthening and widening of Sumernagar to Dhibri Chambal via Godalakalan road in Kota district</v>
      </c>
      <c r="C288" t="s">
        <v>700</v>
      </c>
      <c r="D288" t="s">
        <v>26</v>
      </c>
      <c r="E288" t="s">
        <v>707</v>
      </c>
      <c r="F288" t="s">
        <v>708</v>
      </c>
      <c r="G288" t="s">
        <v>132</v>
      </c>
    </row>
    <row r="289" spans="1:7" x14ac:dyDescent="0.2">
      <c r="A289" s="1">
        <v>287</v>
      </c>
      <c r="B289" t="str">
        <f>HYPERLINK("https://eproc.rajasthan.gov.in/nicgep/app?component=%24DirectLink&amp;page=FrontEndViewTender&amp;service=direct&amp;session=T&amp;sp=SZiS32K8bF9uT3I%2B5SwJCCw%3D%3D", "Widening and strengthening work of Ramganjmandi-Julmi road in Kota district")</f>
        <v>Widening and strengthening work of Ramganjmandi-Julmi road in Kota district</v>
      </c>
      <c r="C289" t="s">
        <v>662</v>
      </c>
      <c r="D289" t="s">
        <v>26</v>
      </c>
      <c r="E289" t="s">
        <v>709</v>
      </c>
      <c r="F289" t="s">
        <v>710</v>
      </c>
      <c r="G289" t="s">
        <v>132</v>
      </c>
    </row>
    <row r="290" spans="1:7" x14ac:dyDescent="0.2">
      <c r="A290" s="1">
        <v>288</v>
      </c>
      <c r="B290" t="str">
        <f>HYPERLINK("https://eproc.rajasthan.gov.in/nicgep/app?component=%24DirectLink&amp;page=FrontEndViewTender&amp;service=direct&amp;session=T&amp;sp=SEwY7HbK4qXE4sIAZARX4UA%3D%3D", "Widening and strengthening work of MDR 253 km 15/0-33/500 road from Amjhar Khedli Chechat Madanpura Goynda to Madhya Pradesh border in district Kota")</f>
        <v>Widening and strengthening work of MDR 253 km 15/0-33/500 road from Amjhar Khedli Chechat Madanpura Goynda to Madhya Pradesh border in district Kota</v>
      </c>
      <c r="C290" t="s">
        <v>662</v>
      </c>
      <c r="D290" t="s">
        <v>26</v>
      </c>
      <c r="E290" t="s">
        <v>711</v>
      </c>
      <c r="F290" t="s">
        <v>712</v>
      </c>
      <c r="G290" t="s">
        <v>132</v>
      </c>
    </row>
    <row r="291" spans="1:7" x14ac:dyDescent="0.2">
      <c r="A291" s="1">
        <v>289</v>
      </c>
      <c r="B291" t="str">
        <f>HYPERLINK("https://eproc.rajasthan.gov.in/nicgep/app?component=%24DirectLink&amp;page=FrontEndViewTender&amp;service=direct&amp;session=T&amp;sp=ShDweDl5Y8UVzDX60i6NCXA%3D%3D", "Road strengthening work from Pech ki Bawdi to Pagara via Mahadev Temple in Bundi district")</f>
        <v>Road strengthening work from Pech ki Bawdi to Pagara via Mahadev Temple in Bundi district</v>
      </c>
      <c r="C291" t="s">
        <v>430</v>
      </c>
      <c r="D291" t="s">
        <v>26</v>
      </c>
      <c r="E291" t="s">
        <v>713</v>
      </c>
      <c r="F291" t="s">
        <v>714</v>
      </c>
      <c r="G291" t="s">
        <v>367</v>
      </c>
    </row>
    <row r="292" spans="1:7" x14ac:dyDescent="0.2">
      <c r="A292" s="1">
        <v>290</v>
      </c>
      <c r="B292" t="str">
        <f>HYPERLINK("https://eproc.rajasthan.gov.in/nicgep/app?component=%24DirectLink&amp;page=FrontEndViewTender&amp;service=direct&amp;session=T&amp;sp=SwzL5WPbqj5%2B88RruhZSVww%3D%3D", "Widening and strengthening work of road from Gendoli to Jhaliji Ka Barana in district Bundi")</f>
        <v>Widening and strengthening work of road from Gendoli to Jhaliji Ka Barana in district Bundi</v>
      </c>
      <c r="C292" t="s">
        <v>715</v>
      </c>
      <c r="D292" t="s">
        <v>26</v>
      </c>
      <c r="E292" t="s">
        <v>716</v>
      </c>
      <c r="F292" t="s">
        <v>717</v>
      </c>
      <c r="G292" t="s">
        <v>367</v>
      </c>
    </row>
    <row r="293" spans="1:7" x14ac:dyDescent="0.2">
      <c r="A293" s="1">
        <v>291</v>
      </c>
      <c r="B293" t="str">
        <f>HYPERLINK("https://eproc.rajasthan.gov.in/nicgep/app?component=%24DirectLink&amp;page=FrontEndViewTender&amp;service=direct&amp;session=T&amp;sp=SUVJif%2BdNukDHihiBspVklw%3D%3D", "Construction of road harpura Khumariya-Hingonia-Lallai- Bhatolao Sarwar Jadana Khadra- Satolao Kheriya Khurd upto Nagola MDR road.")</f>
        <v>Construction of road harpura Khumariya-Hingonia-Lallai- Bhatolao Sarwar Jadana Khadra- Satolao Kheriya Khurd upto Nagola MDR road.</v>
      </c>
      <c r="C293" t="s">
        <v>159</v>
      </c>
      <c r="D293" t="s">
        <v>718</v>
      </c>
      <c r="E293" t="s">
        <v>719</v>
      </c>
      <c r="F293" t="s">
        <v>720</v>
      </c>
      <c r="G293" t="s">
        <v>721</v>
      </c>
    </row>
    <row r="294" spans="1:7" x14ac:dyDescent="0.2">
      <c r="A294" s="1">
        <v>292</v>
      </c>
      <c r="B294" t="str">
        <f>HYPERLINK("https://eproc.rajasthan.gov.in/nicgep/app?component=%24DirectLink&amp;page=FrontEndViewTender&amp;service=direct&amp;session=T&amp;sp=SBhGj%2BrG5ceKLQEUE038zfw%3D%3D", "Construction of road Sanghawal Gopalpura Bhinai Tantoti Dabrela MDR Road")</f>
        <v>Construction of road Sanghawal Gopalpura Bhinai Tantoti Dabrela MDR Road</v>
      </c>
      <c r="C294" t="s">
        <v>159</v>
      </c>
      <c r="D294" t="s">
        <v>718</v>
      </c>
      <c r="E294" t="s">
        <v>722</v>
      </c>
      <c r="F294" t="s">
        <v>723</v>
      </c>
      <c r="G294" t="s">
        <v>721</v>
      </c>
    </row>
    <row r="295" spans="1:7" x14ac:dyDescent="0.2">
      <c r="A295" s="1">
        <v>293</v>
      </c>
      <c r="B295" t="str">
        <f>HYPERLINK("https://eproc.rajasthan.gov.in/nicgep/app?component=%24DirectLink&amp;page=FrontEndViewTender&amp;service=direct&amp;session=T&amp;sp=S6TYkfmKm85A0KI84y5bjDQ%3D%3D", "Remaining work of Widening and Strengthening Arnod Jajli Road Upto MP Border Including Bridge (Risk and Cost)")</f>
        <v>Remaining work of Widening and Strengthening Arnod Jajli Road Upto MP Border Including Bridge (Risk and Cost)</v>
      </c>
      <c r="C295" t="s">
        <v>724</v>
      </c>
      <c r="D295" t="s">
        <v>209</v>
      </c>
      <c r="E295" t="s">
        <v>725</v>
      </c>
      <c r="F295" t="s">
        <v>726</v>
      </c>
      <c r="G295" t="s">
        <v>727</v>
      </c>
    </row>
    <row r="296" spans="1:7" x14ac:dyDescent="0.2">
      <c r="A296" s="1">
        <v>294</v>
      </c>
      <c r="B296" t="str">
        <f>HYPERLINK("https://eproc.rajasthan.gov.in/nicgep/app?component=%24DirectLink&amp;page=FrontEndViewTender&amp;service=direct&amp;session=T&amp;sp=Sw4AJ4SsHHJUIh75zSSbnvw%3D%3D", "CONSTRUCTION OF COMMERCIAL COURT ON THE Vth FLOOR OF NEW COURT COMPLEX AT DISTRICT COURT CAMPUS UDAIPUR (REMAINING WORK)")</f>
        <v>CONSTRUCTION OF COMMERCIAL COURT ON THE Vth FLOOR OF NEW COURT COMPLEX AT DISTRICT COURT CAMPUS UDAIPUR (REMAINING WORK)</v>
      </c>
      <c r="C296" t="s">
        <v>215</v>
      </c>
      <c r="D296" t="s">
        <v>678</v>
      </c>
      <c r="E296" t="s">
        <v>728</v>
      </c>
      <c r="F296" t="s">
        <v>729</v>
      </c>
      <c r="G296" t="s">
        <v>478</v>
      </c>
    </row>
    <row r="297" spans="1:7" x14ac:dyDescent="0.2">
      <c r="A297" s="1">
        <v>295</v>
      </c>
      <c r="B297" t="str">
        <f>HYPERLINK("https://eproc.rajasthan.gov.in/nicgep/app?component=%24DirectLink&amp;page=FrontEndViewTender&amp;service=direct&amp;session=T&amp;sp=S%2FkplJfqOt%2BDtRRSYKc0FXw%3D%3D", "Construction of BT road from Raisar to Ramdevra Temple Nokha road via Dasnu-Somalsar-Ghattu-Madiya")</f>
        <v>Construction of BT road from Raisar to Ramdevra Temple Nokha road via Dasnu-Somalsar-Ghattu-Madiya</v>
      </c>
      <c r="C297" t="s">
        <v>179</v>
      </c>
      <c r="D297" t="s">
        <v>244</v>
      </c>
      <c r="E297" t="s">
        <v>730</v>
      </c>
      <c r="F297" t="s">
        <v>731</v>
      </c>
      <c r="G297" t="s">
        <v>732</v>
      </c>
    </row>
    <row r="298" spans="1:7" x14ac:dyDescent="0.2">
      <c r="A298" s="1">
        <v>296</v>
      </c>
      <c r="B298" t="str">
        <f>HYPERLINK("https://eproc.rajasthan.gov.in/nicgep/app?component=%24DirectLink&amp;page=FrontEndViewTender&amp;service=direct&amp;session=T&amp;sp=SFrvVddPTS1jqvvrFmaCeJA%3D%3D", "Construction of road from Akola to Falasiya km 0/0 to 15/0 in Distt. Chittorgarh")</f>
        <v>Construction of road from Akola to Falasiya km 0/0 to 15/0 in Distt. Chittorgarh</v>
      </c>
      <c r="C298" t="s">
        <v>215</v>
      </c>
      <c r="D298" t="s">
        <v>26</v>
      </c>
      <c r="E298" t="s">
        <v>733</v>
      </c>
      <c r="F298" t="s">
        <v>734</v>
      </c>
      <c r="G298" t="s">
        <v>219</v>
      </c>
    </row>
    <row r="299" spans="1:7" x14ac:dyDescent="0.2">
      <c r="A299" s="1">
        <v>297</v>
      </c>
      <c r="B299" t="str">
        <f>HYPERLINK("https://eproc.rajasthan.gov.in/nicgep/app?component=%24DirectLink&amp;page=FrontEndViewTender&amp;service=direct&amp;session=T&amp;sp=S4WGSymh%2FfCKceWN9p2RfzQ%3D%3D", "CONSTRUCTION OF BT ROAD KALU KHERA TO SAMELIYA VIA GADRI KHERA KM 0/0 TO 5/400 UNDER DMFT")</f>
        <v>CONSTRUCTION OF BT ROAD KALU KHERA TO SAMELIYA VIA GADRI KHERA KM 0/0 TO 5/400 UNDER DMFT</v>
      </c>
      <c r="C299" t="s">
        <v>735</v>
      </c>
      <c r="D299" t="s">
        <v>209</v>
      </c>
      <c r="E299" t="s">
        <v>736</v>
      </c>
      <c r="F299" t="s">
        <v>737</v>
      </c>
      <c r="G299" t="s">
        <v>738</v>
      </c>
    </row>
    <row r="300" spans="1:7" x14ac:dyDescent="0.2">
      <c r="A300" s="1">
        <v>298</v>
      </c>
      <c r="B300" t="str">
        <f>HYPERLINK("https://eproc.rajasthan.gov.in/nicgep/app?component=%24DirectLink&amp;page=FrontEndViewTender&amp;service=direct&amp;session=T&amp;sp=SLRfOnbdznjYJAE5h70alHg%3D%3D", "CONSTRUCTION OF BERAN TO BHADU VIA RAMA BA KA KHERA ROAD UNDER DMFT")</f>
        <v>CONSTRUCTION OF BERAN TO BHADU VIA RAMA BA KA KHERA ROAD UNDER DMFT</v>
      </c>
      <c r="C300" t="s">
        <v>735</v>
      </c>
      <c r="D300" t="s">
        <v>209</v>
      </c>
      <c r="E300" t="s">
        <v>739</v>
      </c>
      <c r="F300" t="s">
        <v>740</v>
      </c>
      <c r="G300" t="s">
        <v>738</v>
      </c>
    </row>
    <row r="301" spans="1:7" x14ac:dyDescent="0.2">
      <c r="A301" s="1">
        <v>299</v>
      </c>
      <c r="B301" t="str">
        <f>HYPERLINK("https://eproc.rajasthan.gov.in/nicgep/app?component=%24DirectLink&amp;page=FrontEndViewTender&amp;service=direct&amp;session=T&amp;sp=S75N2mdf58zJlB0v8UXFDQA%3D%3D", "Construction of BT Road from Kemuniya To Badal Manda Ka Devra(Devnarayan Temple)Km 0/0 to 1/5000 Under DMFT")</f>
        <v>Construction of BT Road from Kemuniya To Badal Manda Ka Devra(Devnarayan Temple)Km 0/0 to 1/5000 Under DMFT</v>
      </c>
      <c r="C301" t="s">
        <v>735</v>
      </c>
      <c r="D301" t="s">
        <v>209</v>
      </c>
      <c r="E301" t="s">
        <v>741</v>
      </c>
      <c r="F301" t="s">
        <v>742</v>
      </c>
      <c r="G301" t="s">
        <v>738</v>
      </c>
    </row>
    <row r="302" spans="1:7" x14ac:dyDescent="0.2">
      <c r="A302" s="1">
        <v>300</v>
      </c>
      <c r="B302" t="str">
        <f>HYPERLINK("https://eproc.rajasthan.gov.in/nicgep/app?component=%24DirectLink&amp;page=FrontEndViewTender&amp;service=direct&amp;session=T&amp;sp=Se0Sk35WeQFy8X4nxL5RCKQ%3D%3D", "Construction of BT Road from Naya kheda to Miyafalas ka kheda 0/0 to 2/500 Under DMFT")</f>
        <v>Construction of BT Road from Naya kheda to Miyafalas ka kheda 0/0 to 2/500 Under DMFT</v>
      </c>
      <c r="C302" t="s">
        <v>735</v>
      </c>
      <c r="D302" t="s">
        <v>209</v>
      </c>
      <c r="E302" t="s">
        <v>743</v>
      </c>
      <c r="F302" t="s">
        <v>744</v>
      </c>
      <c r="G302" t="s">
        <v>738</v>
      </c>
    </row>
    <row r="303" spans="1:7" x14ac:dyDescent="0.2">
      <c r="A303" s="1">
        <v>301</v>
      </c>
      <c r="B303" t="str">
        <f>HYPERLINK("https://eproc.rajasthan.gov.in/nicgep/app?component=%24DirectLink&amp;page=FrontEndViewTender&amp;service=direct&amp;session=T&amp;sp=Sl3vznH9YyqGpgdl5U8RcfA%3D%3D", "SENUNDA BHOJA PAYRA CHOURAHA TO GOVERDHANPURA RAGHUNATHPURA RUPPURA GORANA NARELI RAMPURIYA CHADON KA BADIYA UPTO KIDIMAL HIGHWAY")</f>
        <v>SENUNDA BHOJA PAYRA CHOURAHA TO GOVERDHANPURA RAGHUNATHPURA RUPPURA GORANA NARELI RAMPURIYA CHADON KA BADIYA UPTO KIDIMAL HIGHWAY</v>
      </c>
      <c r="C303" t="s">
        <v>745</v>
      </c>
      <c r="D303" t="s">
        <v>718</v>
      </c>
      <c r="E303" t="s">
        <v>746</v>
      </c>
      <c r="F303" t="s">
        <v>747</v>
      </c>
      <c r="G303" t="s">
        <v>748</v>
      </c>
    </row>
    <row r="304" spans="1:7" x14ac:dyDescent="0.2">
      <c r="A304" s="1">
        <v>302</v>
      </c>
      <c r="B304" t="str">
        <f>HYPERLINK("https://eproc.rajasthan.gov.in/nicgep/app?component=%24DirectLink&amp;page=FrontEndViewTender&amp;service=direct&amp;session=T&amp;sp=SR5xvbYefK8u97te9AQEmEg%3D%3D", "WIDENING AND STRENGTHENING WORK ON SAHADA TO KANGNI, SALERA CHOURAHA, GIRDIYA, NEGDIYA KHERA (MDR-201)")</f>
        <v>WIDENING AND STRENGTHENING WORK ON SAHADA TO KANGNI, SALERA CHOURAHA, GIRDIYA, NEGDIYA KHERA (MDR-201)</v>
      </c>
      <c r="C304" t="s">
        <v>745</v>
      </c>
      <c r="D304" t="s">
        <v>718</v>
      </c>
      <c r="E304" t="s">
        <v>749</v>
      </c>
      <c r="F304" t="s">
        <v>750</v>
      </c>
      <c r="G304" t="s">
        <v>748</v>
      </c>
    </row>
    <row r="305" spans="1:7" x14ac:dyDescent="0.2">
      <c r="A305" s="1">
        <v>303</v>
      </c>
      <c r="B305" t="str">
        <f>HYPERLINK("https://eproc.rajasthan.gov.in/nicgep/app?component=%24DirectLink&amp;page=FrontEndViewTender&amp;service=direct&amp;session=T&amp;sp=SzSFXmdBkso7Fb0YjVNDinw%3D%3D", "Widening and Strengthening of Nalpada-Maska-Kasarwadi Road Kushalgarh (6 KM)")</f>
        <v>Widening and Strengthening of Nalpada-Maska-Kasarwadi Road Kushalgarh (6 KM)</v>
      </c>
      <c r="C305" t="s">
        <v>751</v>
      </c>
      <c r="D305" t="s">
        <v>26</v>
      </c>
      <c r="E305" t="s">
        <v>752</v>
      </c>
      <c r="F305" t="s">
        <v>753</v>
      </c>
      <c r="G305" t="s">
        <v>754</v>
      </c>
    </row>
    <row r="306" spans="1:7" x14ac:dyDescent="0.2">
      <c r="A306" s="1">
        <v>304</v>
      </c>
      <c r="B306" t="str">
        <f>HYPERLINK("https://eproc.rajasthan.gov.in/nicgep/app?component=%24DirectLink&amp;page=FrontEndViewTender&amp;service=direct&amp;session=T&amp;sp=S81RLfDp%2FOy64g%2BB%2Fq%2F2scg%3D%3D", "Widening of Bori to Biloda via Chandanpura Road Garhi (6 KM)")</f>
        <v>Widening of Bori to Biloda via Chandanpura Road Garhi (6 KM)</v>
      </c>
      <c r="C306" t="s">
        <v>751</v>
      </c>
      <c r="D306" t="s">
        <v>26</v>
      </c>
      <c r="E306" t="s">
        <v>755</v>
      </c>
      <c r="F306" t="s">
        <v>756</v>
      </c>
      <c r="G306" t="s">
        <v>754</v>
      </c>
    </row>
    <row r="307" spans="1:7" x14ac:dyDescent="0.2">
      <c r="A307" s="1">
        <v>305</v>
      </c>
      <c r="B307" t="str">
        <f>HYPERLINK("https://eproc.rajasthan.gov.in/nicgep/app?component=%24DirectLink&amp;page=FrontEndViewTender&amp;service=direct&amp;session=T&amp;sp=SgniVFb5xYU%2BzPx%2BlKkWH%2BQ%3D%3D", "Construction of road from Pahoona (Chittorgarh) to Bharak Mataji (Bhilwara) in Dist. Chittorgarh")</f>
        <v>Construction of road from Pahoona (Chittorgarh) to Bharak Mataji (Bhilwara) in Dist. Chittorgarh</v>
      </c>
      <c r="C307" t="s">
        <v>215</v>
      </c>
      <c r="D307" t="s">
        <v>26</v>
      </c>
      <c r="E307" t="s">
        <v>757</v>
      </c>
      <c r="F307" t="s">
        <v>758</v>
      </c>
      <c r="G307" t="s">
        <v>219</v>
      </c>
    </row>
    <row r="308" spans="1:7" x14ac:dyDescent="0.2">
      <c r="A308" s="1">
        <v>306</v>
      </c>
      <c r="B308" t="str">
        <f>HYPERLINK("https://eproc.rajasthan.gov.in/nicgep/app?component=%24DirectLink&amp;page=FrontEndViewTender&amp;service=direct&amp;session=T&amp;sp=SHi0rZ6e6iOSoKnnxsen7hA%3D%3D", "Strengthening and Widening Badarda Phutiya to Farara mahadev Via Sayda Bheel Basti along Canal Distt. Rajsamand")</f>
        <v>Strengthening and Widening Badarda Phutiya to Farara mahadev Via Sayda Bheel Basti along Canal Distt. Rajsamand</v>
      </c>
      <c r="C308" t="s">
        <v>215</v>
      </c>
      <c r="D308" t="s">
        <v>26</v>
      </c>
      <c r="E308" t="s">
        <v>759</v>
      </c>
      <c r="F308" t="s">
        <v>760</v>
      </c>
      <c r="G308" t="s">
        <v>631</v>
      </c>
    </row>
    <row r="309" spans="1:7" x14ac:dyDescent="0.2">
      <c r="A309" s="1">
        <v>307</v>
      </c>
      <c r="B309" t="str">
        <f>HYPERLINK("https://eproc.rajasthan.gov.in/nicgep/app?component=%24DirectLink&amp;page=FrontEndViewTender&amp;service=direct&amp;session=T&amp;sp=SR5pzM8ift7ItMIWK5h9MBg%3D%3D", "Construction of RUB between Parsneu-Bigga Railway Station at Rly Chainage 373/3-4")</f>
        <v>Construction of RUB between Parsneu-Bigga Railway Station at Rly Chainage 373/3-4</v>
      </c>
      <c r="C309" t="s">
        <v>291</v>
      </c>
      <c r="D309" t="s">
        <v>244</v>
      </c>
      <c r="E309" t="s">
        <v>761</v>
      </c>
      <c r="F309" t="s">
        <v>762</v>
      </c>
      <c r="G309" t="s">
        <v>294</v>
      </c>
    </row>
    <row r="310" spans="1:7" x14ac:dyDescent="0.2">
      <c r="A310" s="1">
        <v>308</v>
      </c>
      <c r="B310" t="str">
        <f>HYPERLINK("https://eproc.rajasthan.gov.in/nicgep/app?component=%24DirectLink&amp;page=FrontEndViewTender&amp;service=direct&amp;session=T&amp;sp=SrfY%2BVI1X5O%2BCdZB0XrqQXw%3D%3D", "Construction of BT Road from 1000 RD of Indra Gandhi Main Canal to 50 RD of Charanwala Branch via Narayansar Km. 0/0 to 16/500")</f>
        <v>Construction of BT Road from 1000 RD of Indra Gandhi Main Canal to 50 RD of Charanwala Branch via Narayansar Km. 0/0 to 16/500</v>
      </c>
      <c r="C310" t="s">
        <v>179</v>
      </c>
      <c r="D310" t="s">
        <v>244</v>
      </c>
      <c r="E310" t="s">
        <v>763</v>
      </c>
      <c r="F310" t="s">
        <v>764</v>
      </c>
      <c r="G310" t="s">
        <v>765</v>
      </c>
    </row>
    <row r="311" spans="1:7" x14ac:dyDescent="0.2">
      <c r="A311" s="1">
        <v>309</v>
      </c>
      <c r="B311" t="str">
        <f>HYPERLINK("https://eproc.rajasthan.gov.in/nicgep/app?component=%24DirectLink&amp;page=FrontEndViewTender&amp;service=direct&amp;session=T&amp;sp=SH3pVjcteNuUqqwwCcti2Yg%3D%3D", "WIDENING AND STRENGTHENING CHIRAWA (SH 08) TO UDAMPURA-BAS KALYANA- KAKODA- JAISINGHWAS- BERLA -BALODA UPTO HARIYANA BORDER (MDR 317)")</f>
        <v>WIDENING AND STRENGTHENING CHIRAWA (SH 08) TO UDAMPURA-BAS KALYANA- KAKODA- JAISINGHWAS- BERLA -BALODA UPTO HARIYANA BORDER (MDR 317)</v>
      </c>
      <c r="C311" t="s">
        <v>301</v>
      </c>
      <c r="D311" t="s">
        <v>270</v>
      </c>
      <c r="E311" t="s">
        <v>766</v>
      </c>
      <c r="F311" t="s">
        <v>303</v>
      </c>
      <c r="G311" t="s">
        <v>304</v>
      </c>
    </row>
    <row r="312" spans="1:7" x14ac:dyDescent="0.2">
      <c r="A312" s="1">
        <v>310</v>
      </c>
      <c r="B312" t="str">
        <f>HYPERLINK("https://eproc.rajasthan.gov.in/nicgep/app?component=%24DirectLink&amp;page=FrontEndViewTender&amp;service=direct&amp;session=T&amp;sp=ScEO%2FbaBwQstWpkHsgH33qA%3D%3D", "Construction of road From Jhaguka ki Dhani-Jakhal Tiraha-Dheenwa ki Johdi Ishrot Balaji Mandir Gadodiya ki Dhani Moondo ki Dhani-Meena ki Dhani,Johad Jhaldawali Dhani-Chrandasji mandir to Bhikhali Johdi-Bhagera to Bugala Girani Johdi(Sotwara)")</f>
        <v>Construction of road From Jhaguka ki Dhani-Jakhal Tiraha-Dheenwa ki Johdi Ishrot Balaji Mandir Gadodiya ki Dhani Moondo ki Dhani-Meena ki Dhani,Johad Jhaldawali Dhani-Chrandasji mandir to Bhikhali Johdi-Bhagera to Bugala Girani Johdi(Sotwara)</v>
      </c>
      <c r="C312" t="s">
        <v>301</v>
      </c>
      <c r="D312" t="s">
        <v>270</v>
      </c>
      <c r="E312" t="s">
        <v>761</v>
      </c>
      <c r="F312" t="s">
        <v>303</v>
      </c>
      <c r="G312" t="s">
        <v>304</v>
      </c>
    </row>
    <row r="313" spans="1:7" x14ac:dyDescent="0.2">
      <c r="A313" s="1">
        <v>311</v>
      </c>
      <c r="B313" t="str">
        <f>HYPERLINK("https://eproc.rajasthan.gov.in/nicgep/app?component=%24DirectLink&amp;page=FrontEndViewTender&amp;service=direct&amp;session=T&amp;sp=SHm9fW5RU9c%2Fzd2EVOq5Jtg%3D%3D", "Construction of road From Phc Bugala to Chhau Khedaro ki Dhani, Nawaldi Shamshan to Badariya Dhani, Dumara Power House to Jejusar Dabadi Baloda, Ranasar to Dabadi Baloda, Dudiyo ki Dhani to Beri, Parasrampura Siganor Main Road to Up to Khedar Border")</f>
        <v>Construction of road From Phc Bugala to Chhau Khedaro ki Dhani, Nawaldi Shamshan to Badariya Dhani, Dumara Power House to Jejusar Dabadi Baloda, Ranasar to Dabadi Baloda, Dudiyo ki Dhani to Beri, Parasrampura Siganor Main Road to Up to Khedar Border</v>
      </c>
      <c r="C313" t="s">
        <v>301</v>
      </c>
      <c r="D313" t="s">
        <v>270</v>
      </c>
      <c r="E313" t="s">
        <v>767</v>
      </c>
      <c r="F313" t="s">
        <v>303</v>
      </c>
      <c r="G313" t="s">
        <v>304</v>
      </c>
    </row>
    <row r="314" spans="1:7" x14ac:dyDescent="0.2">
      <c r="A314" s="1">
        <v>312</v>
      </c>
      <c r="B314" t="str">
        <f>HYPERLINK("https://eproc.rajasthan.gov.in/nicgep/app?component=%24DirectLink&amp;page=FrontEndViewTender&amp;service=direct&amp;session=T&amp;sp=SPxI6Z98YZCy4uGmM0OR7aw%3D%3D", "Consultancy Services for Preparation of DPR including Land Acquisition and detailed design and drawing of Road and ROB (1 Nos) for Construction of BYe-Pass Road From NH-458 to NH-58 Bypass Road with ROB DPR (15 Km)")</f>
        <v>Consultancy Services for Preparation of DPR including Land Acquisition and detailed design and drawing of Road and ROB (1 Nos) for Construction of BYe-Pass Road From NH-458 to NH-58 Bypass Road with ROB DPR (15 Km)</v>
      </c>
      <c r="C314" t="s">
        <v>196</v>
      </c>
      <c r="D314" t="s">
        <v>56</v>
      </c>
      <c r="E314" t="s">
        <v>768</v>
      </c>
      <c r="F314" t="s">
        <v>769</v>
      </c>
      <c r="G314" t="s">
        <v>770</v>
      </c>
    </row>
    <row r="315" spans="1:7" x14ac:dyDescent="0.2">
      <c r="A315" s="1">
        <v>313</v>
      </c>
      <c r="B315" t="str">
        <f>HYPERLINK("https://eproc.rajasthan.gov.in/nicgep/app?component=%24DirectLink&amp;page=FrontEndViewTender&amp;service=direct&amp;session=T&amp;sp=S5PbBTnldt8dK9Hhi%2Fr2qcA%3D%3D", "Construction of Road from Bare Wale Hanumanji Via Nashir Parbat Ki Talheti Tonka Nande Bhumiya Devnarayan Temple Sona Bhumiya Fule Ki Jhopadi to Parita Road")</f>
        <v>Construction of Road from Bare Wale Hanumanji Via Nashir Parbat Ki Talheti Tonka Nande Bhumiya Devnarayan Temple Sona Bhumiya Fule Ki Jhopadi to Parita Road</v>
      </c>
      <c r="C315" t="s">
        <v>771</v>
      </c>
      <c r="D315" t="s">
        <v>26</v>
      </c>
      <c r="E315" t="s">
        <v>435</v>
      </c>
      <c r="F315" t="s">
        <v>772</v>
      </c>
      <c r="G315" t="s">
        <v>773</v>
      </c>
    </row>
    <row r="316" spans="1:7" x14ac:dyDescent="0.2">
      <c r="A316" s="1">
        <v>314</v>
      </c>
      <c r="B316" t="str">
        <f>HYPERLINK("https://eproc.rajasthan.gov.in/nicgep/app?component=%24DirectLink&amp;page=FrontEndViewTender&amp;service=direct&amp;session=T&amp;sp=S01%2BPLLYxMv73drXPF8lGfw%3D%3D", "CONSTRUCTION OF 3 IMPORTANT ROADS IN KHANDAR (SAWAI MADHOPUR)")</f>
        <v>CONSTRUCTION OF 3 IMPORTANT ROADS IN KHANDAR (SAWAI MADHOPUR)</v>
      </c>
      <c r="C316" t="s">
        <v>479</v>
      </c>
      <c r="D316" t="s">
        <v>201</v>
      </c>
      <c r="E316" t="s">
        <v>431</v>
      </c>
      <c r="F316" t="s">
        <v>774</v>
      </c>
      <c r="G316" t="s">
        <v>87</v>
      </c>
    </row>
    <row r="317" spans="1:7" x14ac:dyDescent="0.2">
      <c r="A317" s="1">
        <v>315</v>
      </c>
      <c r="B317" t="str">
        <f>HYPERLINK("https://eproc.rajasthan.gov.in/nicgep/app?component=%24DirectLink&amp;page=FrontEndViewTender&amp;service=direct&amp;session=T&amp;sp=Szd9JJzC29FftVLbM5nc8Xw%3D%3D", "Construction of CC interlocking road in village Umratuna from Ramkaran Meena house from Nanda Meena house and")</f>
        <v>Construction of CC interlocking road in village Umratuna from Ramkaran Meena house from Nanda Meena house and</v>
      </c>
      <c r="C317" t="s">
        <v>364</v>
      </c>
      <c r="D317" t="s">
        <v>244</v>
      </c>
      <c r="E317" t="s">
        <v>775</v>
      </c>
      <c r="F317" t="s">
        <v>776</v>
      </c>
      <c r="G317" t="s">
        <v>367</v>
      </c>
    </row>
    <row r="318" spans="1:7" x14ac:dyDescent="0.2">
      <c r="A318" s="1">
        <v>316</v>
      </c>
      <c r="B318" t="str">
        <f>HYPERLINK("https://eproc.rajasthan.gov.in/nicgep/app?component=%24DirectLink&amp;page=FrontEndViewTender&amp;service=direct&amp;session=T&amp;sp=StthCGv9S6nF1f%2Bbt1RV9vA%3D%3D", "Construction work of road from village Mohipura to Swami Vivekananda Government Model School Talera")</f>
        <v>Construction work of road from village Mohipura to Swami Vivekananda Government Model School Talera</v>
      </c>
      <c r="C318" t="s">
        <v>364</v>
      </c>
      <c r="D318" t="s">
        <v>244</v>
      </c>
      <c r="E318" t="s">
        <v>777</v>
      </c>
      <c r="F318" t="s">
        <v>778</v>
      </c>
      <c r="G318" t="s">
        <v>367</v>
      </c>
    </row>
    <row r="319" spans="1:7" x14ac:dyDescent="0.2">
      <c r="A319" s="1">
        <v>317</v>
      </c>
      <c r="B319" t="str">
        <f>HYPERLINK("https://eproc.rajasthan.gov.in/nicgep/app?component=%24DirectLink&amp;page=FrontEndViewTender&amp;service=direct&amp;session=T&amp;sp=SW8MceoXS%2B395jee%2Bu46zRQ%3D%3D", "Construction of BT road from Charbhuja to Saventri km 0/0 to 10/00 Distt. Rajsamand")</f>
        <v>Construction of BT road from Charbhuja to Saventri km 0/0 to 10/00 Distt. Rajsamand</v>
      </c>
      <c r="C319" t="s">
        <v>215</v>
      </c>
      <c r="D319" t="s">
        <v>26</v>
      </c>
      <c r="E319" t="s">
        <v>779</v>
      </c>
      <c r="F319" t="s">
        <v>780</v>
      </c>
      <c r="G319" t="s">
        <v>631</v>
      </c>
    </row>
    <row r="320" spans="1:7" x14ac:dyDescent="0.2">
      <c r="A320" s="1">
        <v>318</v>
      </c>
      <c r="B320" t="str">
        <f>HYPERLINK("https://eproc.rajasthan.gov.in/nicgep/app?component=%24DirectLink&amp;page=FrontEndViewTender&amp;service=direct&amp;session=T&amp;sp=SPZlsKPQO4RnWJNRxp2mYig%3D%3D", "Construction of Govt College Building at Peesangan Distt Ajmer")</f>
        <v>Construction of Govt College Building at Peesangan Distt Ajmer</v>
      </c>
      <c r="C320" t="s">
        <v>159</v>
      </c>
      <c r="D320" t="s">
        <v>781</v>
      </c>
      <c r="E320" t="s">
        <v>476</v>
      </c>
      <c r="F320" t="s">
        <v>782</v>
      </c>
      <c r="G320" t="s">
        <v>170</v>
      </c>
    </row>
    <row r="321" spans="1:7" x14ac:dyDescent="0.2">
      <c r="A321" s="1">
        <v>319</v>
      </c>
      <c r="B321" t="str">
        <f>HYPERLINK("https://eproc.rajasthan.gov.in/nicgep/app?component=%24DirectLink&amp;page=FrontEndViewTender&amp;service=direct&amp;session=T&amp;sp=S3GxfoZisx38Sgfx65fPSrw%3D%3D", "Construction work of Nehrawad to Kanwari with Causeway in Jhalawar district")</f>
        <v>Construction work of Nehrawad to Kanwari with Causeway in Jhalawar district</v>
      </c>
      <c r="C321" t="s">
        <v>783</v>
      </c>
      <c r="D321" t="s">
        <v>26</v>
      </c>
      <c r="E321" t="s">
        <v>784</v>
      </c>
      <c r="F321" t="s">
        <v>785</v>
      </c>
      <c r="G321" t="s">
        <v>786</v>
      </c>
    </row>
    <row r="322" spans="1:7" x14ac:dyDescent="0.2">
      <c r="A322" s="1">
        <v>320</v>
      </c>
      <c r="B322" t="str">
        <f>HYPERLINK("https://eproc.rajasthan.gov.in/nicgep/app?component=%24DirectLink&amp;page=FrontEndViewTender&amp;service=direct&amp;session=T&amp;sp=Sh3q5cB7fUG5DQiLm6lsjzg%3D%3D", "Consultancy Work for Preparing GAD, DPR and Land Acquisition for Construction of RUB at Chuna Phatak in Hanumangarh")</f>
        <v>Consultancy Work for Preparing GAD, DPR and Land Acquisition for Construction of RUB at Chuna Phatak in Hanumangarh</v>
      </c>
      <c r="C322" t="s">
        <v>787</v>
      </c>
      <c r="D322" t="s">
        <v>26</v>
      </c>
      <c r="E322" t="s">
        <v>149</v>
      </c>
      <c r="F322" t="s">
        <v>788</v>
      </c>
      <c r="G322" t="s">
        <v>789</v>
      </c>
    </row>
    <row r="323" spans="1:7" x14ac:dyDescent="0.2">
      <c r="A323" s="1">
        <v>321</v>
      </c>
      <c r="B323" t="str">
        <f>HYPERLINK("https://eproc.rajasthan.gov.in/nicgep/app?component=%24DirectLink&amp;page=FrontEndViewTender&amp;service=direct&amp;session=T&amp;sp=Sp1p1Qv43Vs57EdZksvlgkw%3D%3D", "Construction of BT road from NH 62 Rasisar to Sowa 14.00 Km")</f>
        <v>Construction of BT road from NH 62 Rasisar to Sowa 14.00 Km</v>
      </c>
      <c r="C323" t="s">
        <v>179</v>
      </c>
      <c r="D323" t="s">
        <v>244</v>
      </c>
      <c r="E323" t="s">
        <v>790</v>
      </c>
      <c r="F323" t="s">
        <v>791</v>
      </c>
      <c r="G323" t="s">
        <v>732</v>
      </c>
    </row>
    <row r="324" spans="1:7" x14ac:dyDescent="0.2">
      <c r="A324" s="1">
        <v>322</v>
      </c>
      <c r="B324" t="str">
        <f>HYPERLINK("https://eproc.rajasthan.gov.in/nicgep/app?component=%24DirectLink&amp;page=FrontEndViewTender&amp;service=direct&amp;session=T&amp;sp=S62RL9bIHN1ABJDkVhf1JsQ%3D%3D", "A/R Danta via Kelamela Road (Km. 4.50)")</f>
        <v>A/R Danta via Kelamela Road (Km. 4.50)</v>
      </c>
      <c r="C324" t="s">
        <v>724</v>
      </c>
      <c r="D324" t="s">
        <v>209</v>
      </c>
      <c r="E324" t="s">
        <v>792</v>
      </c>
      <c r="F324" t="s">
        <v>793</v>
      </c>
      <c r="G324" t="s">
        <v>727</v>
      </c>
    </row>
    <row r="325" spans="1:7" x14ac:dyDescent="0.2">
      <c r="A325" s="1">
        <v>323</v>
      </c>
      <c r="B325" t="str">
        <f>HYPERLINK("https://eproc.rajasthan.gov.in/nicgep/app?component=%24DirectLink&amp;page=FrontEndViewTender&amp;service=direct&amp;session=T&amp;sp=SqA2ZgRT36uHBd4gbopEb3A%3D%3D", "Renewal of road from NH 62 (Charakada Fanta) to CHC Moolwas (Silwa)")</f>
        <v>Renewal of road from NH 62 (Charakada Fanta) to CHC Moolwas (Silwa)</v>
      </c>
      <c r="C325" t="s">
        <v>179</v>
      </c>
      <c r="D325" t="s">
        <v>244</v>
      </c>
      <c r="E325" t="s">
        <v>794</v>
      </c>
      <c r="F325" t="s">
        <v>795</v>
      </c>
      <c r="G325" t="s">
        <v>732</v>
      </c>
    </row>
    <row r="326" spans="1:7" x14ac:dyDescent="0.2">
      <c r="A326" s="1">
        <v>324</v>
      </c>
      <c r="B326" t="str">
        <f>HYPERLINK("https://eproc.rajasthan.gov.in/nicgep/app?component=%24DirectLink&amp;page=FrontEndViewTender&amp;service=direct&amp;session=T&amp;sp=SvyEW%2F%2B03Mnc3EhnOLzjg1g%3D%3D", "Widening and Strenghtening of BT road from SH 20B Kuchore Athuni to Shri Kheraj Bhomiya Gaushala Via Kuchore Aguni Km 0/0 to 6/0")</f>
        <v>Widening and Strenghtening of BT road from SH 20B Kuchore Athuni to Shri Kheraj Bhomiya Gaushala Via Kuchore Aguni Km 0/0 to 6/0</v>
      </c>
      <c r="C326" t="s">
        <v>179</v>
      </c>
      <c r="D326" t="s">
        <v>244</v>
      </c>
      <c r="E326" t="s">
        <v>796</v>
      </c>
      <c r="F326" t="s">
        <v>797</v>
      </c>
      <c r="G326" t="s">
        <v>732</v>
      </c>
    </row>
    <row r="327" spans="1:7" x14ac:dyDescent="0.2">
      <c r="A327" s="1">
        <v>325</v>
      </c>
      <c r="B327" t="str">
        <f>HYPERLINK("https://eproc.rajasthan.gov.in/nicgep/app?component=%24DirectLink&amp;page=FrontEndViewTender&amp;service=direct&amp;session=T&amp;sp=SIFZvDtm946jFpWsFkROpaA%3D%3D", "Const. of WBM road Jhintiya to Bhensra in km 2/0 to 4/0 (GP Badayali)")</f>
        <v>Const. of WBM road Jhintiya to Bhensra in km 2/0 to 4/0 (GP Badayali)</v>
      </c>
      <c r="C327" t="s">
        <v>196</v>
      </c>
      <c r="D327" t="s">
        <v>244</v>
      </c>
      <c r="E327" t="s">
        <v>798</v>
      </c>
      <c r="F327" t="s">
        <v>799</v>
      </c>
      <c r="G327" t="s">
        <v>770</v>
      </c>
    </row>
    <row r="328" spans="1:7" x14ac:dyDescent="0.2">
      <c r="A328" s="1">
        <v>326</v>
      </c>
      <c r="B328" t="str">
        <f>HYPERLINK("https://eproc.rajasthan.gov.in/nicgep/app?component=%24DirectLink&amp;page=FrontEndViewTender&amp;service=direct&amp;session=T&amp;sp=SqdLDqoN22t16RUv%2BFweSAg%3D%3D", "Remaining Work of Repair in Work Shop Central Jail Sri Ganganagar")</f>
        <v>Remaining Work of Repair in Work Shop Central Jail Sri Ganganagar</v>
      </c>
      <c r="C328" t="s">
        <v>800</v>
      </c>
      <c r="D328" t="s">
        <v>209</v>
      </c>
      <c r="E328" t="s">
        <v>801</v>
      </c>
      <c r="F328" t="s">
        <v>802</v>
      </c>
      <c r="G328" t="s">
        <v>803</v>
      </c>
    </row>
    <row r="329" spans="1:7" x14ac:dyDescent="0.2">
      <c r="A329" s="1">
        <v>327</v>
      </c>
      <c r="B329" t="str">
        <f>HYPERLINK("https://eproc.rajasthan.gov.in/nicgep/app?component=%24DirectLink&amp;page=FrontEndViewTender&amp;service=direct&amp;session=T&amp;sp=SQhmQNYThnXlR16yYvJSriw%3D%3D", "Widening and Strengthening of Road From Chandawal Nagar to Rampura Kall via Deoli Kalla.")</f>
        <v>Widening and Strengthening of Road From Chandawal Nagar to Rampura Kall via Deoli Kalla.</v>
      </c>
      <c r="C329" t="s">
        <v>389</v>
      </c>
      <c r="D329" t="s">
        <v>781</v>
      </c>
      <c r="E329" t="s">
        <v>804</v>
      </c>
      <c r="F329" t="s">
        <v>805</v>
      </c>
      <c r="G329" t="s">
        <v>393</v>
      </c>
    </row>
    <row r="330" spans="1:7" x14ac:dyDescent="0.2">
      <c r="A330" s="1">
        <v>328</v>
      </c>
      <c r="B330" t="str">
        <f>HYPERLINK("https://eproc.rajasthan.gov.in/nicgep/app?component=%24DirectLink&amp;page=FrontEndViewTender&amp;service=direct&amp;session=T&amp;sp=SnaKgOJNgyo1TTe5Qki5g0A%3D%3D", "Repair SDO Office Padampur District Sri Ganganagar.")</f>
        <v>Repair SDO Office Padampur District Sri Ganganagar.</v>
      </c>
      <c r="C330" t="s">
        <v>800</v>
      </c>
      <c r="D330" t="s">
        <v>209</v>
      </c>
      <c r="E330" t="s">
        <v>806</v>
      </c>
      <c r="F330" t="s">
        <v>807</v>
      </c>
      <c r="G330" t="s">
        <v>803</v>
      </c>
    </row>
    <row r="331" spans="1:7" x14ac:dyDescent="0.2">
      <c r="A331" s="1">
        <v>329</v>
      </c>
      <c r="B331" t="str">
        <f>HYPERLINK("https://eproc.rajasthan.gov.in/nicgep/app?component=%24DirectLink&amp;page=FrontEndViewTender&amp;service=direct&amp;session=T&amp;sp=SaNhDXb21SnOQZxcZ4YEhwg%3D%3D", "Repair and Maintance of SDO Office Sri Ganganagar.")</f>
        <v>Repair and Maintance of SDO Office Sri Ganganagar.</v>
      </c>
      <c r="C331" t="s">
        <v>800</v>
      </c>
      <c r="D331" t="s">
        <v>209</v>
      </c>
      <c r="E331" t="s">
        <v>808</v>
      </c>
      <c r="F331" t="s">
        <v>809</v>
      </c>
      <c r="G331" t="s">
        <v>803</v>
      </c>
    </row>
    <row r="332" spans="1:7" x14ac:dyDescent="0.2">
      <c r="A332" s="1">
        <v>330</v>
      </c>
      <c r="B332" t="str">
        <f>HYPERLINK("https://eproc.rajasthan.gov.in/nicgep/app?component=%24DirectLink&amp;page=FrontEndViewTender&amp;service=direct&amp;session=T&amp;sp=SiXkybAMiqYG2ER%2Fvxx3QiQ%3D%3D", "Construction of workshop and class room for fibre to home Technician at ITI Building at Sriganganagar")</f>
        <v>Construction of workshop and class room for fibre to home Technician at ITI Building at Sriganganagar</v>
      </c>
      <c r="C332" t="s">
        <v>800</v>
      </c>
      <c r="D332" t="s">
        <v>209</v>
      </c>
      <c r="E332" t="s">
        <v>810</v>
      </c>
      <c r="F332" t="s">
        <v>811</v>
      </c>
      <c r="G332" t="s">
        <v>803</v>
      </c>
    </row>
    <row r="333" spans="1:7" x14ac:dyDescent="0.2">
      <c r="A333" s="1">
        <v>331</v>
      </c>
      <c r="B333" t="str">
        <f>HYPERLINK("https://eproc.rajasthan.gov.in/nicgep/app?component=%24DirectLink&amp;page=FrontEndViewTender&amp;service=direct&amp;session=T&amp;sp=SqqfGGkSOzLdDG85kV4jiJw%3D%3D", "Widening and Strengthening of Banjakudi Balunda Kanawas, Kanrcha fata Bikarlai, Ramawas upto Birol")</f>
        <v>Widening and Strengthening of Banjakudi Balunda Kanawas, Kanrcha fata Bikarlai, Ramawas upto Birol</v>
      </c>
      <c r="C333" t="s">
        <v>389</v>
      </c>
      <c r="D333" t="s">
        <v>781</v>
      </c>
      <c r="E333" t="s">
        <v>812</v>
      </c>
      <c r="F333" t="s">
        <v>813</v>
      </c>
      <c r="G333" t="s">
        <v>393</v>
      </c>
    </row>
    <row r="334" spans="1:7" x14ac:dyDescent="0.2">
      <c r="A334" s="1">
        <v>332</v>
      </c>
      <c r="B334" t="str">
        <f>HYPERLINK("https://eproc.rajasthan.gov.in/nicgep/app?component=%24DirectLink&amp;page=FrontEndViewTender&amp;service=direct&amp;session=T&amp;sp=SWk5b5KjbNYMD4rQ5J7mzIw%3D%3D", "Const. of WBM road Satimata Sthan to GSS via Brekedi Nadi inkm 0/0 to 1/200 (GP Karwasron ki Dhani)")</f>
        <v>Const. of WBM road Satimata Sthan to GSS via Brekedi Nadi inkm 0/0 to 1/200 (GP Karwasron ki Dhani)</v>
      </c>
      <c r="C334" t="s">
        <v>196</v>
      </c>
      <c r="D334" t="s">
        <v>244</v>
      </c>
      <c r="E334" t="s">
        <v>814</v>
      </c>
      <c r="F334" t="s">
        <v>815</v>
      </c>
      <c r="G334" t="s">
        <v>770</v>
      </c>
    </row>
    <row r="335" spans="1:7" x14ac:dyDescent="0.2">
      <c r="A335" s="1">
        <v>333</v>
      </c>
      <c r="B335" t="str">
        <f>HYPERLINK("https://eproc.rajasthan.gov.in/nicgep/app?component=%24DirectLink&amp;page=FrontEndViewTender&amp;service=direct&amp;session=T&amp;sp=Su3PwEbYjuxVhKXnfEQWEqg%3D%3D", "Const. of WBM road Sangwon ki Dhani to Dukiya Ki Dhani inkm 0/0 to 2/0 (GP Karwasron ki Dhani)")</f>
        <v>Const. of WBM road Sangwon ki Dhani to Dukiya Ki Dhani inkm 0/0 to 2/0 (GP Karwasron ki Dhani)</v>
      </c>
      <c r="C335" t="s">
        <v>196</v>
      </c>
      <c r="D335" t="s">
        <v>244</v>
      </c>
      <c r="E335" t="s">
        <v>816</v>
      </c>
      <c r="F335" t="s">
        <v>817</v>
      </c>
      <c r="G335" t="s">
        <v>770</v>
      </c>
    </row>
    <row r="336" spans="1:7" x14ac:dyDescent="0.2">
      <c r="A336" s="1">
        <v>334</v>
      </c>
      <c r="B336" t="str">
        <f>HYPERLINK("https://eproc.rajasthan.gov.in/nicgep/app?component=%24DirectLink&amp;page=FrontEndViewTender&amp;service=direct&amp;session=T&amp;sp=SCTAkoKium4FJSMbuFpjo8w%3D%3D", "Const. of WBM road Gotan gaon to Ramchander Dukiyon ki Tubewell upto Tiraha inkm 0/0 to 2/0(GP Karwasron ki Dhani)")</f>
        <v>Const. of WBM road Gotan gaon to Ramchander Dukiyon ki Tubewell upto Tiraha inkm 0/0 to 2/0(GP Karwasron ki Dhani)</v>
      </c>
      <c r="C336" t="s">
        <v>196</v>
      </c>
      <c r="D336" t="s">
        <v>244</v>
      </c>
      <c r="E336" t="s">
        <v>816</v>
      </c>
      <c r="F336" t="s">
        <v>818</v>
      </c>
      <c r="G336" t="s">
        <v>770</v>
      </c>
    </row>
    <row r="337" spans="1:7" x14ac:dyDescent="0.2">
      <c r="A337" s="1">
        <v>335</v>
      </c>
      <c r="B337" t="str">
        <f>HYPERLINK("https://eproc.rajasthan.gov.in/nicgep/app?component=%24DirectLink&amp;page=FrontEndViewTender&amp;service=direct&amp;session=T&amp;sp=SVpYSaLeQpSUHnjyLfhtWNg%3D%3D", "Construction of workshop and class room for Solar Technician at ITI Building at Sriganganagar")</f>
        <v>Construction of workshop and class room for Solar Technician at ITI Building at Sriganganagar</v>
      </c>
      <c r="C337" t="s">
        <v>800</v>
      </c>
      <c r="D337" t="s">
        <v>209</v>
      </c>
      <c r="E337" t="s">
        <v>819</v>
      </c>
      <c r="F337" t="s">
        <v>820</v>
      </c>
      <c r="G337" t="s">
        <v>803</v>
      </c>
    </row>
    <row r="338" spans="1:7" x14ac:dyDescent="0.2">
      <c r="A338" s="1">
        <v>336</v>
      </c>
      <c r="B338" t="str">
        <f>HYPERLINK("https://eproc.rajasthan.gov.in/nicgep/app?component=%24DirectLink&amp;page=FrontEndViewTender&amp;service=direct&amp;session=T&amp;sp=SCDs3PT2LTme1LKJHRlHGgA%3D%3D", "Const. of WBM road Basni Neta to Chhapri marg inkm 0/0 to 2/500 (GP Dhawa)")</f>
        <v>Const. of WBM road Basni Neta to Chhapri marg inkm 0/0 to 2/500 (GP Dhawa)</v>
      </c>
      <c r="C338" t="s">
        <v>196</v>
      </c>
      <c r="D338" t="s">
        <v>244</v>
      </c>
      <c r="E338" t="s">
        <v>821</v>
      </c>
      <c r="F338" t="s">
        <v>822</v>
      </c>
      <c r="G338" t="s">
        <v>770</v>
      </c>
    </row>
    <row r="339" spans="1:7" x14ac:dyDescent="0.2">
      <c r="A339" s="1">
        <v>337</v>
      </c>
      <c r="B339" t="str">
        <f>HYPERLINK("https://eproc.rajasthan.gov.in/nicgep/app?component=%24DirectLink&amp;page=FrontEndViewTender&amp;service=direct&amp;session=T&amp;sp=SNN9ZkZSDpKpW4VXa77%2B5PQ%3D%3D", "Const. of WBM road Nathon ki Dhani to Rajlani Border inkm 0/0 to 1/500 (GP Karwasron ki Dhani)")</f>
        <v>Const. of WBM road Nathon ki Dhani to Rajlani Border inkm 0/0 to 1/500 (GP Karwasron ki Dhani)</v>
      </c>
      <c r="C339" t="s">
        <v>196</v>
      </c>
      <c r="D339" t="s">
        <v>244</v>
      </c>
      <c r="E339" t="s">
        <v>814</v>
      </c>
      <c r="F339" t="s">
        <v>823</v>
      </c>
      <c r="G339" t="s">
        <v>770</v>
      </c>
    </row>
    <row r="340" spans="1:7" x14ac:dyDescent="0.2">
      <c r="A340" s="1">
        <v>338</v>
      </c>
      <c r="B340" t="str">
        <f>HYPERLINK("https://eproc.rajasthan.gov.in/nicgep/app?component=%24DirectLink&amp;page=FrontEndViewTender&amp;service=direct&amp;session=T&amp;sp=SFjh89GX6YxdMOf%2Fre7VEnw%3D%3D", "Const. of WBM road Motus to Dattani Border inkm 0/0 to 2/0 (GP Dhawa)")</f>
        <v>Const. of WBM road Motus to Dattani Border inkm 0/0 to 2/0 (GP Dhawa)</v>
      </c>
      <c r="C340" t="s">
        <v>196</v>
      </c>
      <c r="D340" t="s">
        <v>244</v>
      </c>
      <c r="E340" t="s">
        <v>816</v>
      </c>
      <c r="F340" t="s">
        <v>824</v>
      </c>
      <c r="G340" t="s">
        <v>770</v>
      </c>
    </row>
    <row r="341" spans="1:7" x14ac:dyDescent="0.2">
      <c r="A341" s="1">
        <v>339</v>
      </c>
      <c r="B341" t="str">
        <f>HYPERLINK("https://eproc.rajasthan.gov.in/nicgep/app?component=%24DirectLink&amp;page=FrontEndViewTender&amp;service=direct&amp;session=T&amp;sp=S5P0vYsCjKIxYykiF3G7L7w%3D%3D", "Const. of WBM road Jarau Kallan to Bhensra Border inkm 0/0 to 2/0 (GP Jarau Kallan)")</f>
        <v>Const. of WBM road Jarau Kallan to Bhensra Border inkm 0/0 to 2/0 (GP Jarau Kallan)</v>
      </c>
      <c r="C341" t="s">
        <v>196</v>
      </c>
      <c r="D341" t="s">
        <v>244</v>
      </c>
      <c r="E341" t="s">
        <v>825</v>
      </c>
      <c r="F341" t="s">
        <v>826</v>
      </c>
      <c r="G341" t="s">
        <v>770</v>
      </c>
    </row>
    <row r="342" spans="1:7" x14ac:dyDescent="0.2">
      <c r="A342" s="1">
        <v>340</v>
      </c>
      <c r="B342" t="str">
        <f>HYPERLINK("https://eproc.rajasthan.gov.in/nicgep/app?component=%24DirectLink&amp;page=FrontEndViewTender&amp;service=direct&amp;session=T&amp;sp=SnLVLos2VQZC9zurGXgdLag%3D%3D", "Const. of WBM road Jaswantabad to Hiyana Mata Mandir in km 0/0 to 1/500 (GP Jaswantabad")</f>
        <v>Const. of WBM road Jaswantabad to Hiyana Mata Mandir in km 0/0 to 1/500 (GP Jaswantabad</v>
      </c>
      <c r="C342" t="s">
        <v>196</v>
      </c>
      <c r="D342" t="s">
        <v>244</v>
      </c>
      <c r="E342" t="s">
        <v>827</v>
      </c>
      <c r="F342" t="s">
        <v>828</v>
      </c>
      <c r="G342" t="s">
        <v>770</v>
      </c>
    </row>
    <row r="343" spans="1:7" x14ac:dyDescent="0.2">
      <c r="A343" s="1">
        <v>341</v>
      </c>
      <c r="B343" t="str">
        <f>HYPERLINK("https://eproc.rajasthan.gov.in/nicgep/app?component=%24DirectLink&amp;page=FrontEndViewTender&amp;service=direct&amp;session=T&amp;sp=SnGqAPfLopXgwaopZJHAeSw%3D%3D", "Const. of WBM road Rohisa to Dhaneriya Border via Champapur in km 0/0 to 1/0 (GP Rohisa)")</f>
        <v>Const. of WBM road Rohisa to Dhaneriya Border via Champapur in km 0/0 to 1/0 (GP Rohisa)</v>
      </c>
      <c r="C343" t="s">
        <v>196</v>
      </c>
      <c r="D343" t="s">
        <v>244</v>
      </c>
      <c r="E343" t="s">
        <v>829</v>
      </c>
      <c r="F343" t="s">
        <v>830</v>
      </c>
      <c r="G343" t="s">
        <v>770</v>
      </c>
    </row>
    <row r="344" spans="1:7" x14ac:dyDescent="0.2">
      <c r="A344" s="1">
        <v>342</v>
      </c>
      <c r="B344" t="str">
        <f>HYPERLINK("https://eproc.rajasthan.gov.in/nicgep/app?component=%24DirectLink&amp;page=FrontEndViewTender&amp;service=direct&amp;session=T&amp;sp=Su%2FJ0BxIwLH9wLq1no%2Fhe6g%3D%3D", "Const. of WBM road Karwasron ki Dhani AanganBadi via Rajuram House upto Karwasra ki Tubewell inkm 0/0 to 1/800 (GP Karwasron ki Dhani)")</f>
        <v>Const. of WBM road Karwasron ki Dhani AanganBadi via Rajuram House upto Karwasra ki Tubewell inkm 0/0 to 1/800 (GP Karwasron ki Dhani)</v>
      </c>
      <c r="C344" t="s">
        <v>196</v>
      </c>
      <c r="D344" t="s">
        <v>244</v>
      </c>
      <c r="E344" t="s">
        <v>831</v>
      </c>
      <c r="F344" t="s">
        <v>832</v>
      </c>
      <c r="G344" t="s">
        <v>770</v>
      </c>
    </row>
    <row r="345" spans="1:7" x14ac:dyDescent="0.2">
      <c r="A345" s="1">
        <v>343</v>
      </c>
      <c r="B345" t="str">
        <f>HYPERLINK("https://eproc.rajasthan.gov.in/nicgep/app?component=%24DirectLink&amp;page=FrontEndViewTender&amp;service=direct&amp;session=T&amp;sp=Syhl6A%2FACKygQwQ%2Fl59F81w%3D%3D", "Const. of WBM road Jasnagar Bijlighar to Bhanwal Jasnagar BT road upto GUPS Patel Nagar in km 0/0 to 1/500 (GP Jasnagar)")</f>
        <v>Const. of WBM road Jasnagar Bijlighar to Bhanwal Jasnagar BT road upto GUPS Patel Nagar in km 0/0 to 1/500 (GP Jasnagar)</v>
      </c>
      <c r="C345" t="s">
        <v>196</v>
      </c>
      <c r="D345" t="s">
        <v>244</v>
      </c>
      <c r="E345" t="s">
        <v>827</v>
      </c>
      <c r="F345" t="s">
        <v>833</v>
      </c>
      <c r="G345" t="s">
        <v>770</v>
      </c>
    </row>
    <row r="346" spans="1:7" x14ac:dyDescent="0.2">
      <c r="A346" s="1">
        <v>344</v>
      </c>
      <c r="B346" t="str">
        <f>HYPERLINK("https://eproc.rajasthan.gov.in/nicgep/app?component=%24DirectLink&amp;page=FrontEndViewTender&amp;service=direct&amp;session=T&amp;sp=St6UXYpvwSt2FZYJ3RvO4Yw%3D%3D", "Const. of WBM road Dukiyon ki Dhani to Ramlal Khoker and Ramniwas ji ki Tubewell inkm 0/0 to 2/0 (GP Karwasron ki Dhani)")</f>
        <v>Const. of WBM road Dukiyon ki Dhani to Ramlal Khoker and Ramniwas ji ki Tubewell inkm 0/0 to 2/0 (GP Karwasron ki Dhani)</v>
      </c>
      <c r="C346" t="s">
        <v>196</v>
      </c>
      <c r="D346" t="s">
        <v>244</v>
      </c>
      <c r="E346" t="s">
        <v>816</v>
      </c>
      <c r="F346" t="s">
        <v>834</v>
      </c>
      <c r="G346" t="s">
        <v>770</v>
      </c>
    </row>
    <row r="347" spans="1:7" x14ac:dyDescent="0.2">
      <c r="A347" s="1">
        <v>345</v>
      </c>
      <c r="B347" t="str">
        <f>HYPERLINK("https://eproc.rajasthan.gov.in/nicgep/app?component=%24DirectLink&amp;page=FrontEndViewTender&amp;service=direct&amp;session=T&amp;sp=SGcDHZ5JGrgl5gqNIVKVEJg%3D%3D", "Const. of WBM road Padu kallan Gaytri Chouraha se Gora ki Dhani Padu kallan inkm 0/0 to 2/0 (GP Padu Kallan)")</f>
        <v>Const. of WBM road Padu kallan Gaytri Chouraha se Gora ki Dhani Padu kallan inkm 0/0 to 2/0 (GP Padu Kallan)</v>
      </c>
      <c r="C347" t="s">
        <v>196</v>
      </c>
      <c r="D347" t="s">
        <v>244</v>
      </c>
      <c r="E347" t="s">
        <v>798</v>
      </c>
      <c r="F347" t="s">
        <v>835</v>
      </c>
      <c r="G347" t="s">
        <v>770</v>
      </c>
    </row>
    <row r="348" spans="1:7" x14ac:dyDescent="0.2">
      <c r="A348" s="1">
        <v>346</v>
      </c>
      <c r="B348" t="str">
        <f>HYPERLINK("https://eproc.rajasthan.gov.in/nicgep/app?component=%24DirectLink&amp;page=FrontEndViewTender&amp;service=direct&amp;session=T&amp;sp=SSot1Dmae4cIxb9hGuuAbGQ%3D%3D", "Const. of WBM road Bhanwal to Ladwa in km 0/0 to 1/200 (GP Medas)")</f>
        <v>Const. of WBM road Bhanwal to Ladwa in km 0/0 to 1/200 (GP Medas)</v>
      </c>
      <c r="C348" t="s">
        <v>196</v>
      </c>
      <c r="D348" t="s">
        <v>244</v>
      </c>
      <c r="E348" t="s">
        <v>836</v>
      </c>
      <c r="F348" t="s">
        <v>837</v>
      </c>
      <c r="G348" t="s">
        <v>770</v>
      </c>
    </row>
    <row r="349" spans="1:7" x14ac:dyDescent="0.2">
      <c r="A349" s="1">
        <v>347</v>
      </c>
      <c r="B349" t="str">
        <f>HYPERLINK("https://eproc.rajasthan.gov.in/nicgep/app?component=%24DirectLink&amp;page=FrontEndViewTender&amp;service=direct&amp;session=T&amp;sp=SptYA7TxNWb%2BhSljxb6tACA%3D%3D", "Const. of WBM road Sirsala to Motus inkm 0/0 to 2/600 (GP Dhawa)")</f>
        <v>Const. of WBM road Sirsala to Motus inkm 0/0 to 2/600 (GP Dhawa)</v>
      </c>
      <c r="C349" t="s">
        <v>196</v>
      </c>
      <c r="D349" t="s">
        <v>244</v>
      </c>
      <c r="E349" t="s">
        <v>838</v>
      </c>
      <c r="F349" t="s">
        <v>839</v>
      </c>
      <c r="G349" t="s">
        <v>770</v>
      </c>
    </row>
    <row r="350" spans="1:7" x14ac:dyDescent="0.2">
      <c r="A350" s="1">
        <v>348</v>
      </c>
      <c r="B350" t="str">
        <f>HYPERLINK("https://eproc.rajasthan.gov.in/nicgep/app?component=%24DirectLink&amp;page=FrontEndViewTender&amp;service=direct&amp;session=T&amp;sp=SgMAq73eQYVZxvsvkAN3uNQ%3D%3D", "Construction of Road From Approach Road Raipur-Deepawas to NH- 162 via Kundal.")</f>
        <v>Construction of Road From Approach Road Raipur-Deepawas to NH- 162 via Kundal.</v>
      </c>
      <c r="C350" t="s">
        <v>389</v>
      </c>
      <c r="D350" t="s">
        <v>781</v>
      </c>
      <c r="E350" t="s">
        <v>476</v>
      </c>
      <c r="F350" t="s">
        <v>840</v>
      </c>
      <c r="G350" t="s">
        <v>393</v>
      </c>
    </row>
    <row r="351" spans="1:7" x14ac:dyDescent="0.2">
      <c r="A351" s="1">
        <v>349</v>
      </c>
      <c r="B351" t="str">
        <f>HYPERLINK("https://eproc.rajasthan.gov.in/nicgep/app?component=%24DirectLink&amp;page=FrontEndViewTender&amp;service=direct&amp;session=T&amp;sp=SOvRYVb6ftof%2Fua6XOF0Ghg%3D%3D", "Const. of WBM road Basni Neta to Gagura Border inkm 0/0 to 2/600 (GP Dhawa)")</f>
        <v>Const. of WBM road Basni Neta to Gagura Border inkm 0/0 to 2/600 (GP Dhawa)</v>
      </c>
      <c r="C351" t="s">
        <v>196</v>
      </c>
      <c r="D351" t="s">
        <v>244</v>
      </c>
      <c r="E351" t="s">
        <v>838</v>
      </c>
      <c r="F351" t="s">
        <v>841</v>
      </c>
      <c r="G351" t="s">
        <v>770</v>
      </c>
    </row>
    <row r="352" spans="1:7" x14ac:dyDescent="0.2">
      <c r="A352" s="1">
        <v>350</v>
      </c>
      <c r="B352" t="str">
        <f>HYPERLINK("https://eproc.rajasthan.gov.in/nicgep/app?component=%24DirectLink&amp;page=FrontEndViewTender&amp;service=direct&amp;session=T&amp;sp=SpDD06J7rbQnzJme5k%2B6BcQ%3D%3D", "Construction of Road from Kalanada via Tukdhada - Dhaniwala Kuwa - Upto Mangliyawas")</f>
        <v>Construction of Road from Kalanada via Tukdhada - Dhaniwala Kuwa - Upto Mangliyawas</v>
      </c>
      <c r="C352" t="s">
        <v>196</v>
      </c>
      <c r="D352" t="s">
        <v>781</v>
      </c>
      <c r="E352" t="s">
        <v>842</v>
      </c>
      <c r="F352" t="s">
        <v>843</v>
      </c>
      <c r="G352" t="s">
        <v>770</v>
      </c>
    </row>
    <row r="353" spans="1:7" x14ac:dyDescent="0.2">
      <c r="A353" s="1">
        <v>351</v>
      </c>
      <c r="B353" t="str">
        <f>HYPERLINK("https://eproc.rajasthan.gov.in/nicgep/app?component=%24DirectLink&amp;page=FrontEndViewTender&amp;service=direct&amp;session=T&amp;sp=SRH4lpABX%2BAC8p4NDqGNsdA%3D%3D", "Construction of Road Dotina - Silariya - Dehri - Phardod - Merwas - Dugastau - Dhanni upto Tanwara")</f>
        <v>Construction of Road Dotina - Silariya - Dehri - Phardod - Merwas - Dugastau - Dhanni upto Tanwara</v>
      </c>
      <c r="C353" t="s">
        <v>196</v>
      </c>
      <c r="D353" t="s">
        <v>781</v>
      </c>
      <c r="E353" t="s">
        <v>844</v>
      </c>
      <c r="F353" t="s">
        <v>845</v>
      </c>
      <c r="G353" t="s">
        <v>846</v>
      </c>
    </row>
    <row r="354" spans="1:7" x14ac:dyDescent="0.2">
      <c r="A354" s="1">
        <v>352</v>
      </c>
      <c r="B354" t="str">
        <f>HYPERLINK("https://eproc.rajasthan.gov.in/nicgep/app?component=%24DirectLink&amp;page=FrontEndViewTender&amp;service=direct&amp;session=T&amp;sp=S4obZMMkiE7VnnUf1m7vkZA%3D%3D", "Widening and Strengthening on Kasnau (SH-92A) to Dehri - Tarnau - Merwas - upto Mataji Road")</f>
        <v>Widening and Strengthening on Kasnau (SH-92A) to Dehri - Tarnau - Merwas - upto Mataji Road</v>
      </c>
      <c r="C354" t="s">
        <v>196</v>
      </c>
      <c r="D354" t="s">
        <v>781</v>
      </c>
      <c r="E354" t="s">
        <v>847</v>
      </c>
      <c r="F354" t="s">
        <v>848</v>
      </c>
      <c r="G354" t="s">
        <v>846</v>
      </c>
    </row>
    <row r="355" spans="1:7" x14ac:dyDescent="0.2">
      <c r="A355" s="1">
        <v>353</v>
      </c>
      <c r="B355" t="str">
        <f>HYPERLINK("https://eproc.rajasthan.gov.in/nicgep/app?component=%24DirectLink&amp;page=FrontEndViewTender&amp;service=direct&amp;session=T&amp;sp=SzMw3JVq18BATq%2BzwtFwPfg%3D%3D", "Construction of Road from Balaji Mandir Mundia to Mahla Village Badleta via Indra Colony Mundia in Distt. Karauli")</f>
        <v>Construction of Road from Balaji Mandir Mundia to Mahla Village Badleta via Indra Colony Mundia in Distt. Karauli</v>
      </c>
      <c r="C355" t="s">
        <v>83</v>
      </c>
      <c r="D355" t="s">
        <v>26</v>
      </c>
      <c r="E355" t="s">
        <v>849</v>
      </c>
      <c r="F355" t="s">
        <v>850</v>
      </c>
      <c r="G355" t="s">
        <v>851</v>
      </c>
    </row>
    <row r="356" spans="1:7" x14ac:dyDescent="0.2">
      <c r="A356" s="1">
        <v>354</v>
      </c>
      <c r="B356" t="str">
        <f>HYPERLINK("https://eproc.rajasthan.gov.in/nicgep/app?component=%24DirectLink&amp;page=FrontEndViewTender&amp;service=direct&amp;session=T&amp;sp=SMsOk30boRXGCagl99eAAeA%3D%3D", "Widening and Strengthening work Bas Burja to Deeg (Panhori) Road via Govindgarh Padalwas Kakda Panhori")</f>
        <v>Widening and Strengthening work Bas Burja to Deeg (Panhori) Road via Govindgarh Padalwas Kakda Panhori</v>
      </c>
      <c r="C356" t="s">
        <v>495</v>
      </c>
      <c r="D356" t="s">
        <v>26</v>
      </c>
      <c r="E356" t="s">
        <v>852</v>
      </c>
      <c r="F356" t="s">
        <v>853</v>
      </c>
      <c r="G356" t="s">
        <v>498</v>
      </c>
    </row>
    <row r="357" spans="1:7" x14ac:dyDescent="0.2">
      <c r="A357" s="1">
        <v>355</v>
      </c>
      <c r="B357" t="str">
        <f>HYPERLINK("https://eproc.rajasthan.gov.in/nicgep/app?component=%24DirectLink&amp;page=FrontEndViewTender&amp;service=direct&amp;session=T&amp;sp=SPz2QqCB0ZYc%2FhMRUww3hTA%3D%3D", "Construction of Road from SH-22 to Kariri-Bheroji via Pathwari- Jodhpura in Distt. Karauli")</f>
        <v>Construction of Road from SH-22 to Kariri-Bheroji via Pathwari- Jodhpura in Distt. Karauli</v>
      </c>
      <c r="C357" t="s">
        <v>83</v>
      </c>
      <c r="D357" t="s">
        <v>26</v>
      </c>
      <c r="E357" t="s">
        <v>854</v>
      </c>
      <c r="F357" t="s">
        <v>855</v>
      </c>
      <c r="G357" t="s">
        <v>851</v>
      </c>
    </row>
    <row r="358" spans="1:7" x14ac:dyDescent="0.2">
      <c r="A358" s="1">
        <v>356</v>
      </c>
      <c r="B358" t="str">
        <f>HYPERLINK("https://eproc.rajasthan.gov.in/nicgep/app?component=%24DirectLink&amp;page=FrontEndViewTender&amp;service=direct&amp;session=T&amp;sp=SWkCdbMCImBJ7huoaMrp%2FZQ%3D%3D", "Widening and Strengthening work Khoh to U.P.Border (Barsana) via Seu-Dhamari-Nahara Chauth")</f>
        <v>Widening and Strengthening work Khoh to U.P.Border (Barsana) via Seu-Dhamari-Nahara Chauth</v>
      </c>
      <c r="C358" t="s">
        <v>495</v>
      </c>
      <c r="D358" t="s">
        <v>26</v>
      </c>
      <c r="E358" t="s">
        <v>856</v>
      </c>
      <c r="F358" t="s">
        <v>857</v>
      </c>
      <c r="G358" t="s">
        <v>498</v>
      </c>
    </row>
    <row r="359" spans="1:7" x14ac:dyDescent="0.2">
      <c r="A359" s="1">
        <v>357</v>
      </c>
      <c r="B359" t="str">
        <f>HYPERLINK("https://eproc.rajasthan.gov.in/nicgep/app?component=%24DirectLink&amp;page=FrontEndViewTender&amp;service=direct&amp;session=T&amp;sp=SbgATX%2BRUFgZdjHMckZod8Q%3D%3D", "Construction of CC Road from Naharsingh Baba to Haripura via Beech Ka Pura in Distt. Karauli")</f>
        <v>Construction of CC Road from Naharsingh Baba to Haripura via Beech Ka Pura in Distt. Karauli</v>
      </c>
      <c r="C359" t="s">
        <v>83</v>
      </c>
      <c r="D359" t="s">
        <v>56</v>
      </c>
      <c r="E359" t="s">
        <v>858</v>
      </c>
      <c r="F359" t="s">
        <v>859</v>
      </c>
      <c r="G359" t="s">
        <v>851</v>
      </c>
    </row>
    <row r="360" spans="1:7" x14ac:dyDescent="0.2">
      <c r="A360" s="1">
        <v>358</v>
      </c>
      <c r="B360" t="str">
        <f>HYPERLINK("https://eproc.rajasthan.gov.in/nicgep/app?component=%24DirectLink&amp;page=FrontEndViewTender&amp;service=direct&amp;session=T&amp;sp=S7bXZ5Gn%2FbGwNio%2B4LWGOvA%3D%3D", "Construction of Building of Dak Banglow at Pisangan")</f>
        <v>Construction of Building of Dak Banglow at Pisangan</v>
      </c>
      <c r="C360" t="s">
        <v>159</v>
      </c>
      <c r="D360" t="s">
        <v>244</v>
      </c>
      <c r="E360" t="s">
        <v>860</v>
      </c>
      <c r="F360" t="s">
        <v>861</v>
      </c>
      <c r="G360" t="s">
        <v>170</v>
      </c>
    </row>
    <row r="361" spans="1:7" x14ac:dyDescent="0.2">
      <c r="A361" s="1">
        <v>359</v>
      </c>
      <c r="B361" t="str">
        <f>HYPERLINK("https://eproc.rajasthan.gov.in/nicgep/app?component=%24DirectLink&amp;page=FrontEndViewTender&amp;service=direct&amp;session=T&amp;sp=S5h%2B7wh9A3ChZqJHwLCSI1g%3D%3D", "Construction of CC Road in various street in Ajaypal Nagar Dholabhata in Ward No 51 Ajmer")</f>
        <v>Construction of CC Road in various street in Ajaypal Nagar Dholabhata in Ward No 51 Ajmer</v>
      </c>
      <c r="C361" t="s">
        <v>159</v>
      </c>
      <c r="D361" t="s">
        <v>56</v>
      </c>
      <c r="E361" t="s">
        <v>862</v>
      </c>
      <c r="F361" t="s">
        <v>863</v>
      </c>
      <c r="G361" t="s">
        <v>170</v>
      </c>
    </row>
    <row r="362" spans="1:7" x14ac:dyDescent="0.2">
      <c r="A362" s="1">
        <v>360</v>
      </c>
      <c r="B362" t="str">
        <f>HYPERLINK("https://eproc.rajasthan.gov.in/nicgep/app?component=%24DirectLink&amp;page=FrontEndViewTender&amp;service=direct&amp;session=T&amp;sp=S%2BawN09uYmVDGR7R6uZduzg%3D%3D", "Package No RJ-01-03/North/2023-24")</f>
        <v>Package No RJ-01-03/North/2023-24</v>
      </c>
      <c r="C362" t="s">
        <v>159</v>
      </c>
      <c r="D362" t="s">
        <v>56</v>
      </c>
      <c r="E362" t="s">
        <v>864</v>
      </c>
      <c r="F362" t="s">
        <v>865</v>
      </c>
      <c r="G362" t="s">
        <v>170</v>
      </c>
    </row>
    <row r="363" spans="1:7" x14ac:dyDescent="0.2">
      <c r="A363" s="1">
        <v>361</v>
      </c>
      <c r="B363" t="str">
        <f>HYPERLINK("https://eproc.rajasthan.gov.in/nicgep/app?component=%24DirectLink&amp;page=FrontEndViewTender&amp;service=direct&amp;session=T&amp;sp=SfORN%2BWvGyJNNIpxUwQAqQQ%3D%3D", "Package No RJ-01-01/North/LSG/2023-24")</f>
        <v>Package No RJ-01-01/North/LSG/2023-24</v>
      </c>
      <c r="C363" t="s">
        <v>159</v>
      </c>
      <c r="D363" t="s">
        <v>56</v>
      </c>
      <c r="E363" t="s">
        <v>866</v>
      </c>
      <c r="F363" t="s">
        <v>867</v>
      </c>
      <c r="G363" t="s">
        <v>170</v>
      </c>
    </row>
    <row r="364" spans="1:7" x14ac:dyDescent="0.2">
      <c r="A364" s="1">
        <v>362</v>
      </c>
      <c r="B364" t="str">
        <f>HYPERLINK("https://eproc.rajasthan.gov.in/nicgep/app?component=%24DirectLink&amp;page=FrontEndViewTender&amp;service=direct&amp;session=T&amp;sp=SZ1oBz4kIxX4HikNX%2FuPenQ%3D%3D", "Construction of four lane road form Hiradas Circle to Mathura-Bypass via Subhash Nagar Gaushala.")</f>
        <v>Construction of four lane road form Hiradas Circle to Mathura-Bypass via Subhash Nagar Gaushala.</v>
      </c>
      <c r="C364" t="s">
        <v>426</v>
      </c>
      <c r="D364" t="s">
        <v>26</v>
      </c>
      <c r="E364" t="s">
        <v>868</v>
      </c>
      <c r="F364" t="s">
        <v>869</v>
      </c>
      <c r="G364" t="s">
        <v>579</v>
      </c>
    </row>
    <row r="365" spans="1:7" x14ac:dyDescent="0.2">
      <c r="A365" s="1">
        <v>363</v>
      </c>
      <c r="B365" t="str">
        <f>HYPERLINK("https://eproc.rajasthan.gov.in/nicgep/app?component=%24DirectLink&amp;page=FrontEndViewTender&amp;service=direct&amp;session=T&amp;sp=SZ%2FevG%2BeSqEAkHhSbPv2Fjg%3D%3D", "Widening Road from Raja Khaimkaran Square to New Riico Industrial Area")</f>
        <v>Widening Road from Raja Khaimkaran Square to New Riico Industrial Area</v>
      </c>
      <c r="C365" t="s">
        <v>426</v>
      </c>
      <c r="D365" t="s">
        <v>26</v>
      </c>
      <c r="E365" t="s">
        <v>870</v>
      </c>
      <c r="F365" t="s">
        <v>871</v>
      </c>
      <c r="G365" t="s">
        <v>579</v>
      </c>
    </row>
    <row r="366" spans="1:7" x14ac:dyDescent="0.2">
      <c r="A366" s="1">
        <v>364</v>
      </c>
      <c r="B366" t="str">
        <f>HYPERLINK("https://eproc.rajasthan.gov.in/nicgep/app?component=%24DirectLink&amp;page=FrontEndViewTender&amp;service=direct&amp;session=T&amp;sp=SS2%2BMLuh3LikHmrqljO60Pw%3D%3D", "Construction of four lane road railway station to Mathura bypass left out portion (SH-01)Bharatpur Mathura Road.")</f>
        <v>Construction of four lane road railway station to Mathura bypass left out portion (SH-01)Bharatpur Mathura Road.</v>
      </c>
      <c r="C366" t="s">
        <v>426</v>
      </c>
      <c r="D366" t="s">
        <v>26</v>
      </c>
      <c r="E366" t="s">
        <v>872</v>
      </c>
      <c r="F366" t="s">
        <v>873</v>
      </c>
      <c r="G366" t="s">
        <v>579</v>
      </c>
    </row>
    <row r="367" spans="1:7" x14ac:dyDescent="0.2">
      <c r="A367" s="1">
        <v>365</v>
      </c>
      <c r="B367" t="str">
        <f>HYPERLINK("https://eproc.rajasthan.gov.in/nicgep/app?component=%24DirectLink&amp;page=FrontEndViewTender&amp;service=direct&amp;session=T&amp;sp=S%2B06OUMVpBlhja%2FWyshVZGQ%3D%3D", "Widening of Road from Khemkaran Tiraha to Jaghina")</f>
        <v>Widening of Road from Khemkaran Tiraha to Jaghina</v>
      </c>
      <c r="C367" t="s">
        <v>426</v>
      </c>
      <c r="D367" t="s">
        <v>26</v>
      </c>
      <c r="E367" t="s">
        <v>870</v>
      </c>
      <c r="F367" t="s">
        <v>874</v>
      </c>
      <c r="G367" t="s">
        <v>579</v>
      </c>
    </row>
    <row r="368" spans="1:7" x14ac:dyDescent="0.2">
      <c r="A368" s="1">
        <v>366</v>
      </c>
      <c r="B368" t="str">
        <f>HYPERLINK("https://eproc.rajasthan.gov.in/nicgep/app?component=%24DirectLink&amp;page=FrontEndViewTender&amp;service=direct&amp;session=T&amp;sp=SNjXPBlKWm4AE5DIkd1xaTw%3D%3D", "Construction of Road from Devnarayan Temple to Bholu Ki Khoti via Mundia Harrup Ka Beda in Distt. Karauli")</f>
        <v>Construction of Road from Devnarayan Temple to Bholu Ki Khoti via Mundia Harrup Ka Beda in Distt. Karauli</v>
      </c>
      <c r="C368" t="s">
        <v>83</v>
      </c>
      <c r="D368" t="s">
        <v>26</v>
      </c>
      <c r="E368" t="s">
        <v>875</v>
      </c>
      <c r="F368" t="s">
        <v>876</v>
      </c>
      <c r="G368" t="s">
        <v>851</v>
      </c>
    </row>
    <row r="369" spans="1:7" x14ac:dyDescent="0.2">
      <c r="A369" s="1">
        <v>367</v>
      </c>
      <c r="B369" t="str">
        <f>HYPERLINK("https://eproc.rajasthan.gov.in/nicgep/app?component=%24DirectLink&amp;page=FrontEndViewTender&amp;service=direct&amp;session=T&amp;sp=S%2F2D21fXFqum7qwg7ixNnKg%3D%3D", "Strengthening work of Road From Brambhad fatak to bandh baaretha road km 0/0 to 5/500")</f>
        <v>Strengthening work of Road From Brambhad fatak to bandh baaretha road km 0/0 to 5/500</v>
      </c>
      <c r="C369" t="s">
        <v>426</v>
      </c>
      <c r="D369" t="s">
        <v>26</v>
      </c>
      <c r="E369" t="s">
        <v>877</v>
      </c>
      <c r="F369" t="s">
        <v>878</v>
      </c>
      <c r="G369" t="s">
        <v>879</v>
      </c>
    </row>
    <row r="370" spans="1:7" x14ac:dyDescent="0.2">
      <c r="A370" s="1">
        <v>368</v>
      </c>
      <c r="B370" t="str">
        <f>HYPERLINK("https://eproc.rajasthan.gov.in/nicgep/app?component=%24DirectLink&amp;page=FrontEndViewTender&amp;service=direct&amp;session=T&amp;sp=SDQxKoBhNKVCKFrveaVGBxQ%3D%3D", "Construction of Shri Mahaveerji Railway Station to Kandroli Road Via Sanet Ka Pura")</f>
        <v>Construction of Shri Mahaveerji Railway Station to Kandroli Road Via Sanet Ka Pura</v>
      </c>
      <c r="C370" t="s">
        <v>880</v>
      </c>
      <c r="D370" t="s">
        <v>56</v>
      </c>
      <c r="E370" t="s">
        <v>881</v>
      </c>
      <c r="F370" t="s">
        <v>882</v>
      </c>
      <c r="G370" t="s">
        <v>883</v>
      </c>
    </row>
    <row r="371" spans="1:7" x14ac:dyDescent="0.2">
      <c r="A371" s="1">
        <v>369</v>
      </c>
      <c r="B371" t="str">
        <f>HYPERLINK("https://eproc.rajasthan.gov.in/nicgep/app?component=%24DirectLink&amp;page=FrontEndViewTender&amp;service=direct&amp;session=T&amp;sp=SzmkNRPmmpFHX7IwqASkfWQ%3D%3D", "CONSTRUCTION OF HIGH LEVEL BRIDGE ON NADAUTI-SHRI MAHAVEERJI-KHEDA ROAD AT GAMBHIR RIVER KARAULI")</f>
        <v>CONSTRUCTION OF HIGH LEVEL BRIDGE ON NADAUTI-SHRI MAHAVEERJI-KHEDA ROAD AT GAMBHIR RIVER KARAULI</v>
      </c>
      <c r="C371" t="s">
        <v>880</v>
      </c>
      <c r="D371" t="s">
        <v>56</v>
      </c>
      <c r="E371" t="s">
        <v>884</v>
      </c>
      <c r="F371" t="s">
        <v>885</v>
      </c>
      <c r="G371" t="s">
        <v>886</v>
      </c>
    </row>
    <row r="372" spans="1:7" x14ac:dyDescent="0.2">
      <c r="A372" s="1">
        <v>370</v>
      </c>
      <c r="B372" t="str">
        <f>HYPERLINK("https://eproc.rajasthan.gov.in/nicgep/app?component=%24DirectLink&amp;page=FrontEndViewTender&amp;service=direct&amp;session=T&amp;sp=SsXAF2bg68lNGsa7jI2VanA%3D%3D", "WIDENING AND STRENGHTENING WORK ON JALAMPURA CHOURAHA TO RAWAT KHERA, CHABDIYA, BHUWANA TEJA KA BARDA, BHAWANIPURA NH-148-D (12 KM) (JAHAZPUR) BHILWARA")</f>
        <v>WIDENING AND STRENGHTENING WORK ON JALAMPURA CHOURAHA TO RAWAT KHERA, CHABDIYA, BHUWANA TEJA KA BARDA, BHAWANIPURA NH-148-D (12 KM) (JAHAZPUR) BHILWARA</v>
      </c>
      <c r="C372" t="s">
        <v>745</v>
      </c>
      <c r="D372" t="s">
        <v>781</v>
      </c>
      <c r="E372" t="s">
        <v>887</v>
      </c>
      <c r="F372" t="s">
        <v>888</v>
      </c>
      <c r="G372" t="s">
        <v>738</v>
      </c>
    </row>
    <row r="373" spans="1:7" x14ac:dyDescent="0.2">
      <c r="A373" s="1">
        <v>371</v>
      </c>
      <c r="B373" t="str">
        <f>HYPERLINK("https://eproc.rajasthan.gov.in/nicgep/app?component=%24DirectLink&amp;page=FrontEndViewTender&amp;service=direct&amp;session=T&amp;sp=SstLE709dI6nZyarFJ39khw%3D%3D", "Strengthenging and Upgradation work on Kaman to Bilond upto Kedarnath")</f>
        <v>Strengthenging and Upgradation work on Kaman to Bilond upto Kedarnath</v>
      </c>
      <c r="C373" t="s">
        <v>889</v>
      </c>
      <c r="D373" t="s">
        <v>56</v>
      </c>
      <c r="E373" t="s">
        <v>890</v>
      </c>
      <c r="F373" t="s">
        <v>891</v>
      </c>
      <c r="G373" t="s">
        <v>892</v>
      </c>
    </row>
    <row r="374" spans="1:7" x14ac:dyDescent="0.2">
      <c r="A374" s="1">
        <v>372</v>
      </c>
      <c r="B374" t="str">
        <f>HYPERLINK("https://eproc.rajasthan.gov.in/nicgep/app?component=%24DirectLink&amp;page=FrontEndViewTender&amp;service=direct&amp;session=T&amp;sp=SxThF9Zi%2Fcua7pZBzHfOQRw%3D%3D", "Construction of Road from Goverdhan Drain Talphara To Korer Bypass via Didwari")</f>
        <v>Construction of Road from Goverdhan Drain Talphara To Korer Bypass via Didwari</v>
      </c>
      <c r="C374" t="s">
        <v>426</v>
      </c>
      <c r="D374" t="s">
        <v>26</v>
      </c>
      <c r="E374" t="s">
        <v>197</v>
      </c>
      <c r="F374" t="s">
        <v>893</v>
      </c>
      <c r="G374" t="s">
        <v>429</v>
      </c>
    </row>
    <row r="375" spans="1:7" x14ac:dyDescent="0.2">
      <c r="A375" s="1">
        <v>373</v>
      </c>
      <c r="B375" t="str">
        <f>HYPERLINK("https://eproc.rajasthan.gov.in/nicgep/app?component=%24DirectLink&amp;page=FrontEndViewTender&amp;service=direct&amp;session=T&amp;sp=S9XBtNjfP2bw7uZn6WMFJ6g%3D%3D", "Construction Of Road By Widening and Strengthening From Rupbas To Jatmasi")</f>
        <v>Construction Of Road By Widening and Strengthening From Rupbas To Jatmasi</v>
      </c>
      <c r="C375" t="s">
        <v>426</v>
      </c>
      <c r="D375" t="s">
        <v>26</v>
      </c>
      <c r="E375" t="s">
        <v>894</v>
      </c>
      <c r="F375" t="s">
        <v>895</v>
      </c>
      <c r="G375" t="s">
        <v>896</v>
      </c>
    </row>
    <row r="376" spans="1:7" x14ac:dyDescent="0.2">
      <c r="A376" s="1">
        <v>374</v>
      </c>
      <c r="B376" t="str">
        <f>HYPERLINK("https://eproc.rajasthan.gov.in/nicgep/app?component=%24DirectLink&amp;page=FrontEndViewTender&amp;service=direct&amp;session=T&amp;sp=SQLrAiSGfztfOlWMlJ58BEQ%3D%3D", "Construction of road Basai Vanshi Paharpur to Roopwas Road upto Roopwas and Mahalpur Chura to Vanshi Paharpur")</f>
        <v>Construction of road Basai Vanshi Paharpur to Roopwas Road upto Roopwas and Mahalpur Chura to Vanshi Paharpur</v>
      </c>
      <c r="C376" t="s">
        <v>426</v>
      </c>
      <c r="D376" t="s">
        <v>26</v>
      </c>
      <c r="E376" t="s">
        <v>897</v>
      </c>
      <c r="F376" t="s">
        <v>898</v>
      </c>
      <c r="G376" t="s">
        <v>896</v>
      </c>
    </row>
    <row r="377" spans="1:7" x14ac:dyDescent="0.2">
      <c r="A377" s="1">
        <v>375</v>
      </c>
      <c r="B377" t="str">
        <f>HYPERLINK("https://eproc.rajasthan.gov.in/nicgep/app?component=%24DirectLink&amp;page=FrontEndViewTender&amp;service=direct&amp;session=T&amp;sp=S2IwMxW6vO%2Bk4vUssQUSXzw%3D%3D", "CONSULTANCY WORK FOR PREPARATION OF FEASIBILITY STUDY AND DETAILED PROJECT REPORT WITH LAND ACQUISITION FOR CONSTRUCTION OF BYPASS IN RAWATSAR (1 NO. FLYOVER AND 10 KM LA)")</f>
        <v>CONSULTANCY WORK FOR PREPARATION OF FEASIBILITY STUDY AND DETAILED PROJECT REPORT WITH LAND ACQUISITION FOR CONSTRUCTION OF BYPASS IN RAWATSAR (1 NO. FLYOVER AND 10 KM LA)</v>
      </c>
      <c r="C377" t="s">
        <v>899</v>
      </c>
      <c r="D377" t="s">
        <v>244</v>
      </c>
      <c r="E377" t="s">
        <v>900</v>
      </c>
      <c r="F377" t="s">
        <v>901</v>
      </c>
      <c r="G377" t="s">
        <v>902</v>
      </c>
    </row>
    <row r="378" spans="1:7" x14ac:dyDescent="0.2">
      <c r="A378" s="1">
        <v>376</v>
      </c>
      <c r="B378" t="str">
        <f>HYPERLINK("https://eproc.rajasthan.gov.in/nicgep/app?component=%24DirectLink&amp;page=FrontEndViewTender&amp;service=direct&amp;session=T&amp;sp=SRJoicjBDzqT5HiBTQUMdHw%3D%3D", "Construction of various roads under Pakage RJ-20-01/ML/NWL/2025-26")</f>
        <v>Construction of various roads under Pakage RJ-20-01/ML/NWL/2025-26</v>
      </c>
      <c r="C378" t="s">
        <v>903</v>
      </c>
      <c r="D378" t="s">
        <v>140</v>
      </c>
      <c r="E378" t="s">
        <v>904</v>
      </c>
      <c r="F378" t="s">
        <v>905</v>
      </c>
      <c r="G378" t="s">
        <v>906</v>
      </c>
    </row>
    <row r="379" spans="1:7" x14ac:dyDescent="0.2">
      <c r="A379" s="1">
        <v>377</v>
      </c>
      <c r="B379" t="str">
        <f>HYPERLINK("https://eproc.rajasthan.gov.in/nicgep/app?component=%24DirectLink&amp;page=FrontEndViewTender&amp;service=direct&amp;session=T&amp;sp=SebROh1InaOwL%2FXV3%2F8W9Xw%3D%3D", "Strengthening and Widening Work on NH-552 to SH-122 (Kawad) Via Nayagaon Balaji, Dehkwa, Itawa Ka Balaji")</f>
        <v>Strengthening and Widening Work on NH-552 to SH-122 (Kawad) Via Nayagaon Balaji, Dehkwa, Itawa Ka Balaji</v>
      </c>
      <c r="C379" t="s">
        <v>479</v>
      </c>
      <c r="D379" t="s">
        <v>398</v>
      </c>
      <c r="E379" t="s">
        <v>907</v>
      </c>
      <c r="F379" t="s">
        <v>908</v>
      </c>
      <c r="G379" t="s">
        <v>87</v>
      </c>
    </row>
    <row r="380" spans="1:7" x14ac:dyDescent="0.2">
      <c r="A380" s="1">
        <v>378</v>
      </c>
      <c r="B380" t="str">
        <f>HYPERLINK("https://eproc.rajasthan.gov.in/nicgep/app?component=%24DirectLink&amp;page=FrontEndViewTender&amp;service=direct&amp;session=T&amp;sp=SHHp1qDiLf%2BPG4D6dyjUm7g%3D%3D", "Renewal of 7 Important Roads in Khandar (Sawai Madhopur)")</f>
        <v>Renewal of 7 Important Roads in Khandar (Sawai Madhopur)</v>
      </c>
      <c r="C380" t="s">
        <v>479</v>
      </c>
      <c r="D380" t="s">
        <v>398</v>
      </c>
      <c r="E380" t="s">
        <v>909</v>
      </c>
      <c r="F380" t="s">
        <v>910</v>
      </c>
      <c r="G380" t="s">
        <v>87</v>
      </c>
    </row>
    <row r="381" spans="1:7" x14ac:dyDescent="0.2">
      <c r="A381" s="1">
        <v>379</v>
      </c>
      <c r="B381" t="str">
        <f>HYPERLINK("https://eproc.rajasthan.gov.in/nicgep/app?component=%24DirectLink&amp;page=FrontEndViewTender&amp;service=direct&amp;session=T&amp;sp=S4DFLGurszbOU1sqGL4qjIg%3D%3D", "Strengthning and Widening of Gangapur City-Tajpur-Dabra Road via Railway Station, Gangapur City Km 0/0 to 7/0")</f>
        <v>Strengthning and Widening of Gangapur City-Tajpur-Dabra Road via Railway Station, Gangapur City Km 0/0 to 7/0</v>
      </c>
      <c r="C381" t="s">
        <v>479</v>
      </c>
      <c r="D381" t="s">
        <v>398</v>
      </c>
      <c r="E381" t="s">
        <v>911</v>
      </c>
      <c r="F381" t="s">
        <v>912</v>
      </c>
      <c r="G381" t="s">
        <v>87</v>
      </c>
    </row>
    <row r="382" spans="1:7" x14ac:dyDescent="0.2">
      <c r="A382" s="1">
        <v>380</v>
      </c>
      <c r="B382" t="str">
        <f>HYPERLINK("https://eproc.rajasthan.gov.in/nicgep/app?component=%24DirectLink&amp;page=FrontEndViewTender&amp;service=direct&amp;session=T&amp;sp=Sl8Yhqt42ofM%2BnlwfHliE2A%3D%3D", "Construction of various roads under Pakage RJ-20-03/ML/PLN/2025-26")</f>
        <v>Construction of various roads under Pakage RJ-20-03/ML/PLN/2025-26</v>
      </c>
      <c r="C382" t="s">
        <v>903</v>
      </c>
      <c r="D382" t="s">
        <v>244</v>
      </c>
      <c r="E382" t="s">
        <v>913</v>
      </c>
      <c r="F382" t="s">
        <v>914</v>
      </c>
      <c r="G382" t="s">
        <v>915</v>
      </c>
    </row>
    <row r="383" spans="1:7" x14ac:dyDescent="0.2">
      <c r="A383" s="1">
        <v>381</v>
      </c>
      <c r="B383" t="str">
        <f>HYPERLINK("https://eproc.rajasthan.gov.in/nicgep/app?component=%24DirectLink&amp;page=FrontEndViewTender&amp;service=direct&amp;session=T&amp;sp=S5gK%2FI0wWY4CJJWSDNP8Dxw%3D%3D", "Construction of various roads under Pakage RJ-20-02/ML/BUH/2025-26")</f>
        <v>Construction of various roads under Pakage RJ-20-02/ML/BUH/2025-26</v>
      </c>
      <c r="C383" t="s">
        <v>903</v>
      </c>
      <c r="D383" t="s">
        <v>244</v>
      </c>
      <c r="E383" t="s">
        <v>703</v>
      </c>
      <c r="F383" t="s">
        <v>916</v>
      </c>
      <c r="G383" t="s">
        <v>915</v>
      </c>
    </row>
    <row r="384" spans="1:7" x14ac:dyDescent="0.2">
      <c r="A384" s="1">
        <v>382</v>
      </c>
      <c r="B384" t="str">
        <f>HYPERLINK("https://eproc.rajasthan.gov.in/nicgep/app?component=%24DirectLink&amp;page=FrontEndViewTender&amp;service=direct&amp;session=T&amp;sp=SBiceonGE4eVljtxKdQAGUg%3D%3D", "Construction of various roads under Pakage RJ-20-01/ML/SRG/2025-26")</f>
        <v>Construction of various roads under Pakage RJ-20-01/ML/SRG/2025-26</v>
      </c>
      <c r="C384" t="s">
        <v>903</v>
      </c>
      <c r="D384" t="s">
        <v>244</v>
      </c>
      <c r="E384" t="s">
        <v>917</v>
      </c>
      <c r="F384" t="s">
        <v>918</v>
      </c>
      <c r="G384" t="s">
        <v>915</v>
      </c>
    </row>
    <row r="385" spans="1:7" x14ac:dyDescent="0.2">
      <c r="A385" s="1">
        <v>383</v>
      </c>
      <c r="B385" t="str">
        <f>HYPERLINK("https://eproc.rajasthan.gov.in/nicgep/app?component=%24DirectLink&amp;page=FrontEndViewTender&amp;service=direct&amp;session=T&amp;sp=Sizy%2BlqNIYZkHP%2FcwvusqZw%3D%3D", "Construction of Banjdoli Bye Pass")</f>
        <v>Construction of Banjdoli Bye Pass</v>
      </c>
      <c r="C385" t="s">
        <v>903</v>
      </c>
      <c r="D385" t="s">
        <v>244</v>
      </c>
      <c r="E385" t="s">
        <v>919</v>
      </c>
      <c r="F385" t="s">
        <v>920</v>
      </c>
      <c r="G385" t="s">
        <v>915</v>
      </c>
    </row>
    <row r="386" spans="1:7" x14ac:dyDescent="0.2">
      <c r="A386" s="1">
        <v>384</v>
      </c>
      <c r="B386" t="str">
        <f>HYPERLINK("https://eproc.rajasthan.gov.in/nicgep/app?component=%24DirectLink&amp;page=FrontEndViewTender&amp;service=direct&amp;session=T&amp;sp=S5xNkjSqH%2B%2FP0ndvCWtYM4g%3D%3D", "Construction of Bridge at Bari Umreh road over Bamni river in Dholpur")</f>
        <v>Construction of Bridge at Bari Umreh road over Bamni river in Dholpur</v>
      </c>
      <c r="C386" t="s">
        <v>192</v>
      </c>
      <c r="D386" t="s">
        <v>56</v>
      </c>
      <c r="E386" t="s">
        <v>921</v>
      </c>
      <c r="F386" t="s">
        <v>922</v>
      </c>
      <c r="G386" t="s">
        <v>923</v>
      </c>
    </row>
    <row r="387" spans="1:7" x14ac:dyDescent="0.2">
      <c r="A387" s="1">
        <v>385</v>
      </c>
      <c r="B387" t="str">
        <f>HYPERLINK("https://eproc.rajasthan.gov.in/nicgep/app?component=%24DirectLink&amp;page=FrontEndViewTender&amp;service=direct&amp;session=T&amp;sp=SpzNOgFQKocKQMl93iXEzsw%3D%3D", "Construction of various BT road under Pkg. No. RJ20-01/BT/ BGR/BA/2025-26")</f>
        <v>Construction of various BT road under Pkg. No. RJ20-01/BT/ BGR/BA/2025-26</v>
      </c>
      <c r="C387" t="s">
        <v>903</v>
      </c>
      <c r="D387" t="s">
        <v>244</v>
      </c>
      <c r="E387" t="s">
        <v>924</v>
      </c>
      <c r="F387" t="s">
        <v>925</v>
      </c>
      <c r="G387" t="s">
        <v>304</v>
      </c>
    </row>
    <row r="388" spans="1:7" x14ac:dyDescent="0.2">
      <c r="A388" s="1">
        <v>386</v>
      </c>
      <c r="B388" t="str">
        <f>HYPERLINK("https://eproc.rajasthan.gov.in/nicgep/app?component=%24DirectLink&amp;page=FrontEndViewTender&amp;service=direct&amp;session=T&amp;sp=SH6zSZe5luDJ1EaofmpTfTw%3D%3D", "Annual Rate Contractor for Various Tentage work for B.No. 08 CM House under PWD Sub Dn. Civil Line-I, Jaipur")</f>
        <v>Annual Rate Contractor for Various Tentage work for B.No. 08 CM House under PWD Sub Dn. Civil Line-I, Jaipur</v>
      </c>
      <c r="C388" t="s">
        <v>55</v>
      </c>
      <c r="D388" t="s">
        <v>209</v>
      </c>
      <c r="E388" t="s">
        <v>926</v>
      </c>
      <c r="F388" t="s">
        <v>927</v>
      </c>
      <c r="G388" t="s">
        <v>59</v>
      </c>
    </row>
    <row r="389" spans="1:7" x14ac:dyDescent="0.2">
      <c r="A389" s="1">
        <v>387</v>
      </c>
      <c r="B389" t="str">
        <f>HYPERLINK("https://eproc.rajasthan.gov.in/nicgep/app?component=%24DirectLink&amp;page=FrontEndViewTender&amp;service=direct&amp;session=T&amp;sp=Se518uzQNlWTw8IQNSvx2XA%3D%3D", "Construction of Sankhwas Bypass")</f>
        <v>Construction of Sankhwas Bypass</v>
      </c>
      <c r="C389" t="s">
        <v>196</v>
      </c>
      <c r="D389" t="s">
        <v>928</v>
      </c>
      <c r="E389" t="s">
        <v>929</v>
      </c>
      <c r="F389" t="s">
        <v>930</v>
      </c>
      <c r="G389" t="s">
        <v>846</v>
      </c>
    </row>
    <row r="390" spans="1:7" x14ac:dyDescent="0.2">
      <c r="A390" s="1">
        <v>388</v>
      </c>
      <c r="B390" t="str">
        <f>HYPERLINK("https://eproc.rajasthan.gov.in/nicgep/app?component=%24DirectLink&amp;page=FrontEndViewTender&amp;service=direct&amp;session=T&amp;sp=SnuRLXEUgL0Uz2KXBXGgi7w%3D%3D", "Construction of BT Road from saduwali headwork to Shivpur Headwork of Gangcanal in Sri Ganganagar")</f>
        <v>Construction of BT Road from saduwali headwork to Shivpur Headwork of Gangcanal in Sri Ganganagar</v>
      </c>
      <c r="C390" t="s">
        <v>800</v>
      </c>
      <c r="D390" t="s">
        <v>140</v>
      </c>
      <c r="E390" t="s">
        <v>931</v>
      </c>
      <c r="F390" t="s">
        <v>932</v>
      </c>
      <c r="G390" t="s">
        <v>803</v>
      </c>
    </row>
    <row r="391" spans="1:7" x14ac:dyDescent="0.2">
      <c r="A391" s="1">
        <v>389</v>
      </c>
      <c r="B391" t="str">
        <f>HYPERLINK("https://eproc.rajasthan.gov.in/nicgep/app?component=%24DirectLink&amp;page=FrontEndViewTender&amp;service=direct&amp;session=T&amp;sp=SRGhFHXH6YVmFa4BGelsdRw%3D%3D", "CONSTRUCTION OF DEV NARAYAN BOYS RESIDENTIAL SCHOOL AT KUCHAMAN CITY")</f>
        <v>CONSTRUCTION OF DEV NARAYAN BOYS RESIDENTIAL SCHOOL AT KUCHAMAN CITY</v>
      </c>
      <c r="C391" t="s">
        <v>40</v>
      </c>
      <c r="D391" t="s">
        <v>928</v>
      </c>
      <c r="E391" t="s">
        <v>933</v>
      </c>
      <c r="F391" t="s">
        <v>934</v>
      </c>
      <c r="G391" t="s">
        <v>935</v>
      </c>
    </row>
    <row r="392" spans="1:7" x14ac:dyDescent="0.2">
      <c r="A392" s="1">
        <v>390</v>
      </c>
      <c r="B392" t="str">
        <f>HYPERLINK("https://eproc.rajasthan.gov.in/nicgep/app?component=%24DirectLink&amp;page=FrontEndViewTender&amp;service=direct&amp;session=T&amp;sp=ScNx9cIar0A1%2FdHpvIbmgKQ%3D%3D", "CONSTRUCTION OF BT ROAD FROM KADI SHANA TO MAL KHERA VIA MEENO KA JHOPRA")</f>
        <v>CONSTRUCTION OF BT ROAD FROM KADI SHANA TO MAL KHERA VIA MEENO KA JHOPRA</v>
      </c>
      <c r="C392" t="s">
        <v>745</v>
      </c>
      <c r="D392" t="s">
        <v>140</v>
      </c>
      <c r="E392" t="s">
        <v>936</v>
      </c>
      <c r="F392" t="s">
        <v>937</v>
      </c>
      <c r="G392" t="s">
        <v>738</v>
      </c>
    </row>
    <row r="393" spans="1:7" x14ac:dyDescent="0.2">
      <c r="A393" s="1">
        <v>391</v>
      </c>
      <c r="B393" t="str">
        <f>HYPERLINK("https://eproc.rajasthan.gov.in/nicgep/app?component=%24DirectLink&amp;page=FrontEndViewTender&amp;service=direct&amp;session=T&amp;sp=SMhnAqy%2FpPjEsgdC1V5yf%2FQ%3D%3D", "Construction of BT Road from Badla to Sopura (Jaton Ka)")</f>
        <v>Construction of BT Road from Badla to Sopura (Jaton Ka)</v>
      </c>
      <c r="C393" t="s">
        <v>745</v>
      </c>
      <c r="D393" t="s">
        <v>140</v>
      </c>
      <c r="E393" t="s">
        <v>924</v>
      </c>
      <c r="F393" t="s">
        <v>938</v>
      </c>
      <c r="G393" t="s">
        <v>738</v>
      </c>
    </row>
    <row r="394" spans="1:7" x14ac:dyDescent="0.2">
      <c r="A394" s="1">
        <v>392</v>
      </c>
      <c r="B394" t="str">
        <f>HYPERLINK("https://eproc.rajasthan.gov.in/nicgep/app?component=%24DirectLink&amp;page=FrontEndViewTender&amp;service=direct&amp;session=T&amp;sp=S7UekCmR1rkXmHE33scZzRQ%3D%3D", "RENEWAL OF BT ROAD FROM RAGHUNATHPURA TO SHAMBHUGARH VIA ASIND WITH CAUSEWAY MDR-368")</f>
        <v>RENEWAL OF BT ROAD FROM RAGHUNATHPURA TO SHAMBHUGARH VIA ASIND WITH CAUSEWAY MDR-368</v>
      </c>
      <c r="C394" t="s">
        <v>745</v>
      </c>
      <c r="D394" t="s">
        <v>928</v>
      </c>
      <c r="E394" t="s">
        <v>939</v>
      </c>
      <c r="F394" t="s">
        <v>940</v>
      </c>
      <c r="G394" t="s">
        <v>738</v>
      </c>
    </row>
    <row r="395" spans="1:7" x14ac:dyDescent="0.2">
      <c r="A395" s="1">
        <v>393</v>
      </c>
      <c r="B395" t="str">
        <f>HYPERLINK("https://eproc.rajasthan.gov.in/nicgep/app?component=%24DirectLink&amp;page=FrontEndViewTender&amp;service=direct&amp;session=T&amp;sp=SCnw4gEr5sEEKDl6oM7Vj7Q%3D%3D", "CONSTRUCTION OF VENTED CAUSEWAY AND ROAD FROM NATHDIYAS (RAIPUR) TO MOTRON KA KHERA (KOTHARI RIVER)")</f>
        <v>CONSTRUCTION OF VENTED CAUSEWAY AND ROAD FROM NATHDIYAS (RAIPUR) TO MOTRON KA KHERA (KOTHARI RIVER)</v>
      </c>
      <c r="C395" t="s">
        <v>745</v>
      </c>
      <c r="D395" t="s">
        <v>140</v>
      </c>
      <c r="E395" t="s">
        <v>941</v>
      </c>
      <c r="F395" t="s">
        <v>942</v>
      </c>
      <c r="G395" t="s">
        <v>738</v>
      </c>
    </row>
    <row r="396" spans="1:7" x14ac:dyDescent="0.2">
      <c r="A396" s="1">
        <v>394</v>
      </c>
      <c r="B396" t="str">
        <f>HYPERLINK("https://eproc.rajasthan.gov.in/nicgep/app?component=%24DirectLink&amp;page=FrontEndViewTender&amp;service=direct&amp;session=T&amp;sp=SqB%2F13x7%2BjPBbaocGbTVPUw%3D%3D", "Widenning and strenthening of existing road from 3.75 to 10.00 mtr of Approach road from Tunkara -Balara- Rabriyawas to NH-158/SH-39 (Ras Merta Highway) KM 0/0 to 11/000")</f>
        <v>Widenning and strenthening of existing road from 3.75 to 10.00 mtr of Approach road from Tunkara -Balara- Rabriyawas to NH-158/SH-39 (Ras Merta Highway) KM 0/0 to 11/000</v>
      </c>
      <c r="C396" t="s">
        <v>389</v>
      </c>
      <c r="D396" t="s">
        <v>501</v>
      </c>
      <c r="E396" t="s">
        <v>943</v>
      </c>
      <c r="F396" t="s">
        <v>944</v>
      </c>
      <c r="G396" t="s">
        <v>393</v>
      </c>
    </row>
    <row r="397" spans="1:7" x14ac:dyDescent="0.2">
      <c r="A397" s="1">
        <v>395</v>
      </c>
      <c r="B397" t="str">
        <f>HYPERLINK("https://eproc.rajasthan.gov.in/nicgep/app?component=%24DirectLink&amp;page=FrontEndViewTender&amp;service=direct&amp;session=T&amp;sp=SJk3StES2Za5a0GSprQOHZQ%3D%3D", "Widening and Strengthening Work from Kharnal to Dhundhiyadi Via - Paldi Vyasa - Mundiyad - Modi Kaliyas - Bhadora")</f>
        <v>Widening and Strengthening Work from Kharnal to Dhundhiyadi Via - Paldi Vyasa - Mundiyad - Modi Kaliyas - Bhadora</v>
      </c>
      <c r="C397" t="s">
        <v>196</v>
      </c>
      <c r="D397" t="s">
        <v>501</v>
      </c>
      <c r="E397" t="s">
        <v>945</v>
      </c>
      <c r="F397" t="s">
        <v>946</v>
      </c>
      <c r="G397" t="s">
        <v>846</v>
      </c>
    </row>
    <row r="398" spans="1:7" x14ac:dyDescent="0.2">
      <c r="A398" s="1">
        <v>396</v>
      </c>
      <c r="B398" t="str">
        <f>HYPERLINK("https://eproc.rajasthan.gov.in/nicgep/app?component=%24DirectLink&amp;page=FrontEndViewTender&amp;service=direct&amp;session=T&amp;sp=SznM4IHTGE50U9tBQIcP77A%3D%3D", "Strengthening and Widening work of Kharnal - Barangaon - Basni - Singar - Goganada - Alay - Kaladi - Jakhaniya - Shri Balaji - Bukaramsota - Bayaji ka Rohida - Sewadi - Bordi ka Kuwa - Peepasar - Rohini Road")</f>
        <v>Strengthening and Widening work of Kharnal - Barangaon - Basni - Singar - Goganada - Alay - Kaladi - Jakhaniya - Shri Balaji - Bukaramsota - Bayaji ka Rohida - Sewadi - Bordi ka Kuwa - Peepasar - Rohini Road</v>
      </c>
      <c r="C398" t="s">
        <v>196</v>
      </c>
      <c r="D398" t="s">
        <v>501</v>
      </c>
      <c r="E398" t="s">
        <v>947</v>
      </c>
      <c r="F398" t="s">
        <v>948</v>
      </c>
      <c r="G398" t="s">
        <v>199</v>
      </c>
    </row>
    <row r="399" spans="1:7" x14ac:dyDescent="0.2">
      <c r="A399" s="1">
        <v>397</v>
      </c>
      <c r="B399" t="str">
        <f>HYPERLINK("https://eproc.rajasthan.gov.in/nicgep/app?component=%24DirectLink&amp;page=FrontEndViewTender&amp;service=direct&amp;session=T&amp;sp=SOmvqaT6hpCArkJ3zgFyFIg%3D%3D", "Widening work Silee Border Isharnawada - Panchla Sidha - Sainik Nagar - Achina - Madpura - Dujasar - upto SH-19 Road.")</f>
        <v>Widening work Silee Border Isharnawada - Panchla Sidha - Sainik Nagar - Achina - Madpura - Dujasar - upto SH-19 Road.</v>
      </c>
      <c r="C399" t="s">
        <v>196</v>
      </c>
      <c r="D399" t="s">
        <v>501</v>
      </c>
      <c r="E399" t="s">
        <v>949</v>
      </c>
      <c r="F399" t="s">
        <v>950</v>
      </c>
      <c r="G399" t="s">
        <v>199</v>
      </c>
    </row>
    <row r="400" spans="1:7" x14ac:dyDescent="0.2">
      <c r="A400" s="1">
        <v>398</v>
      </c>
      <c r="B400" t="str">
        <f>HYPERLINK("https://eproc.rajasthan.gov.in/nicgep/app?component=%24DirectLink&amp;page=FrontEndViewTender&amp;service=direct&amp;session=T&amp;sp=StyMQEaoBh9ucAx75hVlSrg%3D%3D", "Strengthening on Deh (NH-58) to Genana (NH-458) Via Kheda - Chhapara - Rotu - Gorau - Sandas - Malgaon Road")</f>
        <v>Strengthening on Deh (NH-58) to Genana (NH-458) Via Kheda - Chhapara - Rotu - Gorau - Sandas - Malgaon Road</v>
      </c>
      <c r="C400" t="s">
        <v>196</v>
      </c>
      <c r="D400" t="s">
        <v>501</v>
      </c>
      <c r="E400" t="s">
        <v>951</v>
      </c>
      <c r="F400" t="s">
        <v>952</v>
      </c>
      <c r="G400" t="s">
        <v>846</v>
      </c>
    </row>
    <row r="401" spans="1:7" x14ac:dyDescent="0.2">
      <c r="A401" s="1">
        <v>399</v>
      </c>
      <c r="B401" t="str">
        <f>HYPERLINK("https://eproc.rajasthan.gov.in/nicgep/app?component=%24DirectLink&amp;page=FrontEndViewTender&amp;service=direct&amp;session=T&amp;sp=SLE%2FzYKr6%2BoOeY3%2Ff34F1Yw%3D%3D", "CONSTRUCTION OF VARIOIUS ROAD PACAGE NO. RJ-18-04/BA 15.01/25-26 UNDER BUDGET GHOSHNA 2025-26")</f>
        <v>CONSTRUCTION OF VARIOIUS ROAD PACAGE NO. RJ-18-04/BA 15.01/25-26 UNDER BUDGET GHOSHNA 2025-26</v>
      </c>
      <c r="C401" t="s">
        <v>586</v>
      </c>
      <c r="D401" t="s">
        <v>244</v>
      </c>
      <c r="E401" t="s">
        <v>953</v>
      </c>
      <c r="F401" t="s">
        <v>954</v>
      </c>
      <c r="G401" t="s">
        <v>588</v>
      </c>
    </row>
    <row r="402" spans="1:7" x14ac:dyDescent="0.2">
      <c r="A402" s="1">
        <v>400</v>
      </c>
      <c r="B402" t="str">
        <f>HYPERLINK("https://eproc.rajasthan.gov.in/nicgep/app?component=%24DirectLink&amp;page=FrontEndViewTender&amp;service=direct&amp;session=T&amp;sp=SQ2FhE8i5umF4fFx7f6z1Qg%3D%3D", "Construction of Road from Chui to Khinwtana Km 0/0 to 5/0")</f>
        <v>Construction of Road from Chui to Khinwtana Km 0/0 to 5/0</v>
      </c>
      <c r="C402" t="s">
        <v>196</v>
      </c>
      <c r="D402" t="s">
        <v>244</v>
      </c>
      <c r="E402" t="s">
        <v>955</v>
      </c>
      <c r="F402" t="s">
        <v>956</v>
      </c>
      <c r="G402" t="s">
        <v>957</v>
      </c>
    </row>
    <row r="403" spans="1:7" x14ac:dyDescent="0.2">
      <c r="A403" s="1">
        <v>401</v>
      </c>
      <c r="B403" t="str">
        <f>HYPERLINK("https://eproc.rajasthan.gov.in/nicgep/app?component=%24DirectLink&amp;page=FrontEndViewTender&amp;service=direct&amp;session=T&amp;sp=Sf7GC7vNjjbnyJtzZ84dFcw%3D%3D", "Construction of CC road from Kharnal Bus Stand to Bungri Mata Temple")</f>
        <v>Construction of CC road from Kharnal Bus Stand to Bungri Mata Temple</v>
      </c>
      <c r="C403" t="s">
        <v>196</v>
      </c>
      <c r="D403" t="s">
        <v>244</v>
      </c>
      <c r="E403" t="s">
        <v>958</v>
      </c>
      <c r="F403" t="s">
        <v>959</v>
      </c>
      <c r="G403" t="s">
        <v>846</v>
      </c>
    </row>
    <row r="404" spans="1:7" x14ac:dyDescent="0.2">
      <c r="A404" s="1">
        <v>402</v>
      </c>
      <c r="B404" t="str">
        <f>HYPERLINK("https://eproc.rajasthan.gov.in/nicgep/app?component=%24DirectLink&amp;page=FrontEndViewTender&amp;service=direct&amp;session=T&amp;sp=SWzJytt6wcYs3YGcNENozjQ%3D%3D", "Construction of Missing link Road from Sankhwas to Senani km 0/0 to 11/500")</f>
        <v>Construction of Missing link Road from Sankhwas to Senani km 0/0 to 11/500</v>
      </c>
      <c r="C404" t="s">
        <v>196</v>
      </c>
      <c r="D404" t="s">
        <v>244</v>
      </c>
      <c r="E404" t="s">
        <v>960</v>
      </c>
      <c r="F404" t="s">
        <v>961</v>
      </c>
      <c r="G404" t="s">
        <v>846</v>
      </c>
    </row>
    <row r="405" spans="1:7" x14ac:dyDescent="0.2">
      <c r="A405" s="1">
        <v>403</v>
      </c>
      <c r="B405" t="str">
        <f>HYPERLINK("https://eproc.rajasthan.gov.in/nicgep/app?component=%24DirectLink&amp;page=FrontEndViewTender&amp;service=direct&amp;session=T&amp;sp=SA3l7YQbFfdvxrlcCqho2yA%3D%3D", "Construction of Road From Salempur to Baloti Dabra Shekpura Gothra Virbasan Devi Narauli Kailadevi with High Level Bridge Karauli")</f>
        <v>Construction of Road From Salempur to Baloti Dabra Shekpura Gothra Virbasan Devi Narauli Kailadevi with High Level Bridge Karauli</v>
      </c>
      <c r="C405" t="s">
        <v>880</v>
      </c>
      <c r="D405" t="s">
        <v>250</v>
      </c>
      <c r="E405" t="s">
        <v>962</v>
      </c>
      <c r="F405" t="s">
        <v>963</v>
      </c>
      <c r="G405" t="s">
        <v>964</v>
      </c>
    </row>
    <row r="406" spans="1:7" x14ac:dyDescent="0.2">
      <c r="A406" s="1">
        <v>404</v>
      </c>
      <c r="B406" t="str">
        <f>HYPERLINK("https://eproc.rajasthan.gov.in/nicgep/app?component=%24DirectLink&amp;page=FrontEndViewTender&amp;service=direct&amp;session=T&amp;sp=Sdz2flceMzMODoVTfworYew%3D%3D", "CONSTRUCTION OF VARIOIUS ROAD PACAGE NO. RJ-18-03/BA 15.01/25-26 UNDER BUDGET GHOSHNA 2025-26")</f>
        <v>CONSTRUCTION OF VARIOIUS ROAD PACAGE NO. RJ-18-03/BA 15.01/25-26 UNDER BUDGET GHOSHNA 2025-26</v>
      </c>
      <c r="C406" t="s">
        <v>586</v>
      </c>
      <c r="D406" t="s">
        <v>244</v>
      </c>
      <c r="E406" t="s">
        <v>965</v>
      </c>
      <c r="F406" t="s">
        <v>966</v>
      </c>
      <c r="G406" t="s">
        <v>588</v>
      </c>
    </row>
    <row r="407" spans="1:7" x14ac:dyDescent="0.2">
      <c r="A407" s="1">
        <v>405</v>
      </c>
      <c r="B407" t="str">
        <f>HYPERLINK("https://eproc.rajasthan.gov.in/nicgep/app?component=%24DirectLink&amp;page=FrontEndViewTender&amp;service=direct&amp;session=T&amp;sp=SYlNVoqXGwv7QWnXI%2FiC7kg%3D%3D", "CONSTRUCTION OF VARIOIUS ROAD PACAGE NO. RJ-18-01/BA 15.01/25-26 UNDER BUDGET GHOSHNA 2025-26")</f>
        <v>CONSTRUCTION OF VARIOIUS ROAD PACAGE NO. RJ-18-01/BA 15.01/25-26 UNDER BUDGET GHOSHNA 2025-26</v>
      </c>
      <c r="C407" t="s">
        <v>586</v>
      </c>
      <c r="D407" t="s">
        <v>244</v>
      </c>
      <c r="E407" t="s">
        <v>953</v>
      </c>
      <c r="F407" t="s">
        <v>967</v>
      </c>
      <c r="G407" t="s">
        <v>588</v>
      </c>
    </row>
    <row r="408" spans="1:7" x14ac:dyDescent="0.2">
      <c r="A408" s="1">
        <v>406</v>
      </c>
      <c r="B408" t="str">
        <f>HYPERLINK("https://eproc.rajasthan.gov.in/nicgep/app?component=%24DirectLink&amp;page=FrontEndViewTender&amp;service=direct&amp;session=T&amp;sp=SQyYNYTjVltV4N2SgqDQunA%3D%3D", "CONSTRUCTION OF VARIOIUS ROAD PACAGE NO. RJ-18-02/BA 15.01/25-26 UNDER BUDGET GHOSHNA 2025-26")</f>
        <v>CONSTRUCTION OF VARIOIUS ROAD PACAGE NO. RJ-18-02/BA 15.01/25-26 UNDER BUDGET GHOSHNA 2025-26</v>
      </c>
      <c r="C408" t="s">
        <v>586</v>
      </c>
      <c r="D408" t="s">
        <v>244</v>
      </c>
      <c r="E408" t="s">
        <v>968</v>
      </c>
      <c r="F408" t="s">
        <v>969</v>
      </c>
      <c r="G408" t="s">
        <v>588</v>
      </c>
    </row>
    <row r="409" spans="1:7" x14ac:dyDescent="0.2">
      <c r="A409" s="1">
        <v>407</v>
      </c>
      <c r="B409" t="str">
        <f>HYPERLINK("https://eproc.rajasthan.gov.in/nicgep/app?component=%24DirectLink&amp;page=FrontEndViewTender&amp;service=direct&amp;session=T&amp;sp=SKturlWP6NDzIeqPbVBMg7w%3D%3D", "CONSTRUCTION OF VARIOIUS ROAD PACAGE NO. RJ-18-05/BA 15.01/25-26 UNDER BUDGET GHOSHNA 2025-26")</f>
        <v>CONSTRUCTION OF VARIOIUS ROAD PACAGE NO. RJ-18-05/BA 15.01/25-26 UNDER BUDGET GHOSHNA 2025-26</v>
      </c>
      <c r="C409" t="s">
        <v>586</v>
      </c>
      <c r="D409" t="s">
        <v>244</v>
      </c>
      <c r="E409" t="s">
        <v>970</v>
      </c>
      <c r="F409" t="s">
        <v>971</v>
      </c>
      <c r="G409" t="s">
        <v>588</v>
      </c>
    </row>
    <row r="410" spans="1:7" x14ac:dyDescent="0.2">
      <c r="A410" s="1">
        <v>408</v>
      </c>
      <c r="B410" t="str">
        <f>HYPERLINK("https://eproc.rajasthan.gov.in/nicgep/app?component=%24DirectLink&amp;page=FrontEndViewTender&amp;service=direct&amp;session=T&amp;sp=Sm%2BSd8pEZgTbJyLjECWPUFw%3D%3D", "Construction of Alwar Jaipur Road to Silished Garwa Ji Road (Risk and Cost)")</f>
        <v>Construction of Alwar Jaipur Road to Silished Garwa Ji Road (Risk and Cost)</v>
      </c>
      <c r="C410" t="s">
        <v>64</v>
      </c>
      <c r="D410" t="s">
        <v>209</v>
      </c>
      <c r="E410" t="s">
        <v>972</v>
      </c>
      <c r="F410" t="s">
        <v>973</v>
      </c>
      <c r="G410" t="s">
        <v>67</v>
      </c>
    </row>
    <row r="411" spans="1:7" x14ac:dyDescent="0.2">
      <c r="A411" s="1">
        <v>409</v>
      </c>
      <c r="B411" t="str">
        <f>HYPERLINK("https://eproc.rajasthan.gov.in/nicgep/app?component=%24DirectLink&amp;page=FrontEndViewTender&amp;service=direct&amp;session=T&amp;sp=SGENpE%2B1Z%2BJkHyV1HN558AQ%3D%3D", "Widening of road Chandgothi to Rampura Via Bhainsali Km 0/0 to 19/0")</f>
        <v>Widening of road Chandgothi to Rampura Via Bhainsali Km 0/0 to 19/0</v>
      </c>
      <c r="C411" t="s">
        <v>368</v>
      </c>
      <c r="D411" t="s">
        <v>140</v>
      </c>
      <c r="E411" t="s">
        <v>974</v>
      </c>
      <c r="F411" t="s">
        <v>975</v>
      </c>
      <c r="G411" t="s">
        <v>976</v>
      </c>
    </row>
    <row r="412" spans="1:7" x14ac:dyDescent="0.2">
      <c r="A412" s="1">
        <v>410</v>
      </c>
      <c r="B412" t="str">
        <f>HYPERLINK("https://eproc.rajasthan.gov.in/nicgep/app?component=%24DirectLink&amp;page=FrontEndViewTender&amp;service=direct&amp;session=T&amp;sp=S42PWXMLzsvk0N83aollNKA%3D%3D", "Widening of road Hameerwas to Rampura Via Bewad Km 0/0 to 15/0")</f>
        <v>Widening of road Hameerwas to Rampura Via Bewad Km 0/0 to 15/0</v>
      </c>
      <c r="C412" t="s">
        <v>368</v>
      </c>
      <c r="D412" t="s">
        <v>140</v>
      </c>
      <c r="E412" t="s">
        <v>977</v>
      </c>
      <c r="F412" t="s">
        <v>978</v>
      </c>
      <c r="G412" t="s">
        <v>976</v>
      </c>
    </row>
    <row r="413" spans="1:7" x14ac:dyDescent="0.2">
      <c r="A413" s="1">
        <v>411</v>
      </c>
      <c r="B413" t="str">
        <f>HYPERLINK("https://eproc.rajasthan.gov.in/nicgep/app?component=%24DirectLink&amp;page=FrontEndViewTender&amp;service=direct&amp;session=T&amp;sp=S1p9Dt3xLTQfMyx7Wpun%2FBA%3D%3D", "Widening of road Harpalu to Rampura Via Bhojan Km 0/0 to 23/0")</f>
        <v>Widening of road Harpalu to Rampura Via Bhojan Km 0/0 to 23/0</v>
      </c>
      <c r="C413" t="s">
        <v>368</v>
      </c>
      <c r="D413" t="s">
        <v>140</v>
      </c>
      <c r="E413" t="s">
        <v>979</v>
      </c>
      <c r="F413" t="s">
        <v>980</v>
      </c>
      <c r="G413" t="s">
        <v>976</v>
      </c>
    </row>
    <row r="414" spans="1:7" x14ac:dyDescent="0.2">
      <c r="A414" s="1">
        <v>412</v>
      </c>
      <c r="B414" t="str">
        <f>HYPERLINK("https://eproc.rajasthan.gov.in/nicgep/app?component=%24DirectLink&amp;page=FrontEndViewTender&amp;service=direct&amp;session=T&amp;sp=SamamDsQ%2BH6Gbsg2ffRSGvA%3D%3D", "Repair and Maintenance of BOT Road Kota-Itawa-Khatoli Jharel ke Balaji (SH-70)")</f>
        <v>Repair and Maintenance of BOT Road Kota-Itawa-Khatoli Jharel ke Balaji (SH-70)</v>
      </c>
      <c r="C414" t="s">
        <v>196</v>
      </c>
      <c r="D414" t="s">
        <v>26</v>
      </c>
      <c r="E414" t="s">
        <v>981</v>
      </c>
      <c r="F414" t="s">
        <v>982</v>
      </c>
      <c r="G414" t="s">
        <v>132</v>
      </c>
    </row>
    <row r="415" spans="1:7" x14ac:dyDescent="0.2">
      <c r="A415" s="1">
        <v>413</v>
      </c>
      <c r="B415" t="str">
        <f>HYPERLINK("https://eproc.rajasthan.gov.in/nicgep/app?component=%24DirectLink&amp;page=FrontEndViewTender&amp;service=direct&amp;session=T&amp;sp=SoXaPFleC3N5P7%2FntqFRjBQ%3D%3D", "Widening and Strengthening work of Bhadoti Khirni Bonli Lakhanpur Mitrapura Borda Datwas NH-11A Extension Km 48/200 to 49/500 (MDR-233) in District Tonk")</f>
        <v>Widening and Strengthening work of Bhadoti Khirni Bonli Lakhanpur Mitrapura Borda Datwas NH-11A Extension Km 48/200 to 49/500 (MDR-233) in District Tonk</v>
      </c>
      <c r="C415" t="s">
        <v>200</v>
      </c>
      <c r="D415" t="s">
        <v>398</v>
      </c>
      <c r="E415" t="s">
        <v>983</v>
      </c>
      <c r="F415" t="s">
        <v>984</v>
      </c>
      <c r="G415" t="s">
        <v>204</v>
      </c>
    </row>
    <row r="416" spans="1:7" x14ac:dyDescent="0.2">
      <c r="A416" s="1">
        <v>414</v>
      </c>
      <c r="B416" t="str">
        <f>HYPERLINK("https://eproc.rajasthan.gov.in/nicgep/app?component=%24DirectLink&amp;page=FrontEndViewTender&amp;service=direct&amp;session=T&amp;sp=ShU2kvAJK4w7I%2F90EhyjrrQ%3D%3D", "Strengthening and Renewal work of road from Isarda to Madhorajpura Via Solpur")</f>
        <v>Strengthening and Renewal work of road from Isarda to Madhorajpura Via Solpur</v>
      </c>
      <c r="C416" t="s">
        <v>479</v>
      </c>
      <c r="D416" t="s">
        <v>398</v>
      </c>
      <c r="E416" t="s">
        <v>407</v>
      </c>
      <c r="F416" t="s">
        <v>985</v>
      </c>
      <c r="G416" t="s">
        <v>87</v>
      </c>
    </row>
    <row r="417" spans="1:7" x14ac:dyDescent="0.2">
      <c r="A417" s="1">
        <v>415</v>
      </c>
      <c r="B417" t="str">
        <f>HYPERLINK("https://eproc.rajasthan.gov.in/nicgep/app?component=%24DirectLink&amp;page=FrontEndViewTender&amp;service=direct&amp;session=T&amp;sp=SqS8NsJCkSXVtkFXxrGOGjQ%3D%3D", "Strengthening and Renewal Of Khandar To Sanwata Via Naipur Talawada ODR 18 Road")</f>
        <v>Strengthening and Renewal Of Khandar To Sanwata Via Naipur Talawada ODR 18 Road</v>
      </c>
      <c r="C417" t="s">
        <v>479</v>
      </c>
      <c r="D417" t="s">
        <v>398</v>
      </c>
      <c r="E417" t="s">
        <v>986</v>
      </c>
      <c r="F417" t="s">
        <v>987</v>
      </c>
      <c r="G417" t="s">
        <v>87</v>
      </c>
    </row>
    <row r="418" spans="1:7" x14ac:dyDescent="0.2">
      <c r="A418" s="1">
        <v>416</v>
      </c>
      <c r="B418" t="str">
        <f>HYPERLINK("https://eproc.rajasthan.gov.in/nicgep/app?component=%24DirectLink&amp;page=FrontEndViewTender&amp;service=direct&amp;session=T&amp;sp=S8c9jiw1jRzmp33O5%2FsjWfg%3D%3D", "Strengthening of Sumerganjmandi Daulatpura Kamleshwar Mahadev Chitara Lahsoda Bodal upto NH 552 on MDR 131 KM 34/0 to 42/0")</f>
        <v>Strengthening of Sumerganjmandi Daulatpura Kamleshwar Mahadev Chitara Lahsoda Bodal upto NH 552 on MDR 131 KM 34/0 to 42/0</v>
      </c>
      <c r="C418" t="s">
        <v>479</v>
      </c>
      <c r="D418" t="s">
        <v>398</v>
      </c>
      <c r="E418" t="s">
        <v>988</v>
      </c>
      <c r="F418" t="s">
        <v>989</v>
      </c>
      <c r="G418" t="s">
        <v>87</v>
      </c>
    </row>
    <row r="419" spans="1:7" x14ac:dyDescent="0.2">
      <c r="A419" s="1">
        <v>417</v>
      </c>
      <c r="B419" t="str">
        <f>HYPERLINK("https://eproc.rajasthan.gov.in/nicgep/app?component=%24DirectLink&amp;page=FrontEndViewTender&amp;service=direct&amp;session=T&amp;sp=Sk323NuwlmL7LXcMuWpiWrg%3D%3D", "Strengthening and Renewal Of Pancholas to Phalodi road with RCC culvert on Kalyanpura Nallah")</f>
        <v>Strengthening and Renewal Of Pancholas to Phalodi road with RCC culvert on Kalyanpura Nallah</v>
      </c>
      <c r="C419" t="s">
        <v>479</v>
      </c>
      <c r="D419" t="s">
        <v>398</v>
      </c>
      <c r="E419" t="s">
        <v>990</v>
      </c>
      <c r="F419" t="s">
        <v>991</v>
      </c>
      <c r="G419" t="s">
        <v>87</v>
      </c>
    </row>
    <row r="420" spans="1:7" x14ac:dyDescent="0.2">
      <c r="A420" s="1">
        <v>418</v>
      </c>
      <c r="B420" t="str">
        <f>HYPERLINK("https://eproc.rajasthan.gov.in/nicgep/app?component=%24DirectLink&amp;page=FrontEndViewTender&amp;service=direct&amp;session=T&amp;sp=SDEJ0ySIJK36ebKh30qjMUA%3D%3D", "Construction of High Level Bridge work at Nathari Peeplu Ranoli Kathmana Road (SH-121) Bhopta Nala Nathari to Peeplu Road)")</f>
        <v>Construction of High Level Bridge work at Nathari Peeplu Ranoli Kathmana Road (SH-121) Bhopta Nala Nathari to Peeplu Road)</v>
      </c>
      <c r="C420" t="s">
        <v>200</v>
      </c>
      <c r="D420" t="s">
        <v>398</v>
      </c>
      <c r="E420" t="s">
        <v>334</v>
      </c>
      <c r="F420" t="s">
        <v>992</v>
      </c>
      <c r="G420" t="s">
        <v>204</v>
      </c>
    </row>
    <row r="421" spans="1:7" x14ac:dyDescent="0.2">
      <c r="A421" s="1">
        <v>419</v>
      </c>
      <c r="B421" t="str">
        <f>HYPERLINK("https://eproc.rajasthan.gov.in/nicgep/app?component=%24DirectLink&amp;page=FrontEndViewTender&amp;service=direct&amp;session=T&amp;sp=SZegVjoh%2F85QVTLO9SL3qfA%3D%3D", "Widening and Strengthening work of Road from SH-117 to Jebadiya with Vented Causeway")</f>
        <v>Widening and Strengthening work of Road from SH-117 to Jebadiya with Vented Causeway</v>
      </c>
      <c r="C421" t="s">
        <v>200</v>
      </c>
      <c r="D421" t="s">
        <v>398</v>
      </c>
      <c r="E421" t="s">
        <v>559</v>
      </c>
      <c r="F421" t="s">
        <v>993</v>
      </c>
      <c r="G421" t="s">
        <v>204</v>
      </c>
    </row>
    <row r="422" spans="1:7" x14ac:dyDescent="0.2">
      <c r="A422" s="1">
        <v>420</v>
      </c>
      <c r="B422" t="str">
        <f>HYPERLINK("https://eproc.rajasthan.gov.in/nicgep/app?component=%24DirectLink&amp;page=FrontEndViewTender&amp;service=direct&amp;session=T&amp;sp=SpRDNyfA%2Fmx2Fj7pd7kII3Q%3D%3D", "Construction of BT Road on WBM Road Malasar to Punaniyo godara ki Dhani in MLA-LAD Sceme")</f>
        <v>Construction of BT Road on WBM Road Malasar to Punaniyo godara ki Dhani in MLA-LAD Sceme</v>
      </c>
      <c r="C422" t="s">
        <v>994</v>
      </c>
      <c r="D422" t="s">
        <v>26</v>
      </c>
      <c r="E422" t="s">
        <v>995</v>
      </c>
      <c r="F422" t="s">
        <v>996</v>
      </c>
      <c r="G422" t="s">
        <v>997</v>
      </c>
    </row>
    <row r="423" spans="1:7" x14ac:dyDescent="0.2">
      <c r="A423" s="1">
        <v>421</v>
      </c>
      <c r="B423" t="str">
        <f>HYPERLINK("https://eproc.rajasthan.gov.in/nicgep/app?component=%24DirectLink&amp;page=FrontEndViewTender&amp;service=direct&amp;session=T&amp;sp=S9794o9aQQscJ3wuTEoWorA%3D%3D", "Construction of BT Road on WBM Medajagir ganv to Data Sarhad in MLA-LAD Sceme")</f>
        <v>Construction of BT Road on WBM Medajagir ganv to Data Sarhad in MLA-LAD Sceme</v>
      </c>
      <c r="C423" t="s">
        <v>994</v>
      </c>
      <c r="D423" t="s">
        <v>26</v>
      </c>
      <c r="E423" t="s">
        <v>998</v>
      </c>
      <c r="F423" t="s">
        <v>999</v>
      </c>
      <c r="G423" t="s">
        <v>1000</v>
      </c>
    </row>
    <row r="424" spans="1:7" x14ac:dyDescent="0.2">
      <c r="A424" s="1">
        <v>422</v>
      </c>
      <c r="B424" t="str">
        <f>HYPERLINK("https://eproc.rajasthan.gov.in/nicgep/app?component=%24DirectLink&amp;page=FrontEndViewTender&amp;service=direct&amp;session=T&amp;sp=SSKy4%2BkkV1ou8NjXIXy63mQ%3D%3D", "Construction of BT Road Bhimguda Kalki ki Beri to Netaram ki Dhani to Punaniyo Godara ki Dhani in MLA-LAD Sceme")</f>
        <v>Construction of BT Road Bhimguda Kalki ki Beri to Netaram ki Dhani to Punaniyo Godara ki Dhani in MLA-LAD Sceme</v>
      </c>
      <c r="C424" t="s">
        <v>994</v>
      </c>
      <c r="D424" t="s">
        <v>26</v>
      </c>
      <c r="E424" t="s">
        <v>1001</v>
      </c>
      <c r="F424" t="s">
        <v>1002</v>
      </c>
      <c r="G424" t="s">
        <v>1003</v>
      </c>
    </row>
    <row r="425" spans="1:7" x14ac:dyDescent="0.2">
      <c r="A425" s="1">
        <v>423</v>
      </c>
      <c r="B425" t="str">
        <f>HYPERLINK("https://eproc.rajasthan.gov.in/nicgep/app?component=%24DirectLink&amp;page=FrontEndViewTender&amp;service=direct&amp;session=T&amp;sp=SelKKYWkkTcgjMmgU64wXaQ%3D%3D", "Construction of BT Road on Meda jagir Ganv to Badsam Sarhad in MLA-LAD Sceme")</f>
        <v>Construction of BT Road on Meda jagir Ganv to Badsam Sarhad in MLA-LAD Sceme</v>
      </c>
      <c r="C425" t="s">
        <v>994</v>
      </c>
      <c r="D425" t="s">
        <v>26</v>
      </c>
      <c r="E425" t="s">
        <v>1004</v>
      </c>
      <c r="F425" t="s">
        <v>1005</v>
      </c>
      <c r="G425" t="s">
        <v>1003</v>
      </c>
    </row>
    <row r="426" spans="1:7" x14ac:dyDescent="0.2">
      <c r="A426" s="1">
        <v>424</v>
      </c>
      <c r="B426" t="str">
        <f>HYPERLINK("https://eproc.rajasthan.gov.in/nicgep/app?component=%24DirectLink&amp;page=FrontEndViewTender&amp;service=direct&amp;session=T&amp;sp=SI%2BBo8CPMYO3N%2F7EN6iNNOA%3D%3D", "Construction of BT Road on WBM Vediya to Mehacharam rebari ki dhani amp Bhuram Thoriki Dhani in MLALAD Sceme")</f>
        <v>Construction of BT Road on WBM Vediya to Mehacharam rebari ki dhani amp Bhuram Thoriki Dhani in MLALAD Sceme</v>
      </c>
      <c r="C426" t="s">
        <v>994</v>
      </c>
      <c r="D426" t="s">
        <v>26</v>
      </c>
      <c r="E426" t="s">
        <v>1006</v>
      </c>
      <c r="F426" t="s">
        <v>1007</v>
      </c>
      <c r="G426" t="s">
        <v>1003</v>
      </c>
    </row>
    <row r="427" spans="1:7" x14ac:dyDescent="0.2">
      <c r="A427" s="1">
        <v>425</v>
      </c>
      <c r="B427" t="str">
        <f>HYPERLINK("https://eproc.rajasthan.gov.in/nicgep/app?component=%24DirectLink&amp;page=FrontEndViewTender&amp;service=direct&amp;session=T&amp;sp=SPtIC3MDeWnx79Yzotghhng%3D%3D", "Reconstruction Work of Boys Ashram Hostal (TAD) at Danpur, Panchayat Samiti Chhoti Sarwan, Distt. Banswara (70 Beded)")</f>
        <v>Reconstruction Work of Boys Ashram Hostal (TAD) at Danpur, Panchayat Samiti Chhoti Sarwan, Distt. Banswara (70 Beded)</v>
      </c>
      <c r="C427" t="s">
        <v>751</v>
      </c>
      <c r="D427" t="s">
        <v>21</v>
      </c>
      <c r="E427" t="s">
        <v>1008</v>
      </c>
      <c r="F427" t="s">
        <v>1009</v>
      </c>
      <c r="G427" t="s">
        <v>754</v>
      </c>
    </row>
    <row r="428" spans="1:7" x14ac:dyDescent="0.2">
      <c r="A428" s="1">
        <v>426</v>
      </c>
      <c r="B428" t="str">
        <f>HYPERLINK("https://eproc.rajasthan.gov.in/nicgep/app?component=%24DirectLink&amp;page=FrontEndViewTender&amp;service=direct&amp;session=T&amp;sp=Suw0GYggADOFyJX10GAcElQ%3D%3D", "Major Repair and Modernization of Existing EMRS Newai (Raj.)")</f>
        <v>Major Repair and Modernization of Existing EMRS Newai (Raj.)</v>
      </c>
      <c r="C428" t="s">
        <v>200</v>
      </c>
      <c r="D428" t="s">
        <v>674</v>
      </c>
      <c r="E428" t="s">
        <v>1010</v>
      </c>
      <c r="F428" t="s">
        <v>1011</v>
      </c>
      <c r="G428" t="s">
        <v>204</v>
      </c>
    </row>
    <row r="429" spans="1:7" x14ac:dyDescent="0.2">
      <c r="A429" s="1">
        <v>427</v>
      </c>
      <c r="B429" t="str">
        <f>HYPERLINK("https://eproc.rajasthan.gov.in/nicgep/app?component=%24DirectLink&amp;page=FrontEndViewTender&amp;service=direct&amp;session=T&amp;sp=SXJ5SBsqVrCCrfEMXcZIUzQ%3D%3D", "Construction of Non Patchable Missing link on various roads in Ajmer District PackageNo RJ-01-02 LGS-2022-23 North 2025-26 Revised")</f>
        <v>Construction of Non Patchable Missing link on various roads in Ajmer District PackageNo RJ-01-02 LGS-2022-23 North 2025-26 Revised</v>
      </c>
      <c r="C429" t="s">
        <v>159</v>
      </c>
      <c r="D429" t="s">
        <v>26</v>
      </c>
      <c r="E429" t="s">
        <v>1012</v>
      </c>
      <c r="F429" t="s">
        <v>1013</v>
      </c>
      <c r="G429" t="s">
        <v>170</v>
      </c>
    </row>
    <row r="430" spans="1:7" x14ac:dyDescent="0.2">
      <c r="A430" s="1">
        <v>428</v>
      </c>
      <c r="B430" t="str">
        <f>HYPERLINK("https://eproc.rajasthan.gov.in/nicgep/app?component=%24DirectLink&amp;page=FrontEndViewTender&amp;service=direct&amp;session=T&amp;sp=S5o80lj%2FqzK0LP5DGQoHwsQ%3D%3D", "Construction of Non Patchable-Missing link on various roads in Ajmer District Package No RJ-01-01 LGS-2021-22 North 2025-26 Revised")</f>
        <v>Construction of Non Patchable-Missing link on various roads in Ajmer District Package No RJ-01-01 LGS-2021-22 North 2025-26 Revised</v>
      </c>
      <c r="C430" t="s">
        <v>159</v>
      </c>
      <c r="D430" t="s">
        <v>26</v>
      </c>
      <c r="E430" t="s">
        <v>1014</v>
      </c>
      <c r="F430" t="s">
        <v>1015</v>
      </c>
      <c r="G430" t="s">
        <v>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Goyal, Vakul</cp:lastModifiedBy>
  <dcterms:created xsi:type="dcterms:W3CDTF">2025-05-17T13:16:17Z</dcterms:created>
  <dcterms:modified xsi:type="dcterms:W3CDTF">2025-06-24T19:11:00Z</dcterms:modified>
</cp:coreProperties>
</file>