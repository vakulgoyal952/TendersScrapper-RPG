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Title</t>
        </is>
      </c>
      <c r="C1" s="1" t="inlineStr">
        <is>
          <t>Organisation Chain</t>
        </is>
      </c>
      <c r="D1" s="1" t="inlineStr">
        <is>
          <t>Closing Date</t>
        </is>
      </c>
      <c r="E1" s="1" t="inlineStr">
        <is>
          <t>Amount</t>
        </is>
      </c>
      <c r="F1" s="1" t="inlineStr">
        <is>
          <t>Work Description</t>
        </is>
      </c>
      <c r="G1" s="1" t="inlineStr">
        <is>
          <t>Location</t>
        </is>
      </c>
    </row>
    <row r="2">
      <c r="A2" s="1" t="n">
        <v>0</v>
      </c>
      <c r="B2">
        <f>HYPERLINK("https://eproc.rajasthan.gov.in/nicgep/app?component=%24DirectLink&amp;page=FrontEndViewTender&amp;service=direct&amp;session=T&amp;sp=SCTDt%2FjJ8ZMTjAY4ITyW6%2BQ%3D%3D", "Construction, Widening, Beuatification and drainage for storm water road from Shisham tiraha to kalibagichi to heeradas circle Chamad mata mandir to sarso anusandhan kendra bharatpur.")</f>
        <v/>
      </c>
      <c r="C2" t="inlineStr">
        <is>
          <t>UIT- Bharatpur||Secy||XEn</t>
        </is>
      </c>
      <c r="D2" t="inlineStr">
        <is>
          <t>16-Jun-2025 06:00 PM</t>
        </is>
      </c>
      <c r="E2" t="inlineStr">
        <is>
          <t>66,57,00,000</t>
        </is>
      </c>
      <c r="F2" t="inlineStr">
        <is>
          <t>Construction, Widening, Beuatification and drainage for storm water road from Shisham tiraha to kalibagichi to heeradas circle Chamad mata mandir to sarso anusandhan kendra bharatpur.</t>
        </is>
      </c>
      <c r="G2" t="inlineStr">
        <is>
          <t>bharatpur</t>
        </is>
      </c>
    </row>
    <row r="3">
      <c r="A3" s="1" t="n">
        <v>1</v>
      </c>
      <c r="B3">
        <f>HYPERLINK("https://eproc.rajasthan.gov.in/nicgep/app?component=%24DirectLink&amp;page=FrontEndViewTender&amp;service=direct&amp;session=T&amp;sp=SXyGWd4B52g2UPeN%2Ffb5%2FEQ%3D%3D", "Work of shifting of electric poles from Sheesham Tirahe to Hiradas Chauraha via Kali Baghi and from Chamad Mata Mandir to Mustard Research Center.")</f>
        <v/>
      </c>
      <c r="C3" t="inlineStr">
        <is>
          <t>UIT- Bharatpur||Secy||XEn</t>
        </is>
      </c>
      <c r="D3" t="inlineStr">
        <is>
          <t>30-May-2025 06:00 PM</t>
        </is>
      </c>
      <c r="E3" t="inlineStr">
        <is>
          <t>15,82,39,000</t>
        </is>
      </c>
      <c r="F3" t="inlineStr">
        <is>
          <t>Work of shifting of electric poles from Sheesham Tirahe to Hiradas Chauraha via Kali Baghi and from Chamad Mata Mandir to Mustard Research Center.</t>
        </is>
      </c>
      <c r="G3" t="inlineStr">
        <is>
          <t>bharatpur</t>
        </is>
      </c>
    </row>
    <row r="4">
      <c r="A4" s="1" t="n">
        <v>2</v>
      </c>
      <c r="B4">
        <f>HYPERLINK("https://eproc.rajasthan.gov.in/nicgep/app?component=%24DirectLink&amp;page=FrontEndViewTender&amp;service=direct&amp;session=T&amp;sp=SCCa2xGUZXwv9vrulCIXOig%3D%3D", "B-Narayan Gate Construction of drain from to Mathura Gate")</f>
        <v/>
      </c>
      <c r="C4" t="inlineStr">
        <is>
          <t>UIT- Bharatpur||Secy||XEn</t>
        </is>
      </c>
      <c r="D4" t="inlineStr">
        <is>
          <t>30-May-2025 06:00 PM</t>
        </is>
      </c>
      <c r="E4" t="inlineStr">
        <is>
          <t>4,91,56,000</t>
        </is>
      </c>
      <c r="F4" t="inlineStr">
        <is>
          <t>B-Narayan Gate Construction of drain from to Mathura Gate</t>
        </is>
      </c>
      <c r="G4" t="inlineStr">
        <is>
          <t>bharatpur</t>
        </is>
      </c>
    </row>
    <row r="5">
      <c r="A5" s="1" t="n">
        <v>3</v>
      </c>
      <c r="B5">
        <f>HYPERLINK("https://eproc.rajasthan.gov.in/nicgep/app?component=%24DirectLink&amp;page=FrontEndViewTender&amp;service=direct&amp;session=T&amp;sp=SSCGwB%2BUAn8TZRLuwy7BHfg%3D%3D", "Road asphalting and footpath, boundary wall and other construction works in Authority scheme number-13.")</f>
        <v/>
      </c>
      <c r="C5" t="inlineStr">
        <is>
          <t>UIT- Bharatpur||Secy||XEn</t>
        </is>
      </c>
      <c r="D5" t="inlineStr">
        <is>
          <t>30-May-2025 06:00 PM</t>
        </is>
      </c>
      <c r="E5" t="inlineStr">
        <is>
          <t>40,00,00,000</t>
        </is>
      </c>
      <c r="F5" t="inlineStr">
        <is>
          <t>Road asphalting and footpath, boundary wall and other construction works in Authority scheme number-13.</t>
        </is>
      </c>
      <c r="G5" t="inlineStr">
        <is>
          <t>bharatpur</t>
        </is>
      </c>
    </row>
    <row r="6">
      <c r="A6" s="1" t="n">
        <v>4</v>
      </c>
      <c r="B6">
        <f>HYPERLINK("https://eproc.rajasthan.gov.in/nicgep/app?component=%24DirectLink&amp;page=FrontEndViewTender&amp;service=direct&amp;session=T&amp;sp=S6FgpQbSX6wKj887fNnK8dQ%3D%3D", "Construction work of footpaths and pathways as per requirement at various places in Bharatpur Development Authority area. (Annual)")</f>
        <v/>
      </c>
      <c r="C6" t="inlineStr">
        <is>
          <t>UIT- Bharatpur||Secy||XEn</t>
        </is>
      </c>
      <c r="D6" t="inlineStr">
        <is>
          <t>19-May-2025 06:00 PM</t>
        </is>
      </c>
      <c r="E6" t="inlineStr">
        <is>
          <t>99,95,000</t>
        </is>
      </c>
      <c r="F6" t="inlineStr">
        <is>
          <t>Construction work of footpaths and pathways as per requirement at various places in Bharatpur Development Authority area. (Annual)</t>
        </is>
      </c>
      <c r="G6" t="inlineStr">
        <is>
          <t>BHARATPUR</t>
        </is>
      </c>
    </row>
    <row r="7">
      <c r="A7" s="1" t="n">
        <v>5</v>
      </c>
      <c r="B7">
        <f>HYPERLINK("https://eproc.rajasthan.gov.in/nicgep/app?component=%24DirectLink&amp;page=FrontEndViewTender&amp;service=direct&amp;session=T&amp;sp=SBZQ4n3I7AqR1fqa%2BU6NFuw%3D%3D", "Work of temporary lighting, decoration and mike sound arrangement as per requirement at various places in the development authority area (annual)")</f>
        <v/>
      </c>
      <c r="C7" t="inlineStr">
        <is>
          <t>UIT- Bharatpur||Secy||XEn</t>
        </is>
      </c>
      <c r="D7" t="inlineStr">
        <is>
          <t>19-May-2025 06:00 PM</t>
        </is>
      </c>
      <c r="E7" t="inlineStr">
        <is>
          <t>1,30,00,000</t>
        </is>
      </c>
      <c r="F7" t="inlineStr">
        <is>
          <t>Work of temporary lighting, decoration and mike sound arrangement as per requirement at various places in the development authority area (annual)</t>
        </is>
      </c>
      <c r="G7" t="inlineStr">
        <is>
          <t>BHARATPUR</t>
        </is>
      </c>
    </row>
    <row r="8">
      <c r="A8" s="1" t="n">
        <v>6</v>
      </c>
      <c r="B8">
        <f>HYPERLINK("https://eproc.rajasthan.gov.in/nicgep/app?component=%24DirectLink&amp;page=FrontEndViewTender&amp;service=direct&amp;session=T&amp;sp=ShtQHKKWl1YamrQ8KsY3NnQ%3D%3D", "Repair and construction of drains, gutters and cross works as per requirement at various places in Bharatpur Development Authority area. (Annual)")</f>
        <v/>
      </c>
      <c r="C8" t="inlineStr">
        <is>
          <t>UIT- Bharatpur||Secy||XEn</t>
        </is>
      </c>
      <c r="D8" t="inlineStr">
        <is>
          <t>19-May-2025 06:00 PM</t>
        </is>
      </c>
      <c r="E8" t="inlineStr">
        <is>
          <t>97,89,000</t>
        </is>
      </c>
      <c r="F8" t="inlineStr">
        <is>
          <t>Repair and construction of drains, gutters and cross works as per requirement at various places in Bharatpur Development Authority area. (Annual)</t>
        </is>
      </c>
      <c r="G8" t="inlineStr">
        <is>
          <t>bharatpur</t>
        </is>
      </c>
    </row>
    <row r="9">
      <c r="A9" s="1" t="n">
        <v>7</v>
      </c>
      <c r="B9">
        <f>HYPERLINK("https://eproc.rajasthan.gov.in/nicgep/app?component=%24DirectLink&amp;page=FrontEndViewTender&amp;service=direct&amp;session=T&amp;sp=S6H%2BP0OXorjVgqQffUml1iw%3D%3D", "Work of laying pipeline from Jawahar Nagar cemetery to Kachcha Kunda.")</f>
        <v/>
      </c>
      <c r="C9" t="inlineStr">
        <is>
          <t>UIT- Bharatpur||Secy||XEn</t>
        </is>
      </c>
      <c r="D9" t="inlineStr">
        <is>
          <t>19-May-2025 06:00 PM</t>
        </is>
      </c>
      <c r="E9" t="inlineStr">
        <is>
          <t>18,22,000</t>
        </is>
      </c>
      <c r="F9" t="inlineStr">
        <is>
          <t>Work of laying pipeline from Jawahar Nagar cemetery to Kachcha Kunda.</t>
        </is>
      </c>
      <c r="G9" t="inlineStr">
        <is>
          <t>BHARATPUR</t>
        </is>
      </c>
    </row>
    <row r="10">
      <c r="A10" s="1" t="n">
        <v>8</v>
      </c>
      <c r="B10">
        <f>HYPERLINK("https://eproc.rajasthan.gov.in/nicgep/app?component=%24DirectLink&amp;page=FrontEndViewTender&amp;service=direct&amp;session=T&amp;sp=S3sxUGudmchLwBnzCUMqaEw%3D%3D", "Work of installation of decorative electrical poles and lights from NH 21 to Saluja Nursing Home in front of Jaswant Exhibition and Ghna Gate.")</f>
        <v/>
      </c>
      <c r="C10" t="inlineStr">
        <is>
          <t>UIT- Bharatpur||Secy||XEn</t>
        </is>
      </c>
      <c r="D10" t="inlineStr">
        <is>
          <t>27-May-2025 06:00 PM</t>
        </is>
      </c>
      <c r="E10" t="inlineStr">
        <is>
          <t>1,95,61,000</t>
        </is>
      </c>
      <c r="F10" t="inlineStr">
        <is>
          <t>Work of installation of decorative electrical poles and lights from NH 21 to Saluja Nursing Home in front of Jaswant Exhibition and Ghna Gate.</t>
        </is>
      </c>
      <c r="G10" t="inlineStr">
        <is>
          <t>BHARATPUR</t>
        </is>
      </c>
    </row>
    <row r="11">
      <c r="A11" s="1" t="n">
        <v>9</v>
      </c>
      <c r="B11">
        <f>HYPERLINK("https://eproc.rajasthan.gov.in/nicgep/app?component=%24DirectLink&amp;page=FrontEndViewTender&amp;service=direct&amp;session=T&amp;sp=SNzegT4G4ekGshBGU%2BpDZbA%3D%3D", "Work of replacing street lights installed on Circular Road.")</f>
        <v/>
      </c>
      <c r="C11" t="inlineStr">
        <is>
          <t>UIT- Bharatpur||Secy||XEn</t>
        </is>
      </c>
      <c r="D11" t="inlineStr">
        <is>
          <t>27-May-2025 06:00 PM</t>
        </is>
      </c>
      <c r="E11" t="inlineStr">
        <is>
          <t>97,45,000</t>
        </is>
      </c>
      <c r="F11" t="inlineStr">
        <is>
          <t>Work of replacing street lights installed on Circular Road.</t>
        </is>
      </c>
      <c r="G11" t="inlineStr">
        <is>
          <t>BHARATPUR</t>
        </is>
      </c>
    </row>
    <row r="12">
      <c r="A12" s="1" t="n">
        <v>10</v>
      </c>
      <c r="B12">
        <f>HYPERLINK("https://eproc.rajasthan.gov.in/nicgep/app?component=%24DirectLink&amp;page=FrontEndViewTender&amp;service=direct&amp;session=T&amp;sp=Sqja%2Fqcxts8F085hpXs%2BXuQ%3D%3D", "Construction work of food street plaza chowpatty in rural market, Lohagarh fort and Jaswant Exhibition fair ground of Bharatpur city.")</f>
        <v/>
      </c>
      <c r="C12" t="inlineStr">
        <is>
          <t>UIT- Bharatpur||Secy||XEn</t>
        </is>
      </c>
      <c r="D12" t="inlineStr">
        <is>
          <t>27-May-2025 06:00 PM</t>
        </is>
      </c>
      <c r="E12" t="inlineStr">
        <is>
          <t>3,00,00,000</t>
        </is>
      </c>
      <c r="F12" t="inlineStr">
        <is>
          <t>Construction work of food street plaza chowpatty in rural market, Lohagarh fort and Jaswant Exhibition fair ground of Bharatpur city.</t>
        </is>
      </c>
      <c r="G12" t="inlineStr">
        <is>
          <t>BHARATPUR</t>
        </is>
      </c>
    </row>
    <row r="13">
      <c r="A13" s="1" t="n">
        <v>11</v>
      </c>
      <c r="B13">
        <f>HYPERLINK("https://eproc.rajasthan.gov.in/nicgep/app?component=%24DirectLink&amp;page=FrontEndViewTender&amp;service=direct&amp;session=T&amp;sp=S25mxIkAOVG1Po40HGld1jQ%3D%3D", "Work of installing lighting around 07 ponds in the authority area in the city.")</f>
        <v/>
      </c>
      <c r="C13" t="inlineStr">
        <is>
          <t>UIT- Bharatpur||Secy||XEn</t>
        </is>
      </c>
      <c r="D13" t="inlineStr">
        <is>
          <t>27-May-2025 06:00 PM</t>
        </is>
      </c>
      <c r="E13" t="inlineStr">
        <is>
          <t>55,69,000</t>
        </is>
      </c>
      <c r="F13" t="inlineStr">
        <is>
          <t>Work of installing lighting around 07 ponds in the authority area in the city.</t>
        </is>
      </c>
      <c r="G13" t="inlineStr">
        <is>
          <t>BHARATPUR</t>
        </is>
      </c>
    </row>
    <row r="14">
      <c r="A14" s="1" t="n">
        <v>12</v>
      </c>
      <c r="B14">
        <f>HYPERLINK("https://eproc.rajasthan.gov.in/nicgep/app?component=%24DirectLink&amp;page=FrontEndViewTender&amp;service=direct&amp;session=T&amp;sp=SI6SUcRnMtNgHLQRb4Us%2B%2BA%3D%3D", "Work of tree shifting and maintenance as per requirement on both sides of the road at various places in the development authority area.")</f>
        <v/>
      </c>
      <c r="C14" t="inlineStr">
        <is>
          <t>UIT- Bharatpur||Secy||XEn</t>
        </is>
      </c>
      <c r="D14" t="inlineStr">
        <is>
          <t>27-May-2025 06:00 PM</t>
        </is>
      </c>
      <c r="E14" t="inlineStr">
        <is>
          <t>50,00,000</t>
        </is>
      </c>
      <c r="F14" t="inlineStr">
        <is>
          <t>Work of tree shifting and maintenance as per requirement on both sides of the road at various places in the development authority area.</t>
        </is>
      </c>
      <c r="G14" t="inlineStr">
        <is>
          <t>bharatpur</t>
        </is>
      </c>
    </row>
    <row r="15">
      <c r="A15" s="1" t="n">
        <v>13</v>
      </c>
      <c r="B15">
        <f>HYPERLINK("https://eproc.rajasthan.gov.in/nicgep/app?component=%24DirectLink&amp;page=FrontEndViewTender&amp;service=direct&amp;session=T&amp;sp=S5NweYQkXeW0%2FegY6IlgJ1w%3D%3D", "Drain construction work on Sadar Road from Triloki Sharma culvert via Sadar Gate to Madhuvan Garden Marriage Home.")</f>
        <v/>
      </c>
      <c r="C15" t="inlineStr">
        <is>
          <t>UIT- Bharatpur||Secy||XEn</t>
        </is>
      </c>
      <c r="D15" t="inlineStr">
        <is>
          <t>27-May-2025 06:00 PM</t>
        </is>
      </c>
      <c r="E15" t="inlineStr">
        <is>
          <t>51,23,000</t>
        </is>
      </c>
      <c r="F15" t="inlineStr">
        <is>
          <t>Drain construction work on Sadar Road from Triloki Sharma culvert via Sadar Gate to Madhuvan Garden Marriage Home.</t>
        </is>
      </c>
      <c r="G15" t="inlineStr">
        <is>
          <t>BHARATPUR</t>
        </is>
      </c>
    </row>
    <row r="16">
      <c r="A16" s="1" t="n">
        <v>14</v>
      </c>
      <c r="B16">
        <f>HYPERLINK("https://eproc.rajasthan.gov.in/nicgep/app?component=%24DirectLink&amp;page=FrontEndViewTender&amp;service=direct&amp;session=T&amp;sp=SlcS3CZeXFMh%2FLfrXKLlghw%3D%3D", "Construction work of CC road in the link streets behind Chamunda Mata Temple.")</f>
        <v/>
      </c>
      <c r="C16" t="inlineStr">
        <is>
          <t>UIT- Bharatpur||Secy||XEn</t>
        </is>
      </c>
      <c r="D16" t="inlineStr">
        <is>
          <t>19-May-2025 06:00 PM</t>
        </is>
      </c>
      <c r="E16" t="inlineStr">
        <is>
          <t>24,30,000</t>
        </is>
      </c>
      <c r="F16" t="inlineStr">
        <is>
          <t>Construction work of CC road in the link streets behind Chamunda Mata Temple.</t>
        </is>
      </c>
      <c r="G16" t="inlineStr">
        <is>
          <t>bharatpur</t>
        </is>
      </c>
    </row>
    <row r="17">
      <c r="A17" s="1" t="n">
        <v>15</v>
      </c>
      <c r="B17">
        <f>HYPERLINK("https://eproc.rajasthan.gov.in/nicgep/app?component=%24DirectLink&amp;page=FrontEndViewTender&amp;service=direct&amp;session=T&amp;sp=S9mecE0CXbfbgfnIttYISJg%3D%3D", "rajakeey em es je kolej graund mein darshak dirgha ka nirman kary.")</f>
        <v/>
      </c>
      <c r="C17" t="inlineStr">
        <is>
          <t>UIT- Bharatpur||Secy||XEn</t>
        </is>
      </c>
      <c r="D17" t="inlineStr">
        <is>
          <t>19-May-2025 06:00 PM</t>
        </is>
      </c>
      <c r="E17" t="inlineStr">
        <is>
          <t>19,19,000</t>
        </is>
      </c>
      <c r="F17" t="inlineStr">
        <is>
          <t>rajakeey em es je kolej graund mein darshak dirgha ka nirman kary.</t>
        </is>
      </c>
      <c r="G17" t="inlineStr">
        <is>
          <t>bharatpur</t>
        </is>
      </c>
    </row>
    <row r="18">
      <c r="A18" s="1" t="n">
        <v>16</v>
      </c>
      <c r="B18">
        <f>HYPERLINK("https://eproc.rajasthan.gov.in/nicgep/app?component=%24DirectLink&amp;page=FrontEndViewTender&amp;service=direct&amp;session=T&amp;sp=SS5uuwyRrmsbVwMHmPktWSQ%3D%3D", "Work of Total Station Survey in Authority area from Achhnera Road to Ludhawai Toll Plaza (Annual).")</f>
        <v/>
      </c>
      <c r="C18" t="inlineStr">
        <is>
          <t>UIT- Bharatpur||Secy||XEn</t>
        </is>
      </c>
      <c r="D18" t="inlineStr">
        <is>
          <t>19-May-2025 06:00 PM</t>
        </is>
      </c>
      <c r="E18" t="inlineStr">
        <is>
          <t>11,43,000</t>
        </is>
      </c>
      <c r="F18" t="inlineStr">
        <is>
          <t>Work of Total Station Survey in Authority area from Achhnera Road to Ludhawai Toll Plaza (Annual).</t>
        </is>
      </c>
      <c r="G18" t="inlineStr">
        <is>
          <t>BHARAPTUR</t>
        </is>
      </c>
    </row>
    <row r="19">
      <c r="A19" s="1" t="n">
        <v>17</v>
      </c>
      <c r="B19">
        <f>HYPERLINK("https://eproc.rajasthan.gov.in/nicgep/app?component=%24DirectLink&amp;page=FrontEndViewTender&amp;service=direct&amp;session=T&amp;sp=SgIoXZ2GRWKmmilKRtm4XKw%3D%3D", "Water drainage work by diesel engine (pump set) in non plan area of Executive Engineer 3")</f>
        <v/>
      </c>
      <c r="C19" t="inlineStr">
        <is>
          <t>UIT- Bharatpur||Secy||XEn</t>
        </is>
      </c>
      <c r="D19" t="inlineStr">
        <is>
          <t>19-May-2025 06:00 PM</t>
        </is>
      </c>
      <c r="E19" t="inlineStr">
        <is>
          <t>4,74,000</t>
        </is>
      </c>
      <c r="F19" t="inlineStr">
        <is>
          <t>Water drainage work by diesel engine (pump set) in non plan area of Executive Engineer 3</t>
        </is>
      </c>
      <c r="G19" t="inlineStr">
        <is>
          <t>BHARTPUR</t>
        </is>
      </c>
    </row>
    <row r="20">
      <c r="A20" s="1" t="n">
        <v>18</v>
      </c>
      <c r="B20">
        <f>HYPERLINK("https://eproc.rajasthan.gov.in/nicgep/app?component=%24DirectLink&amp;page=FrontEndViewTender&amp;service=direct&amp;session=T&amp;sp=SXAwRbYGgT8%2BNiKBQfWKGVQ%3D%3D", "Construction work of guard room and gate in the office of Inspector General of Police.")</f>
        <v/>
      </c>
      <c r="C20" t="inlineStr">
        <is>
          <t>UIT- Bharatpur||Secy||XEn</t>
        </is>
      </c>
      <c r="D20" t="inlineStr">
        <is>
          <t>19-May-2025 06:00 PM</t>
        </is>
      </c>
      <c r="E20" t="inlineStr">
        <is>
          <t>4,82,000</t>
        </is>
      </c>
      <c r="F20" t="inlineStr">
        <is>
          <t>Construction work of guard room and gate in the office of Inspector General of Police.</t>
        </is>
      </c>
      <c r="G20" t="inlineStr">
        <is>
          <t>BHARATPUR</t>
        </is>
      </c>
    </row>
    <row r="21">
      <c r="A21" s="1" t="n">
        <v>19</v>
      </c>
      <c r="B21">
        <f>HYPERLINK("https://eproc.rajasthan.gov.in/nicgep/app?component=%24DirectLink&amp;page=FrontEndViewTender&amp;service=direct&amp;session=T&amp;sp=Sj9wQ%2FTSh1hLo8M5jYf4K3w%3D%3D", "drainage and soil filling work from vacant plots in SPM Nagar.")</f>
        <v/>
      </c>
      <c r="C21" t="inlineStr">
        <is>
          <t>UIT- Bharatpur||Secy||XEn</t>
        </is>
      </c>
      <c r="D21" t="inlineStr">
        <is>
          <t>19-May-2025 06:00 PM</t>
        </is>
      </c>
      <c r="E21" t="inlineStr">
        <is>
          <t>4,74,000</t>
        </is>
      </c>
      <c r="F21" t="inlineStr">
        <is>
          <t>drainage and soil filling work from vacant plots in SPM Nagar.</t>
        </is>
      </c>
      <c r="G21" t="inlineStr">
        <is>
          <t>BHARATPUR</t>
        </is>
      </c>
    </row>
    <row r="22">
      <c r="A22" s="1" t="n">
        <v>20</v>
      </c>
      <c r="B22">
        <f>HYPERLINK("https://eproc.rajasthan.gov.in/nicgep/app?component=%24DirectLink&amp;page=FrontEndViewTender&amp;service=direct&amp;session=T&amp;sp=SAx0R1npVkxgS00XYJDVSfw%3D%3D", "gair yojana kshetr basant bihaar, surajamal nagar, rudhiya nagar evan daeet karyalay ke nikat kshetr mein dijal injan (pamp set) dvara panee nikasi ka kary.")</f>
        <v/>
      </c>
      <c r="C22" t="inlineStr">
        <is>
          <t>UIT- Bharatpur||Secy||XEn</t>
        </is>
      </c>
      <c r="D22" t="inlineStr">
        <is>
          <t>19-May-2025 06:00 PM</t>
        </is>
      </c>
      <c r="E22" t="inlineStr">
        <is>
          <t>4,74,000</t>
        </is>
      </c>
      <c r="F22" t="inlineStr">
        <is>
          <t>gair yojana kshetr basant bihaar, surajamal nagar, rudhiya nagar evan daeet karyalay ke nikat kshetr mein dijal injan (pamp set) dvara panee nikasi ka kary.</t>
        </is>
      </c>
      <c r="G22" t="inlineStr">
        <is>
          <t>BHARATPUR</t>
        </is>
      </c>
    </row>
    <row r="23">
      <c r="A23" s="1" t="n">
        <v>21</v>
      </c>
      <c r="B23">
        <f>HYPERLINK("https://eproc.rajasthan.gov.in/nicgep/app?component=%24DirectLink&amp;page=FrontEndViewTender&amp;service=direct&amp;session=T&amp;sp=SifVkDG3AUhcu1ZEImi4bYQ%3D%3D", "plan for drainage and soil filling work from vacant plots in Transport Nagar.")</f>
        <v/>
      </c>
      <c r="C23" t="inlineStr">
        <is>
          <t>UIT- Bharatpur||Secy||XEn</t>
        </is>
      </c>
      <c r="D23" t="inlineStr">
        <is>
          <t>19-May-2025 06:00 PM</t>
        </is>
      </c>
      <c r="E23" t="inlineStr">
        <is>
          <t>4,71,000</t>
        </is>
      </c>
      <c r="F23" t="inlineStr">
        <is>
          <t>plan for drainage and soil filling work from vacant plots in Transport Nagar.</t>
        </is>
      </c>
      <c r="G23" t="inlineStr">
        <is>
          <t>BHARAPTUR</t>
        </is>
      </c>
    </row>
    <row r="24">
      <c r="A24" s="1" t="n">
        <v>22</v>
      </c>
      <c r="B24">
        <f>HYPERLINK("https://eproc.rajasthan.gov.in/nicgep/app?component=%24DirectLink&amp;page=FrontEndViewTender&amp;service=direct&amp;session=T&amp;sp=SPP1gtVn3jTCGefbV7V6J1Q%3D%3D", "Work of drainage and soil filling from vacant plots in Authoritys scheme Sector 03")</f>
        <v/>
      </c>
      <c r="C24" t="inlineStr">
        <is>
          <t>UIT- Bharatpur||Secy||XEn</t>
        </is>
      </c>
      <c r="D24" t="inlineStr">
        <is>
          <t>19-May-2025 06:00 PM</t>
        </is>
      </c>
      <c r="E24" t="inlineStr">
        <is>
          <t>4,60,000</t>
        </is>
      </c>
      <c r="F24" t="inlineStr">
        <is>
          <t>Work of drainage and soil filling from vacant plots in Authoritys scheme Sector 03</t>
        </is>
      </c>
      <c r="G24" t="inlineStr">
        <is>
          <t>Bharatpur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2025-05-17T13:21:26Z</dcterms:created>
  <dcterms:modified xsi:type="dcterms:W3CDTF">2025-05-17T13:21:26Z</dcterms:modified>
</cp:coreProperties>
</file>