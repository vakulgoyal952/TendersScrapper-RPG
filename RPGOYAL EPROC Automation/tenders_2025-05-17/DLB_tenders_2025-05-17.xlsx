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79"/>
  <sheetViews>
    <sheetView workbookViewId="0">
      <selection activeCell="A1" sqref="A1"/>
    </sheetView>
  </sheetViews>
  <sheetFormatPr baseColWidth="8" defaultRowHeight="15"/>
  <sheetData>
    <row r="1">
      <c r="A1" s="1" t="inlineStr">
        <is>
          <t>Sno</t>
        </is>
      </c>
      <c r="B1" s="1" t="inlineStr">
        <is>
          <t>Title</t>
        </is>
      </c>
      <c r="C1" s="1" t="inlineStr">
        <is>
          <t>Organisation Chain</t>
        </is>
      </c>
      <c r="D1" s="1" t="inlineStr">
        <is>
          <t>Closing Date</t>
        </is>
      </c>
      <c r="E1" s="1" t="inlineStr">
        <is>
          <t>Amount</t>
        </is>
      </c>
      <c r="F1" s="1" t="inlineStr">
        <is>
          <t>Work Description</t>
        </is>
      </c>
      <c r="G1" s="1" t="inlineStr">
        <is>
          <t>Location</t>
        </is>
      </c>
    </row>
    <row r="2">
      <c r="A2" s="1" t="n">
        <v>0</v>
      </c>
      <c r="B2">
        <f>HYPERLINK("https://eproc.rajasthan.gov.in/nicgep/app?component=%24DirectLink&amp;page=FrontEndViewTender&amp;service=direct&amp;session=T&amp;sp=S%2FihpULRwaFqpMgZKiyxa1g%3D%3D", "CHIMNARAM KE PLOT TO BIHARILAL YOGI PLOT TAK NALA NIRMAN KARY WARD NO 11")</f>
        <v/>
      </c>
      <c r="C2" t="inlineStr">
        <is>
          <t>DLB||Dy.DR-Bikaner||EO-Rajaldesar</t>
        </is>
      </c>
      <c r="D2" t="inlineStr">
        <is>
          <t>02-Jun-2025 05:00 PM</t>
        </is>
      </c>
      <c r="E2" t="inlineStr">
        <is>
          <t>19,91,000</t>
        </is>
      </c>
      <c r="F2" t="inlineStr">
        <is>
          <t>CHIMNARAM KE PLOT TO BIHARILAL YOGI PLOT TAK NALA NIRMAN KARY WARD NO 11</t>
        </is>
      </c>
      <c r="G2" t="inlineStr">
        <is>
          <t>BAGAR</t>
        </is>
      </c>
    </row>
    <row r="3">
      <c r="A3" s="1" t="n">
        <v>1</v>
      </c>
      <c r="B3">
        <f>HYPERLINK("https://eproc.rajasthan.gov.in/nicgep/app?component=%24DirectLink&amp;page=FrontEndViewTender&amp;service=direct&amp;session=T&amp;sp=S7kWEPu2EAYqiTSqdrAevfQ%3D%3D", "murari saini ke ghar se talab paytan tak anderground naala nirman kary ward no 03")</f>
        <v/>
      </c>
      <c r="C3" t="inlineStr">
        <is>
          <t>DLB||Dy.DR-Bikaner||EO-Rajaldesar</t>
        </is>
      </c>
      <c r="D3" t="inlineStr">
        <is>
          <t>02-Jun-2025 05:00 PM</t>
        </is>
      </c>
      <c r="E3" t="inlineStr">
        <is>
          <t>10,95,000</t>
        </is>
      </c>
      <c r="F3" t="inlineStr">
        <is>
          <t>murari saini ke ghar se talab paytan tak anderground naala nirman kary ward no 03</t>
        </is>
      </c>
      <c r="G3" t="inlineStr">
        <is>
          <t>bagar</t>
        </is>
      </c>
    </row>
    <row r="4">
      <c r="A4" s="1" t="n">
        <v>2</v>
      </c>
      <c r="B4">
        <f>HYPERLINK("https://eproc.rajasthan.gov.in/nicgep/app?component=%24DirectLink&amp;page=FrontEndViewTender&amp;service=direct&amp;session=T&amp;sp=SCjuhuVSEnEHgEKpY%2BAI0aQ%3D%3D", "nagar nigam kota south area various palace handpump maintenance work")</f>
        <v/>
      </c>
      <c r="C4" t="inlineStr">
        <is>
          <t>DLB||Dy.DR-Kota||CEO-Kota</t>
        </is>
      </c>
      <c r="D4" t="inlineStr">
        <is>
          <t>19-May-2025 06:00 PM</t>
        </is>
      </c>
      <c r="E4" t="inlineStr">
        <is>
          <t>6,00,000</t>
        </is>
      </c>
      <c r="F4" t="inlineStr">
        <is>
          <t>nagar nigam kota south area various palace handpump maintenance work</t>
        </is>
      </c>
      <c r="G4" t="inlineStr">
        <is>
          <t>kota</t>
        </is>
      </c>
    </row>
    <row r="5">
      <c r="A5" s="1" t="n">
        <v>3</v>
      </c>
      <c r="B5">
        <f>HYPERLINK("https://eproc.rajasthan.gov.in/nicgep/app?component=%24DirectLink&amp;page=FrontEndViewTender&amp;service=direct&amp;session=T&amp;sp=SP6waN7BCmUv6mke07AXoZg%3D%3D", "nagar nigam kota south area main marg phoothpat rok tham railing other work 5 nit 11")</f>
        <v/>
      </c>
      <c r="C5" t="inlineStr">
        <is>
          <t>DLB||Dy.DR-Kota||CEO-Kota</t>
        </is>
      </c>
      <c r="D5" t="inlineStr">
        <is>
          <t>26-May-2025 06:00 PM</t>
        </is>
      </c>
      <c r="E5" t="inlineStr">
        <is>
          <t>30,00,000</t>
        </is>
      </c>
      <c r="F5" t="inlineStr">
        <is>
          <t>nagar nigam kota south area main marg phoothpat rok tham railing other work 5 nit 11</t>
        </is>
      </c>
      <c r="G5" t="inlineStr">
        <is>
          <t>kota</t>
        </is>
      </c>
    </row>
    <row r="6">
      <c r="A6" s="1" t="n">
        <v>4</v>
      </c>
      <c r="B6">
        <f>HYPERLINK("https://eproc.rajasthan.gov.in/nicgep/app?component=%24DirectLink&amp;page=FrontEndViewTender&amp;service=direct&amp;session=T&amp;sp=SBETOi2MRMe6xbvUTUBF5LA%3D%3D", "nagar nigam kota south area kishorpura muktidham stone jail stone chatari work other work 4 nit 11")</f>
        <v/>
      </c>
      <c r="C6" t="inlineStr">
        <is>
          <t>DLB||Dy.DR-Kota||CEO-Kota</t>
        </is>
      </c>
      <c r="D6" t="inlineStr">
        <is>
          <t>26-May-2025 06:00 PM</t>
        </is>
      </c>
      <c r="E6" t="inlineStr">
        <is>
          <t>30,00,000</t>
        </is>
      </c>
      <c r="F6" t="inlineStr">
        <is>
          <t>nagar nigam kota south area kishorpura muktidham stone jail stone chatari work other work 4 nit 11</t>
        </is>
      </c>
      <c r="G6" t="inlineStr">
        <is>
          <t>kota</t>
        </is>
      </c>
    </row>
    <row r="7">
      <c r="A7" s="1" t="n">
        <v>5</v>
      </c>
      <c r="B7">
        <f>HYPERLINK("https://eproc.rajasthan.gov.in/nicgep/app?component=%24DirectLink&amp;page=FrontEndViewTender&amp;service=direct&amp;session=T&amp;sp=SxO9zwu0mPtzgDpPhrZ2FgQ%3D%3D", "1-Construciton of Toilet work at fire office sumerpur")</f>
        <v/>
      </c>
      <c r="C7" t="inlineStr">
        <is>
          <t>DLB||Dy.DR-Jodhpur||EO-Sadri</t>
        </is>
      </c>
      <c r="D7" t="inlineStr">
        <is>
          <t>02-Jun-2025 10:00 AM</t>
        </is>
      </c>
      <c r="E7" t="inlineStr">
        <is>
          <t>6,13,000</t>
        </is>
      </c>
      <c r="F7" t="inlineStr">
        <is>
          <t>civil work</t>
        </is>
      </c>
      <c r="G7" t="inlineStr">
        <is>
          <t>sumerpur</t>
        </is>
      </c>
    </row>
    <row r="8">
      <c r="A8" s="1" t="n">
        <v>6</v>
      </c>
      <c r="B8">
        <f>HYPERLINK("https://eproc.rajasthan.gov.in/nicgep/app?component=%24DirectLink&amp;page=FrontEndViewTender&amp;service=direct&amp;session=T&amp;sp=SXWDBqfbAfeYOXPGcdQ8Bjg%3D%3D", "3-Construction and Repairing of nala sanjay nagar at ward no. 09")</f>
        <v/>
      </c>
      <c r="C8" t="inlineStr">
        <is>
          <t>DLB||Dy.DR-Jodhpur||EO-Sadri</t>
        </is>
      </c>
      <c r="D8" t="inlineStr">
        <is>
          <t>02-Jun-2025 10:00 AM</t>
        </is>
      </c>
      <c r="E8" t="inlineStr">
        <is>
          <t>16,41,000</t>
        </is>
      </c>
      <c r="F8" t="inlineStr">
        <is>
          <t>civil work</t>
        </is>
      </c>
      <c r="G8" t="inlineStr">
        <is>
          <t>sumerpur</t>
        </is>
      </c>
    </row>
    <row r="9">
      <c r="A9" s="1" t="n">
        <v>7</v>
      </c>
      <c r="B9">
        <f>HYPERLINK("https://eproc.rajasthan.gov.in/nicgep/app?component=%24DirectLink&amp;page=FrontEndViewTender&amp;service=direct&amp;session=T&amp;sp=SeUrf8mYBfflDkNY3%2BwxZWQ%3D%3D", "nagar nigam kota south area kishorpura muktidham various prakrti civil construction maintenance other work 3 nit 11")</f>
        <v/>
      </c>
      <c r="C9" t="inlineStr">
        <is>
          <t>DLB||Dy.DR-Kota||CEO-Kota</t>
        </is>
      </c>
      <c r="D9" t="inlineStr">
        <is>
          <t>26-May-2025 06:00 PM</t>
        </is>
      </c>
      <c r="E9" t="inlineStr">
        <is>
          <t>29,50,000</t>
        </is>
      </c>
      <c r="F9" t="inlineStr">
        <is>
          <t>nagar nigam kota south area kishorpura muktidham various prakrti civil construction maintenance other work 3 nit 11</t>
        </is>
      </c>
      <c r="G9" t="inlineStr">
        <is>
          <t>kota</t>
        </is>
      </c>
    </row>
    <row r="10">
      <c r="A10" s="1" t="n">
        <v>8</v>
      </c>
      <c r="B10">
        <f>HYPERLINK("https://eproc.rajasthan.gov.in/nicgep/app?component=%24DirectLink&amp;page=FrontEndViewTender&amp;service=direct&amp;session=T&amp;sp=SyJSLgXGagw%2F9H9SXrEPpSQ%3D%3D", "nagar nigam kota south area kishorpura muktidham RCC game water tank grenight ka water station work other work 2 nit 11")</f>
        <v/>
      </c>
      <c r="C10" t="inlineStr">
        <is>
          <t>DLB||Dy.DR-Kota||CEO-Kota</t>
        </is>
      </c>
      <c r="D10" t="inlineStr">
        <is>
          <t>26-May-2025 06:00 PM</t>
        </is>
      </c>
      <c r="E10" t="inlineStr">
        <is>
          <t>16,61,000</t>
        </is>
      </c>
      <c r="F10" t="inlineStr">
        <is>
          <t>nagar nigam kota south area kishorpura muktidham RCC game water tank grenight ka water station work other work 2 nit 11</t>
        </is>
      </c>
      <c r="G10" t="inlineStr">
        <is>
          <t>kota</t>
        </is>
      </c>
    </row>
    <row r="11">
      <c r="A11" s="1" t="n">
        <v>9</v>
      </c>
      <c r="B11">
        <f>HYPERLINK("https://eproc.rajasthan.gov.in/nicgep/app?component=%24DirectLink&amp;page=FrontEndViewTender&amp;service=direct&amp;session=T&amp;sp=SLQzu4lH%2F%2FjXZqkeLZmUFhA%3D%3D", "construction work of cc road at Govt. girls Senier Secondary School ward no. 17")</f>
        <v/>
      </c>
      <c r="C11" t="inlineStr">
        <is>
          <t>DLB||Dy.DR-Jodhpur||EO-Sadri</t>
        </is>
      </c>
      <c r="D11" t="inlineStr">
        <is>
          <t>02-Jun-2025 10:00 AM</t>
        </is>
      </c>
      <c r="E11" t="inlineStr">
        <is>
          <t>14,22,000</t>
        </is>
      </c>
      <c r="F11" t="inlineStr">
        <is>
          <t>civil work</t>
        </is>
      </c>
      <c r="G11" t="inlineStr">
        <is>
          <t>sumerpur</t>
        </is>
      </c>
    </row>
    <row r="12">
      <c r="A12" s="1" t="n">
        <v>10</v>
      </c>
      <c r="B12">
        <f>HYPERLINK("https://eproc.rajasthan.gov.in/nicgep/app?component=%24DirectLink&amp;page=FrontEndViewTender&amp;service=direct&amp;session=T&amp;sp=S8m3GpqU3KB7FxyS5CAg9Ew%3D%3D", "nagar nigam kota south area Chambal garden railing and paint work 1 nit 11")</f>
        <v/>
      </c>
      <c r="C12" t="inlineStr">
        <is>
          <t>DLB||Dy.DR-Kota||CEO-Kota</t>
        </is>
      </c>
      <c r="D12" t="inlineStr">
        <is>
          <t>26-May-2025 06:00 PM</t>
        </is>
      </c>
      <c r="E12" t="inlineStr">
        <is>
          <t>3,00,000</t>
        </is>
      </c>
      <c r="F12" t="inlineStr">
        <is>
          <t>nagar nigam kota south area Chambal garden railing and paint work 1 nit 11</t>
        </is>
      </c>
      <c r="G12" t="inlineStr">
        <is>
          <t>kota</t>
        </is>
      </c>
    </row>
    <row r="13">
      <c r="A13" s="1" t="n">
        <v>11</v>
      </c>
      <c r="B13">
        <f>HYPERLINK("https://eproc.rajasthan.gov.in/nicgep/app?component=%24DirectLink&amp;page=FrontEndViewTender&amp;service=direct&amp;session=T&amp;sp=SPwOpFmfVYxz9%2B6PGQIePTA%3D%3D", "2-construction work of cc road at madanji borana house to main road and other area ward no. 3")</f>
        <v/>
      </c>
      <c r="C13" t="inlineStr">
        <is>
          <t>DLB||Dy.DR-Jodhpur||EO-Sadri</t>
        </is>
      </c>
      <c r="D13" t="inlineStr">
        <is>
          <t>02-Jun-2025 10:00 AM</t>
        </is>
      </c>
      <c r="E13" t="inlineStr">
        <is>
          <t>10,46,000</t>
        </is>
      </c>
      <c r="F13" t="inlineStr">
        <is>
          <t>civil work</t>
        </is>
      </c>
      <c r="G13" t="inlineStr">
        <is>
          <t>sumerpur</t>
        </is>
      </c>
    </row>
    <row r="14">
      <c r="A14" s="1" t="n">
        <v>12</v>
      </c>
      <c r="B14">
        <f>HYPERLINK("https://eproc.rajasthan.gov.in/nicgep/app?component=%24DirectLink&amp;page=FrontEndViewTender&amp;service=direct&amp;session=T&amp;sp=S0QFnP0DDORgXbb6QdrPNcQ%3D%3D", "construction of two rain water harvesting at chc mahwa")</f>
        <v/>
      </c>
      <c r="C14" t="inlineStr">
        <is>
          <t>DLB||Dy.DR- Bharatpur||EO- Mahuwa</t>
        </is>
      </c>
      <c r="D14" t="inlineStr">
        <is>
          <t>28-May-2025 12:00 PM</t>
        </is>
      </c>
      <c r="E14" t="inlineStr">
        <is>
          <t>16,90,000</t>
        </is>
      </c>
      <c r="F14" t="inlineStr">
        <is>
          <t>construction of two rain water harvesting at chc mahwa</t>
        </is>
      </c>
      <c r="G14" t="inlineStr">
        <is>
          <t>work</t>
        </is>
      </c>
    </row>
    <row r="15">
      <c r="A15" s="1" t="n">
        <v>13</v>
      </c>
      <c r="B15">
        <f>HYPERLINK("https://eproc.rajasthan.gov.in/nicgep/app?component=%24DirectLink&amp;page=FrontEndViewTender&amp;service=direct&amp;session=T&amp;sp=S9kERPf5Zt5zJQTT614BLvQ%3D%3D", "IOT BASED DOOR TO DOOR")</f>
        <v/>
      </c>
      <c r="C15" t="inlineStr">
        <is>
          <t>DLB||Dy.DR-Jaipur||EO-Ringas</t>
        </is>
      </c>
      <c r="D15" t="inlineStr">
        <is>
          <t>26-May-2025 10:00 AM</t>
        </is>
      </c>
      <c r="E15" t="inlineStr">
        <is>
          <t>4,64,00,000</t>
        </is>
      </c>
      <c r="F15" t="inlineStr">
        <is>
          <t>IOT BASED DOOR TO DOOR COLLECTION</t>
        </is>
      </c>
      <c r="G15" t="inlineStr">
        <is>
          <t>MUNICIPAL BOARD KHATUSHYAMJI</t>
        </is>
      </c>
    </row>
    <row r="16">
      <c r="A16" s="1" t="n">
        <v>14</v>
      </c>
      <c r="B16">
        <f>HYPERLINK("https://eproc.rajasthan.gov.in/nicgep/app?component=%24DirectLink&amp;page=FrontEndViewTender&amp;service=direct&amp;session=T&amp;sp=SSoPM5%2BIy1w%2FS86S5ede%2FtA%3D%3D", "nagar nigam kota north area ward 5 police chowki construction work 1 nit 5")</f>
        <v/>
      </c>
      <c r="C16" t="inlineStr">
        <is>
          <t>DLB||Dy.DR-Kota||CEO-Kota</t>
        </is>
      </c>
      <c r="D16" t="inlineStr">
        <is>
          <t>26-May-2025 06:00 PM</t>
        </is>
      </c>
      <c r="E16" t="inlineStr">
        <is>
          <t>36,05,000</t>
        </is>
      </c>
      <c r="F16" t="inlineStr">
        <is>
          <t>nagar nigam kota north area ward 5 police chowki construction work 1 nit 5</t>
        </is>
      </c>
      <c r="G16" t="inlineStr">
        <is>
          <t>kota</t>
        </is>
      </c>
    </row>
    <row r="17">
      <c r="A17" s="1" t="n">
        <v>15</v>
      </c>
      <c r="B17">
        <f>HYPERLINK("https://eproc.rajasthan.gov.in/nicgep/app?component=%24DirectLink&amp;page=FrontEndViewTender&amp;service=direct&amp;session=T&amp;sp=SAX21He0eVUViyNev9x3xZA%3D%3D", "construction of boundary wall at near nagar palika of municipal board siwana area.")</f>
        <v/>
      </c>
      <c r="C17" t="inlineStr">
        <is>
          <t>DLB||Dy.DR-Jodhpur||EO-Balotara</t>
        </is>
      </c>
      <c r="D17" t="inlineStr">
        <is>
          <t>26-May-2025 06:00 PM</t>
        </is>
      </c>
      <c r="E17" t="inlineStr">
        <is>
          <t>3,35,000</t>
        </is>
      </c>
      <c r="F17" t="inlineStr">
        <is>
          <t>civil works</t>
        </is>
      </c>
      <c r="G17" t="inlineStr">
        <is>
          <t>SIWANA</t>
        </is>
      </c>
    </row>
    <row r="18">
      <c r="A18" s="1" t="n">
        <v>16</v>
      </c>
      <c r="B18">
        <f>HYPERLINK("https://eproc.rajasthan.gov.in/nicgep/app?component=%24DirectLink&amp;page=FrontEndViewTender&amp;service=direct&amp;session=T&amp;sp=SG896Ucup9paFoCNg7ENsJg%3D%3D", "nagar nigam kota north area rampura bazar pipal ped beautification and fountain work 3 nit 5")</f>
        <v/>
      </c>
      <c r="C18" t="inlineStr">
        <is>
          <t>DLB||Dy.DR-Kota||CEO-Kota</t>
        </is>
      </c>
      <c r="D18" t="inlineStr">
        <is>
          <t>26-May-2025 06:00 PM</t>
        </is>
      </c>
      <c r="E18" t="inlineStr">
        <is>
          <t>7,40,000</t>
        </is>
      </c>
      <c r="F18" t="inlineStr">
        <is>
          <t>nagar nigam kota north area rampura bazar pipal ped beautification and fountain work 3 nit 5</t>
        </is>
      </c>
      <c r="G18" t="inlineStr">
        <is>
          <t>kota</t>
        </is>
      </c>
    </row>
    <row r="19">
      <c r="A19" s="1" t="n">
        <v>17</v>
      </c>
      <c r="B19">
        <f>HYPERLINK("https://eproc.rajasthan.gov.in/nicgep/app?component=%24DirectLink&amp;page=FrontEndViewTender&amp;service=direct&amp;session=T&amp;sp=SEKSP8hjthksEhbt2ClBF2A%3D%3D", "nagar nigam kota north area ward 37 breker maintenance work 2 nit 5")</f>
        <v/>
      </c>
      <c r="C19" t="inlineStr">
        <is>
          <t>DLB||Dy.DR-Kota||CEO-Kota</t>
        </is>
      </c>
      <c r="D19" t="inlineStr">
        <is>
          <t>26-May-2025 06:00 PM</t>
        </is>
      </c>
      <c r="E19" t="inlineStr">
        <is>
          <t>14,06,000</t>
        </is>
      </c>
      <c r="F19" t="inlineStr">
        <is>
          <t>nagar nigam kota north area ward 37 breker maintenance work 2 nit 5</t>
        </is>
      </c>
      <c r="G19" t="inlineStr">
        <is>
          <t>kota</t>
        </is>
      </c>
    </row>
    <row r="20">
      <c r="A20" s="1" t="n">
        <v>18</v>
      </c>
      <c r="B20">
        <f>HYPERLINK("https://eproc.rajasthan.gov.in/nicgep/app?component=%24DirectLink&amp;page=FrontEndViewTender&amp;service=direct&amp;session=T&amp;sp=SAdAG80ZER9bMMdWxrB43qg%3D%3D", "Ferrow Cover supply and fixing")</f>
        <v/>
      </c>
      <c r="C20" t="inlineStr">
        <is>
          <t>DLB||Dy.DR-Jodhpur||EO-Balotara</t>
        </is>
      </c>
      <c r="D20" t="inlineStr">
        <is>
          <t>26-May-2025 06:00 PM</t>
        </is>
      </c>
      <c r="E20" t="inlineStr">
        <is>
          <t>9,86,000</t>
        </is>
      </c>
      <c r="F20" t="inlineStr">
        <is>
          <t>Civil Works</t>
        </is>
      </c>
      <c r="G20" t="inlineStr">
        <is>
          <t>SIWANA</t>
        </is>
      </c>
    </row>
    <row r="21">
      <c r="A21" s="1" t="n">
        <v>19</v>
      </c>
      <c r="B21">
        <f>HYPERLINK("https://eproc.rajasthan.gov.in/nicgep/app?component=%24DirectLink&amp;page=FrontEndViewTender&amp;service=direct&amp;session=T&amp;sp=SL%2B%2BD7d2ih%2F%2FiXUG1zMkHBg%3D%3D", "near satkar complex drain-cross construction, Repairing in MB siwana area.")</f>
        <v/>
      </c>
      <c r="C21" t="inlineStr">
        <is>
          <t>DLB||Dy.DR-Jodhpur||EO-Balotara</t>
        </is>
      </c>
      <c r="D21" t="inlineStr">
        <is>
          <t>26-May-2025 06:00 PM</t>
        </is>
      </c>
      <c r="E21" t="inlineStr">
        <is>
          <t>3,18,000</t>
        </is>
      </c>
      <c r="F21" t="inlineStr">
        <is>
          <t>Civil works</t>
        </is>
      </c>
      <c r="G21" t="inlineStr">
        <is>
          <t>SIWANA</t>
        </is>
      </c>
    </row>
    <row r="22">
      <c r="A22" s="1" t="n">
        <v>20</v>
      </c>
      <c r="B22">
        <f>HYPERLINK("https://eproc.rajasthan.gov.in/nicgep/app?component=%24DirectLink&amp;page=FrontEndViewTender&amp;service=direct&amp;session=T&amp;sp=S0gw2najf0%2FXEilJch0muVQ%3D%3D", "1. Repair of Cross nalli, pipe cross, Iron Jalli, Ferro cover at different places in Ward No. 01 to 15, Municipal Board Nathdwara (ARC Nature)")</f>
        <v/>
      </c>
      <c r="C22" t="inlineStr">
        <is>
          <t>DLB||Dy.DR-Udaipur||EO-Nathdwara</t>
        </is>
      </c>
      <c r="D22" t="inlineStr">
        <is>
          <t>26-May-2025 06:00 PM</t>
        </is>
      </c>
      <c r="E22" t="inlineStr">
        <is>
          <t>50,00,000</t>
        </is>
      </c>
      <c r="F22" t="inlineStr">
        <is>
          <t>1. Repair of Cross nalli, pipe cross, Iron Jalli, Ferro cover at different places in Ward No. 01 to 15, Municipal Board Nathdwara (ARC Nature)</t>
        </is>
      </c>
      <c r="G22" t="inlineStr">
        <is>
          <t>MUNICIPALITY NATHDWARA</t>
        </is>
      </c>
    </row>
    <row r="23">
      <c r="A23" s="1" t="n">
        <v>21</v>
      </c>
      <c r="B23">
        <f>HYPERLINK("https://eproc.rajasthan.gov.in/nicgep/app?component=%24DirectLink&amp;page=FrontEndViewTender&amp;service=direct&amp;session=T&amp;sp=Sz56%2FxjUpxWs37kuvxGZKHQ%3D%3D", "6. Patch work/Repair of CC road at different places in ward No. 31 to 40, Municipal Board Nathdwara (ARC Nature)")</f>
        <v/>
      </c>
      <c r="C23" t="inlineStr">
        <is>
          <t>DLB||Dy.DR-Udaipur||EO-Nathdwara</t>
        </is>
      </c>
      <c r="D23" t="inlineStr">
        <is>
          <t>26-May-2025 06:00 PM</t>
        </is>
      </c>
      <c r="E23" t="inlineStr">
        <is>
          <t>50,00,000</t>
        </is>
      </c>
      <c r="F23" t="inlineStr">
        <is>
          <t>6. Patch work/Repair of CC road at different places in ward No. 31 to 40, Municipal Board Nathdwara (ARC Nature)</t>
        </is>
      </c>
      <c r="G23" t="inlineStr">
        <is>
          <t>MUNICIPALITY NATHDWARA</t>
        </is>
      </c>
    </row>
    <row r="24">
      <c r="A24" s="1" t="n">
        <v>22</v>
      </c>
      <c r="B24">
        <f>HYPERLINK("https://eproc.rajasthan.gov.in/nicgep/app?component=%24DirectLink&amp;page=FrontEndViewTender&amp;service=direct&amp;session=T&amp;sp=S8OT0R%2FU3PROHi2GQCymOxQ%3D%3D", "5. Patch work/Repair of CC road at different places in ward No. 16 to 30, Municipal Board Nathdwara (ARC Nature)")</f>
        <v/>
      </c>
      <c r="C24" t="inlineStr">
        <is>
          <t>DLB||Dy.DR-Udaipur||EO-Nathdwara</t>
        </is>
      </c>
      <c r="D24" t="inlineStr">
        <is>
          <t>26-May-2025 06:00 PM</t>
        </is>
      </c>
      <c r="E24" t="inlineStr">
        <is>
          <t>50,00,000</t>
        </is>
      </c>
      <c r="F24" t="inlineStr">
        <is>
          <t>5. Patch work/Repair of CC road at different places in ward No. 16 to 30, Municipal Board Nathdwara (ARC Nature)</t>
        </is>
      </c>
      <c r="G24" t="inlineStr">
        <is>
          <t>MUNICIPALITY NATHDWARA</t>
        </is>
      </c>
    </row>
    <row r="25">
      <c r="A25" s="1" t="n">
        <v>23</v>
      </c>
      <c r="B25">
        <f>HYPERLINK("https://eproc.rajasthan.gov.in/nicgep/app?component=%24DirectLink&amp;page=FrontEndViewTender&amp;service=direct&amp;session=T&amp;sp=Sx1yT4KpYhtDb1M6iR%2B%2FDPA%3D%3D", "4. Patch work/Repair of CC road at different places in ward No. 01 to l5, Municipal Board Nathdwara (ARC Nature)")</f>
        <v/>
      </c>
      <c r="C25" t="inlineStr">
        <is>
          <t>DLB||Dy.DR-Udaipur||EO-Nathdwara</t>
        </is>
      </c>
      <c r="D25" t="inlineStr">
        <is>
          <t>26-May-2025 06:00 PM</t>
        </is>
      </c>
      <c r="E25" t="inlineStr">
        <is>
          <t>50,00,000</t>
        </is>
      </c>
      <c r="F25" t="inlineStr">
        <is>
          <t>4. Patch work/Repair of CC road at different places in ward No. 01 to l5, Municipal Board Nathdwara (ARC Nature)</t>
        </is>
      </c>
      <c r="G25" t="inlineStr">
        <is>
          <t>MUNICIPALITY NATHDWARA</t>
        </is>
      </c>
    </row>
    <row r="26">
      <c r="A26" s="1" t="n">
        <v>24</v>
      </c>
      <c r="B26">
        <f>HYPERLINK("https://eproc.rajasthan.gov.in/nicgep/app?component=%24DirectLink&amp;page=FrontEndViewTender&amp;service=direct&amp;session=T&amp;sp=S4RkNltFXd8AyBepDEiTgEg%3D%3D", "3. Repair of Cross nalli, pipe cross, Iron Jalli, Ferro cover at different places in Ward No. 31 to 40, Municipal Board Nathdwara (ARC Nature)")</f>
        <v/>
      </c>
      <c r="C26" t="inlineStr">
        <is>
          <t>DLB||Dy.DR-Udaipur||EO-Nathdwara</t>
        </is>
      </c>
      <c r="D26" t="inlineStr">
        <is>
          <t>26-May-2025 06:00 PM</t>
        </is>
      </c>
      <c r="E26" t="inlineStr">
        <is>
          <t>50,00,000</t>
        </is>
      </c>
      <c r="F26" t="inlineStr">
        <is>
          <t>3. Repair of Cross nalli, pipe cross, Iron Jalli, Ferro cover at different places in Ward No. 31 to 40, Municipal Board Nathdwara (ARC Nature)</t>
        </is>
      </c>
      <c r="G26" t="inlineStr">
        <is>
          <t>MUNICIPALITY NATHDWARA</t>
        </is>
      </c>
    </row>
    <row r="27">
      <c r="A27" s="1" t="n">
        <v>25</v>
      </c>
      <c r="B27">
        <f>HYPERLINK("https://eproc.rajasthan.gov.in/nicgep/app?component=%24DirectLink&amp;page=FrontEndViewTender&amp;service=direct&amp;session=T&amp;sp=SDnz3iE%2BDyIF7YOUTUtxQ9Q%3D%3D", "2. Repair of Cross nalli, pipe cross, Iron Jalli, Ferro cover at different places in Ward No. 16 to 30, Municipal Board Nathdwara (ARC Nature)")</f>
        <v/>
      </c>
      <c r="C27" t="inlineStr">
        <is>
          <t>DLB||Dy.DR-Udaipur||EO-Nathdwara</t>
        </is>
      </c>
      <c r="D27" t="inlineStr">
        <is>
          <t>26-May-2025 06:00 PM</t>
        </is>
      </c>
      <c r="E27" t="inlineStr">
        <is>
          <t>50,00,000</t>
        </is>
      </c>
      <c r="F27" t="inlineStr">
        <is>
          <t>2. Repair of Cross nalli, pipe cross, Iron Jalli, Ferro cover at different places in Ward No. 16 to 30, Municipal Board Nathdwara (ARC Nature)</t>
        </is>
      </c>
      <c r="G27" t="inlineStr">
        <is>
          <t>MUNICIPALITY NATHDWARA</t>
        </is>
      </c>
    </row>
    <row r="28">
      <c r="A28" s="1" t="n">
        <v>26</v>
      </c>
      <c r="B28">
        <f>HYPERLINK("https://eproc.rajasthan.gov.in/nicgep/app?component=%24DirectLink&amp;page=FrontEndViewTender&amp;service=direct&amp;session=T&amp;sp=SifJ5%2F%2FHq3AgE%2BP8qf20WLA%3D%3D", "Repair and Maintenance Work of Baba Shab Ambedkar Park Pachpahar at Nagarplika Bhawani Mandi Dist Jhalawar")</f>
        <v/>
      </c>
      <c r="C28" t="inlineStr">
        <is>
          <t>DLB||Dy.DR-Kota||EO-Pirawa</t>
        </is>
      </c>
      <c r="D28" t="inlineStr">
        <is>
          <t>27-May-2025 11:00 AM</t>
        </is>
      </c>
      <c r="E28" t="inlineStr">
        <is>
          <t>3,81,000</t>
        </is>
      </c>
      <c r="F28" t="inlineStr">
        <is>
          <t>Repair and Maintenance Work of Baba Shab Ambedkar Park Pachpahar at Nagarplika Bhawani Mandi Dist Jhalawar</t>
        </is>
      </c>
      <c r="G28" t="inlineStr">
        <is>
          <t>Bhawani mandi</t>
        </is>
      </c>
    </row>
    <row r="29">
      <c r="A29" s="1" t="n">
        <v>27</v>
      </c>
      <c r="B29">
        <f>HYPERLINK("https://eproc.rajasthan.gov.in/nicgep/app?component=%24DirectLink&amp;page=FrontEndViewTender&amp;service=direct&amp;session=T&amp;sp=SbAbtL7xItfU8DZbSoUHNxQ%3D%3D", "Repair and Maintenance Work of Nav Mahaveer park at Nagarplika Bhawani Mandi Dist Jhalawar")</f>
        <v/>
      </c>
      <c r="C29" t="inlineStr">
        <is>
          <t>DLB||Dy.DR-Kota||EO-Pirawa</t>
        </is>
      </c>
      <c r="D29" t="inlineStr">
        <is>
          <t>27-May-2025 11:00 AM</t>
        </is>
      </c>
      <c r="E29" t="inlineStr">
        <is>
          <t>3,58,000</t>
        </is>
      </c>
      <c r="F29" t="inlineStr">
        <is>
          <t>Repair and Maintenance Work of Nav Mahaveer park at Nagarplika Bhawani Mandi Dist Jhalawar</t>
        </is>
      </c>
      <c r="G29" t="inlineStr">
        <is>
          <t>Bhawani mandi</t>
        </is>
      </c>
    </row>
    <row r="30">
      <c r="A30" s="1" t="n">
        <v>28</v>
      </c>
      <c r="B30">
        <f>HYPERLINK("https://eproc.rajasthan.gov.in/nicgep/app?component=%24DirectLink&amp;page=FrontEndViewTender&amp;service=direct&amp;session=T&amp;sp=SBeXlZFrLPl5DSoop%2FfLiuw%3D%3D", "Repair and Maintenance Work of Deen dayal park at Nagarplika Bhawani Mandi Dist Jhalawar")</f>
        <v/>
      </c>
      <c r="C30" t="inlineStr">
        <is>
          <t>DLB||Dy.DR-Kota||EO-Pirawa</t>
        </is>
      </c>
      <c r="D30" t="inlineStr">
        <is>
          <t>27-May-2025 11:00 AM</t>
        </is>
      </c>
      <c r="E30" t="inlineStr">
        <is>
          <t>8,24,000</t>
        </is>
      </c>
      <c r="F30" t="inlineStr">
        <is>
          <t>Repair and Maintenance Work of Deen dayal park at Nagarplika Bhawani Mandi Dist Jhalawar</t>
        </is>
      </c>
      <c r="G30" t="inlineStr">
        <is>
          <t>Bhawani mandi</t>
        </is>
      </c>
    </row>
    <row r="31">
      <c r="A31" s="1" t="n">
        <v>29</v>
      </c>
      <c r="B31">
        <f>HYPERLINK("https://eproc.rajasthan.gov.in/nicgep/app?component=%24DirectLink&amp;page=FrontEndViewTender&amp;service=direct&amp;session=T&amp;sp=SU1zqBDbXyWx2gWjUl0Jb0w%3D%3D", "Repair and Maintenance Work of Nehru park at Nagarplika Bhawani Mandi Dist Jhalawar")</f>
        <v/>
      </c>
      <c r="C31" t="inlineStr">
        <is>
          <t>DLB||Dy.DR-Kota||EO-Pirawa</t>
        </is>
      </c>
      <c r="D31" t="inlineStr">
        <is>
          <t>27-May-2025 11:00 AM</t>
        </is>
      </c>
      <c r="E31" t="inlineStr">
        <is>
          <t>11,82,000</t>
        </is>
      </c>
      <c r="F31" t="inlineStr">
        <is>
          <t>Repair and Maintenance Work of Nehru park at Nagarplika Bhawani Mandi Dist Jhalawar</t>
        </is>
      </c>
      <c r="G31" t="inlineStr">
        <is>
          <t>Bhawani mandi</t>
        </is>
      </c>
    </row>
    <row r="32">
      <c r="A32" s="1" t="n">
        <v>30</v>
      </c>
      <c r="B32">
        <f>HYPERLINK("https://eproc.rajasthan.gov.in/nicgep/app?component=%24DirectLink&amp;page=FrontEndViewTender&amp;service=direct&amp;session=T&amp;sp=Swe%2BQbo0WNLKZrk4iSMLpVw%3D%3D", "Work of Rate Contract for Plantation and Beautification at various places in the Municipality area (Financial Year 2025-26)")</f>
        <v/>
      </c>
      <c r="C32" t="inlineStr">
        <is>
          <t>DLB||Dy.DR-Udaipur||EO-Sagwara</t>
        </is>
      </c>
      <c r="D32" t="inlineStr">
        <is>
          <t>26-May-2025 06:00 PM</t>
        </is>
      </c>
      <c r="E32" t="inlineStr">
        <is>
          <t>25,00,000</t>
        </is>
      </c>
      <c r="F32" t="inlineStr">
        <is>
          <t>Work of Rate Contract for Plantation and Beautification at various places in the Municipality area (Financial Year 2025-26)</t>
        </is>
      </c>
      <c r="G32" t="inlineStr">
        <is>
          <t>SAGWARA</t>
        </is>
      </c>
    </row>
    <row r="33">
      <c r="A33" s="1" t="n">
        <v>31</v>
      </c>
      <c r="B33">
        <f>HYPERLINK("https://eproc.rajasthan.gov.in/nicgep/app?component=%24DirectLink&amp;page=FrontEndViewTender&amp;service=direct&amp;session=T&amp;sp=SqIKzdwEShy73BZAujeKj%2Bw%3D%3D", "Work of Rate Contract for Installation of Interlocking Blocks at various places in the Municipality area (Financial Year 2025-26)")</f>
        <v/>
      </c>
      <c r="C33" t="inlineStr">
        <is>
          <t>DLB||Dy.DR-Udaipur||EO-Sagwara</t>
        </is>
      </c>
      <c r="D33" t="inlineStr">
        <is>
          <t>26-May-2025 06:00 PM</t>
        </is>
      </c>
      <c r="E33" t="inlineStr">
        <is>
          <t>49,50,000</t>
        </is>
      </c>
      <c r="F33" t="inlineStr">
        <is>
          <t>Work of Rate Contract for Installation of Interlocking Blocks at various places in the Municipality area (Financial Year 2025-26)</t>
        </is>
      </c>
      <c r="G33" t="inlineStr">
        <is>
          <t>SAGWARA</t>
        </is>
      </c>
    </row>
    <row r="34">
      <c r="A34" s="1" t="n">
        <v>32</v>
      </c>
      <c r="B34">
        <f>HYPERLINK("https://eproc.rajasthan.gov.in/nicgep/app?component=%24DirectLink&amp;page=FrontEndViewTender&amp;service=direct&amp;session=T&amp;sp=SZQ4PgcpGX%2BXADt9yc2%2FuWg%3D%3D", "The work of constructing gazebo in various parks in the municipality area")</f>
        <v/>
      </c>
      <c r="C34" t="inlineStr">
        <is>
          <t>DLB||Dy.DR-Udaipur||EO-Sagwara</t>
        </is>
      </c>
      <c r="D34" t="inlineStr">
        <is>
          <t>26-May-2025 06:00 PM</t>
        </is>
      </c>
      <c r="E34" t="inlineStr">
        <is>
          <t>14,00,000</t>
        </is>
      </c>
      <c r="F34" t="inlineStr">
        <is>
          <t>The work of constructing gazebo in various parks in the municipality area</t>
        </is>
      </c>
      <c r="G34" t="inlineStr">
        <is>
          <t>SAGWARA</t>
        </is>
      </c>
    </row>
    <row r="35">
      <c r="A35" s="1" t="n">
        <v>33</v>
      </c>
      <c r="B35">
        <f>HYPERLINK("https://eproc.rajasthan.gov.in/nicgep/app?component=%24DirectLink&amp;page=FrontEndViewTender&amp;service=direct&amp;session=T&amp;sp=SIlTmVPU2Z0qPKKYimTAXXw%3D%3D", "Work of erecting cobra fencing at various places in the municipality area")</f>
        <v/>
      </c>
      <c r="C35" t="inlineStr">
        <is>
          <t>DLB||Dy.DR-Udaipur||EO-Sagwara</t>
        </is>
      </c>
      <c r="D35" t="inlineStr">
        <is>
          <t>26-May-2025 06:00 PM</t>
        </is>
      </c>
      <c r="E35" t="inlineStr">
        <is>
          <t>4,00,000</t>
        </is>
      </c>
      <c r="F35" t="inlineStr">
        <is>
          <t>Work of erecting cobra fencing at various places in the municipality area</t>
        </is>
      </c>
      <c r="G35" t="inlineStr">
        <is>
          <t>SAGWARA</t>
        </is>
      </c>
    </row>
    <row r="36">
      <c r="A36" s="1" t="n">
        <v>34</v>
      </c>
      <c r="B36">
        <f>HYPERLINK("https://eproc.rajasthan.gov.in/nicgep/app?component=%24DirectLink&amp;page=FrontEndViewTender&amp;service=direct&amp;session=T&amp;sp=S6km8i2iHOMUxndZcohSsdA%3D%3D", "Work of Rate Contract for Construction and Repair of CC Road in Municipality Area (Financial Year 2025-26)")</f>
        <v/>
      </c>
      <c r="C36" t="inlineStr">
        <is>
          <t>DLB||Dy.DR-Udaipur||EO-Sagwara</t>
        </is>
      </c>
      <c r="D36" t="inlineStr">
        <is>
          <t>26-May-2025 06:00 PM</t>
        </is>
      </c>
      <c r="E36" t="inlineStr">
        <is>
          <t>49,50,000</t>
        </is>
      </c>
      <c r="F36" t="inlineStr">
        <is>
          <t>Work of Rate Contract for Construction and Repair of CC Road in Municipality Area (Financial Year 2025-26)</t>
        </is>
      </c>
      <c r="G36" t="inlineStr">
        <is>
          <t>SAGWARA</t>
        </is>
      </c>
    </row>
    <row r="37">
      <c r="A37" s="1" t="n">
        <v>35</v>
      </c>
      <c r="B37">
        <f>HYPERLINK("https://eproc.rajasthan.gov.in/nicgep/app?component=%24DirectLink&amp;page=FrontEndViewTender&amp;service=direct&amp;session=T&amp;sp=SRSekzr3oJKXEp44h8IOXBg%3D%3D", "Work of laying china mosaic at various locations in the municipal area (financial year 2025-26)")</f>
        <v/>
      </c>
      <c r="C37" t="inlineStr">
        <is>
          <t>DLB||Dy.DR-Udaipur||EO-Sagwara</t>
        </is>
      </c>
      <c r="D37" t="inlineStr">
        <is>
          <t>26-May-2025 06:00 PM</t>
        </is>
      </c>
      <c r="E37" t="inlineStr">
        <is>
          <t>10,00,000</t>
        </is>
      </c>
      <c r="F37" t="inlineStr">
        <is>
          <t>Work of laying china mosaic at various locations in the municipal area (financial year 2025-26)</t>
        </is>
      </c>
      <c r="G37" t="inlineStr">
        <is>
          <t>SAGWARA</t>
        </is>
      </c>
    </row>
    <row r="38">
      <c r="A38" s="1" t="n">
        <v>36</v>
      </c>
      <c r="B38">
        <f>HYPERLINK("https://eproc.rajasthan.gov.in/nicgep/app?component=%24DirectLink&amp;page=FrontEndViewTender&amp;service=direct&amp;session=T&amp;sp=S51Ec4oV7sTbdkLuIvIhjpw%3D%3D", "Work of rate contract for various iron works in the municipal area (financial year 2025-26)")</f>
        <v/>
      </c>
      <c r="C38" t="inlineStr">
        <is>
          <t>DLB||Dy.DR-Udaipur||EO-Sagwara</t>
        </is>
      </c>
      <c r="D38" t="inlineStr">
        <is>
          <t>26-May-2025 06:00 PM</t>
        </is>
      </c>
      <c r="E38" t="inlineStr">
        <is>
          <t>24,00,000</t>
        </is>
      </c>
      <c r="F38" t="inlineStr">
        <is>
          <t>Work of rate contract for various iron works in the municipal area (financial year 2025-26)</t>
        </is>
      </c>
      <c r="G38" t="inlineStr">
        <is>
          <t>SAGWARA</t>
        </is>
      </c>
    </row>
    <row r="39">
      <c r="A39" s="1" t="n">
        <v>37</v>
      </c>
      <c r="B39">
        <f>HYPERLINK("https://eproc.rajasthan.gov.in/nicgep/app?component=%24DirectLink&amp;page=FrontEndViewTender&amp;service=direct&amp;session=T&amp;sp=SHLV3814KUfgsnXasL94%2B%2Bw%3D%3D", "Work of supply and fixing of HDPE speed breakers in municipal area.")</f>
        <v/>
      </c>
      <c r="C39" t="inlineStr">
        <is>
          <t>DLB||Dy.DR-Jodhpur||CEO-Jodhpur</t>
        </is>
      </c>
      <c r="D39" t="inlineStr">
        <is>
          <t>25-May-2025 06:00 PM</t>
        </is>
      </c>
      <c r="E39" t="inlineStr">
        <is>
          <t>9,90,000</t>
        </is>
      </c>
      <c r="F39" t="inlineStr">
        <is>
          <t>Work of supply and fixing of HDPE speed breakers in municipal area.</t>
        </is>
      </c>
      <c r="G39" t="inlineStr">
        <is>
          <t>balesarsatta</t>
        </is>
      </c>
    </row>
    <row r="40">
      <c r="A40" s="1" t="n">
        <v>38</v>
      </c>
      <c r="B40">
        <f>HYPERLINK("https://eproc.rajasthan.gov.in/nicgep/app?component=%24DirectLink&amp;page=FrontEndViewTender&amp;service=direct&amp;session=T&amp;sp=SoxDS%2BVxflLUJz3tKf1GO4g%3D%3D", "Supply and fixing work of single seat re-locatable urinal unit in municipal area")</f>
        <v/>
      </c>
      <c r="C40" t="inlineStr">
        <is>
          <t>DLB||Dy.DR-Jodhpur||CEO-Jodhpur</t>
        </is>
      </c>
      <c r="D40" t="inlineStr">
        <is>
          <t>25-May-2025 06:00 PM</t>
        </is>
      </c>
      <c r="E40" t="inlineStr">
        <is>
          <t>9,90,000</t>
        </is>
      </c>
      <c r="F40" t="inlineStr">
        <is>
          <t>Supply and fixing work of single seat re-locatable urinal unit in municipal area</t>
        </is>
      </c>
      <c r="G40" t="inlineStr">
        <is>
          <t>balesarsatta</t>
        </is>
      </c>
    </row>
    <row r="41">
      <c r="A41" s="1" t="n">
        <v>39</v>
      </c>
      <c r="B41">
        <f>HYPERLINK("https://eproc.rajasthan.gov.in/nicgep/app?component=%24DirectLink&amp;page=FrontEndViewTender&amp;service=direct&amp;session=T&amp;sp=SxMtBGlz5JMEbTveCrvk7NA%3D%3D", "Work of garbage bin supply in municipal area.")</f>
        <v/>
      </c>
      <c r="C41" t="inlineStr">
        <is>
          <t>DLB||Dy.DR-Jodhpur||CEO-Jodhpur</t>
        </is>
      </c>
      <c r="D41" t="inlineStr">
        <is>
          <t>25-May-2025 06:00 PM</t>
        </is>
      </c>
      <c r="E41" t="inlineStr">
        <is>
          <t>9,90,000</t>
        </is>
      </c>
      <c r="F41" t="inlineStr">
        <is>
          <t>Work of garbage bin supply in municipal area.</t>
        </is>
      </c>
      <c r="G41" t="inlineStr">
        <is>
          <t>balesarsatta</t>
        </is>
      </c>
    </row>
    <row r="42">
      <c r="A42" s="1" t="n">
        <v>40</v>
      </c>
      <c r="B42">
        <f>HYPERLINK("https://eproc.rajasthan.gov.in/nicgep/app?component=%24DirectLink&amp;page=FrontEndViewTender&amp;service=direct&amp;session=T&amp;sp=SPKlYB%2Blw5YMSfvqqmdJJxg%3D%3D", "Garbage container supply work in municipality")</f>
        <v/>
      </c>
      <c r="C42" t="inlineStr">
        <is>
          <t>DLB||Dy.DR-Jodhpur||CEO-Jodhpur</t>
        </is>
      </c>
      <c r="D42" t="inlineStr">
        <is>
          <t>25-May-2025 06:00 PM</t>
        </is>
      </c>
      <c r="E42" t="inlineStr">
        <is>
          <t>9,90,000</t>
        </is>
      </c>
      <c r="F42" t="inlineStr">
        <is>
          <t>Garbage container supply work in municipality</t>
        </is>
      </c>
      <c r="G42" t="inlineStr">
        <is>
          <t>balesarsatta</t>
        </is>
      </c>
    </row>
    <row r="43">
      <c r="A43" s="1" t="n">
        <v>41</v>
      </c>
      <c r="B43">
        <f>HYPERLINK("https://eproc.rajasthan.gov.in/nicgep/app?component=%24DirectLink&amp;page=FrontEndViewTender&amp;service=direct&amp;session=T&amp;sp=SFhO2HXO8O5hnS7%2F%2FAblyyg%3D%3D", "Consultancy work for development projects in the municipal area (financial year 2025-26)")</f>
        <v/>
      </c>
      <c r="C43" t="inlineStr">
        <is>
          <t>DLB||Dy.DR-Udaipur||EO-Sagwara</t>
        </is>
      </c>
      <c r="D43" t="inlineStr">
        <is>
          <t>26-May-2025 06:00 PM</t>
        </is>
      </c>
      <c r="E43" t="inlineStr">
        <is>
          <t>10,00,000</t>
        </is>
      </c>
      <c r="F43" t="inlineStr">
        <is>
          <t>Consultancy work for development projects in the municipal area (financial year 2025-26)</t>
        </is>
      </c>
      <c r="G43" t="inlineStr">
        <is>
          <t>SAGWARA</t>
        </is>
      </c>
    </row>
    <row r="44">
      <c r="A44" s="1" t="n">
        <v>42</v>
      </c>
      <c r="B44">
        <f>HYPERLINK("https://eproc.rajasthan.gov.in/nicgep/app?component=%24DirectLink&amp;page=FrontEndViewTender&amp;service=direct&amp;session=T&amp;sp=STJPm8Si1TX3BEboB1%2Fh%2F7Q%3D%3D", "parishad shetra me vibhin uthsav par avm ragai putai work")</f>
        <v/>
      </c>
      <c r="C44" t="inlineStr">
        <is>
          <t>DLB||Dy.DR-Ajmer||Commissioner-Beawar</t>
        </is>
      </c>
      <c r="D44" t="inlineStr">
        <is>
          <t>19-May-2025 06:00 PM</t>
        </is>
      </c>
      <c r="E44" t="inlineStr">
        <is>
          <t>29,55,000</t>
        </is>
      </c>
      <c r="F44" t="inlineStr">
        <is>
          <t>as per terms and conditions</t>
        </is>
      </c>
      <c r="G44" t="inlineStr">
        <is>
          <t>np beawar</t>
        </is>
      </c>
    </row>
    <row r="45">
      <c r="A45" s="1" t="n">
        <v>43</v>
      </c>
      <c r="B45">
        <f>HYPERLINK("https://eproc.rajasthan.gov.in/nicgep/app?component=%24DirectLink&amp;page=FrontEndViewTender&amp;service=direct&amp;session=T&amp;sp=ShBOE%2FNzOm0SnIJkfDUIqYg%3D%3D", "nagar parishad kshetra me vibhin utsavo per bericating lagaane ka karya")</f>
        <v/>
      </c>
      <c r="C45" t="inlineStr">
        <is>
          <t>DLB||Dy.DR-Ajmer||Commissioner-Beawar</t>
        </is>
      </c>
      <c r="D45" t="inlineStr">
        <is>
          <t>19-May-2025 06:00 PM</t>
        </is>
      </c>
      <c r="E45" t="inlineStr">
        <is>
          <t>14,99,000</t>
        </is>
      </c>
      <c r="F45" t="inlineStr">
        <is>
          <t>as per terms and conditions</t>
        </is>
      </c>
      <c r="G45" t="inlineStr">
        <is>
          <t>np beawar</t>
        </is>
      </c>
    </row>
    <row r="46">
      <c r="A46" s="1" t="n">
        <v>44</v>
      </c>
      <c r="B46">
        <f>HYPERLINK("https://eproc.rajasthan.gov.in/nicgep/app?component=%24DirectLink&amp;page=FrontEndViewTender&amp;service=direct&amp;session=T&amp;sp=SE6UcrUAbTJYJZHX2ZAcHjg%3D%3D", "parishad shetra me chinihit isthano barda avm baalu meeti supply work")</f>
        <v/>
      </c>
      <c r="C46" t="inlineStr">
        <is>
          <t>DLB||Dy.DR-Ajmer||Commissioner-Beawar</t>
        </is>
      </c>
      <c r="D46" t="inlineStr">
        <is>
          <t>19-May-2025 06:00 PM</t>
        </is>
      </c>
      <c r="E46" t="inlineStr">
        <is>
          <t>24,97,000</t>
        </is>
      </c>
      <c r="F46" t="inlineStr">
        <is>
          <t>as per terms and conditions</t>
        </is>
      </c>
      <c r="G46" t="inlineStr">
        <is>
          <t>np beawar</t>
        </is>
      </c>
    </row>
    <row r="47">
      <c r="A47" s="1" t="n">
        <v>45</v>
      </c>
      <c r="B47">
        <f>HYPERLINK("https://eproc.rajasthan.gov.in/nicgep/app?component=%24DirectLink&amp;page=FrontEndViewTender&amp;service=direct&amp;session=T&amp;sp=SbVEXY13vN%2FJr1%2FJZM8HS3A%3D%3D", "nagar parishad kshetra me aavshyaktanusar nali cross nirman ferro block supply evm fixing karya")</f>
        <v/>
      </c>
      <c r="C47" t="inlineStr">
        <is>
          <t>DLB||Dy.DR-Ajmer||Commissioner-Beawar</t>
        </is>
      </c>
      <c r="D47" t="inlineStr">
        <is>
          <t>19-May-2025 06:00 PM</t>
        </is>
      </c>
      <c r="E47" t="inlineStr">
        <is>
          <t>49,99,000</t>
        </is>
      </c>
      <c r="F47" t="inlineStr">
        <is>
          <t>as per terms and conditions</t>
        </is>
      </c>
      <c r="G47" t="inlineStr">
        <is>
          <t>np beawar</t>
        </is>
      </c>
    </row>
    <row r="48">
      <c r="A48" s="1" t="n">
        <v>46</v>
      </c>
      <c r="B48">
        <f>HYPERLINK("https://eproc.rajasthan.gov.in/nicgep/app?component=%24DirectLink&amp;page=FrontEndViewTender&amp;service=direct&amp;session=T&amp;sp=SRsXVjy7Mu9ZRRkpWJKNIQw%3D%3D", "new police line beawar me mittee bhrai ka work")</f>
        <v/>
      </c>
      <c r="C48" t="inlineStr">
        <is>
          <t>DLB||Dy.DR-Ajmer||Commissioner-Beawar</t>
        </is>
      </c>
      <c r="D48" t="inlineStr">
        <is>
          <t>19-May-2025 06:00 PM</t>
        </is>
      </c>
      <c r="E48" t="inlineStr">
        <is>
          <t>4,02,000</t>
        </is>
      </c>
      <c r="F48" t="inlineStr">
        <is>
          <t>as per terms and conditions</t>
        </is>
      </c>
      <c r="G48" t="inlineStr">
        <is>
          <t>np beawar</t>
        </is>
      </c>
    </row>
    <row r="49">
      <c r="A49" s="1" t="n">
        <v>47</v>
      </c>
      <c r="B49">
        <f>HYPERLINK("https://eproc.rajasthan.gov.in/nicgep/app?component=%24DirectLink&amp;page=FrontEndViewTender&amp;service=direct&amp;session=T&amp;sp=SD%2F%2BhszE%2FdIA%2BJSHz4n%2BLOQ%3D%3D", "Supply of Tractor Trolly with Laboud, Driver for Collection of Compost and C and D Waste Transporation at Noh Compost Plant")</f>
        <v/>
      </c>
      <c r="C49" t="inlineStr">
        <is>
          <t>DLB||Dy.DR-Jaipur||Commissioner-Bhartpur</t>
        </is>
      </c>
      <c r="D49" t="inlineStr">
        <is>
          <t>03-Jun-2025 06:00 PM</t>
        </is>
      </c>
      <c r="E49" t="inlineStr">
        <is>
          <t>3,84,00,000</t>
        </is>
      </c>
      <c r="F49" t="inlineStr">
        <is>
          <t>Supply of Tractor Trolly with Laboud, Driver for Collection of Compost and C and D Waste Transportation at Noh Compost Plant</t>
        </is>
      </c>
      <c r="G49" t="inlineStr">
        <is>
          <t>Municipal Corporation, Bharatpur</t>
        </is>
      </c>
    </row>
    <row r="50">
      <c r="A50" s="1" t="n">
        <v>48</v>
      </c>
      <c r="B50">
        <f>HYPERLINK("https://eproc.rajasthan.gov.in/nicgep/app?component=%24DirectLink&amp;page=FrontEndViewTender&amp;service=direct&amp;session=T&amp;sp=SUoxrCmpRI6duAmPWn3oS2w%3D%3D", "nagar parishad beawar shetra me sarvjanik sochaliya total no. 7 me raap railing singboard avm painting ka work")</f>
        <v/>
      </c>
      <c r="C50" t="inlineStr">
        <is>
          <t>DLB||Dy.DR-Ajmer||Commissioner-Beawar</t>
        </is>
      </c>
      <c r="D50" t="inlineStr">
        <is>
          <t>19-May-2025 06:00 PM</t>
        </is>
      </c>
      <c r="E50" t="inlineStr">
        <is>
          <t>3,20,000</t>
        </is>
      </c>
      <c r="F50" t="inlineStr">
        <is>
          <t>as per terms and conditions</t>
        </is>
      </c>
      <c r="G50" t="inlineStr">
        <is>
          <t>np beawar</t>
        </is>
      </c>
    </row>
    <row r="51">
      <c r="A51" s="1" t="n">
        <v>49</v>
      </c>
      <c r="B51">
        <f>HYPERLINK("https://eproc.rajasthan.gov.in/nicgep/app?component=%24DirectLink&amp;page=FrontEndViewTender&amp;service=direct&amp;session=T&amp;sp=ST78Ch%2BuLGqXhAsbyQOndXw%3D%3D", "nagar parishad kshetra me chinhit sthano per shouchalaya evam pesabghar marmmt evm nirman karya")</f>
        <v/>
      </c>
      <c r="C51" t="inlineStr">
        <is>
          <t>DLB||Dy.DR-Ajmer||Commissioner-Beawar</t>
        </is>
      </c>
      <c r="D51" t="inlineStr">
        <is>
          <t>19-May-2025 06:00 PM</t>
        </is>
      </c>
      <c r="E51" t="inlineStr">
        <is>
          <t>24,76,000</t>
        </is>
      </c>
      <c r="F51" t="inlineStr">
        <is>
          <t>as per perms and conditions</t>
        </is>
      </c>
      <c r="G51" t="inlineStr">
        <is>
          <t>np beawar</t>
        </is>
      </c>
    </row>
    <row r="52">
      <c r="A52" s="1" t="n">
        <v>50</v>
      </c>
      <c r="B52">
        <f>HYPERLINK("https://eproc.rajasthan.gov.in/nicgep/app?component=%24DirectLink&amp;page=FrontEndViewTender&amp;service=direct&amp;session=T&amp;sp=SMca%2BBcVfbQ9O8pxuuFHA3A%3D%3D", "nagar parishad kshetra me aavshyaktanusar nali nirman karya")</f>
        <v/>
      </c>
      <c r="C52" t="inlineStr">
        <is>
          <t>DLB||Dy.DR-Ajmer||Commissioner-Beawar</t>
        </is>
      </c>
      <c r="D52" t="inlineStr">
        <is>
          <t>19-May-2025 06:00 PM</t>
        </is>
      </c>
      <c r="E52" t="inlineStr">
        <is>
          <t>49,78,000</t>
        </is>
      </c>
      <c r="F52" t="inlineStr">
        <is>
          <t>as per terms and conditions</t>
        </is>
      </c>
      <c r="G52" t="inlineStr">
        <is>
          <t>np beawar</t>
        </is>
      </c>
    </row>
    <row r="53">
      <c r="A53" s="1" t="n">
        <v>51</v>
      </c>
      <c r="B53">
        <f>HYPERLINK("https://eproc.rajasthan.gov.in/nicgep/app?component=%24DirectLink&amp;page=FrontEndViewTender&amp;service=direct&amp;session=T&amp;sp=SJADbztsVY5k%2FuiHvLcf1BA%3D%3D", "Zila Parishad Road Stith Nala Covering Karya (Nagar Parishad Rajsamand)")</f>
        <v/>
      </c>
      <c r="C53" t="inlineStr">
        <is>
          <t>DLB||Dy.DR-Udaipur||Commissioner-Rajsamand</t>
        </is>
      </c>
      <c r="D53" t="inlineStr">
        <is>
          <t>29-May-2025 06:00 PM</t>
        </is>
      </c>
      <c r="E53" t="inlineStr">
        <is>
          <t>6,99,000</t>
        </is>
      </c>
      <c r="F53" t="inlineStr">
        <is>
          <t>Zila Parishad Road Stith Nala Covering Karya (Nagar Parishad Rajsamand)</t>
        </is>
      </c>
      <c r="G53" t="inlineStr">
        <is>
          <t>Rajsamand</t>
        </is>
      </c>
    </row>
    <row r="54">
      <c r="A54" s="1" t="n">
        <v>52</v>
      </c>
      <c r="B54">
        <f>HYPERLINK("https://eproc.rajasthan.gov.in/nicgep/app?component=%24DirectLink&amp;page=FrontEndViewTender&amp;service=direct&amp;session=T&amp;sp=SupCYe%2BP3NaP1D3JYLnJbyA%3D%3D", "Store_NIT_35")</f>
        <v/>
      </c>
      <c r="C54" t="inlineStr">
        <is>
          <t>DLB||Dy.DR-Kota||Commissioner-Sawaimadhopur</t>
        </is>
      </c>
      <c r="D54" t="inlineStr">
        <is>
          <t>22-May-2025 12:00 PM</t>
        </is>
      </c>
      <c r="E54" t="inlineStr">
        <is>
          <t>5,10,000</t>
        </is>
      </c>
      <c r="F54" t="inlineStr">
        <is>
          <t>Operation and Maintenance of Jhalara Bawadi Shelter Home Near Shahid Udyan at Pali</t>
        </is>
      </c>
      <c r="G54" t="inlineStr">
        <is>
          <t>pali MCP</t>
        </is>
      </c>
    </row>
    <row r="55">
      <c r="A55" s="1" t="n">
        <v>53</v>
      </c>
      <c r="B55">
        <f>HYPERLINK("https://eproc.rajasthan.gov.in/nicgep/app?component=%24DirectLink&amp;page=FrontEndViewTender&amp;service=direct&amp;session=T&amp;sp=SGPIX2JLn%2FNeguTW%2BjM9kaw%3D%3D", "Supply of square tree guard in Municipal Council Rajsamand")</f>
        <v/>
      </c>
      <c r="C55" t="inlineStr">
        <is>
          <t>DLB||Dy.DR-Udaipur||Commissioner-Rajsamand</t>
        </is>
      </c>
      <c r="D55" t="inlineStr">
        <is>
          <t>29-May-2025 06:00 PM</t>
        </is>
      </c>
      <c r="E55" t="inlineStr">
        <is>
          <t>9,90,000</t>
        </is>
      </c>
      <c r="F55" t="inlineStr">
        <is>
          <t>Supply of square tree guard in Municipal Council Rajsamand</t>
        </is>
      </c>
      <c r="G55" t="inlineStr">
        <is>
          <t>Rajsamand</t>
        </is>
      </c>
    </row>
    <row r="56">
      <c r="A56" s="1" t="n">
        <v>54</v>
      </c>
      <c r="B56">
        <f>HYPERLINK("https://eproc.rajasthan.gov.in/nicgep/app?component=%24DirectLink&amp;page=FrontEndViewTender&amp;service=direct&amp;session=T&amp;sp=SN2DgWI3tcXIOYoyTa8%2F0gw%3D%3D", "Store_NIT_35")</f>
        <v/>
      </c>
      <c r="C56" t="inlineStr">
        <is>
          <t>DLB||Dy.DR-Kota||Commissioner-Sawaimadhopur</t>
        </is>
      </c>
      <c r="D56" t="inlineStr">
        <is>
          <t>22-May-2025 12:00 PM</t>
        </is>
      </c>
      <c r="E56" t="inlineStr">
        <is>
          <t>5,10,000</t>
        </is>
      </c>
      <c r="F56" t="inlineStr">
        <is>
          <t>Operation and Maintenance of Ramleela Medan Shelter Home at Pali</t>
        </is>
      </c>
      <c r="G56" t="inlineStr">
        <is>
          <t>pali MCP</t>
        </is>
      </c>
    </row>
    <row r="57">
      <c r="A57" s="1" t="n">
        <v>55</v>
      </c>
      <c r="B57">
        <f>HYPERLINK("https://eproc.rajasthan.gov.in/nicgep/app?component=%24DirectLink&amp;page=FrontEndViewTender&amp;service=direct&amp;session=T&amp;sp=SrnO%2F%2FGUSHEpm%2BEp6hXYGEw%3D%3D", "Store_NIT_35")</f>
        <v/>
      </c>
      <c r="C57" t="inlineStr">
        <is>
          <t>DLB||Dy.DR-Kota||Commissioner-Sawaimadhopur</t>
        </is>
      </c>
      <c r="D57" t="inlineStr">
        <is>
          <t>22-May-2025 12:00 PM</t>
        </is>
      </c>
      <c r="E57" t="inlineStr">
        <is>
          <t>5,17,000</t>
        </is>
      </c>
      <c r="F57" t="inlineStr">
        <is>
          <t>Operation and Maintenance of Atal Shelter Home at Punayta road Pali</t>
        </is>
      </c>
      <c r="G57" t="inlineStr">
        <is>
          <t>pali MCP</t>
        </is>
      </c>
    </row>
    <row r="58">
      <c r="A58" s="1" t="n">
        <v>56</v>
      </c>
      <c r="B58">
        <f>HYPERLINK("https://eproc.rajasthan.gov.in/nicgep/app?component=%24DirectLink&amp;page=FrontEndViewTender&amp;service=direct&amp;session=T&amp;sp=Sash%2BT8kZ60Vy9h1LH9NT6Q%3D%3D", "Irrigation Garden par Iron Railing Lagane ka karya (Nagar Parishad Rajsamand)")</f>
        <v/>
      </c>
      <c r="C58" t="inlineStr">
        <is>
          <t>DLB||Dy.DR-Udaipur||Commissioner-Rajsamand</t>
        </is>
      </c>
      <c r="D58" t="inlineStr">
        <is>
          <t>29-May-2025 06:00 PM</t>
        </is>
      </c>
      <c r="E58" t="inlineStr">
        <is>
          <t>19,67,000</t>
        </is>
      </c>
      <c r="F58" t="inlineStr">
        <is>
          <t>Irrigation Garden par Iron Railing Lagane ka karya (Nagar Parishad Rajsamand)</t>
        </is>
      </c>
      <c r="G58" t="inlineStr">
        <is>
          <t>Rajsamand</t>
        </is>
      </c>
    </row>
    <row r="59">
      <c r="A59" s="1" t="n">
        <v>57</v>
      </c>
      <c r="B59">
        <f>HYPERLINK("https://eproc.rajasthan.gov.in/nicgep/app?component=%24DirectLink&amp;page=FrontEndViewTender&amp;service=direct&amp;session=T&amp;sp=Sh%2BXzotw65IhUxuF%2FSugFcg%3D%3D", "Providing and supply of Mud Pumps at Flood Control Center Muncipal Council Rajsamand")</f>
        <v/>
      </c>
      <c r="C59" t="inlineStr">
        <is>
          <t>DLB||Dy.DR-Udaipur||Commissioner-Rajsamand</t>
        </is>
      </c>
      <c r="D59" t="inlineStr">
        <is>
          <t>29-May-2025 06:00 PM</t>
        </is>
      </c>
      <c r="E59" t="inlineStr">
        <is>
          <t>4,20,000</t>
        </is>
      </c>
      <c r="F59" t="inlineStr">
        <is>
          <t>Providing and supply of Mud Pumps at Flood Control Center Muncipal Council Rajsamand</t>
        </is>
      </c>
      <c r="G59" t="inlineStr">
        <is>
          <t>Rajsamand</t>
        </is>
      </c>
    </row>
    <row r="60">
      <c r="A60" s="1" t="n">
        <v>58</v>
      </c>
      <c r="B60">
        <f>HYPERLINK("https://eproc.rajasthan.gov.in/nicgep/app?component=%24DirectLink&amp;page=FrontEndViewTender&amp;service=direct&amp;session=T&amp;sp=StxyC%2BYURxfzZUrYwpoekcw%3D%3D", "Risk and Vost Work in Ward No. 8")</f>
        <v/>
      </c>
      <c r="C60" t="inlineStr">
        <is>
          <t>DLB||Dy.DR-Ajmer||CEO-Ajmer</t>
        </is>
      </c>
      <c r="D60" t="inlineStr">
        <is>
          <t>22-May-2025 06:00 PM</t>
        </is>
      </c>
      <c r="E60" t="inlineStr">
        <is>
          <t>9,25,000</t>
        </is>
      </c>
      <c r="F60" t="inlineStr">
        <is>
          <t>Risk and Vost Work in Ward No. 8</t>
        </is>
      </c>
      <c r="G60" t="inlineStr">
        <is>
          <t>nagar nigam, ajmer</t>
        </is>
      </c>
    </row>
    <row r="61">
      <c r="A61" s="1" t="n">
        <v>59</v>
      </c>
      <c r="B61">
        <f>HYPERLINK("https://eproc.rajasthan.gov.in/nicgep/app?component=%24DirectLink&amp;page=FrontEndViewTender&amp;service=direct&amp;session=T&amp;sp=SovirkIMnGkqWcFmBKJJzzQ%3D%3D", "ANNUAL RATE CONTRACT FOR SUPPLY WORK OF MUD PUMP FOR DIFFERENT WORKS OF MUNICIPAL CORPORATION JAIPUR HERITAGE")</f>
        <v/>
      </c>
      <c r="C61" t="inlineStr">
        <is>
          <t>DLB||Dy.DR-Jaipur||CEO-Jaipur</t>
        </is>
      </c>
      <c r="D61" t="inlineStr">
        <is>
          <t>26-May-2025 04:00 PM</t>
        </is>
      </c>
      <c r="E61" t="inlineStr">
        <is>
          <t>54,00,000</t>
        </is>
      </c>
      <c r="F61" t="inlineStr">
        <is>
          <t>ANNUAL RATE CONTRACT FOR SUPPLY WORK OF MUD PUMP FOR DIFFERENT WORKS OF MUNICIPAL CORPORATION JAIPUR HERITAGE</t>
        </is>
      </c>
      <c r="G61" t="inlineStr">
        <is>
          <t>JAIPUR</t>
        </is>
      </c>
    </row>
    <row r="62">
      <c r="A62" s="1" t="n">
        <v>60</v>
      </c>
      <c r="B62">
        <f>HYPERLINK("https://eproc.rajasthan.gov.in/nicgep/app?component=%24DirectLink&amp;page=FrontEndViewTender&amp;service=direct&amp;session=T&amp;sp=SxnO9rwRsJr8VbzUSf9HbQQ%3D%3D", "construction of modern toilet at Sub registrar office campus beawar")</f>
        <v/>
      </c>
      <c r="C62" t="inlineStr">
        <is>
          <t>DLB||Dy.DR-Ajmer||Commissioner-Beawar</t>
        </is>
      </c>
      <c r="D62" t="inlineStr">
        <is>
          <t>19-May-2025 06:00 PM</t>
        </is>
      </c>
      <c r="E62" t="inlineStr">
        <is>
          <t>49,82,000</t>
        </is>
      </c>
      <c r="F62" t="inlineStr">
        <is>
          <t>as per terms and conditions</t>
        </is>
      </c>
      <c r="G62" t="inlineStr">
        <is>
          <t>np beawar</t>
        </is>
      </c>
    </row>
    <row r="63">
      <c r="A63" s="1" t="n">
        <v>61</v>
      </c>
      <c r="B63">
        <f>HYPERLINK("https://eproc.rajasthan.gov.in/nicgep/app?component=%24DirectLink&amp;page=FrontEndViewTender&amp;service=direct&amp;session=T&amp;sp=S0YoUk5YxcRYtr49OMXkb9Q%3D%3D", "construction of modern toilet at district collector office campus beawar")</f>
        <v/>
      </c>
      <c r="C63" t="inlineStr">
        <is>
          <t>DLB||Dy.DR-Ajmer||Commissioner-Beawar</t>
        </is>
      </c>
      <c r="D63" t="inlineStr">
        <is>
          <t>19-May-2025 06:00 PM</t>
        </is>
      </c>
      <c r="E63" t="inlineStr">
        <is>
          <t>49,82,000</t>
        </is>
      </c>
      <c r="F63" t="inlineStr">
        <is>
          <t>terms and conditions</t>
        </is>
      </c>
      <c r="G63" t="inlineStr">
        <is>
          <t>np beawar</t>
        </is>
      </c>
    </row>
    <row r="64">
      <c r="A64" s="1" t="n">
        <v>62</v>
      </c>
      <c r="B64">
        <f>HYPERLINK("https://eproc.rajasthan.gov.in/nicgep/app?component=%24DirectLink&amp;page=FrontEndViewTender&amp;service=direct&amp;session=T&amp;sp=SVjL4M5sHQKCKjV0LJ2QaMQ%3D%3D", "nagar parishad beawar gram media ke khasra no 639 ,70 par central park hetu chardevari nirman avm wire fixing work")</f>
        <v/>
      </c>
      <c r="C64" t="inlineStr">
        <is>
          <t>DLB||Dy.DR-Ajmer||Commissioner-Beawar</t>
        </is>
      </c>
      <c r="D64" t="inlineStr">
        <is>
          <t>19-May-2025 06:00 PM</t>
        </is>
      </c>
      <c r="E64" t="inlineStr">
        <is>
          <t>25,00,000</t>
        </is>
      </c>
      <c r="F64" t="inlineStr">
        <is>
          <t>as per terms and conditons</t>
        </is>
      </c>
      <c r="G64" t="inlineStr">
        <is>
          <t>np beawar</t>
        </is>
      </c>
    </row>
    <row r="65">
      <c r="A65" s="1" t="n">
        <v>63</v>
      </c>
      <c r="B65">
        <f>HYPERLINK("https://eproc.rajasthan.gov.in/nicgep/app?component=%24DirectLink&amp;page=FrontEndViewTender&amp;service=direct&amp;session=T&amp;sp=SKULV6WfS%2BkUjyK3oaqWlhg%3D%3D", "samrat prithvi raj chouhan khel stadium and indor stadium main marmmat, chardiwari and anye vika")</f>
        <v/>
      </c>
      <c r="C65" t="inlineStr">
        <is>
          <t>DLB||Dy.DR-Ajmer||Commissioner-Beawar</t>
        </is>
      </c>
      <c r="D65" t="inlineStr">
        <is>
          <t>19-May-2025 06:00 PM</t>
        </is>
      </c>
      <c r="E65" t="inlineStr">
        <is>
          <t>49,98,000</t>
        </is>
      </c>
      <c r="F65" t="inlineStr">
        <is>
          <t>AS PER TERMS CONDITIONS</t>
        </is>
      </c>
      <c r="G65" t="inlineStr">
        <is>
          <t>np beawar</t>
        </is>
      </c>
    </row>
    <row r="66">
      <c r="A66" s="1" t="n">
        <v>64</v>
      </c>
      <c r="B66">
        <f>HYPERLINK("https://eproc.rajasthan.gov.in/nicgep/app?component=%24DirectLink&amp;page=FrontEndViewTender&amp;service=direct&amp;session=T&amp;sp=S2Uu7YOJrzF3%2FNYTxjV%2B%2Fdg%3D%3D", "Road Widening and WMB Work from infront of Star Kids to Saluja Nurshing Home Road Jawahar Nagar W.No. 43")</f>
        <v/>
      </c>
      <c r="C66" t="inlineStr">
        <is>
          <t>DLB||Dy.DR-Jaipur||Commissioner-Bhartpur</t>
        </is>
      </c>
      <c r="D66" t="inlineStr">
        <is>
          <t>22-May-2025 06:00 PM</t>
        </is>
      </c>
      <c r="E66" t="inlineStr">
        <is>
          <t>43,35,000</t>
        </is>
      </c>
      <c r="F66" t="inlineStr">
        <is>
          <t>Road Widening and WMB Work from infront of Star Kids to Saluja Nurshing Home Road Jawahar Nagar W.No. 43</t>
        </is>
      </c>
      <c r="G66" t="inlineStr">
        <is>
          <t>Municipal Corporation, Bharatpur</t>
        </is>
      </c>
    </row>
    <row r="67">
      <c r="A67" s="1" t="n">
        <v>65</v>
      </c>
      <c r="B67">
        <f>HYPERLINK("https://eproc.rajasthan.gov.in/nicgep/app?component=%24DirectLink&amp;page=FrontEndViewTender&amp;service=direct&amp;session=T&amp;sp=STeXZ%2BeBsdW%2Bu4pdeGLNN2g%3D%3D", "Construction of Boundary wall on Vacant Plots and Railing work at Sukhdiya Circle. (e_05 / Nirman_02)")</f>
        <v/>
      </c>
      <c r="C67" t="inlineStr">
        <is>
          <t>DLB||Dy.DR-Udaipur||Commissioner-Udaipur</t>
        </is>
      </c>
      <c r="D67" t="inlineStr">
        <is>
          <t>26-May-2025 06:55 PM</t>
        </is>
      </c>
      <c r="E67" t="inlineStr">
        <is>
          <t>48,78,000</t>
        </is>
      </c>
      <c r="F67" t="inlineStr">
        <is>
          <t>Construction of Boundary wall on Vacant Plots and Railing work at Sukhdiya Circle. (e_05 / Nirman_02)</t>
        </is>
      </c>
      <c r="G67" t="inlineStr">
        <is>
          <t>udaipur</t>
        </is>
      </c>
    </row>
    <row r="68">
      <c r="A68" s="1" t="n">
        <v>66</v>
      </c>
      <c r="B68">
        <f>HYPERLINK("https://eproc.rajasthan.gov.in/nicgep/app?component=%24DirectLink&amp;page=FrontEndViewTender&amp;service=direct&amp;session=T&amp;sp=SGmRsgNzqDtqL7wjWdP%2B8ug%3D%3D", "Soil Filling Work at Jawahar Nagar Kabristan W.No. 43")</f>
        <v/>
      </c>
      <c r="C68" t="inlineStr">
        <is>
          <t>DLB||Dy.DR-Jaipur||Commissioner-Bhartpur</t>
        </is>
      </c>
      <c r="D68" t="inlineStr">
        <is>
          <t>22-May-2025 06:00 PM</t>
        </is>
      </c>
      <c r="E68" t="inlineStr">
        <is>
          <t>19,28,000</t>
        </is>
      </c>
      <c r="F68" t="inlineStr">
        <is>
          <t>Soil Filling Work at Jawahar Nagar Kabristan W.No. 43</t>
        </is>
      </c>
      <c r="G68" t="inlineStr">
        <is>
          <t>Municipal Corporation, Bharatpur</t>
        </is>
      </c>
    </row>
    <row r="69">
      <c r="A69" s="1" t="n">
        <v>67</v>
      </c>
      <c r="B69">
        <f>HYPERLINK("https://eproc.rajasthan.gov.in/nicgep/app?component=%24DirectLink&amp;page=FrontEndViewTender&amp;service=direct&amp;session=T&amp;sp=S%2FOzHf4UEhUCpIL%2BLKYbOWA%3D%3D", "Patchwork ward 1to 4,7 to 12, 69 and 70 in MCU Area . (e_05 / Nirman_01)")</f>
        <v/>
      </c>
      <c r="C69" t="inlineStr">
        <is>
          <t>DLB||Dy.DR-Udaipur||Commissioner-Udaipur</t>
        </is>
      </c>
      <c r="D69" t="inlineStr">
        <is>
          <t>26-May-2025 06:55 PM</t>
        </is>
      </c>
      <c r="E69" t="inlineStr">
        <is>
          <t>16,85,000</t>
        </is>
      </c>
      <c r="F69" t="inlineStr">
        <is>
          <t>Patchwork ward 1to 4,7 to 12, 69 and 70 in MCU Area . (e_05 / Nirman_01)</t>
        </is>
      </c>
      <c r="G69" t="inlineStr">
        <is>
          <t>udaipur</t>
        </is>
      </c>
    </row>
    <row r="70">
      <c r="A70" s="1" t="n">
        <v>68</v>
      </c>
      <c r="B70">
        <f>HYPERLINK("https://eproc.rajasthan.gov.in/nicgep/app?component=%24DirectLink&amp;page=FrontEndViewTender&amp;service=direct&amp;session=T&amp;sp=SkH32YtiN9IsRq4Q%2FZ6OpnA%3D%3D", "During rainy season, drainage work through Alternator Tractor in ward number 46 to 65")</f>
        <v/>
      </c>
      <c r="C70" t="inlineStr">
        <is>
          <t>DLB||Dy.DR-Jaipur||Commissioner-Bhartpur</t>
        </is>
      </c>
      <c r="D70" t="inlineStr">
        <is>
          <t>22-May-2025 06:00 PM</t>
        </is>
      </c>
      <c r="E70" t="inlineStr">
        <is>
          <t>15,84,000</t>
        </is>
      </c>
      <c r="F70" t="inlineStr">
        <is>
          <t>During rainy season, drainage work through Alternator Tractor in ward number 46 to 65</t>
        </is>
      </c>
      <c r="G70" t="inlineStr">
        <is>
          <t>Municipal Corporation, Bharatpur</t>
        </is>
      </c>
    </row>
    <row r="71">
      <c r="A71" s="1" t="n">
        <v>69</v>
      </c>
      <c r="B71">
        <f>HYPERLINK("https://eproc.rajasthan.gov.in/nicgep/app?component=%24DirectLink&amp;page=FrontEndViewTender&amp;service=direct&amp;session=T&amp;sp=S3%2B%2Fv%2B3uRe%2FruxEh7UO6w7g%3D%3D", "During rainy season, drainage work through Alternator Tractor in ward number 1 to 20")</f>
        <v/>
      </c>
      <c r="C71" t="inlineStr">
        <is>
          <t>DLB||Dy.DR-Jaipur||Commissioner-Bhartpur</t>
        </is>
      </c>
      <c r="D71" t="inlineStr">
        <is>
          <t>22-May-2025 06:00 PM</t>
        </is>
      </c>
      <c r="E71" t="inlineStr">
        <is>
          <t>48,96,000</t>
        </is>
      </c>
      <c r="F71" t="inlineStr">
        <is>
          <t>During rainy season, drainage work through Alternator Tractor in ward number 1 to 20</t>
        </is>
      </c>
      <c r="G71" t="inlineStr">
        <is>
          <t>Municipal Corporation, Bharatpur</t>
        </is>
      </c>
    </row>
    <row r="72">
      <c r="A72" s="1" t="n">
        <v>70</v>
      </c>
      <c r="B72">
        <f>HYPERLINK("https://eproc.rajasthan.gov.in/nicgep/app?component=%24DirectLink&amp;page=FrontEndViewTender&amp;service=direct&amp;session=T&amp;sp=SMMyOBH57%2Fy3qwUHL%2Fbmbnw%3D%3D", "During rainy season, drainage work through Alternator Tractor in ward number 46 to 65")</f>
        <v/>
      </c>
      <c r="C72" t="inlineStr">
        <is>
          <t>DLB||Dy.DR-Jaipur||Commissioner-Bhartpur</t>
        </is>
      </c>
      <c r="D72" t="inlineStr">
        <is>
          <t>22-May-2025 06:00 PM</t>
        </is>
      </c>
      <c r="E72" t="inlineStr">
        <is>
          <t>28,80,000</t>
        </is>
      </c>
      <c r="F72" t="inlineStr">
        <is>
          <t>During rainy season, drainage work through Alternator Tractor in ward number 46 to 65</t>
        </is>
      </c>
      <c r="G72" t="inlineStr">
        <is>
          <t>Municipal Corporation, Bharatpur</t>
        </is>
      </c>
    </row>
    <row r="73">
      <c r="A73" s="1" t="n">
        <v>71</v>
      </c>
      <c r="B73">
        <f>HYPERLINK("https://eproc.rajasthan.gov.in/nicgep/app?component=%24DirectLink&amp;page=FrontEndViewTender&amp;service=direct&amp;session=T&amp;sp=S%2BvWGHt4NO2wWu6TOcIoWmg%3D%3D", "CC ROAD IN WARD NO 37 BHURAN EMITRA")</f>
        <v/>
      </c>
      <c r="C73" t="inlineStr">
        <is>
          <t>DLB||Dy.DR-Jaipur||EO-Surajgarh</t>
        </is>
      </c>
      <c r="D73" t="inlineStr">
        <is>
          <t>02-Jun-2025 06:00 PM</t>
        </is>
      </c>
      <c r="E73" t="inlineStr">
        <is>
          <t>11,46,000</t>
        </is>
      </c>
      <c r="F73" t="inlineStr">
        <is>
          <t>CC ROAD IN WARD NO 37 BHURAN EMITRA</t>
        </is>
      </c>
      <c r="G73" t="inlineStr">
        <is>
          <t>CC ROAD IN WARD NO 37 BHURAN EMITRA</t>
        </is>
      </c>
    </row>
    <row r="74">
      <c r="A74" s="1" t="n">
        <v>72</v>
      </c>
      <c r="B74">
        <f>HYPERLINK("https://eproc.rajasthan.gov.in/nicgep/app?component=%24DirectLink&amp;page=FrontEndViewTender&amp;service=direct&amp;session=T&amp;sp=SO6d61TBlBPMMo5gc88aETg%3D%3D", "CC ROAD FROM RAFIQ KURESHI HOUSE TO RAFIK KI GALI IN WARD NO 40")</f>
        <v/>
      </c>
      <c r="C74" t="inlineStr">
        <is>
          <t>DLB||Dy.DR-Jaipur||EO-Surajgarh</t>
        </is>
      </c>
      <c r="D74" t="inlineStr">
        <is>
          <t>02-Jun-2025 06:00 PM</t>
        </is>
      </c>
      <c r="E74" t="inlineStr">
        <is>
          <t>7,70,000</t>
        </is>
      </c>
      <c r="F74" t="inlineStr">
        <is>
          <t>CC ROAD FROM RAFIQ KURESHI HOUSE TO RAFIK KI GALI IN WARD NO 40</t>
        </is>
      </c>
      <c r="G74" t="inlineStr">
        <is>
          <t>CC ROAD FROM RAFIQ KURESHI HOUSE TO RAFIK KI GALI</t>
        </is>
      </c>
    </row>
    <row r="75">
      <c r="A75" s="1" t="n">
        <v>73</v>
      </c>
      <c r="B75">
        <f>HYPERLINK("https://eproc.rajasthan.gov.in/nicgep/app?component=%24DirectLink&amp;page=FrontEndViewTender&amp;service=direct&amp;session=T&amp;sp=SdDxDCtiqwImIFmsoDKBEfw%3D%3D", "CC ROAD FROM BALAN MUKTIDHAM TO BHAKAT KHATIK IN WARD NO 20")</f>
        <v/>
      </c>
      <c r="C75" t="inlineStr">
        <is>
          <t>DLB||Dy.DR-Jaipur||EO-Surajgarh</t>
        </is>
      </c>
      <c r="D75" t="inlineStr">
        <is>
          <t>02-Jun-2025 06:00 PM</t>
        </is>
      </c>
      <c r="E75" t="inlineStr">
        <is>
          <t>7,80,000</t>
        </is>
      </c>
      <c r="F75" t="inlineStr">
        <is>
          <t>CC ROAD FROM BALAN MUKTIDHAM TO BHAKAT KHATIK IN WARD NO 20</t>
        </is>
      </c>
      <c r="G75" t="inlineStr">
        <is>
          <t>CC ROAD FROM BALAN MUKTIDHAM TO BHAKAT KHATIK IN W</t>
        </is>
      </c>
    </row>
    <row r="76">
      <c r="A76" s="1" t="n">
        <v>74</v>
      </c>
      <c r="B76">
        <f>HYPERLINK("https://eproc.rajasthan.gov.in/nicgep/app?component=%24DirectLink&amp;page=FrontEndViewTender&amp;service=direct&amp;session=T&amp;sp=S4B6B9yMrK12vehLYP2OjLg%3D%3D", "DRAIN /CROSS WORK FROM BALAJI MANDIR IN WARD NO 15")</f>
        <v/>
      </c>
      <c r="C76" t="inlineStr">
        <is>
          <t>DLB||Dy.DR-Jaipur||EO-Surajgarh</t>
        </is>
      </c>
      <c r="D76" t="inlineStr">
        <is>
          <t>02-Jun-2025 06:00 PM</t>
        </is>
      </c>
      <c r="E76" t="inlineStr">
        <is>
          <t>2,69,000</t>
        </is>
      </c>
      <c r="F76" t="inlineStr">
        <is>
          <t>DRAIN /CROSS WORK FROM BALAJI MANDIR IN WARD NO 15</t>
        </is>
      </c>
      <c r="G76" t="inlineStr">
        <is>
          <t>DRAIN /CROSS WORK FROM BALAJI MANDIR IN WARD NO 15</t>
        </is>
      </c>
    </row>
    <row r="77">
      <c r="A77" s="1" t="n">
        <v>75</v>
      </c>
      <c r="B77">
        <f>HYPERLINK("https://eproc.rajasthan.gov.in/nicgep/app?component=%24DirectLink&amp;page=FrontEndViewTender&amp;service=direct&amp;session=T&amp;sp=SrJvzEot0YVeEbZ0XIUtr2A%3D%3D", "Fixing work of R.C.C. Pole and LED Light in Ward No. 2, 3, 4, 5, 6, 7, 10, 35 and other places in Nagar Palika Anta Area.")</f>
        <v/>
      </c>
      <c r="C77" t="inlineStr">
        <is>
          <t>DLB||Dy.DR-Kota||EO-Anta</t>
        </is>
      </c>
      <c r="D77" t="inlineStr">
        <is>
          <t>30-May-2025 06:00 PM</t>
        </is>
      </c>
      <c r="E77" t="inlineStr">
        <is>
          <t>32,44,000</t>
        </is>
      </c>
      <c r="F77" t="inlineStr">
        <is>
          <t>Fixing work of R.C.C. Pole and LED Light in Ward No. 2, 3, 4, 5, 6, 7, 10, 35 and other places in Nagar Palika Anta Area.</t>
        </is>
      </c>
      <c r="G77" t="inlineStr">
        <is>
          <t>Anta</t>
        </is>
      </c>
    </row>
    <row r="78">
      <c r="A78" s="1" t="n">
        <v>76</v>
      </c>
      <c r="B78">
        <f>HYPERLINK("https://eproc.rajasthan.gov.in/nicgep/app?component=%24DirectLink&amp;page=FrontEndViewTender&amp;service=direct&amp;session=T&amp;sp=SBAd6QrGCe39lHLXyluvbAg%3D%3D", "During rainy season, drainage work through pump set in ward number 1 to 20")</f>
        <v/>
      </c>
      <c r="C78" t="inlineStr">
        <is>
          <t>DLB||Dy.DR-Jaipur||Commissioner-Bhartpur</t>
        </is>
      </c>
      <c r="D78" t="inlineStr">
        <is>
          <t>22-May-2025 06:00 PM</t>
        </is>
      </c>
      <c r="E78" t="inlineStr">
        <is>
          <t>31,68,000</t>
        </is>
      </c>
      <c r="F78" t="inlineStr">
        <is>
          <t>During rainy season, drainage work through pump set in ward number 1 to 20</t>
        </is>
      </c>
      <c r="G78" t="inlineStr">
        <is>
          <t>Municipal Corporation, Bharatpur</t>
        </is>
      </c>
    </row>
    <row r="79">
      <c r="A79" s="1" t="n">
        <v>77</v>
      </c>
      <c r="B79">
        <f>HYPERLINK("https://eproc.rajasthan.gov.in/nicgep/app?component=%24DirectLink&amp;page=FrontEndViewTender&amp;service=direct&amp;session=T&amp;sp=SazoVAKVqBjtDZZV9gg%2Fkvw%3D%3D", "Store_NIT_35")</f>
        <v/>
      </c>
      <c r="C79" t="inlineStr">
        <is>
          <t>DLB||Dy.DR-Kota||Commissioner-Sawaimadhopur</t>
        </is>
      </c>
      <c r="D79" t="inlineStr">
        <is>
          <t>22-May-2025 12:00 PM</t>
        </is>
      </c>
      <c r="E79" t="inlineStr">
        <is>
          <t>6,06,000</t>
        </is>
      </c>
      <c r="F79" t="inlineStr">
        <is>
          <t>Operation and Maintenance of Mejor Dhyanchand Shelter Home at Pali</t>
        </is>
      </c>
      <c r="G79" t="inlineStr">
        <is>
          <t>pali MCP</t>
        </is>
      </c>
    </row>
    <row r="80">
      <c r="A80" s="1" t="n">
        <v>78</v>
      </c>
      <c r="B80">
        <f>HYPERLINK("https://eproc.rajasthan.gov.in/nicgep/app?component=%24DirectLink&amp;page=FrontEndViewTender&amp;service=direct&amp;session=T&amp;sp=SN6e1s6Fq2AVcrXlHMzn79w%3D%3D", "CC ROAD IN WARD NO 31 AND 32 FROM MADINA MASJID TO BIROL ROAD")</f>
        <v/>
      </c>
      <c r="C80" t="inlineStr">
        <is>
          <t>DLB||Dy.DR-Jaipur||EO-Surajgarh</t>
        </is>
      </c>
      <c r="D80" t="inlineStr">
        <is>
          <t>02-Jun-2025 06:00 PM</t>
        </is>
      </c>
      <c r="E80" t="inlineStr">
        <is>
          <t>17,13,000</t>
        </is>
      </c>
      <c r="F80" t="inlineStr">
        <is>
          <t>CC ROAD IN WARD NO 31 AND 32 FROM MADINA MASJID TO BIROL ROAD</t>
        </is>
      </c>
      <c r="G80" t="inlineStr">
        <is>
          <t>CC ROAD IN WARD NO 31 AND 32 FROM MADINA MASJID TO</t>
        </is>
      </c>
    </row>
    <row r="81">
      <c r="A81" s="1" t="n">
        <v>79</v>
      </c>
      <c r="B81">
        <f>HYPERLINK("https://eproc.rajasthan.gov.in/nicgep/app?component=%24DirectLink&amp;page=FrontEndViewTender&amp;service=direct&amp;session=T&amp;sp=SRrjVU6UWWkXWEkoDyre2dQ%3D%3D", "IDGAAH MASJID KOTA SOTNE IN WARD NO 20")</f>
        <v/>
      </c>
      <c r="C81" t="inlineStr">
        <is>
          <t>DLB||Dy.DR-Jaipur||EO-Surajgarh</t>
        </is>
      </c>
      <c r="D81" t="inlineStr">
        <is>
          <t>02-Jun-2025 06:00 PM</t>
        </is>
      </c>
      <c r="E81" t="inlineStr">
        <is>
          <t>24,16,000</t>
        </is>
      </c>
      <c r="F81" t="inlineStr">
        <is>
          <t>IDGAAH MASJID KOTA SOTNE IN WARD NO 20</t>
        </is>
      </c>
      <c r="G81" t="inlineStr">
        <is>
          <t>IDGAAH MASJID KOTA SOTNE IN WARD NO 20</t>
        </is>
      </c>
    </row>
    <row r="82">
      <c r="A82" s="1" t="n">
        <v>80</v>
      </c>
      <c r="B82">
        <f>HYPERLINK("https://eproc.rajasthan.gov.in/nicgep/app?component=%24DirectLink&amp;page=FrontEndViewTender&amp;service=direct&amp;session=T&amp;sp=SXrq2jsfFo2vskfBcrDnkwg%3D%3D", "CONSTRUCTION OF DRAINS AT DIFFERENT PLACES IN WARD 23 OF HAWAMHAL AMER ZONE")</f>
        <v/>
      </c>
      <c r="C82" t="inlineStr">
        <is>
          <t>DLB||Dy.DR-Jaipur||CEO-Jaipur</t>
        </is>
      </c>
      <c r="D82" t="inlineStr">
        <is>
          <t>26-May-2025 06:00 PM</t>
        </is>
      </c>
      <c r="E82" t="inlineStr">
        <is>
          <t>31,28,963</t>
        </is>
      </c>
      <c r="F82" t="inlineStr">
        <is>
          <t>CONSTRUCTION OF DRAINS AT DIFFERENT PLACES IN WARD 23 OF HAWAMHAL AMER ZONE</t>
        </is>
      </c>
      <c r="G82" t="inlineStr">
        <is>
          <t>JAIPUR</t>
        </is>
      </c>
    </row>
    <row r="83">
      <c r="A83" s="1" t="n">
        <v>81</v>
      </c>
      <c r="B83">
        <f>HYPERLINK("https://eproc.rajasthan.gov.in/nicgep/app?component=%24DirectLink&amp;page=FrontEndViewTender&amp;service=direct&amp;session=T&amp;sp=SD78RDpLe8BEF4tz0SY%2Bakg%3D%3D", "CONSTRUCTION OF MODERN TOILET NEAR GOVTMENT HOSPITAL")</f>
        <v/>
      </c>
      <c r="C83" t="inlineStr">
        <is>
          <t>DLB||Dy.DR-Kota||EO-Nainwa</t>
        </is>
      </c>
      <c r="D83" t="inlineStr">
        <is>
          <t>03-Jun-2025 06:00 PM</t>
        </is>
      </c>
      <c r="E83" t="inlineStr">
        <is>
          <t>42,83,000</t>
        </is>
      </c>
      <c r="F83" t="inlineStr">
        <is>
          <t>as per Rules</t>
        </is>
      </c>
      <c r="G83" t="inlineStr">
        <is>
          <t>hindoli</t>
        </is>
      </c>
    </row>
    <row r="84">
      <c r="A84" s="1" t="n">
        <v>82</v>
      </c>
      <c r="B84">
        <f>HYPERLINK("https://eproc.rajasthan.gov.in/nicgep/app?component=%24DirectLink&amp;page=FrontEndViewTender&amp;service=direct&amp;session=T&amp;sp=S58GntnBt8%2FkOW44hI63MxQ%3D%3D", "CONSTRUCTION WORK OF DRAIN FROM MURALIMOHAN GARDEN TO DHOBIYON KE RASTA VIA NANGI KA CHAURAHA IN HAWA MAHAL AMER ZONE WARD NO. 26")</f>
        <v/>
      </c>
      <c r="C84" t="inlineStr">
        <is>
          <t>DLB||Dy.DR-Jaipur||CEO-Jaipur</t>
        </is>
      </c>
      <c r="D84" t="inlineStr">
        <is>
          <t>26-May-2025 06:00 PM</t>
        </is>
      </c>
      <c r="E84" t="inlineStr">
        <is>
          <t>26,75,520</t>
        </is>
      </c>
      <c r="F84" t="inlineStr">
        <is>
          <t>CONSTRUCTION WORK OF DRAIN FROM MURALIMOHAN GARDEN TO DHOBIYON KE RASTA VIA NANGI KA CHAURAHA IN HAWA MAHAL AMER ZONE WARD NO. 26</t>
        </is>
      </c>
      <c r="G84" t="inlineStr">
        <is>
          <t>JAIPUR</t>
        </is>
      </c>
    </row>
    <row r="85">
      <c r="A85" s="1" t="n">
        <v>83</v>
      </c>
      <c r="B85">
        <f>HYPERLINK("https://eproc.rajasthan.gov.in/nicgep/app?component=%24DirectLink&amp;page=FrontEndViewTender&amp;service=direct&amp;session=T&amp;sp=SoBkRwKTdt33KJfhcEb%2B7Lw%3D%3D", "CONSTRUCTION NEW CLASSROOM AT GOVT SR SEC SCHOOL SRIVIJAYNAGAR")</f>
        <v/>
      </c>
      <c r="C85" t="inlineStr">
        <is>
          <t>DLB||Dy.DR-Bikaner||EO-Shrivijaynagar</t>
        </is>
      </c>
      <c r="D85" t="inlineStr">
        <is>
          <t>26-May-2025 06:00 PM</t>
        </is>
      </c>
      <c r="E85" t="inlineStr">
        <is>
          <t>24,97,000</t>
        </is>
      </c>
      <c r="F85" t="inlineStr">
        <is>
          <t>CONSTRUCTION NEW CLASSROOM AT GOVT SR SEC SCHOOL SRIVIJAYNAGAR</t>
        </is>
      </c>
      <c r="G85" t="inlineStr">
        <is>
          <t>SRIVIJAYNAGAR</t>
        </is>
      </c>
    </row>
    <row r="86">
      <c r="A86" s="1" t="n">
        <v>84</v>
      </c>
      <c r="B86">
        <f>HYPERLINK("https://eproc.rajasthan.gov.in/nicgep/app?component=%24DirectLink&amp;page=FrontEndViewTender&amp;service=direct&amp;session=T&amp;sp=SUIKi5U7RMIwGKg%2BNets1cA%3D%3D", "CONSTRUCTION WORK OF C.C ROAD IN KAMALGATTA COLONY IN WARD NO. 27 OF HAWAMAHAL AMER ZONE")</f>
        <v/>
      </c>
      <c r="C86" t="inlineStr">
        <is>
          <t>DLB||Dy.DR-Jaipur||CEO-Jaipur</t>
        </is>
      </c>
      <c r="D86" t="inlineStr">
        <is>
          <t>26-May-2025 06:00 PM</t>
        </is>
      </c>
      <c r="E86" t="inlineStr">
        <is>
          <t>92,75,737</t>
        </is>
      </c>
      <c r="F86" t="inlineStr">
        <is>
          <t>CONSTRUCTION WORK OF C.C ROAD IN KAMALGATTA COLONY IN WARD NO. 27 OF HAWAMAHAL AMER ZONE</t>
        </is>
      </c>
      <c r="G86" t="inlineStr">
        <is>
          <t>JAIPUR</t>
        </is>
      </c>
    </row>
    <row r="87">
      <c r="A87" s="1" t="n">
        <v>85</v>
      </c>
      <c r="B87">
        <f>HYPERLINK("https://eproc.rajasthan.gov.in/nicgep/app?component=%24DirectLink&amp;page=FrontEndViewTender&amp;service=direct&amp;session=T&amp;sp=SdZGS14IfWyRgon%2BeNCZE8Q%3D%3D", "CONSTRUCTION OF DRAIN FROM HARINARAYAN JI HOUSE TO CHITTORIYA JI HOUSE IN HAWA MAHAL AMER ZONE WARD NO. 22")</f>
        <v/>
      </c>
      <c r="C87" t="inlineStr">
        <is>
          <t>DLB||Dy.DR-Jaipur||CEO-Jaipur</t>
        </is>
      </c>
      <c r="D87" t="inlineStr">
        <is>
          <t>26-May-2025 06:00 PM</t>
        </is>
      </c>
      <c r="E87" t="inlineStr">
        <is>
          <t>27,84,261</t>
        </is>
      </c>
      <c r="F87" t="inlineStr">
        <is>
          <t>CONSTRUCTION OF DRAIN FROM HARINARAYAN JI HOUSE TO CHITTORIYA JI HOUSE IN HAWA MAHAL AMER ZONE WARD NO. 22</t>
        </is>
      </c>
      <c r="G87" t="inlineStr">
        <is>
          <t>JAIPUR</t>
        </is>
      </c>
    </row>
    <row r="88">
      <c r="A88" s="1" t="n">
        <v>86</v>
      </c>
      <c r="B88">
        <f>HYPERLINK("https://eproc.rajasthan.gov.in/nicgep/app?component=%24DirectLink&amp;page=FrontEndViewTender&amp;service=direct&amp;session=T&amp;sp=SYwwSdNio%2F%2Byc%2BAF9lmZhSw%3D%3D", "SAINI SAMAJ MUKTIDHAM ME DIWAR AND INTERLOCKING WORK IN WARD NO 20")</f>
        <v/>
      </c>
      <c r="C88" t="inlineStr">
        <is>
          <t>DLB||Dy.DR-Jaipur||EO-Surajgarh</t>
        </is>
      </c>
      <c r="D88" t="inlineStr">
        <is>
          <t>02-Jun-2025 06:00 PM</t>
        </is>
      </c>
      <c r="E88" t="inlineStr">
        <is>
          <t>9,75,000</t>
        </is>
      </c>
      <c r="F88" t="inlineStr">
        <is>
          <t>SAINI SAMAJ MUKTIDHAM ME DIWAR AND INTERLOCKING WORK IN WARD NO 20</t>
        </is>
      </c>
      <c r="G88" t="inlineStr">
        <is>
          <t>SAINI SAMAJ MUKTIDHAM ME DIWAR AND INTERLOCKING WO</t>
        </is>
      </c>
    </row>
    <row r="89">
      <c r="A89" s="1" t="n">
        <v>87</v>
      </c>
      <c r="B89">
        <f>HYPERLINK("https://eproc.rajasthan.gov.in/nicgep/app?component=%24DirectLink&amp;page=FrontEndViewTender&amp;service=direct&amp;session=T&amp;sp=SM80LVlWgYqil9mf8NX%2B%2BBQ%3D%3D", "Work of Borewell with Motor in Various Wards of Nagar Palika Anta Area.")</f>
        <v/>
      </c>
      <c r="C89" t="inlineStr">
        <is>
          <t>DLB||Dy.DR-Kota||EO-Anta</t>
        </is>
      </c>
      <c r="D89" t="inlineStr">
        <is>
          <t>31-May-2025 06:00 PM</t>
        </is>
      </c>
      <c r="E89" t="inlineStr">
        <is>
          <t>49,00,000</t>
        </is>
      </c>
      <c r="F89" t="inlineStr">
        <is>
          <t>Work of Borewell with Motor in Various Wards of Nagar Palika Anta Area.</t>
        </is>
      </c>
      <c r="G89" t="inlineStr">
        <is>
          <t>Anta</t>
        </is>
      </c>
    </row>
    <row r="90">
      <c r="A90" s="1" t="n">
        <v>88</v>
      </c>
      <c r="B90">
        <f>HYPERLINK("https://eproc.rajasthan.gov.in/nicgep/app?component=%24DirectLink&amp;page=FrontEndViewTender&amp;service=direct&amp;session=T&amp;sp=S2quWGFh8TFD%2B46caBJOpcw%3D%3D", "CC ROAD IN WARD NO 19 RAMWATAR NARNOLIYA HOUSE TO RAKESH SABLANIYA")</f>
        <v/>
      </c>
      <c r="C90" t="inlineStr">
        <is>
          <t>DLB||Dy.DR-Jaipur||EO-Surajgarh</t>
        </is>
      </c>
      <c r="D90" t="inlineStr">
        <is>
          <t>02-Jun-2025 06:00 PM</t>
        </is>
      </c>
      <c r="E90" t="inlineStr">
        <is>
          <t>4,63,000</t>
        </is>
      </c>
      <c r="F90" t="inlineStr">
        <is>
          <t>CC ROAD IN WARD NO 19 RAMWATAR NARNOLIYA HOUSE TO RAKESH SABLANIYA</t>
        </is>
      </c>
      <c r="G90" t="inlineStr">
        <is>
          <t>CC ROAD IN WARD NO 19 RAMWATAR NARNOLIYA HOUSE TO</t>
        </is>
      </c>
    </row>
    <row r="91">
      <c r="A91" s="1" t="n">
        <v>89</v>
      </c>
      <c r="B91">
        <f>HYPERLINK("https://eproc.rajasthan.gov.in/nicgep/app?component=%24DirectLink&amp;page=FrontEndViewTender&amp;service=direct&amp;session=T&amp;sp=S0CRvbvMTFbFiFLn78RaxmQ%3D%3D", "CC ROAD IN WARD NO 18 FIDA HUSEN")</f>
        <v/>
      </c>
      <c r="C91" t="inlineStr">
        <is>
          <t>DLB||Dy.DR-Jaipur||EO-Surajgarh</t>
        </is>
      </c>
      <c r="D91" t="inlineStr">
        <is>
          <t>02-Jun-2025 06:00 PM</t>
        </is>
      </c>
      <c r="E91" t="inlineStr">
        <is>
          <t>3,51,000</t>
        </is>
      </c>
      <c r="F91" t="inlineStr">
        <is>
          <t>CC ROAD IN WARD NO 18 FIDA HUSEN</t>
        </is>
      </c>
      <c r="G91" t="inlineStr">
        <is>
          <t>CC ROAD IN WARD NO 18 FIDA HUSEN</t>
        </is>
      </c>
    </row>
    <row r="92">
      <c r="A92" s="1" t="n">
        <v>90</v>
      </c>
      <c r="B92">
        <f>HYPERLINK("https://eproc.rajasthan.gov.in/nicgep/app?component=%24DirectLink&amp;page=FrontEndViewTender&amp;service=direct&amp;session=T&amp;sp=Sk80B4FrSgNszgukSiF8klQ%3D%3D", "INTERLOCKING ROAD IN WARD NO 04 LAXYA COMPUTER")</f>
        <v/>
      </c>
      <c r="C92" t="inlineStr">
        <is>
          <t>DLB||Dy.DR-Jaipur||EO-Surajgarh</t>
        </is>
      </c>
      <c r="D92" t="inlineStr">
        <is>
          <t>02-Jun-2025 06:00 PM</t>
        </is>
      </c>
      <c r="E92" t="inlineStr">
        <is>
          <t>4,09,000</t>
        </is>
      </c>
      <c r="F92" t="inlineStr">
        <is>
          <t>INTERLOCKING ROAD IN WARD NO 04 LAXYA COMPUTER</t>
        </is>
      </c>
      <c r="G92" t="inlineStr">
        <is>
          <t>INTERLOCKING ROAD IN WARD NO 04 LAXYA COMPUTER</t>
        </is>
      </c>
    </row>
    <row r="93">
      <c r="A93" s="1" t="n">
        <v>91</v>
      </c>
      <c r="B93">
        <f>HYPERLINK("https://eproc.rajasthan.gov.in/nicgep/app?component=%24DirectLink&amp;page=FrontEndViewTender&amp;service=direct&amp;session=T&amp;sp=S8xzo4H4cnlAAiQN1mtGjSg%3D%3D", "During rainy season, drainage work through Alternator Tractor in ward number 21 to 45.")</f>
        <v/>
      </c>
      <c r="C93" t="inlineStr">
        <is>
          <t>DLB||Dy.DR-Jaipur||Commissioner-Bhartpur</t>
        </is>
      </c>
      <c r="D93" t="inlineStr">
        <is>
          <t>22-May-2025 06:00 PM</t>
        </is>
      </c>
      <c r="E93" t="inlineStr">
        <is>
          <t>28,80,000</t>
        </is>
      </c>
      <c r="F93" t="inlineStr">
        <is>
          <t>During rainy season, drainage work through Alternator Tractor in ward number 21 to 45.</t>
        </is>
      </c>
      <c r="G93" t="inlineStr">
        <is>
          <t>Municipal Corporation, Bharatpur</t>
        </is>
      </c>
    </row>
    <row r="94">
      <c r="A94" s="1" t="n">
        <v>92</v>
      </c>
      <c r="B94">
        <f>HYPERLINK("https://eproc.rajasthan.gov.in/nicgep/app?component=%24DirectLink&amp;page=FrontEndViewTender&amp;service=direct&amp;session=T&amp;sp=SOqOTaGQDIvEgUk50eCL37g%3D%3D", "CONSTRUCTION OF MODERN TOILET NEAR MINI SACHIVALAY")</f>
        <v/>
      </c>
      <c r="C94" t="inlineStr">
        <is>
          <t>DLB||Dy.DR-Kota||EO-Nainwa</t>
        </is>
      </c>
      <c r="D94" t="inlineStr">
        <is>
          <t>03-Jun-2025 06:00 PM</t>
        </is>
      </c>
      <c r="E94" t="inlineStr">
        <is>
          <t>43,29,000</t>
        </is>
      </c>
      <c r="F94" t="inlineStr">
        <is>
          <t>as per Rules</t>
        </is>
      </c>
      <c r="G94" t="inlineStr">
        <is>
          <t>hindoli</t>
        </is>
      </c>
    </row>
    <row r="95">
      <c r="A95" s="1" t="n">
        <v>93</v>
      </c>
      <c r="B95">
        <f>HYPERLINK("https://eproc.rajasthan.gov.in/nicgep/app?component=%24DirectLink&amp;page=FrontEndViewTender&amp;service=direct&amp;session=T&amp;sp=SEaNJ1pSZuctnzUbx4OwGDA%3D%3D", "Construction work of drain from Shri Ramprasad Clinic house to Tehsil Office (Traars Farmer) in Ward No. 03 and 14.")</f>
        <v/>
      </c>
      <c r="C95" t="inlineStr">
        <is>
          <t>DLB||Dy.DR-Kota||EO-Nainwa</t>
        </is>
      </c>
      <c r="D95" t="inlineStr">
        <is>
          <t>03-Jun-2025 06:00 PM</t>
        </is>
      </c>
      <c r="E95" t="inlineStr">
        <is>
          <t>40,63,000</t>
        </is>
      </c>
      <c r="F95" t="inlineStr">
        <is>
          <t>as per Rules</t>
        </is>
      </c>
      <c r="G95" t="inlineStr">
        <is>
          <t>hindoli</t>
        </is>
      </c>
    </row>
    <row r="96">
      <c r="A96" s="1" t="n">
        <v>94</v>
      </c>
      <c r="B96">
        <f>HYPERLINK("https://eproc.rajasthan.gov.in/nicgep/app?component=%24DirectLink&amp;page=FrontEndViewTender&amp;service=direct&amp;session=T&amp;sp=S9iZ80w2R0tcPAGbmk3eukQ%3D%3D", "Remaining construction work of bus stand in Nagar Palika Sector Hindoli")</f>
        <v/>
      </c>
      <c r="C96" t="inlineStr">
        <is>
          <t>DLB||Dy.DR-Kota||EO-Nainwa</t>
        </is>
      </c>
      <c r="D96" t="inlineStr">
        <is>
          <t>03-Jun-2025 06:00 PM</t>
        </is>
      </c>
      <c r="E96" t="inlineStr">
        <is>
          <t>48,92,000</t>
        </is>
      </c>
      <c r="F96" t="inlineStr">
        <is>
          <t>as per Rules</t>
        </is>
      </c>
      <c r="G96" t="inlineStr">
        <is>
          <t>hindoli</t>
        </is>
      </c>
    </row>
    <row r="97">
      <c r="A97" s="1" t="n">
        <v>95</v>
      </c>
      <c r="B97">
        <f>HYPERLINK("https://eproc.rajasthan.gov.in/nicgep/app?component=%24DirectLink&amp;page=FrontEndViewTender&amp;service=direct&amp;session=T&amp;sp=SvJn2VQeS8rBFzOehtN%2FZLQ%3D%3D", "CC ROAD IN WARD NO 36 SITARAM PANWADI TO KALIJI MANDIR")</f>
        <v/>
      </c>
      <c r="C97" t="inlineStr">
        <is>
          <t>DLB||Dy.DR-Jaipur||EO-Surajgarh</t>
        </is>
      </c>
      <c r="D97" t="inlineStr">
        <is>
          <t>02-Jun-2025 06:00 PM</t>
        </is>
      </c>
      <c r="E97" t="inlineStr">
        <is>
          <t>24,34,000</t>
        </is>
      </c>
      <c r="F97" t="inlineStr">
        <is>
          <t>CC ROAD IN WARD NO 36 SITARAM PANWADI TO KALIJI MANDIR</t>
        </is>
      </c>
      <c r="G97" t="inlineStr">
        <is>
          <t>CC ROAD IN WARD NO 36 SITARAM PANWADI TO KALIJI MA</t>
        </is>
      </c>
    </row>
    <row r="98">
      <c r="A98" s="1" t="n">
        <v>96</v>
      </c>
      <c r="B98">
        <f>HYPERLINK("https://eproc.rajasthan.gov.in/nicgep/app?component=%24DirectLink&amp;page=FrontEndViewTender&amp;service=direct&amp;session=T&amp;sp=SgbcpVKHi89d0E%2F3TnL5huw%3D%3D", "CC ROAD IN WARD NO 02 HARUN TANWAR HOUSE TO NAWAB KAJI")</f>
        <v/>
      </c>
      <c r="C98" t="inlineStr">
        <is>
          <t>DLB||Dy.DR-Jaipur||EO-Surajgarh</t>
        </is>
      </c>
      <c r="D98" t="inlineStr">
        <is>
          <t>02-Jun-2025 06:00 PM</t>
        </is>
      </c>
      <c r="E98" t="inlineStr">
        <is>
          <t>23,22,000</t>
        </is>
      </c>
      <c r="F98" t="inlineStr">
        <is>
          <t>CC ROAD IN WARD NO 02 HARUN TANWAR HOUSE TO NAWAB KAJI</t>
        </is>
      </c>
      <c r="G98" t="inlineStr">
        <is>
          <t>CC ROAD IN WARD NO 02 HARUN TANWAR HOUSE TO NAWAB</t>
        </is>
      </c>
    </row>
    <row r="99">
      <c r="A99" s="1" t="n">
        <v>97</v>
      </c>
      <c r="B99">
        <f>HYPERLINK("https://eproc.rajasthan.gov.in/nicgep/app?component=%24DirectLink&amp;page=FrontEndViewTender&amp;service=direct&amp;session=T&amp;sp=S2oUPTYUH0uxZ70HntpRjrg%3D%3D", "CC ROAD IN WARD NO 02 FROM SAJID KHARTI HOUSE TO SAKUR PINARA")</f>
        <v/>
      </c>
      <c r="C99" t="inlineStr">
        <is>
          <t>DLB||Dy.DR-Jaipur||EO-Surajgarh</t>
        </is>
      </c>
      <c r="D99" t="inlineStr">
        <is>
          <t>02-Jun-2025 06:00 PM</t>
        </is>
      </c>
      <c r="E99" t="inlineStr">
        <is>
          <t>21,00,000</t>
        </is>
      </c>
      <c r="F99" t="inlineStr">
        <is>
          <t>CC ROAD IN WARD NO 02 FROM SAJID KHARTI HOUSE TO SAKUR PINARA</t>
        </is>
      </c>
      <c r="G99" t="inlineStr">
        <is>
          <t>CC ROAD IN WARD NO 02 FROM SAJID KHARTI HOUSE TO S</t>
        </is>
      </c>
    </row>
    <row r="100">
      <c r="A100" s="1" t="n">
        <v>98</v>
      </c>
      <c r="B100">
        <f>HYPERLINK("https://eproc.rajasthan.gov.in/nicgep/app?component=%24DirectLink&amp;page=FrontEndViewTender&amp;service=direct&amp;session=T&amp;sp=Sg%2FHFNz3RR6Q9G9J361GtQA%3D%3D", "CC ROAD IN WARD NO 06 RAJASTHAN SCHOOL TO SUREDNRA HOUSE")</f>
        <v/>
      </c>
      <c r="C100" t="inlineStr">
        <is>
          <t>DLB||Dy.DR-Jaipur||EO-Surajgarh</t>
        </is>
      </c>
      <c r="D100" t="inlineStr">
        <is>
          <t>02-Jun-2025 06:00 PM</t>
        </is>
      </c>
      <c r="E100" t="inlineStr">
        <is>
          <t>14,71,000</t>
        </is>
      </c>
      <c r="F100" t="inlineStr">
        <is>
          <t>CC ROAD IN WARD NO 06 RAJASTHAN SCHOOL TO SUREDNRA HOUSE</t>
        </is>
      </c>
      <c r="G100" t="inlineStr">
        <is>
          <t>CC ROAD IN WARD NO 06 RAJASTHAN SCHOOL TO SUREDNRA</t>
        </is>
      </c>
    </row>
    <row r="101">
      <c r="A101" s="1" t="n">
        <v>99</v>
      </c>
      <c r="B101">
        <f>HYPERLINK("https://eproc.rajasthan.gov.in/nicgep/app?component=%24DirectLink&amp;page=FrontEndViewTender&amp;service=direct&amp;session=T&amp;sp=SiD4%2Bb9zQ9ZELIJzLY0NSMw%3D%3D", "CC ROAD IN WARD NO 04 HARIRAM POOINA HOUSE")</f>
        <v/>
      </c>
      <c r="C101" t="inlineStr">
        <is>
          <t>DLB||Dy.DR-Jaipur||EO-Surajgarh</t>
        </is>
      </c>
      <c r="D101" t="inlineStr">
        <is>
          <t>02-Jun-2025 06:00 PM</t>
        </is>
      </c>
      <c r="E101" t="inlineStr">
        <is>
          <t>14,90,000</t>
        </is>
      </c>
      <c r="F101" t="inlineStr">
        <is>
          <t>CC ROAD IN WARD NO 04 HARIRAM POOINA HOUSE</t>
        </is>
      </c>
      <c r="G101" t="inlineStr">
        <is>
          <t>CC ROAD IN WARD NO 04 HARIRAM POOINA HOUSE</t>
        </is>
      </c>
    </row>
    <row r="102">
      <c r="A102" s="1" t="n">
        <v>100</v>
      </c>
      <c r="B102">
        <f>HYPERLINK("https://eproc.rajasthan.gov.in/nicgep/app?component=%24DirectLink&amp;page=FrontEndViewTender&amp;service=direct&amp;session=T&amp;sp=S%2BCRU4Wbi8uOU3d9kTToYdw%3D%3D", "CC ROAD IN WARD NO 03 MAHAVEER JI SHOP")</f>
        <v/>
      </c>
      <c r="C102" t="inlineStr">
        <is>
          <t>DLB||Dy.DR-Jaipur||EO-Surajgarh</t>
        </is>
      </c>
      <c r="D102" t="inlineStr">
        <is>
          <t>02-Jun-2025 06:00 PM</t>
        </is>
      </c>
      <c r="E102" t="inlineStr">
        <is>
          <t>3,47,000</t>
        </is>
      </c>
      <c r="F102" t="inlineStr">
        <is>
          <t>CC ROAD IN WARD NO 03 MAHAVEER JI SHOP</t>
        </is>
      </c>
      <c r="G102" t="inlineStr">
        <is>
          <t>CC ROAD IN WARD NO 03 MAHAVEER JI SHOP</t>
        </is>
      </c>
    </row>
    <row r="103">
      <c r="A103" s="1" t="n">
        <v>101</v>
      </c>
      <c r="B103">
        <f>HYPERLINK("https://eproc.rajasthan.gov.in/nicgep/app?component=%24DirectLink&amp;page=FrontEndViewTender&amp;service=direct&amp;session=T&amp;sp=S8TtVRzW9dutJ1zur6kno4g%3D%3D", "CC ROAD IN WARD NO 13 BHERU JI MANDIR TO RAMKANT HOUSE")</f>
        <v/>
      </c>
      <c r="C103" t="inlineStr">
        <is>
          <t>DLB||Dy.DR-Jaipur||EO-Surajgarh</t>
        </is>
      </c>
      <c r="D103" t="inlineStr">
        <is>
          <t>02-Jun-2025 06:00 PM</t>
        </is>
      </c>
      <c r="E103" t="inlineStr">
        <is>
          <t>12,73,000</t>
        </is>
      </c>
      <c r="F103" t="inlineStr">
        <is>
          <t>CC ROAD IN WARD NO 13 BHERU JI MANDIR TO RAMKANT HOUSE</t>
        </is>
      </c>
      <c r="G103" t="inlineStr">
        <is>
          <t>CC ROAD IN WARD NO 13 BHERU JI MANDIR TO RAMKANT H</t>
        </is>
      </c>
    </row>
    <row r="104">
      <c r="A104" s="1" t="n">
        <v>102</v>
      </c>
      <c r="B104">
        <f>HYPERLINK("https://eproc.rajasthan.gov.in/nicgep/app?component=%24DirectLink&amp;page=FrontEndViewTender&amp;service=direct&amp;session=T&amp;sp=S3TIRg65Dj91pjXMWqnmL1A%3D%3D", "CC ROAD IN WARD NO 10 BAJRANG MACHIH")</f>
        <v/>
      </c>
      <c r="C104" t="inlineStr">
        <is>
          <t>DLB||Dy.DR-Jaipur||EO-Surajgarh</t>
        </is>
      </c>
      <c r="D104" t="inlineStr">
        <is>
          <t>02-Jun-2025 06:00 PM</t>
        </is>
      </c>
      <c r="E104" t="inlineStr">
        <is>
          <t>8,73,000</t>
        </is>
      </c>
      <c r="F104" t="inlineStr">
        <is>
          <t>CC ROAD IN WARD NO 10 BAJRANG MACHIH</t>
        </is>
      </c>
      <c r="G104" t="inlineStr">
        <is>
          <t>CC ROAD IN WARD NO 10 BAJRANG MACHIH</t>
        </is>
      </c>
    </row>
    <row r="105">
      <c r="A105" s="1" t="n">
        <v>103</v>
      </c>
      <c r="B105">
        <f>HYPERLINK("https://eproc.rajasthan.gov.in/nicgep/app?component=%24DirectLink&amp;page=FrontEndViewTender&amp;service=direct&amp;session=T&amp;sp=StxP0HkOQZU6y1J4mq1NTGQ%3D%3D", "Work of installing street lights at various places in the municipal area")</f>
        <v/>
      </c>
      <c r="C105" t="inlineStr">
        <is>
          <t>DLB||Dy.DR-Bikaner||EO-Shrivijaynagar</t>
        </is>
      </c>
      <c r="D105" t="inlineStr">
        <is>
          <t>26-May-2025 06:00 PM</t>
        </is>
      </c>
      <c r="E105" t="inlineStr">
        <is>
          <t>11,74,000</t>
        </is>
      </c>
      <c r="F105" t="inlineStr">
        <is>
          <t>Work of installing street lights at various places in the municipal area</t>
        </is>
      </c>
      <c r="G105" t="inlineStr">
        <is>
          <t>SRIVIJAYNAGAR</t>
        </is>
      </c>
    </row>
    <row r="106">
      <c r="A106" s="1" t="n">
        <v>104</v>
      </c>
      <c r="B106">
        <f>HYPERLINK("https://eproc.rajasthan.gov.in/nicgep/app?component=%24DirectLink&amp;page=FrontEndViewTender&amp;service=direct&amp;session=T&amp;sp=SHCT1aY6DYJH9pQFkIF4x3w%3D%3D", "CC ROAD IN WARD NO 29, 30, 31 FROM BADSHAH LILGHAR TO CHOBDARON KE SAMSAN TAK")</f>
        <v/>
      </c>
      <c r="C106" t="inlineStr">
        <is>
          <t>DLB||Dy.DR-Jaipur||EO-Surajgarh</t>
        </is>
      </c>
      <c r="D106" t="inlineStr">
        <is>
          <t>02-Jun-2025 06:00 PM</t>
        </is>
      </c>
      <c r="E106" t="inlineStr">
        <is>
          <t>7,03,000</t>
        </is>
      </c>
      <c r="F106" t="inlineStr">
        <is>
          <t>CC ROAD IN WARD NO 29, 30, 31 FROM BADSHAH LILGHAR TO CHOBDARON KE SAMSAN TAK</t>
        </is>
      </c>
      <c r="G106" t="inlineStr">
        <is>
          <t>CC ROAD IN WARD NO 29, 30, 31 FROM BADSHAH LILGHAR</t>
        </is>
      </c>
    </row>
    <row r="107">
      <c r="A107" s="1" t="n">
        <v>105</v>
      </c>
      <c r="B107">
        <f>HYPERLINK("https://eproc.rajasthan.gov.in/nicgep/app?component=%24DirectLink&amp;page=FrontEndViewTender&amp;service=direct&amp;session=T&amp;sp=SlueMzPh6JuYqmA808aJ4ww%3D%3D", "CC ROAD IN WARD NO 09 SALIM HOUSE TO NARENDRA BHATI HOSUE")</f>
        <v/>
      </c>
      <c r="C107" t="inlineStr">
        <is>
          <t>DLB||Dy.DR-Jaipur||EO-Surajgarh</t>
        </is>
      </c>
      <c r="D107" t="inlineStr">
        <is>
          <t>02-Jun-2025 06:00 PM</t>
        </is>
      </c>
      <c r="E107" t="inlineStr">
        <is>
          <t>6,48,000</t>
        </is>
      </c>
      <c r="F107" t="inlineStr">
        <is>
          <t>CC ROAD IN WARD NO 09 SALIM HOUSE TO NARENDRA BHATI HOSUE</t>
        </is>
      </c>
      <c r="G107" t="inlineStr">
        <is>
          <t>CC ROAD IN WARD NO 09 SALIM HOUSE TO NARENDRA BHAT</t>
        </is>
      </c>
    </row>
    <row r="108">
      <c r="A108" s="1" t="n">
        <v>106</v>
      </c>
      <c r="B108">
        <f>HYPERLINK("https://eproc.rajasthan.gov.in/nicgep/app?component=%24DirectLink&amp;page=FrontEndViewTender&amp;service=direct&amp;session=T&amp;sp=SS6JPuKU3FHZh7YdFg51ChA%3D%3D", "CC ROAD IN WARD NO 41 AND 42 APNA GHAR FLAT")</f>
        <v/>
      </c>
      <c r="C108" t="inlineStr">
        <is>
          <t>DLB||Dy.DR-Jaipur||EO-Surajgarh</t>
        </is>
      </c>
      <c r="D108" t="inlineStr">
        <is>
          <t>02-Jun-2025 06:00 PM</t>
        </is>
      </c>
      <c r="E108" t="inlineStr">
        <is>
          <t>10,67,000</t>
        </is>
      </c>
      <c r="F108" t="inlineStr">
        <is>
          <t>CC ROAD IN WARD NO 41 AND 42 APNA GHAR FLAT</t>
        </is>
      </c>
      <c r="G108" t="inlineStr">
        <is>
          <t>CC ROAD IN WARD NO 41 AND 42 APNA GHAR FLAT</t>
        </is>
      </c>
    </row>
    <row r="109">
      <c r="A109" s="1" t="n">
        <v>107</v>
      </c>
      <c r="B109">
        <f>HYPERLINK("https://eproc.rajasthan.gov.in/nicgep/app?component=%24DirectLink&amp;page=FrontEndViewTender&amp;service=direct&amp;session=T&amp;sp=SYSgHVArbn1gTVptFQmK3%2FQ%3D%3D", "street light on rcc pole work")</f>
        <v/>
      </c>
      <c r="C109" t="inlineStr">
        <is>
          <t>DLB||Dy.DR-Jaipur||EO- GOVINDGARH</t>
        </is>
      </c>
      <c r="D109" t="inlineStr">
        <is>
          <t>26-May-2025 06:00 PM</t>
        </is>
      </c>
      <c r="E109" t="inlineStr">
        <is>
          <t>49,83,725</t>
        </is>
      </c>
      <c r="F109" t="inlineStr">
        <is>
          <t>street light on rcc pole work</t>
        </is>
      </c>
      <c r="G109" t="inlineStr">
        <is>
          <t>nagar palika ramgarh</t>
        </is>
      </c>
    </row>
    <row r="110">
      <c r="A110" s="1" t="n">
        <v>108</v>
      </c>
      <c r="B110">
        <f>HYPERLINK("https://eproc.rajasthan.gov.in/nicgep/app?component=%24DirectLink&amp;page=FrontEndViewTender&amp;service=direct&amp;session=T&amp;sp=SHg1%2FP7R2NHLZgdH1Bhg3Ng%3D%3D", "ward no 48 mai vibhinn galiyo mai cc sadak nirman karya mla fund")</f>
        <v/>
      </c>
      <c r="C110" t="inlineStr">
        <is>
          <t>DLB||Dy.DR-Ajmer||Commissioner-Beawar</t>
        </is>
      </c>
      <c r="D110" t="inlineStr">
        <is>
          <t>19-May-2025 06:00 PM</t>
        </is>
      </c>
      <c r="E110" t="inlineStr">
        <is>
          <t>12,00,000</t>
        </is>
      </c>
      <c r="F110" t="inlineStr">
        <is>
          <t>as per terms conditions</t>
        </is>
      </c>
      <c r="G110" t="inlineStr">
        <is>
          <t>npbeawar</t>
        </is>
      </c>
    </row>
    <row r="111">
      <c r="A111" s="1" t="n">
        <v>109</v>
      </c>
      <c r="B111">
        <f>HYPERLINK("https://eproc.rajasthan.gov.in/nicgep/app?component=%24DirectLink&amp;page=FrontEndViewTender&amp;service=direct&amp;session=T&amp;sp=Sohc%2BqpmKC%2Bf7XQnuAd%2BXhQ%3D%3D", "GUPS SEDRIYA MAI PRATHANA STHAL PER TINSHED NIRMAN AND CC BLOCK WARD 47 BEAWAR MLA FUND")</f>
        <v/>
      </c>
      <c r="C111" t="inlineStr">
        <is>
          <t>DLB||Dy.DR-Ajmer||Commissioner-Beawar</t>
        </is>
      </c>
      <c r="D111" t="inlineStr">
        <is>
          <t>19-May-2025 06:00 PM</t>
        </is>
      </c>
      <c r="E111" t="inlineStr">
        <is>
          <t>6,00,000</t>
        </is>
      </c>
      <c r="F111" t="inlineStr">
        <is>
          <t>AS PER TERMS AND CONDITIONS</t>
        </is>
      </c>
      <c r="G111" t="inlineStr">
        <is>
          <t>NPBEAWAR</t>
        </is>
      </c>
    </row>
    <row r="112">
      <c r="A112" s="1" t="n">
        <v>110</v>
      </c>
      <c r="B112">
        <f>HYPERLINK("https://eproc.rajasthan.gov.in/nicgep/app?component=%24DirectLink&amp;page=FrontEndViewTender&amp;service=direct&amp;session=T&amp;sp=S%2FQIgmbmUQZLQ0O%2Brio4m5g%3D%3D", "9 mtr bipoler light work")</f>
        <v/>
      </c>
      <c r="C112" t="inlineStr">
        <is>
          <t>DLB||Dy.DR-Jaipur||EO- GOVINDGARH</t>
        </is>
      </c>
      <c r="D112" t="inlineStr">
        <is>
          <t>26-May-2025 06:00 PM</t>
        </is>
      </c>
      <c r="E112" t="inlineStr">
        <is>
          <t>48,28,154</t>
        </is>
      </c>
      <c r="F112" t="inlineStr">
        <is>
          <t>9 mtr bipoler light work</t>
        </is>
      </c>
      <c r="G112" t="inlineStr">
        <is>
          <t>nagar palika ramgarh</t>
        </is>
      </c>
    </row>
    <row r="113">
      <c r="A113" s="1" t="n">
        <v>111</v>
      </c>
      <c r="B113">
        <f>HYPERLINK("https://eproc.rajasthan.gov.in/nicgep/app?component=%24DirectLink&amp;page=FrontEndViewTender&amp;service=direct&amp;session=T&amp;sp=SHvvixA%2BpRwj5wEe1QVqgtQ%3D%3D", "jila collector karyalaya parisar mai parking hetu tinshed nirman karya")</f>
        <v/>
      </c>
      <c r="C113" t="inlineStr">
        <is>
          <t>DLB||Dy.DR-Ajmer||Commissioner-Beawar</t>
        </is>
      </c>
      <c r="D113" t="inlineStr">
        <is>
          <t>19-May-2025 06:00 PM</t>
        </is>
      </c>
      <c r="E113" t="inlineStr">
        <is>
          <t>13,63,000</t>
        </is>
      </c>
      <c r="F113" t="inlineStr">
        <is>
          <t>as per terms and conditions</t>
        </is>
      </c>
      <c r="G113" t="inlineStr">
        <is>
          <t>npbeawar</t>
        </is>
      </c>
    </row>
    <row r="114">
      <c r="A114" s="1" t="n">
        <v>112</v>
      </c>
      <c r="B114">
        <f>HYPERLINK("https://eproc.rajasthan.gov.in/nicgep/app?component=%24DirectLink&amp;page=FrontEndViewTender&amp;service=direct&amp;session=T&amp;sp=SKzXUqKaaWfCstNG%2FjtD4Sg%3D%3D", "Work of Entry Tax Collection from Vehicles Passing Through Municipal Area carriying Mal (Mining Goods Bajari and others)")</f>
        <v/>
      </c>
      <c r="C114" t="inlineStr">
        <is>
          <t>DLB||Dy.DR-Kota||Commissioner-Sawaimadhopur</t>
        </is>
      </c>
      <c r="D114" t="inlineStr">
        <is>
          <t>02-Jun-2025 06:00 PM</t>
        </is>
      </c>
      <c r="E114" t="inlineStr">
        <is>
          <t>2,75,00,000</t>
        </is>
      </c>
      <c r="F114" t="inlineStr">
        <is>
          <t>Work of Entry Tax Collection from Vehicles Passing Through Municipal Area carriying Mal (Mining Goods Bajari and others)</t>
        </is>
      </c>
      <c r="G114" t="inlineStr">
        <is>
          <t>Tonk</t>
        </is>
      </c>
    </row>
    <row r="115">
      <c r="A115" s="1" t="n">
        <v>113</v>
      </c>
      <c r="B115">
        <f>HYPERLINK("https://eproc.rajasthan.gov.in/nicgep/app?component=%24DirectLink&amp;page=FrontEndViewTender&amp;service=direct&amp;session=T&amp;sp=S7uUPDC4F8g4fP1nfVYecew%3D%3D", "WORK OF REPAIR AND PAINT ON HISTORIC AJMERI GATE OF JAIPUR MUNICIPAL HERITAGE CORPORATION")</f>
        <v/>
      </c>
      <c r="C115" t="inlineStr">
        <is>
          <t>DLB||Dy.DR-Jaipur||CEO-Jaipur</t>
        </is>
      </c>
      <c r="D115" t="inlineStr">
        <is>
          <t>27-May-2025 11:00 AM</t>
        </is>
      </c>
      <c r="E115" t="inlineStr">
        <is>
          <t>34,93,000</t>
        </is>
      </c>
      <c r="F115" t="inlineStr">
        <is>
          <t>WORK OF REPAIR AND PAINT ON HISTORIC AJMERI GATE OF JAIPUR MUNICIPAL HERITAGE CORPORATION</t>
        </is>
      </c>
      <c r="G115" t="inlineStr">
        <is>
          <t>JAIPUR</t>
        </is>
      </c>
    </row>
    <row r="116">
      <c r="A116" s="1" t="n">
        <v>114</v>
      </c>
      <c r="B116">
        <f>HYPERLINK("https://eproc.rajasthan.gov.in/nicgep/app?component=%24DirectLink&amp;page=FrontEndViewTender&amp;service=direct&amp;session=T&amp;sp=SLTFXZHuCFUbVh8IiKZon2Q%3D%3D", "Cc road reparing works as per rainy seasons at different places of Municipal board siwana.")</f>
        <v/>
      </c>
      <c r="C116" t="inlineStr">
        <is>
          <t>DLB||Dy.DR-Jodhpur||EO-Balotara</t>
        </is>
      </c>
      <c r="D116" t="inlineStr">
        <is>
          <t>26-May-2025 06:00 PM</t>
        </is>
      </c>
      <c r="E116" t="inlineStr">
        <is>
          <t>4,98,000</t>
        </is>
      </c>
      <c r="F116" t="inlineStr">
        <is>
          <t>Civil Works</t>
        </is>
      </c>
      <c r="G116" t="inlineStr">
        <is>
          <t>SIWANA</t>
        </is>
      </c>
    </row>
    <row r="117">
      <c r="A117" s="1" t="n">
        <v>115</v>
      </c>
      <c r="B117">
        <f>HYPERLINK("https://eproc.rajasthan.gov.in/nicgep/app?component=%24DirectLink&amp;page=FrontEndViewTender&amp;service=direct&amp;session=T&amp;sp=S8nJube8zf6SzKMFTsp0AwQ%3D%3D", "Cleaning work in zone 01 (ward number 01 to 10) of Nagar Palika Kotakasim and dumping the collected garbage at the designated place by own transport and annual contract for door-to-door garbage collection work")</f>
        <v/>
      </c>
      <c r="C117" t="inlineStr">
        <is>
          <t>DLB||Dy.DR-Jaipur||EO- PAOTA PRAGPURA</t>
        </is>
      </c>
      <c r="D117" t="inlineStr">
        <is>
          <t>05-Jun-2025 06:00 PM</t>
        </is>
      </c>
      <c r="E117" t="inlineStr">
        <is>
          <t>79,79,000</t>
        </is>
      </c>
      <c r="F117" t="inlineStr">
        <is>
          <t>Cleaning work in zone 01 (ward number 01 to 10) of Nagar Palika Kotakasim and dumping the collected garbage at the designated place by own transport and annual contract for door-to-door garbage collection work</t>
        </is>
      </c>
      <c r="G117" t="inlineStr">
        <is>
          <t>kotkasim</t>
        </is>
      </c>
    </row>
    <row r="118">
      <c r="A118" s="1" t="n">
        <v>116</v>
      </c>
      <c r="B118">
        <f>HYPERLINK("https://eproc.rajasthan.gov.in/nicgep/app?component=%24DirectLink&amp;page=FrontEndViewTender&amp;service=direct&amp;session=T&amp;sp=SS23xXlLehoOvs3ZcEqjazg%3D%3D", "jila collector niwas sthan per nala nirman karya")</f>
        <v/>
      </c>
      <c r="C118" t="inlineStr">
        <is>
          <t>DLB||Dy.DR-Ajmer||Commissioner-Beawar</t>
        </is>
      </c>
      <c r="D118" t="inlineStr">
        <is>
          <t>19-May-2025 06:00 PM</t>
        </is>
      </c>
      <c r="E118" t="inlineStr">
        <is>
          <t>6,34,000</t>
        </is>
      </c>
      <c r="F118" t="inlineStr">
        <is>
          <t>jila collector niwas sthan per nala nirman karya</t>
        </is>
      </c>
      <c r="G118" t="inlineStr">
        <is>
          <t>npbeawar</t>
        </is>
      </c>
    </row>
    <row r="119">
      <c r="A119" s="1" t="n">
        <v>117</v>
      </c>
      <c r="B119">
        <f>HYPERLINK("https://eproc.rajasthan.gov.in/nicgep/app?component=%24DirectLink&amp;page=FrontEndViewTender&amp;service=direct&amp;session=T&amp;sp=SrU2S0%2FVnLBpecM26l1z3ew%3D%3D", "Elework02")</f>
        <v/>
      </c>
      <c r="C119" t="inlineStr">
        <is>
          <t>DLB||Dy.DR-Jaipur||Commissioner-Sikar</t>
        </is>
      </c>
      <c r="D119" t="inlineStr">
        <is>
          <t>26-May-2025 04:00 PM</t>
        </is>
      </c>
      <c r="E119" t="inlineStr">
        <is>
          <t>15,00,000</t>
        </is>
      </c>
      <c r="F119" t="inlineStr">
        <is>
          <t>Octagonal four pole and lighting work in municipal area sikar</t>
        </is>
      </c>
      <c r="G119" t="inlineStr">
        <is>
          <t>MUNICIPAL COUNCIL SIKAR</t>
        </is>
      </c>
    </row>
    <row r="120">
      <c r="A120" s="1" t="n">
        <v>118</v>
      </c>
      <c r="B120">
        <f>HYPERLINK("https://eproc.rajasthan.gov.in/nicgep/app?component=%24DirectLink&amp;page=FrontEndViewTender&amp;service=direct&amp;session=T&amp;sp=S2rwtTJqCblg00T0%2FYnU5tg%3D%3D", "Cleaning work in zone 02 (ward number 11 to 20) of Nagar Palika Kotakasim and dumping the collected garbage at the designated place by own transport and annual contract for door-to-door garbage collection work")</f>
        <v/>
      </c>
      <c r="C120" t="inlineStr">
        <is>
          <t>DLB||Dy.DR-Jaipur||EO- PAOTA PRAGPURA</t>
        </is>
      </c>
      <c r="D120" t="inlineStr">
        <is>
          <t>05-Jun-2025 06:00 PM</t>
        </is>
      </c>
      <c r="E120" t="inlineStr">
        <is>
          <t>79,79,000</t>
        </is>
      </c>
      <c r="F120" t="inlineStr">
        <is>
          <t>Cleaning work in zone 02 (ward number 11 to 20) of Nagar Palika Kotakasim and dumping the collected garbage at the designated place by own transport and annual contract for door-to-door garbage collection work</t>
        </is>
      </c>
      <c r="G120" t="inlineStr">
        <is>
          <t>kotkasim</t>
        </is>
      </c>
    </row>
    <row r="121">
      <c r="A121" s="1" t="n">
        <v>119</v>
      </c>
      <c r="B121">
        <f>HYPERLINK("https://eproc.rajasthan.gov.in/nicgep/app?component=%24DirectLink&amp;page=FrontEndViewTender&amp;service=direct&amp;session=T&amp;sp=Sc3FfZ1kvaImAtYIZrgZhmA%3D%3D", "Elework01")</f>
        <v/>
      </c>
      <c r="C121" t="inlineStr">
        <is>
          <t>DLB||Dy.DR-Jaipur||Commissioner-Sikar</t>
        </is>
      </c>
      <c r="D121" t="inlineStr">
        <is>
          <t>26-May-2025 04:00 PM</t>
        </is>
      </c>
      <c r="E121" t="inlineStr">
        <is>
          <t>20,00,000</t>
        </is>
      </c>
      <c r="F121" t="inlineStr">
        <is>
          <t>LT Cable replacement and new cable P and F work for divider road pole, park, STP etc. in municipal area sikar</t>
        </is>
      </c>
      <c r="G121" t="inlineStr">
        <is>
          <t>MUNICIPAL COUNCIL SIKAR</t>
        </is>
      </c>
    </row>
    <row r="122">
      <c r="A122" s="1" t="n">
        <v>120</v>
      </c>
      <c r="B122">
        <f>HYPERLINK("https://eproc.rajasthan.gov.in/nicgep/app?component=%24DirectLink&amp;page=FrontEndViewTender&amp;service=direct&amp;session=T&amp;sp=SuB%2B9%2BrEE3KKa36wYZAFVXQ%3D%3D", "01-Construction of RCC (TOE) wall on sewer near IDHMT colony Dhariyawad road Pratapgarh")</f>
        <v/>
      </c>
      <c r="C122" t="inlineStr">
        <is>
          <t>DLB||Dy.DR-Udaipur||Commissioner-Pratapgarh</t>
        </is>
      </c>
      <c r="D122" t="inlineStr">
        <is>
          <t>01-Jun-2025 06:00 PM</t>
        </is>
      </c>
      <c r="E122" t="inlineStr">
        <is>
          <t>49,50,000</t>
        </is>
      </c>
      <c r="F122" t="inlineStr">
        <is>
          <t>01-Construction of RCC (TOE) wall on sewer near IDHMT colony Dhariyawad road Pratapgarh</t>
        </is>
      </c>
      <c r="G122" t="inlineStr">
        <is>
          <t>PRATAPGARH</t>
        </is>
      </c>
    </row>
    <row r="123">
      <c r="A123" s="1" t="n">
        <v>121</v>
      </c>
      <c r="B123">
        <f>HYPERLINK("https://eproc.rajasthan.gov.in/nicgep/app?component=%24DirectLink&amp;page=FrontEndViewTender&amp;service=direct&amp;session=T&amp;sp=S5P4mfAdgegQRaePjk9OQbA%3D%3D", "Construction of shiv shakti tent house to prem nagar gli no. 02 cc,nali cross.")</f>
        <v/>
      </c>
      <c r="C123" t="inlineStr">
        <is>
          <t>DLB||Dy.DR-Jodhpur||EO-Balotara</t>
        </is>
      </c>
      <c r="D123" t="inlineStr">
        <is>
          <t>26-May-2025 06:00 PM</t>
        </is>
      </c>
      <c r="E123" t="inlineStr">
        <is>
          <t>13,08,000</t>
        </is>
      </c>
      <c r="F123" t="inlineStr">
        <is>
          <t>civil works</t>
        </is>
      </c>
      <c r="G123" t="inlineStr">
        <is>
          <t>SIWANA</t>
        </is>
      </c>
    </row>
    <row r="124">
      <c r="A124" s="1" t="n">
        <v>122</v>
      </c>
      <c r="B124">
        <f>HYPERLINK("https://eproc.rajasthan.gov.in/nicgep/app?component=%24DirectLink&amp;page=FrontEndViewTender&amp;service=direct&amp;session=T&amp;sp=S5GqCggy8jkVts1D7M7XNYA%3D%3D", "SUPPLYING OF LABOURS FOR SANITATION WORK IN WARD NO. 01 TO 05 AT MUNICIPAL AREA NAWA")</f>
        <v/>
      </c>
      <c r="C124" t="inlineStr">
        <is>
          <t>DLB||Dy.DR-Ajmer||EO-Nawan</t>
        </is>
      </c>
      <c r="D124" t="inlineStr">
        <is>
          <t>26-May-2025 09:00 AM</t>
        </is>
      </c>
      <c r="E124" t="inlineStr">
        <is>
          <t>24,90,000</t>
        </is>
      </c>
      <c r="F124" t="inlineStr">
        <is>
          <t>SUPPLYING OF LABOURS FOR SANITATION WORK IN WARD NO. 01 TO 05 AT MUNICIPAL AREA NAWA</t>
        </is>
      </c>
      <c r="G124" t="inlineStr">
        <is>
          <t>NAWA</t>
        </is>
      </c>
    </row>
    <row r="125">
      <c r="A125" s="1" t="n">
        <v>123</v>
      </c>
      <c r="B125">
        <f>HYPERLINK("https://eproc.rajasthan.gov.in/nicgep/app?component=%24DirectLink&amp;page=FrontEndViewTender&amp;service=direct&amp;session=T&amp;sp=S6w%2BIBPKzlFf4m7Y0S%2FoMWQ%3D%3D", "SUPPLYING OF LABOURS FOR SANITATION WORK IN WARD NO. 06 TO 10 AT MUNICIPAL AREA NAWA")</f>
        <v/>
      </c>
      <c r="C125" t="inlineStr">
        <is>
          <t>DLB||Dy.DR-Ajmer||EO-Nawan</t>
        </is>
      </c>
      <c r="D125" t="inlineStr">
        <is>
          <t>26-May-2025 09:00 AM</t>
        </is>
      </c>
      <c r="E125" t="inlineStr">
        <is>
          <t>24,90,000</t>
        </is>
      </c>
      <c r="F125" t="inlineStr">
        <is>
          <t>SUPPLYING OF LABOURS FOR SANITATION WORK IN WARD NO. 06 TO 10 AT MUNICIPAL AREA NAWA</t>
        </is>
      </c>
      <c r="G125" t="inlineStr">
        <is>
          <t>NAWA</t>
        </is>
      </c>
    </row>
    <row r="126">
      <c r="A126" s="1" t="n">
        <v>124</v>
      </c>
      <c r="B126">
        <f>HYPERLINK("https://eproc.rajasthan.gov.in/nicgep/app?component=%24DirectLink&amp;page=FrontEndViewTender&amp;service=direct&amp;session=T&amp;sp=SD1FuTgpbdYQf1TiQNEOJcQ%3D%3D", "SUPPLYING OF LABOURS FOR SANITATION WORK IN WARD NO. 11 TO 15 AT MUNICIPAL AREA NAWA")</f>
        <v/>
      </c>
      <c r="C126" t="inlineStr">
        <is>
          <t>DLB||Dy.DR-Ajmer||EO-Nawan</t>
        </is>
      </c>
      <c r="D126" t="inlineStr">
        <is>
          <t>26-May-2025 09:00 AM</t>
        </is>
      </c>
      <c r="E126" t="inlineStr">
        <is>
          <t>24,90,000</t>
        </is>
      </c>
      <c r="F126" t="inlineStr">
        <is>
          <t>SUPPLYING OF LABOURS FOR SANITATION WORK IN WARD NO. 11 TO 15 AT MUNICIPAL AREA NAWA</t>
        </is>
      </c>
      <c r="G126" t="inlineStr">
        <is>
          <t>NAWA</t>
        </is>
      </c>
    </row>
    <row r="127">
      <c r="A127" s="1" t="n">
        <v>125</v>
      </c>
      <c r="B127">
        <f>HYPERLINK("https://eproc.rajasthan.gov.in/nicgep/app?component=%24DirectLink&amp;page=FrontEndViewTender&amp;service=direct&amp;session=T&amp;sp=SfaOqadhGwjYNEYBG3yn3sg%3D%3D", "SUPPLYING OF LABOURS FOR SANITATION WORK IN WARD NO. 16 TO 20 AT MUNICIPAL AREA NAWA")</f>
        <v/>
      </c>
      <c r="C127" t="inlineStr">
        <is>
          <t>DLB||Dy.DR-Ajmer||EO-Nawan</t>
        </is>
      </c>
      <c r="D127" t="inlineStr">
        <is>
          <t>26-May-2025 09:00 AM</t>
        </is>
      </c>
      <c r="E127" t="inlineStr">
        <is>
          <t>24,90,000</t>
        </is>
      </c>
      <c r="F127" t="inlineStr">
        <is>
          <t>SUPPLYING OF LABOURS FOR SANITATION WORK IN WARD NO. 16 TO 20 AT MUNICIPAL AREA NAWA</t>
        </is>
      </c>
      <c r="G127" t="inlineStr">
        <is>
          <t>NAWA</t>
        </is>
      </c>
    </row>
    <row r="128">
      <c r="A128" s="1" t="n">
        <v>126</v>
      </c>
      <c r="B128">
        <f>HYPERLINK("https://eproc.rajasthan.gov.in/nicgep/app?component=%24DirectLink&amp;page=FrontEndViewTender&amp;service=direct&amp;session=T&amp;sp=SrG4g2DzaTZHJY10JnWowmw%3D%3D", "SUPPLYING OF LABOURS FOR SANITATION WORK IN WARD NO. 21 TO 25 AT MUNICIPAL AREA NAWA")</f>
        <v/>
      </c>
      <c r="C128" t="inlineStr">
        <is>
          <t>DLB||Dy.DR-Ajmer||EO-Nawan</t>
        </is>
      </c>
      <c r="D128" t="inlineStr">
        <is>
          <t>26-May-2025 09:00 AM</t>
        </is>
      </c>
      <c r="E128" t="inlineStr">
        <is>
          <t>24,90,000</t>
        </is>
      </c>
      <c r="F128" t="inlineStr">
        <is>
          <t>SUPPLYING OF LABOURS FOR SANITATION WORK IN WARD NO. 21 TO 25 AT MUNICIPAL AREA NAWA</t>
        </is>
      </c>
      <c r="G128" t="inlineStr">
        <is>
          <t>NAWA</t>
        </is>
      </c>
    </row>
    <row r="129">
      <c r="A129" s="1" t="n">
        <v>127</v>
      </c>
      <c r="B129">
        <f>HYPERLINK("https://eproc.rajasthan.gov.in/nicgep/app?component=%24DirectLink&amp;page=FrontEndViewTender&amp;service=direct&amp;session=T&amp;sp=Sq5kDVC%2BvQRoS9pkDOl3zpg%3D%3D", "Construction work of CC road and drain cross from mohanji ghar to school to devilal bheel to jingaro ka was.")</f>
        <v/>
      </c>
      <c r="C129" t="inlineStr">
        <is>
          <t>DLB||Dy.DR-Jodhpur||EO-Balotara</t>
        </is>
      </c>
      <c r="D129" t="inlineStr">
        <is>
          <t>26-May-2025 06:00 PM</t>
        </is>
      </c>
      <c r="E129" t="inlineStr">
        <is>
          <t>23,96,000</t>
        </is>
      </c>
      <c r="F129" t="inlineStr">
        <is>
          <t>Civil Works</t>
        </is>
      </c>
      <c r="G129" t="inlineStr">
        <is>
          <t>SIWANA</t>
        </is>
      </c>
    </row>
    <row r="130">
      <c r="A130" s="1" t="n">
        <v>128</v>
      </c>
      <c r="B130">
        <f>HYPERLINK("https://eproc.rajasthan.gov.in/nicgep/app?component=%24DirectLink&amp;page=FrontEndViewTender&amp;service=direct&amp;session=T&amp;sp=S1twpAC4jEbUx3EGJJY5W9A%3D%3D", "02-Construction of RCC (TOE) wall on sewer near Hudko colony Dhariyawad road Pratapgarh")</f>
        <v/>
      </c>
      <c r="C130" t="inlineStr">
        <is>
          <t>DLB||Dy.DR-Udaipur||Commissioner-Pratapgarh</t>
        </is>
      </c>
      <c r="D130" t="inlineStr">
        <is>
          <t>01-Jun-2025 06:00 PM</t>
        </is>
      </c>
      <c r="E130" t="inlineStr">
        <is>
          <t>49,50,000</t>
        </is>
      </c>
      <c r="F130" t="inlineStr">
        <is>
          <t>02-Construction of RCC (TOE) wall on sewer near Hudko colony Dhariyawad road Pratapgarh</t>
        </is>
      </c>
      <c r="G130" t="inlineStr">
        <is>
          <t>PRATAPGARH</t>
        </is>
      </c>
    </row>
    <row r="131">
      <c r="A131" s="1" t="n">
        <v>129</v>
      </c>
      <c r="B131">
        <f>HYPERLINK("https://eproc.rajasthan.gov.in/nicgep/app?component=%24DirectLink&amp;page=FrontEndViewTender&amp;service=direct&amp;session=T&amp;sp=S%2BPA8rg3K7PmFywTveNiSIw%3D%3D", "MUNICIPAL BOARD KUSHALGARH JOB BASIC HIRING OF VERIOUS POST SKILLED SEMI SKILLED HIEGH SKILED BY REGISTERED AGENCY IN")</f>
        <v/>
      </c>
      <c r="C131" t="inlineStr">
        <is>
          <t>DLB||Dy.DR-Udaipur||EO-Kushalgarh</t>
        </is>
      </c>
      <c r="D131" t="inlineStr">
        <is>
          <t>31-May-2025 06:00 PM</t>
        </is>
      </c>
      <c r="E131" t="inlineStr">
        <is>
          <t>50,00,000</t>
        </is>
      </c>
      <c r="F131" t="inlineStr">
        <is>
          <t>MUNICIPAL BOARD KUSHALGARH JOB BASIC HIRING OF VERIOUS POST SKILLED SEMI SKILLED HIEGH SKILED BY REGISTERED AGENCY IN</t>
        </is>
      </c>
      <c r="G131" t="inlineStr">
        <is>
          <t>EXCUTIVE OFFICER KUSHALGARH</t>
        </is>
      </c>
    </row>
    <row r="132">
      <c r="A132" s="1" t="n">
        <v>130</v>
      </c>
      <c r="B132">
        <f>HYPERLINK("https://eproc.rajasthan.gov.in/nicgep/app?component=%24DirectLink&amp;page=FrontEndViewTender&amp;service=direct&amp;session=T&amp;sp=SeZNeA3qYn92UGsxf6dN9ag%3D%3D", "CC ROAD CONSTRUCTION OR REPAIR WORK IN WARD NO 9")</f>
        <v/>
      </c>
      <c r="C132" t="inlineStr">
        <is>
          <t>DLB||Dy.DR-Kota||Commissioner-Sawaimadhopur</t>
        </is>
      </c>
      <c r="D132" t="inlineStr">
        <is>
          <t>27-May-2025 06:00 PM</t>
        </is>
      </c>
      <c r="E132" t="inlineStr">
        <is>
          <t>5,83,000</t>
        </is>
      </c>
      <c r="F132" t="inlineStr">
        <is>
          <t>CC ROAD CONSTRUCTION OR REPAIR WORK IN WARD NO 9</t>
        </is>
      </c>
      <c r="G132" t="inlineStr">
        <is>
          <t>SAWAI MADHOPUR</t>
        </is>
      </c>
    </row>
    <row r="133">
      <c r="A133" s="1" t="n">
        <v>131</v>
      </c>
      <c r="B133">
        <f>HYPERLINK("https://eproc.rajasthan.gov.in/nicgep/app?component=%24DirectLink&amp;page=FrontEndViewTender&amp;service=direct&amp;session=T&amp;sp=SbZ8WLsZgQTCTivubixMBww%3D%3D", "CC ROAD CONSTRUCTION OR REPAIR WORK IN WARD NO 52")</f>
        <v/>
      </c>
      <c r="C133" t="inlineStr">
        <is>
          <t>DLB||Dy.DR-Kota||Commissioner-Sawaimadhopur</t>
        </is>
      </c>
      <c r="D133" t="inlineStr">
        <is>
          <t>27-May-2025 06:00 PM</t>
        </is>
      </c>
      <c r="E133" t="inlineStr">
        <is>
          <t>6,86,000</t>
        </is>
      </c>
      <c r="F133" t="inlineStr">
        <is>
          <t>CC ROAD CONSTRUCTION OR REPAIR WORK IN WARD NO 52</t>
        </is>
      </c>
      <c r="G133" t="inlineStr">
        <is>
          <t>SAWAI MADHOPUR</t>
        </is>
      </c>
    </row>
    <row r="134">
      <c r="A134" s="1" t="n">
        <v>132</v>
      </c>
      <c r="B134">
        <f>HYPERLINK("https://eproc.rajasthan.gov.in/nicgep/app?component=%24DirectLink&amp;page=FrontEndViewTender&amp;service=direct&amp;session=T&amp;sp=SDpzhGRjNMTOOGZSbDgrtqw%3D%3D", "CC ROAD CONSTRUCTION OR REPAIR WORK IN WARD NO 18")</f>
        <v/>
      </c>
      <c r="C134" t="inlineStr">
        <is>
          <t>DLB||Dy.DR-Kota||Commissioner-Sawaimadhopur</t>
        </is>
      </c>
      <c r="D134" t="inlineStr">
        <is>
          <t>27-May-2025 06:00 PM</t>
        </is>
      </c>
      <c r="E134" t="inlineStr">
        <is>
          <t>6,86,000</t>
        </is>
      </c>
      <c r="F134" t="inlineStr">
        <is>
          <t>CC ROAD CONSTRUCTION OR REPAIR WORK IN WARD NO 18</t>
        </is>
      </c>
      <c r="G134" t="inlineStr">
        <is>
          <t>SAWAI MADHOPUR</t>
        </is>
      </c>
    </row>
    <row r="135">
      <c r="A135" s="1" t="n">
        <v>133</v>
      </c>
      <c r="B135">
        <f>HYPERLINK("https://eproc.rajasthan.gov.in/nicgep/app?component=%24DirectLink&amp;page=FrontEndViewTender&amp;service=direct&amp;session=T&amp;sp=SV7ye9L6T4mXVJS%2FUmp0jkg%3D%3D", "CC ROAD CONSTRUCTION OR REPAIR WORK IN WARD NO 5")</f>
        <v/>
      </c>
      <c r="C135" t="inlineStr">
        <is>
          <t>DLB||Dy.DR-Kota||Commissioner-Sawaimadhopur</t>
        </is>
      </c>
      <c r="D135" t="inlineStr">
        <is>
          <t>27-May-2025 06:00 PM</t>
        </is>
      </c>
      <c r="E135" t="inlineStr">
        <is>
          <t>6,86,000</t>
        </is>
      </c>
      <c r="F135" t="inlineStr">
        <is>
          <t>CC ROAD CONSTRUCTION OR REPAIR WORK IN WARD NO 5</t>
        </is>
      </c>
      <c r="G135" t="inlineStr">
        <is>
          <t>SAWAI MADHOPUR</t>
        </is>
      </c>
    </row>
    <row r="136">
      <c r="A136" s="1" t="n">
        <v>134</v>
      </c>
      <c r="B136">
        <f>HYPERLINK("https://eproc.rajasthan.gov.in/nicgep/app?component=%24DirectLink&amp;page=FrontEndViewTender&amp;service=direct&amp;session=T&amp;sp=SPMIWKbHZjWQN7K6mSDOgLg%3D%3D", "Supply Fixingand Installation DG Set, Panel and Transformer at Town Hall in M.C. Bundi")</f>
        <v/>
      </c>
      <c r="C136" t="inlineStr">
        <is>
          <t>DLB||Dy.DR-Kota||Commissioner-Bundi</t>
        </is>
      </c>
      <c r="D136" t="inlineStr">
        <is>
          <t>26-May-2025 06:00 PM</t>
        </is>
      </c>
      <c r="E136" t="inlineStr">
        <is>
          <t>47,88,000</t>
        </is>
      </c>
      <c r="F136" t="inlineStr">
        <is>
          <t>Supply Fixingand Installation DG Set, Panel and Transformer at Town Hall in M.C. Bundi</t>
        </is>
      </c>
      <c r="G136" t="inlineStr">
        <is>
          <t>Nagar Parishad, Bundi</t>
        </is>
      </c>
    </row>
    <row r="137">
      <c r="A137" s="1" t="n">
        <v>135</v>
      </c>
      <c r="B137">
        <f>HYPERLINK("https://eproc.rajasthan.gov.in/nicgep/app?component=%24DirectLink&amp;page=FrontEndViewTender&amp;service=direct&amp;session=T&amp;sp=SJ7UwbqDR7s6WtfVvcrGlFA%3D%3D", "CC ROAD CONSTRUCTION OR REPAIR WORK IN MANSINGH TO PRADEEP TO MADANMOHAN SHARMA TO VIJALLAXMI TAK")</f>
        <v/>
      </c>
      <c r="C137" t="inlineStr">
        <is>
          <t>DLB||Dy.DR-Kota||Commissioner-Sawaimadhopur</t>
        </is>
      </c>
      <c r="D137" t="inlineStr">
        <is>
          <t>27-May-2025 06:00 PM</t>
        </is>
      </c>
      <c r="E137" t="inlineStr">
        <is>
          <t>7,59,000</t>
        </is>
      </c>
      <c r="F137" t="inlineStr">
        <is>
          <t>CC ROAD CONSTRUCTION OR REPAIR WORK IN MANSINGH TO PRADEEP TO MADANMOHAN SHARMA TO VIJALLAXMI TAK</t>
        </is>
      </c>
      <c r="G137" t="inlineStr">
        <is>
          <t>SAWAI MADHOPUR</t>
        </is>
      </c>
    </row>
    <row r="138">
      <c r="A138" s="1" t="n">
        <v>136</v>
      </c>
      <c r="B138">
        <f>HYPERLINK("https://eproc.rajasthan.gov.in/nicgep/app?component=%24DirectLink&amp;page=FrontEndViewTender&amp;service=direct&amp;session=T&amp;sp=S225aFdQ21mEFWL%2FBfEncUg%3D%3D", "jila collector niwas per aavashyak marmmat karya")</f>
        <v/>
      </c>
      <c r="C138" t="inlineStr">
        <is>
          <t>DLB||Dy.DR-Ajmer||Commissioner-Beawar</t>
        </is>
      </c>
      <c r="D138" t="inlineStr">
        <is>
          <t>22-May-2025 11:00 AM</t>
        </is>
      </c>
      <c r="E138" t="inlineStr">
        <is>
          <t>1,24,000</t>
        </is>
      </c>
      <c r="F138" t="inlineStr">
        <is>
          <t>jila collector niwas per aavashyak marmmat karya</t>
        </is>
      </c>
      <c r="G138" t="inlineStr">
        <is>
          <t>npbeawar</t>
        </is>
      </c>
    </row>
    <row r="139">
      <c r="A139" s="1" t="n">
        <v>137</v>
      </c>
      <c r="B139">
        <f>HYPERLINK("https://eproc.rajasthan.gov.in/nicgep/app?component=%24DirectLink&amp;page=FrontEndViewTender&amp;service=direct&amp;session=T&amp;sp=SWqflkQEtmCqnM%2FulCOE%2BRA%3D%3D", "Construction of Kamdhenu Statue on 80 Feet Road.")</f>
        <v/>
      </c>
      <c r="C139" t="inlineStr">
        <is>
          <t>DLB||Dy.DR-Ajmer||EO-Niwai</t>
        </is>
      </c>
      <c r="D139" t="inlineStr">
        <is>
          <t>27-May-2025 06:00 PM</t>
        </is>
      </c>
      <c r="E139" t="inlineStr">
        <is>
          <t>24,87,000</t>
        </is>
      </c>
      <c r="F139" t="inlineStr">
        <is>
          <t>Construction of Kamdhenu Statue on 80 Feet Road.</t>
        </is>
      </c>
      <c r="G139" t="inlineStr">
        <is>
          <t>NEWAI</t>
        </is>
      </c>
    </row>
    <row r="140">
      <c r="A140" s="1" t="n">
        <v>138</v>
      </c>
      <c r="B140">
        <f>HYPERLINK("https://eproc.rajasthan.gov.in/nicgep/app?component=%24DirectLink&amp;page=FrontEndViewTender&amp;service=direct&amp;session=T&amp;sp=S%2F2wAdOMGihkAXDmwJIfUTw%3D%3D", "The work of manufacture and beautification of cold plastic speed breakers at various places in the municipality area.")</f>
        <v/>
      </c>
      <c r="C140" t="inlineStr">
        <is>
          <t>DLB||Dy.DR-Ajmer||EO-Niwai</t>
        </is>
      </c>
      <c r="D140" t="inlineStr">
        <is>
          <t>27-May-2025 06:00 PM</t>
        </is>
      </c>
      <c r="E140" t="inlineStr">
        <is>
          <t>24,99,000</t>
        </is>
      </c>
      <c r="F140" t="inlineStr">
        <is>
          <t>The work of manufacture and beautification of cold plastic speed breakers at various places in the municipality area.</t>
        </is>
      </c>
      <c r="G140" t="inlineStr">
        <is>
          <t>NEWAI</t>
        </is>
      </c>
    </row>
    <row r="141">
      <c r="A141" s="1" t="n">
        <v>139</v>
      </c>
      <c r="B141">
        <f>HYPERLINK("https://eproc.rajasthan.gov.in/nicgep/app?component=%24DirectLink&amp;page=FrontEndViewTender&amp;service=direct&amp;session=T&amp;sp=SRsrWUmUMdYIQxQgupaUjuQ%3D%3D", "CC ROAD CONSTRUCTION OR REPAIR WORK IN WARD NO 53")</f>
        <v/>
      </c>
      <c r="C141" t="inlineStr">
        <is>
          <t>DLB||Dy.DR-Kota||Commissioner-Sawaimadhopur</t>
        </is>
      </c>
      <c r="D141" t="inlineStr">
        <is>
          <t>27-May-2025 06:00 PM</t>
        </is>
      </c>
      <c r="E141" t="inlineStr">
        <is>
          <t>8,23,000</t>
        </is>
      </c>
      <c r="F141" t="inlineStr">
        <is>
          <t>CC ROAD CONSTRUCTION OR REPAIR WORK IN WARD NO 53</t>
        </is>
      </c>
      <c r="G141" t="inlineStr">
        <is>
          <t>SAWAI MADHOPUR</t>
        </is>
      </c>
    </row>
    <row r="142">
      <c r="A142" s="1" t="n">
        <v>140</v>
      </c>
      <c r="B142">
        <f>HYPERLINK("https://eproc.rajasthan.gov.in/nicgep/app?component=%24DirectLink&amp;page=FrontEndViewTender&amp;service=direct&amp;session=T&amp;sp=SGuNR6ANys5klu5Ne9hOXVg%3D%3D", "CC ROAD CONSTRUCTION OR REPAIR WORK IN WARD NO 8")</f>
        <v/>
      </c>
      <c r="C142" t="inlineStr">
        <is>
          <t>DLB||Dy.DR-Kota||Commissioner-Sawaimadhopur</t>
        </is>
      </c>
      <c r="D142" t="inlineStr">
        <is>
          <t>27-May-2025 04:00 PM</t>
        </is>
      </c>
      <c r="E142" t="inlineStr">
        <is>
          <t>9,15,000</t>
        </is>
      </c>
      <c r="F142" t="inlineStr">
        <is>
          <t>CC ROAD CONSTRUCTION OR REPAIR WORK IN WARD NO 8</t>
        </is>
      </c>
      <c r="G142" t="inlineStr">
        <is>
          <t>SAWAI MADHOPUR</t>
        </is>
      </c>
    </row>
    <row r="143">
      <c r="A143" s="1" t="n">
        <v>141</v>
      </c>
      <c r="B143">
        <f>HYPERLINK("https://eproc.rajasthan.gov.in/nicgep/app?component=%24DirectLink&amp;page=FrontEndViewTender&amp;service=direct&amp;session=T&amp;sp=SxwaMplM6r0lAU0S2LipNhw%3D%3D", "Development Of CNG/EVC Station on DBFOT Basis At Keru In Nagar Nigam Jodhpur South")</f>
        <v/>
      </c>
      <c r="C143" t="inlineStr">
        <is>
          <t>DLB||Dy.DR-Jodhpur||CEO-Jodhpur</t>
        </is>
      </c>
      <c r="D143" t="inlineStr">
        <is>
          <t>05-Jun-2025 05:00 PM</t>
        </is>
      </c>
      <c r="E143" t="inlineStr">
        <is>
          <t>3,00,00,000</t>
        </is>
      </c>
      <c r="F143" t="inlineStr">
        <is>
          <t>Development Of CNG/EVC Station on DBFOT Basis At Keru In Nagar Nigam Jodhpur South</t>
        </is>
      </c>
      <c r="G143" t="inlineStr">
        <is>
          <t>CNG/EVC Station Keru</t>
        </is>
      </c>
    </row>
    <row r="144">
      <c r="A144" s="1" t="n">
        <v>142</v>
      </c>
      <c r="B144">
        <f>HYPERLINK("https://eproc.rajasthan.gov.in/nicgep/app?component=%24DirectLink&amp;page=FrontEndViewTender&amp;service=direct&amp;session=T&amp;sp=ScyZU7kmNORbJYZKi4%2BwVBA%3D%3D", "Development Of CNG/EVC Station on DBFOT Basis At Opp. Central Academy School, C.H.B In Nagar Nigam Jodhpur South")</f>
        <v/>
      </c>
      <c r="C144" t="inlineStr">
        <is>
          <t>DLB||Dy.DR-Jodhpur||CEO-Jodhpur</t>
        </is>
      </c>
      <c r="D144" t="inlineStr">
        <is>
          <t>05-Jun-2025 05:00 PM</t>
        </is>
      </c>
      <c r="E144" t="inlineStr">
        <is>
          <t>3,00,00,000</t>
        </is>
      </c>
      <c r="F144" t="inlineStr">
        <is>
          <t>Development Of CNG/EVC Station on DBFOT Basis At Opp. Central Academy School, C.H.B In Nagar Nigam Jodhpur South</t>
        </is>
      </c>
      <c r="G144" t="inlineStr">
        <is>
          <t>CNG/EVC Station CHB</t>
        </is>
      </c>
    </row>
    <row r="145">
      <c r="A145" s="1" t="n">
        <v>143</v>
      </c>
      <c r="B145">
        <f>HYPERLINK("https://eproc.rajasthan.gov.in/nicgep/app?component=%24DirectLink&amp;page=FrontEndViewTender&amp;service=direct&amp;session=T&amp;sp=SYu9%2B0ns%2BBVxLYpjoCkwgew%3D%3D", "Construction of CC Road and Sewer Line work at Various Places in Ward no 69")</f>
        <v/>
      </c>
      <c r="C145" t="inlineStr">
        <is>
          <t>DLB||Dy.DR-Jodhpur||CEO-Jodhpur</t>
        </is>
      </c>
      <c r="D145" t="inlineStr">
        <is>
          <t>22-May-2025 10:30 AM</t>
        </is>
      </c>
      <c r="E145" t="inlineStr">
        <is>
          <t>50,00,000</t>
        </is>
      </c>
      <c r="F145" t="inlineStr">
        <is>
          <t>Construction of CC Road and Sewer Line work at Various Places in Ward no 69</t>
        </is>
      </c>
      <c r="G145" t="inlineStr">
        <is>
          <t>NAGAR NIGAM JODHPUR SOUTH</t>
        </is>
      </c>
    </row>
    <row r="146">
      <c r="A146" s="1" t="n">
        <v>144</v>
      </c>
      <c r="B146">
        <f>HYPERLINK("https://eproc.rajasthan.gov.in/nicgep/app?component=%24DirectLink&amp;page=FrontEndViewTender&amp;service=direct&amp;session=T&amp;sp=SXHUnR2jx7%2B%2FsAFXvD8AGAg%3D%3D", "Construction of Damar Road Work at Various Places in Ward no 77 of NNJS")</f>
        <v/>
      </c>
      <c r="C146" t="inlineStr">
        <is>
          <t>DLB||Dy.DR-Jodhpur||CEO-Jodhpur</t>
        </is>
      </c>
      <c r="D146" t="inlineStr">
        <is>
          <t>22-May-2025 10:30 AM</t>
        </is>
      </c>
      <c r="E146" t="inlineStr">
        <is>
          <t>50,00,000</t>
        </is>
      </c>
      <c r="F146" t="inlineStr">
        <is>
          <t>Construction of Damar Road Work at Various Places in Ward no 77 of NNJS</t>
        </is>
      </c>
      <c r="G146" t="inlineStr">
        <is>
          <t>NAGAR NIGAM JODHPUR SOUTH</t>
        </is>
      </c>
    </row>
    <row r="147">
      <c r="A147" s="1" t="n">
        <v>145</v>
      </c>
      <c r="B147">
        <f>HYPERLINK("https://eproc.rajasthan.gov.in/nicgep/app?component=%24DirectLink&amp;page=FrontEndViewTender&amp;service=direct&amp;session=T&amp;sp=SpW35QKdSQELGw%2FohQS%2FjcA%3D%3D", "Construction of CC Work and CC Patch Work at Various Places in Ward no 72")</f>
        <v/>
      </c>
      <c r="C147" t="inlineStr">
        <is>
          <t>DLB||Dy.DR-Jodhpur||CEO-Jodhpur</t>
        </is>
      </c>
      <c r="D147" t="inlineStr">
        <is>
          <t>22-May-2025 10:30 AM</t>
        </is>
      </c>
      <c r="E147" t="inlineStr">
        <is>
          <t>50,00,000</t>
        </is>
      </c>
      <c r="F147" t="inlineStr">
        <is>
          <t>Construction of CC Work and CC Patch Work at Various Places in Ward no 72</t>
        </is>
      </c>
      <c r="G147" t="inlineStr">
        <is>
          <t>NAGAR NIGAM JODHPUR SOUTH</t>
        </is>
      </c>
    </row>
    <row r="148">
      <c r="A148" s="1" t="n">
        <v>146</v>
      </c>
      <c r="B148">
        <f>HYPERLINK("https://eproc.rajasthan.gov.in/nicgep/app?component=%24DirectLink&amp;page=FrontEndViewTender&amp;service=direct&amp;session=T&amp;sp=SfeG9jgS85J4yORTGp1XO%2FA%3D%3D", "Repair Of Nala At Various Places In Ward No. 69 To 80 (ARC)")</f>
        <v/>
      </c>
      <c r="C148" t="inlineStr">
        <is>
          <t>DLB||Dy.DR-Jodhpur||CEO-Jodhpur</t>
        </is>
      </c>
      <c r="D148" t="inlineStr">
        <is>
          <t>22-May-2025 10:30 AM</t>
        </is>
      </c>
      <c r="E148" t="inlineStr">
        <is>
          <t>50,00,000</t>
        </is>
      </c>
      <c r="F148" t="inlineStr">
        <is>
          <t>Repair Of Nala At Various Places In Ward No. 69 To 80 (ARC)</t>
        </is>
      </c>
      <c r="G148" t="inlineStr">
        <is>
          <t>NAGAR NIGAM JODHPUR SOUTH</t>
        </is>
      </c>
    </row>
    <row r="149">
      <c r="A149" s="1" t="n">
        <v>147</v>
      </c>
      <c r="B149">
        <f>HYPERLINK("https://eproc.rajasthan.gov.in/nicgep/app?component=%24DirectLink&amp;page=FrontEndViewTender&amp;service=direct&amp;session=T&amp;sp=SkeK0pJXIuBqnS7Fef8vknA%3D%3D", "Development Of CNG/EVC Station on DBFOT Basis At Salawas STP in Nagar Nigam Jodhpur South")</f>
        <v/>
      </c>
      <c r="C149" t="inlineStr">
        <is>
          <t>DLB||Dy.DR-Jodhpur||CEO-Jodhpur</t>
        </is>
      </c>
      <c r="D149" t="inlineStr">
        <is>
          <t>05-Jun-2025 05:00 PM</t>
        </is>
      </c>
      <c r="E149" t="inlineStr">
        <is>
          <t>3,00,00,000</t>
        </is>
      </c>
      <c r="F149" t="inlineStr">
        <is>
          <t>Development Of CNG/EVC Station on DBFOT Basis At Salawas STP in Nagar Nigam Jodhpur South</t>
        </is>
      </c>
      <c r="G149" t="inlineStr">
        <is>
          <t>CNG/EVC Station Keru</t>
        </is>
      </c>
    </row>
    <row r="150">
      <c r="A150" s="1" t="n">
        <v>148</v>
      </c>
      <c r="B150">
        <f>HYPERLINK("https://eproc.rajasthan.gov.in/nicgep/app?component=%24DirectLink&amp;page=FrontEndViewTender&amp;service=direct&amp;session=T&amp;sp=SA00%2FKAFp7X%2Fub%2B58ZmYmTw%3D%3D", "CONSTRUCTION WORK OF NALA FROM MALINGA JI OFFICE TO SANT NAGAR DHARAMSHALA BARI")</f>
        <v/>
      </c>
      <c r="C150" t="inlineStr">
        <is>
          <t>DLB||Dy.DR-Jaipur||EO-Bari</t>
        </is>
      </c>
      <c r="D150" t="inlineStr">
        <is>
          <t>22-May-2025 06:00 PM</t>
        </is>
      </c>
      <c r="E150" t="inlineStr">
        <is>
          <t>7,31,000</t>
        </is>
      </c>
      <c r="F150" t="inlineStr">
        <is>
          <t>CONSTRUCTION WORK OF NALA FROM MALINGA JI OFFICE TO SANT NAGAR DHARAMSHALA BARI</t>
        </is>
      </c>
      <c r="G150" t="inlineStr">
        <is>
          <t>BARI</t>
        </is>
      </c>
    </row>
    <row r="151">
      <c r="A151" s="1" t="n">
        <v>149</v>
      </c>
      <c r="B151">
        <f>HYPERLINK("https://eproc.rajasthan.gov.in/nicgep/app?component=%24DirectLink&amp;page=FrontEndViewTender&amp;service=direct&amp;session=T&amp;sp=SHZkcxpE04De0aqnxSMq6gg%3D%3D", "Supply of Various High Skilled, Skilled and Unskilled Manpower in Nagar Palika Diggi")</f>
        <v/>
      </c>
      <c r="C151" t="inlineStr">
        <is>
          <t>DLB||Dy.DR-Ajmer||Commissioner-Tonk</t>
        </is>
      </c>
      <c r="D151" t="inlineStr">
        <is>
          <t>26-May-2025 06:00 PM</t>
        </is>
      </c>
      <c r="E151" t="inlineStr">
        <is>
          <t>62,00,000</t>
        </is>
      </c>
      <c r="F151" t="inlineStr">
        <is>
          <t>Supply of Various High Skilled, Skilled and Unskilled Manpower in Nagar Palika Diggi</t>
        </is>
      </c>
      <c r="G151" t="inlineStr">
        <is>
          <t>Diggi</t>
        </is>
      </c>
    </row>
    <row r="152">
      <c r="A152" s="1" t="n">
        <v>150</v>
      </c>
      <c r="B152">
        <f>HYPERLINK("https://eproc.rajasthan.gov.in/nicgep/app?component=%24DirectLink&amp;page=FrontEndViewTender&amp;service=direct&amp;session=T&amp;sp=S8xtADUoNR%2FTldhZeeagN%2Bg%3D%3D", "CONSTRUCTION WORK OF OPEN HALL AT BASERI ROAD MURGHA FARM MUKTI DHAM BARI")</f>
        <v/>
      </c>
      <c r="C152" t="inlineStr">
        <is>
          <t>DLB||Dy.DR-Jaipur||EO-Bari</t>
        </is>
      </c>
      <c r="D152" t="inlineStr">
        <is>
          <t>22-May-2025 06:00 PM</t>
        </is>
      </c>
      <c r="E152" t="inlineStr">
        <is>
          <t>6,33,000</t>
        </is>
      </c>
      <c r="F152" t="inlineStr">
        <is>
          <t>CONSTRUCTION WORK OF OPEN HALL AT BASERI ROAD MURGHA FARM MUKTI DHAM BARI</t>
        </is>
      </c>
      <c r="G152" t="inlineStr">
        <is>
          <t>BARI</t>
        </is>
      </c>
    </row>
    <row r="153">
      <c r="A153" s="1" t="n">
        <v>151</v>
      </c>
      <c r="B153">
        <f>HYPERLINK("https://eproc.rajasthan.gov.in/nicgep/app?component=%24DirectLink&amp;page=FrontEndViewTender&amp;service=direct&amp;session=T&amp;sp=SFUf9U5jF7JG8cIvVPtIaeA%3D%3D", "CC ROAD CONSTRUCTION OR REPAIR WORK IN PUSHP KA BALAJI TO RAMESH CHAND TYAGI")</f>
        <v/>
      </c>
      <c r="C153" t="inlineStr">
        <is>
          <t>DLB||Dy.DR-Kota||Commissioner-Sawaimadhopur</t>
        </is>
      </c>
      <c r="D153" t="inlineStr">
        <is>
          <t>27-May-2025 06:00 PM</t>
        </is>
      </c>
      <c r="E153" t="inlineStr">
        <is>
          <t>9,50,000</t>
        </is>
      </c>
      <c r="F153" t="inlineStr">
        <is>
          <t>CC ROAD CONSTRUCTION OR REPAIR WORK IN PUSHP KA BALAJI TO RAMESH CHAND TYAGI</t>
        </is>
      </c>
      <c r="G153" t="inlineStr">
        <is>
          <t>SAWAI MADHOPUR</t>
        </is>
      </c>
    </row>
    <row r="154">
      <c r="A154" s="1" t="n">
        <v>152</v>
      </c>
      <c r="B154">
        <f>HYPERLINK("https://eproc.rajasthan.gov.in/nicgep/app?component=%24DirectLink&amp;page=FrontEndViewTender&amp;service=direct&amp;session=T&amp;sp=S3r%2BoXBxsrbY2WBmYupCj0w%3D%3D", "CC ROAD CONSTRUCTION OR REPAIR WORK IN BANAJI TO RAKESH SAIN")</f>
        <v/>
      </c>
      <c r="C154" t="inlineStr">
        <is>
          <t>DLB||Dy.DR-Kota||Commissioner-Sawaimadhopur</t>
        </is>
      </c>
      <c r="D154" t="inlineStr">
        <is>
          <t>27-May-2025 06:00 PM</t>
        </is>
      </c>
      <c r="E154" t="inlineStr">
        <is>
          <t>9,50,000</t>
        </is>
      </c>
      <c r="F154" t="inlineStr">
        <is>
          <t>CC ROAD CONSTRUCTION OR REPAIR WORK IN BANAJI TO RAKESH SAIN</t>
        </is>
      </c>
      <c r="G154" t="inlineStr">
        <is>
          <t>SAWAI MADHOPUR</t>
        </is>
      </c>
    </row>
    <row r="155">
      <c r="A155" s="1" t="n">
        <v>153</v>
      </c>
      <c r="B155">
        <f>HYPERLINK("https://eproc.rajasthan.gov.in/nicgep/app?component=%24DirectLink&amp;page=FrontEndViewTender&amp;service=direct&amp;session=T&amp;sp=SyvF2YBp4lhoi2D9qNqzMLQ%3D%3D", "CC ROAD CONSTRUCTION OR REPAIR WORK IN WARD NO 55")</f>
        <v/>
      </c>
      <c r="C155" t="inlineStr">
        <is>
          <t>DLB||Dy.DR-Kota||Commissioner-Sawaimadhopur</t>
        </is>
      </c>
      <c r="D155" t="inlineStr">
        <is>
          <t>27-May-2025 06:00 PM</t>
        </is>
      </c>
      <c r="E155" t="inlineStr">
        <is>
          <t>10,00,000</t>
        </is>
      </c>
      <c r="F155" t="inlineStr">
        <is>
          <t>Processing, tender fee, Earnest Money, Registration and GST Certificate other docs as Technical Bid</t>
        </is>
      </c>
      <c r="G155" t="inlineStr">
        <is>
          <t>SAWAI MADHOPUR</t>
        </is>
      </c>
    </row>
    <row r="156">
      <c r="A156" s="1" t="n">
        <v>154</v>
      </c>
      <c r="B156">
        <f>HYPERLINK("https://eproc.rajasthan.gov.in/nicgep/app?component=%24DirectLink&amp;page=FrontEndViewTender&amp;service=direct&amp;session=T&amp;sp=SLjIVH5kNojBDH12Ny5Q3eA%3D%3D", "CC ROAD CONSTRUCTION OR REPAIR WORK IN WARD NO 54")</f>
        <v/>
      </c>
      <c r="C156" t="inlineStr">
        <is>
          <t>DLB||Dy.DR-Kota||Commissioner-Sawaimadhopur</t>
        </is>
      </c>
      <c r="D156" t="inlineStr">
        <is>
          <t>27-May-2025 06:00 PM</t>
        </is>
      </c>
      <c r="E156" t="inlineStr">
        <is>
          <t>10,29,000</t>
        </is>
      </c>
      <c r="F156" t="inlineStr">
        <is>
          <t>CC ROAD CONSTRUCTION OR REPAIR WORK IN WARD NO 54</t>
        </is>
      </c>
      <c r="G156" t="inlineStr">
        <is>
          <t>SAWAI MADHOPUR</t>
        </is>
      </c>
    </row>
    <row r="157">
      <c r="A157" s="1" t="n">
        <v>155</v>
      </c>
      <c r="B157">
        <f>HYPERLINK("https://eproc.rajasthan.gov.in/nicgep/app?component=%24DirectLink&amp;page=FrontEndViewTender&amp;service=direct&amp;session=T&amp;sp=Srg0gJoWr3uvlG6dtA4ozkg%3D%3D", "Construction of Nala Drain Rakesh nai to Mukesh Dotar ward no 33")</f>
        <v/>
      </c>
      <c r="C157" t="inlineStr">
        <is>
          <t>DLB||Dy.DR-Bikaner||EO-Rawatsar</t>
        </is>
      </c>
      <c r="D157" t="inlineStr">
        <is>
          <t>26-May-2025 05:00 PM</t>
        </is>
      </c>
      <c r="E157" t="inlineStr">
        <is>
          <t>5,45,690</t>
        </is>
      </c>
      <c r="F157" t="inlineStr">
        <is>
          <t>Construction of Nala Drain Rakesh nai to Mukesh Dotar ward no 33</t>
        </is>
      </c>
      <c r="G157" t="inlineStr">
        <is>
          <t>rawatsar</t>
        </is>
      </c>
    </row>
    <row r="158">
      <c r="A158" s="1" t="n">
        <v>156</v>
      </c>
      <c r="B158">
        <f>HYPERLINK("https://eproc.rajasthan.gov.in/nicgep/app?component=%24DirectLink&amp;page=FrontEndViewTender&amp;service=direct&amp;session=T&amp;sp=SDyMVrtRIwj6mxyp8alEdkw%3D%3D", "SITC Floating Fountain at Nakki Lake in Municipal Board Mount Abu.")</f>
        <v/>
      </c>
      <c r="C158" t="inlineStr">
        <is>
          <t>DLB||Dy.DR-Jodhpur||EO-Mount abu</t>
        </is>
      </c>
      <c r="D158" t="inlineStr">
        <is>
          <t>26-May-2025 06:00 PM</t>
        </is>
      </c>
      <c r="E158" t="inlineStr">
        <is>
          <t>10,61,259</t>
        </is>
      </c>
      <c r="F158" t="inlineStr">
        <is>
          <t>SITC Floating Fountain at Nakki Lake in Municipal Board Mount Abu.</t>
        </is>
      </c>
      <c r="G158" t="inlineStr">
        <is>
          <t>Municipal board mount abu</t>
        </is>
      </c>
    </row>
    <row r="159">
      <c r="A159" s="1" t="n">
        <v>157</v>
      </c>
      <c r="B159">
        <f>HYPERLINK("https://eproc.rajasthan.gov.in/nicgep/app?component=%24DirectLink&amp;page=FrontEndViewTender&amp;service=direct&amp;session=T&amp;sp=SkCf6I3lyJXWGNL7ZlYfeGA%3D%3D", "Construction of CC Road Drain Prthvi Jangu to Helipade ward no 33")</f>
        <v/>
      </c>
      <c r="C159" t="inlineStr">
        <is>
          <t>DLB||Dy.DR-Bikaner||EO-Rawatsar</t>
        </is>
      </c>
      <c r="D159" t="inlineStr">
        <is>
          <t>26-May-2025 05:00 PM</t>
        </is>
      </c>
      <c r="E159" t="inlineStr">
        <is>
          <t>26,05,188</t>
        </is>
      </c>
      <c r="F159" t="inlineStr">
        <is>
          <t>Construction of CC Road Drain Prthvi Jangu to Helipade ward no 33</t>
        </is>
      </c>
      <c r="G159" t="inlineStr">
        <is>
          <t>rawatsar</t>
        </is>
      </c>
    </row>
    <row r="160">
      <c r="A160" s="1" t="n">
        <v>158</v>
      </c>
      <c r="B160">
        <f>HYPERLINK("https://eproc.rajasthan.gov.in/nicgep/app?component=%24DirectLink&amp;page=FrontEndViewTender&amp;service=direct&amp;session=T&amp;sp=SKzwL6N1oRpeTB8w4el8WJw%3D%3D", "CC ROAD CONSTRUCTION OR REPAIR WORK IN WARD NO 15")</f>
        <v/>
      </c>
      <c r="C160" t="inlineStr">
        <is>
          <t>DLB||Dy.DR-Kota||Commissioner-Sawaimadhopur</t>
        </is>
      </c>
      <c r="D160" t="inlineStr">
        <is>
          <t>27-May-2025 06:00 PM</t>
        </is>
      </c>
      <c r="E160" t="inlineStr">
        <is>
          <t>11,43,000</t>
        </is>
      </c>
      <c r="F160" t="inlineStr">
        <is>
          <t>CC ROAD CONSTRUCTION OR REPAIR WORK IN WARD NO 15</t>
        </is>
      </c>
      <c r="G160" t="inlineStr">
        <is>
          <t>SAWAI MADHOPUR</t>
        </is>
      </c>
    </row>
    <row r="161">
      <c r="A161" s="1" t="n">
        <v>159</v>
      </c>
      <c r="B161">
        <f>HYPERLINK("https://eproc.rajasthan.gov.in/nicgep/app?component=%24DirectLink&amp;page=FrontEndViewTender&amp;service=direct&amp;session=T&amp;sp=Sg7TihSABCUkBjlJup8e%2Fow%3D%3D", "MSRGY Yojana ke Antargat Gravel Supply ka Karya (ARC 2025-26)")</f>
        <v/>
      </c>
      <c r="C161" t="inlineStr">
        <is>
          <t>DLB||Dy.DR-Kota||EO-Sangod</t>
        </is>
      </c>
      <c r="D161" t="inlineStr">
        <is>
          <t>27-May-2025 06:00 PM</t>
        </is>
      </c>
      <c r="E161" t="inlineStr">
        <is>
          <t>11,96,000</t>
        </is>
      </c>
      <c r="F161" t="inlineStr">
        <is>
          <t>MSRGY Yojana ke Antargat Gravel Supply ka Karya (ARC 2025-26)</t>
        </is>
      </c>
      <c r="G161" t="inlineStr">
        <is>
          <t>Kota</t>
        </is>
      </c>
    </row>
    <row r="162">
      <c r="A162" s="1" t="n">
        <v>160</v>
      </c>
      <c r="B162">
        <f>HYPERLINK("https://eproc.rajasthan.gov.in/nicgep/app?component=%24DirectLink&amp;page=FrontEndViewTender&amp;service=direct&amp;session=T&amp;sp=SB2MJFdJaTcy6g6LC3mLxQg%3D%3D", "Nallah cleaning work at various places in municipal Area Sumerpur")</f>
        <v/>
      </c>
      <c r="C162" t="inlineStr">
        <is>
          <t>DLB||Dy.DR-Jodhpur||EO-Sadri</t>
        </is>
      </c>
      <c r="D162" t="inlineStr">
        <is>
          <t>20-May-2025 06:00 PM</t>
        </is>
      </c>
      <c r="E162" t="inlineStr">
        <is>
          <t>25,26,000</t>
        </is>
      </c>
      <c r="F162" t="inlineStr">
        <is>
          <t>civil work</t>
        </is>
      </c>
      <c r="G162" t="inlineStr">
        <is>
          <t>sumerpur</t>
        </is>
      </c>
    </row>
    <row r="163">
      <c r="A163" s="1" t="n">
        <v>161</v>
      </c>
      <c r="B163">
        <f>HYPERLINK("https://eproc.rajasthan.gov.in/nicgep/app?component=%24DirectLink&amp;page=FrontEndViewTender&amp;service=direct&amp;session=T&amp;sp=STu6oAsAcjyymnIMTRd5TZg%3D%3D", "E-NIT No.25/2025-26/Nirman 07")</f>
        <v/>
      </c>
      <c r="C163" t="inlineStr">
        <is>
          <t>DLB||Dy.DR-Bikaner||CEO-Bikaner</t>
        </is>
      </c>
      <c r="D163" t="inlineStr">
        <is>
          <t>19-May-2025 06:00 PM</t>
        </is>
      </c>
      <c r="E163" t="inlineStr">
        <is>
          <t>31,33,000</t>
        </is>
      </c>
      <c r="F163" t="inlineStr">
        <is>
          <t>Canal cleaning and repair work from community hall sujandesar to khudkhuda road, Bikaner.</t>
        </is>
      </c>
      <c r="G163" t="inlineStr">
        <is>
          <t>Bikaner</t>
        </is>
      </c>
    </row>
    <row r="164">
      <c r="A164" s="1" t="n">
        <v>162</v>
      </c>
      <c r="B164">
        <f>HYPERLINK("https://eproc.rajasthan.gov.in/nicgep/app?component=%24DirectLink&amp;page=FrontEndViewTender&amp;service=direct&amp;session=T&amp;sp=S8U2x6WdI1tDyzzKqu8fLdw%3D%3D", "E-NIT No.25/2025-26/Nirman 08")</f>
        <v/>
      </c>
      <c r="C164" t="inlineStr">
        <is>
          <t>DLB||Dy.DR-Bikaner||CEO-Bikaner</t>
        </is>
      </c>
      <c r="D164" t="inlineStr">
        <is>
          <t>19-May-2025 06:00 PM</t>
        </is>
      </c>
      <c r="E164" t="inlineStr">
        <is>
          <t>54,03,000</t>
        </is>
      </c>
      <c r="F164" t="inlineStr">
        <is>
          <t>Canal cleaning and repair work from birju bha gate to nathusar gate via benisar bari, janta pyaau to khudkhuda road, Bikaner.</t>
        </is>
      </c>
      <c r="G164" t="inlineStr">
        <is>
          <t>Bikaner</t>
        </is>
      </c>
    </row>
    <row r="165">
      <c r="A165" s="1" t="n">
        <v>163</v>
      </c>
      <c r="B165">
        <f>HYPERLINK("https://eproc.rajasthan.gov.in/nicgep/app?component=%24DirectLink&amp;page=FrontEndViewTender&amp;service=direct&amp;session=T&amp;sp=SP%2Fl73bB2%2BWdM0mWxwg6RiA%3D%3D", "E-NIT No.08/Light/2025-26 dp")</f>
        <v/>
      </c>
      <c r="C165" t="inlineStr">
        <is>
          <t>DLB||Dy.DR-Bikaner||CEO-Bikaner</t>
        </is>
      </c>
      <c r="D165" t="inlineStr">
        <is>
          <t>28-May-2025 06:00 PM</t>
        </is>
      </c>
      <c r="E165" t="inlineStr">
        <is>
          <t>25,99,000</t>
        </is>
      </c>
      <c r="F165" t="inlineStr">
        <is>
          <t>Work of replacement of electric poles located on the main roads, roads and highways of Municipal Corporation Bikaner and removal of accident/damaged poles.</t>
        </is>
      </c>
      <c r="G165" t="inlineStr">
        <is>
          <t>Bikaner</t>
        </is>
      </c>
    </row>
    <row r="166">
      <c r="A166" s="1" t="n">
        <v>164</v>
      </c>
      <c r="B166">
        <f>HYPERLINK("https://eproc.rajasthan.gov.in/nicgep/app?component=%24DirectLink&amp;page=FrontEndViewTender&amp;service=direct&amp;session=T&amp;sp=S6dxTc1JfIA7MpGclpKwwfg%3D%3D", "Short Term E-NIT No.04/2025-26/Napasar Sewerage ARC")</f>
        <v/>
      </c>
      <c r="C166" t="inlineStr">
        <is>
          <t>DLB||Dy.DR-Bikaner||EO- Napasar</t>
        </is>
      </c>
      <c r="D166" t="inlineStr">
        <is>
          <t>20-May-2025 06:00 PM</t>
        </is>
      </c>
      <c r="E166" t="inlineStr">
        <is>
          <t>20,00,000</t>
        </is>
      </c>
      <c r="F166" t="inlineStr">
        <is>
          <t>Sewerage cleaning, maintenance and chamber cover, drains, cross etc. work at napasar nagar palika area.</t>
        </is>
      </c>
      <c r="G166" t="inlineStr">
        <is>
          <t>Napasar</t>
        </is>
      </c>
    </row>
    <row r="167">
      <c r="A167" s="1" t="n">
        <v>165</v>
      </c>
      <c r="B167">
        <f>HYPERLINK("https://eproc.rajasthan.gov.in/nicgep/app?component=%24DirectLink&amp;page=FrontEndViewTender&amp;service=direct&amp;session=T&amp;sp=SWVX8jgs2pDI68xVjudrOyw%3D%3D", "E-NIT No.05/2025-26/Napasar CCTV")</f>
        <v/>
      </c>
      <c r="C167" t="inlineStr">
        <is>
          <t>DLB||Dy.DR-Bikaner||EO- Napasar</t>
        </is>
      </c>
      <c r="D167" t="inlineStr">
        <is>
          <t>22-May-2025 06:00 PM</t>
        </is>
      </c>
      <c r="E167" t="inlineStr">
        <is>
          <t>2,76,000</t>
        </is>
      </c>
      <c r="F167" t="inlineStr">
        <is>
          <t>SITC of CCTV Camera at main building nagar palika napasar office.</t>
        </is>
      </c>
      <c r="G167" t="inlineStr">
        <is>
          <t>Napasar</t>
        </is>
      </c>
    </row>
    <row r="168">
      <c r="A168" s="1" t="n">
        <v>166</v>
      </c>
      <c r="B168">
        <f>HYPERLINK("https://eproc.rajasthan.gov.in/nicgep/app?component=%24DirectLink&amp;page=FrontEndViewTender&amp;service=direct&amp;session=T&amp;sp=S0PcivgozYTOahE%2BFwJCmjA%3D%3D", "Short Term E-NIT No.03/2025-26/Napasar bhawan")</f>
        <v/>
      </c>
      <c r="C168" t="inlineStr">
        <is>
          <t>DLB||Dy.DR-Bikaner||EO- Napasar</t>
        </is>
      </c>
      <c r="D168" t="inlineStr">
        <is>
          <t>20-May-2025 06:00 PM</t>
        </is>
      </c>
      <c r="E168" t="inlineStr">
        <is>
          <t>5,36,000</t>
        </is>
      </c>
      <c r="F168" t="inlineStr">
        <is>
          <t>Repair work of napasar nagar palika building.</t>
        </is>
      </c>
      <c r="G168" t="inlineStr">
        <is>
          <t>Napasar</t>
        </is>
      </c>
    </row>
    <row r="169">
      <c r="A169" s="1" t="n">
        <v>167</v>
      </c>
      <c r="B169">
        <f>HYPERLINK("https://eproc.rajasthan.gov.in/nicgep/app?component=%24DirectLink&amp;page=FrontEndViewTender&amp;service=direct&amp;session=T&amp;sp=SSHZ%2B8%2BgtiWp7zlahJ0Wm3w%3D%3D", "CONSTRUCTION OF NALA NIRMAN")</f>
        <v/>
      </c>
      <c r="C169" t="inlineStr">
        <is>
          <t>DLB||Dy.DR-Jaipur||EO-Bhusawar</t>
        </is>
      </c>
      <c r="D169" t="inlineStr">
        <is>
          <t>23-May-2025 10:00 AM</t>
        </is>
      </c>
      <c r="E169" t="inlineStr">
        <is>
          <t>49,90,000</t>
        </is>
      </c>
      <c r="F169" t="inlineStr">
        <is>
          <t>CONSTRUCTION OF NALA NIRMAN</t>
        </is>
      </c>
      <c r="G169" t="inlineStr">
        <is>
          <t>SULTANPUR</t>
        </is>
      </c>
    </row>
    <row r="170">
      <c r="A170" s="1" t="n">
        <v>168</v>
      </c>
      <c r="B170">
        <f>HYPERLINK("https://eproc.rajasthan.gov.in/nicgep/app?component=%24DirectLink&amp;page=FrontEndViewTender&amp;service=direct&amp;session=T&amp;sp=SqA27jZ9R4ASHUuN1sBNv3Q%3D%3D", "VITTIYA VARSH 2025-26 ME DT. 31.03.2026 TAK NAGAR NIGAM BHILWARA SEEMA KSHETRA SE NIRASHRIT PASHUO KO PAKADKAR, JAMNA VIHAR STHIT KINE HOUSE BHILWARA ME BAND KARNA EVM GHAYAL/BIMAR PASHU KO PASHU CHIKITSALAY PAHUCHANE KA KARYA")</f>
        <v/>
      </c>
      <c r="C170" t="inlineStr">
        <is>
          <t>DLB||Dy.DR-Ajmer||Commissioner-Bhilwara</t>
        </is>
      </c>
      <c r="D170" t="inlineStr">
        <is>
          <t>28-May-2025 06:00 PM</t>
        </is>
      </c>
      <c r="E170" t="inlineStr">
        <is>
          <t>30,00,000</t>
        </is>
      </c>
      <c r="F170" t="inlineStr">
        <is>
          <t>VITTIYA VARSH 2025-26 ME DT. 31.03.2026 TAK NAGAR NIGAM BHILWARA SEEMA KSHETRA SE NIRASHRIT PASHUO KO PAKADKAR, JAMNA VIHAR STHIT KINE HOUSE BHILWARA ME BAND KARNA EVM GHAYAL/BIMAR PASHU KO PASHU CHIKITSALAY PAHUCHANE KA KARYA</t>
        </is>
      </c>
      <c r="G170" t="inlineStr">
        <is>
          <t>Bhilwara</t>
        </is>
      </c>
    </row>
    <row r="171">
      <c r="A171" s="1" t="n">
        <v>169</v>
      </c>
      <c r="B171">
        <f>HYPERLINK("https://eproc.rajasthan.gov.in/nicgep/app?component=%24DirectLink&amp;page=FrontEndViewTender&amp;service=direct&amp;session=T&amp;sp=STw5VFsq8RNVvRlEjT7n1cA%3D%3D", "Cleaning of Open/Close Drains at Various Places in Municipal Areas")</f>
        <v/>
      </c>
      <c r="C171" t="inlineStr">
        <is>
          <t>DLB||Dy.DR-Bikaner||EO-Rajgarh</t>
        </is>
      </c>
      <c r="D171" t="inlineStr">
        <is>
          <t>21-May-2025 06:00 PM</t>
        </is>
      </c>
      <c r="E171" t="inlineStr">
        <is>
          <t>12,57,000</t>
        </is>
      </c>
      <c r="F171" t="inlineStr">
        <is>
          <t>Cleaning of Open/Close Drains at Various Places in Municipal Areas</t>
        </is>
      </c>
      <c r="G171" t="inlineStr">
        <is>
          <t>RAJGARH</t>
        </is>
      </c>
    </row>
    <row r="172">
      <c r="A172" s="1" t="n">
        <v>170</v>
      </c>
      <c r="B172">
        <f>HYPERLINK("https://eproc.rajasthan.gov.in/nicgep/app?component=%24DirectLink&amp;page=FrontEndViewTender&amp;service=direct&amp;session=T&amp;sp=S70cxQGeWXAX1CNEteVajqg%3D%3D", "Supply of Mainpower of Garden Work")</f>
        <v/>
      </c>
      <c r="C172" t="inlineStr">
        <is>
          <t>DLB||Dy.DR-Ajmer||Commissioner-Kishangarh</t>
        </is>
      </c>
      <c r="D172" t="inlineStr">
        <is>
          <t>26-May-2025 09:00 AM</t>
        </is>
      </c>
      <c r="E172" t="inlineStr">
        <is>
          <t>47,68,000</t>
        </is>
      </c>
      <c r="F172" t="inlineStr">
        <is>
          <t>Supply of Mainpower of Garden Work</t>
        </is>
      </c>
      <c r="G172" t="inlineStr">
        <is>
          <t>kishangarh</t>
        </is>
      </c>
    </row>
    <row r="173">
      <c r="A173" s="1" t="n">
        <v>171</v>
      </c>
      <c r="B173">
        <f>HYPERLINK("https://eproc.rajasthan.gov.in/nicgep/app?component=%24DirectLink&amp;page=FrontEndViewTender&amp;service=direct&amp;session=T&amp;sp=SVs20H9JGmFqkP7Lm%2BPAEHA%3D%3D", "ENIT17/2025-26")</f>
        <v/>
      </c>
      <c r="C173" t="inlineStr">
        <is>
          <t>DLB||Dy.DR-Jaipur||EO-Bhusawar</t>
        </is>
      </c>
      <c r="D173" t="inlineStr">
        <is>
          <t>22-May-2025 06:00 PM</t>
        </is>
      </c>
      <c r="E173" t="inlineStr">
        <is>
          <t>4,90,000</t>
        </is>
      </c>
      <c r="F173" t="inlineStr">
        <is>
          <t>bandar padkar palika dwara bataye gye sthan par chodne ka karya</t>
        </is>
      </c>
      <c r="G173" t="inlineStr">
        <is>
          <t>rupbas</t>
        </is>
      </c>
    </row>
    <row r="174">
      <c r="A174" s="1" t="n">
        <v>172</v>
      </c>
      <c r="B174">
        <f>HYPERLINK("https://eproc.rajasthan.gov.in/nicgep/app?component=%24DirectLink&amp;page=FrontEndViewTender&amp;service=direct&amp;session=T&amp;sp=SBg8BX8%2BmO3JJBDN0idg8XA%3D%3D", "Maintenance of Divider and Garden")</f>
        <v/>
      </c>
      <c r="C174" t="inlineStr">
        <is>
          <t>DLB||Dy.DR-Ajmer||Commissioner-Kishangarh</t>
        </is>
      </c>
      <c r="D174" t="inlineStr">
        <is>
          <t>26-May-2025 06:00 PM</t>
        </is>
      </c>
      <c r="E174" t="inlineStr">
        <is>
          <t>19,36,000</t>
        </is>
      </c>
      <c r="F174" t="inlineStr">
        <is>
          <t>Maintenance of Divider and Garden</t>
        </is>
      </c>
      <c r="G174" t="inlineStr">
        <is>
          <t>kishangarh</t>
        </is>
      </c>
    </row>
    <row r="175">
      <c r="A175" s="1" t="n">
        <v>173</v>
      </c>
      <c r="B175">
        <f>HYPERLINK("https://eproc.rajasthan.gov.in/nicgep/app?component=%24DirectLink&amp;page=FrontEndViewTender&amp;service=direct&amp;session=T&amp;sp=SI1H1zVXuuQMkrk8XOTNYvA%3D%3D", "Supply of street LED Light in Municipal Area Dungarpur")</f>
        <v/>
      </c>
      <c r="C175" t="inlineStr">
        <is>
          <t>DLB||Dy.DR-Udaipur||Commissioner-Dungarpur</t>
        </is>
      </c>
      <c r="D175" t="inlineStr">
        <is>
          <t>27-May-2025 06:00 PM</t>
        </is>
      </c>
      <c r="E175" t="inlineStr">
        <is>
          <t>11,00,000</t>
        </is>
      </c>
      <c r="F175" t="inlineStr">
        <is>
          <t>Supply of street LED Light in Municipal Area Dungarpur</t>
        </is>
      </c>
      <c r="G175" t="inlineStr">
        <is>
          <t>DUNGARPUR</t>
        </is>
      </c>
    </row>
    <row r="176">
      <c r="A176" s="1" t="n">
        <v>174</v>
      </c>
      <c r="B176">
        <f>HYPERLINK("https://eproc.rajasthan.gov.in/nicgep/app?component=%24DirectLink&amp;page=FrontEndViewTender&amp;service=direct&amp;session=T&amp;sp=Sy601KRqFD%2FAclkcr459DzQ%3D%3D", "Interlocking on both sides and drain repair work Telipada")</f>
        <v/>
      </c>
      <c r="C176" t="inlineStr">
        <is>
          <t>DLB||Dy.DR-Jaipur||EO-Kumher</t>
        </is>
      </c>
      <c r="D176" t="inlineStr">
        <is>
          <t>22-May-2025 06:00 PM</t>
        </is>
      </c>
      <c r="E176" t="inlineStr">
        <is>
          <t>8,29,000</t>
        </is>
      </c>
      <c r="F176" t="inlineStr">
        <is>
          <t>Interlocking on both sides and drain repair work Telipada</t>
        </is>
      </c>
      <c r="G176" t="inlineStr">
        <is>
          <t>Deeg</t>
        </is>
      </c>
    </row>
    <row r="177">
      <c r="A177" s="1" t="n">
        <v>175</v>
      </c>
      <c r="B177">
        <f>HYPERLINK("https://eproc.rajasthan.gov.in/nicgep/app?component=%24DirectLink&amp;page=FrontEndViewTender&amp;service=direct&amp;session=T&amp;sp=SFP8221bxmp8yE0wovQa4tQ%3D%3D", "CC road construction work from Bharat Bhushan house to Gol Chabutra, Rameshwar Sharma house, next to Brajesh Parashar house, Bali Gali Ward No. 23")</f>
        <v/>
      </c>
      <c r="C177" t="inlineStr">
        <is>
          <t>DLB||Dy.DR-Jaipur||EO-Kumher</t>
        </is>
      </c>
      <c r="D177" t="inlineStr">
        <is>
          <t>22-May-2025 06:00 PM</t>
        </is>
      </c>
      <c r="E177" t="inlineStr">
        <is>
          <t>4,92,000</t>
        </is>
      </c>
      <c r="F177" t="inlineStr">
        <is>
          <t>CC road construction work from Bharat Bhushan house to Gol Chabutra, Rameshwar Sharma house, next to Brajesh Parashar house, Bali Gali Ward No. 23</t>
        </is>
      </c>
      <c r="G177" t="inlineStr">
        <is>
          <t>Deeg</t>
        </is>
      </c>
    </row>
    <row r="178">
      <c r="A178" s="1" t="n">
        <v>176</v>
      </c>
      <c r="B178">
        <f>HYPERLINK("https://eproc.rajasthan.gov.in/nicgep/app?component=%24DirectLink&amp;page=FrontEndViewTender&amp;service=direct&amp;session=T&amp;sp=S8gYQscDtwJjoQykCj8fDaQ%3D%3D", "SPARE PARTS AND REPAIRING WORK OF ASHOK LEYLAND TEKCHAND SONS FABRICATION MACK VEHICLE OF CORPORATION")</f>
        <v/>
      </c>
      <c r="C178" t="inlineStr">
        <is>
          <t>DLB||Dy.DR-Jaipur||CEO-Jaipur</t>
        </is>
      </c>
      <c r="D178" t="inlineStr">
        <is>
          <t>26-May-2025 04:00 PM</t>
        </is>
      </c>
      <c r="E178" t="inlineStr">
        <is>
          <t>40,00,000</t>
        </is>
      </c>
      <c r="F178" t="inlineStr">
        <is>
          <t>SPARE PARTS AND REPAIRING WORK OF ASHOK LEYLAND TEKCHAND SONS FABRICATION MACK VEHICLE OF CORPORATION</t>
        </is>
      </c>
      <c r="G178" t="inlineStr">
        <is>
          <t>JAIPUR</t>
        </is>
      </c>
    </row>
    <row r="179">
      <c r="A179" s="1" t="n">
        <v>177</v>
      </c>
      <c r="B179">
        <f>HYPERLINK("https://eproc.rajasthan.gov.in/nicgep/app?component=%24DirectLink&amp;page=FrontEndViewTender&amp;service=direct&amp;session=T&amp;sp=SXWihN3KZJ%2Bostitx6dXYeg%3D%3D", "CONSTRUCTION OF BORING AT VARIOUS PARKS IN NAGAR NIGAM JAIPUR HERITAGE AS PER REQUIREMENT")</f>
        <v/>
      </c>
      <c r="C179" t="inlineStr">
        <is>
          <t>DLB||Dy.DR-Jaipur||CEO-Jaipur</t>
        </is>
      </c>
      <c r="D179" t="inlineStr">
        <is>
          <t>22-May-2025 06:00 PM</t>
        </is>
      </c>
      <c r="E179" t="inlineStr">
        <is>
          <t>76,36,000</t>
        </is>
      </c>
      <c r="F179" t="inlineStr">
        <is>
          <t>CONSTRUCTION OF BORING AT VARIOUS PARKS IN NAGAR NIGAM JAIPUR HERITAGE AS PER REQUIREMENT</t>
        </is>
      </c>
      <c r="G179" t="inlineStr">
        <is>
          <t>JAIPUR</t>
        </is>
      </c>
    </row>
    <row r="180">
      <c r="A180" s="1" t="n">
        <v>178</v>
      </c>
      <c r="B180">
        <f>HYPERLINK("https://eproc.rajasthan.gov.in/nicgep/app?component=%24DirectLink&amp;page=FrontEndViewTender&amp;service=direct&amp;session=T&amp;sp=SnkcBCCahI%2FFADSteapYttA%3D%3D", "WORK NO 1")</f>
        <v/>
      </c>
      <c r="C180" t="inlineStr">
        <is>
          <t>DLB||Dy.DR-Jaipur||EO-Shrimadhopur</t>
        </is>
      </c>
      <c r="D180" t="inlineStr">
        <is>
          <t>26-May-2025 11:00 AM</t>
        </is>
      </c>
      <c r="E180" t="inlineStr">
        <is>
          <t>4,56,000</t>
        </is>
      </c>
      <c r="F180" t="inlineStr">
        <is>
          <t>CLEANING NALA WORK IN MUNICIPAL AREA SHRIMADHOPUR</t>
        </is>
      </c>
      <c r="G180" t="inlineStr">
        <is>
          <t>SHRIMADHOPUR</t>
        </is>
      </c>
    </row>
    <row r="181">
      <c r="A181" s="1" t="n">
        <v>179</v>
      </c>
      <c r="B181">
        <f>HYPERLINK("https://eproc.rajasthan.gov.in/nicgep/app?component=%24DirectLink&amp;page=FrontEndViewTender&amp;service=direct&amp;session=T&amp;sp=SzXGUArEHSvIFsTsEx%2BsTcQ%3D%3D", "Gardener supply work in municipal parks")</f>
        <v/>
      </c>
      <c r="C181" t="inlineStr">
        <is>
          <t>DLB||Dy.DR-Kota||EO-Hindauncity</t>
        </is>
      </c>
      <c r="D181" t="inlineStr">
        <is>
          <t>29-May-2025 06:00 PM</t>
        </is>
      </c>
      <c r="E181" t="inlineStr">
        <is>
          <t>19,99,000</t>
        </is>
      </c>
      <c r="F181" t="inlineStr">
        <is>
          <t>Gardener supply work in municipal parks</t>
        </is>
      </c>
      <c r="G181" t="inlineStr">
        <is>
          <t>MUNICIPAL BOARD, NAGAR</t>
        </is>
      </c>
    </row>
    <row r="182">
      <c r="A182" s="1" t="n">
        <v>180</v>
      </c>
      <c r="B182">
        <f>HYPERLINK("https://eproc.rajasthan.gov.in/nicgep/app?component=%24DirectLink&amp;page=FrontEndViewTender&amp;service=direct&amp;session=T&amp;sp=SGeVQ35AWcoxMhaaLSF%2B3PQ%3D%3D", "Construction and maintenance of sewerline , road and other develoment work ar various places in ward no. 24")</f>
        <v/>
      </c>
      <c r="C182" t="inlineStr">
        <is>
          <t>DLB||Dy.DR-Jodhpur||CEO-Jodhpur</t>
        </is>
      </c>
      <c r="D182" t="inlineStr">
        <is>
          <t>26-May-2025 12:30 PM</t>
        </is>
      </c>
      <c r="E182" t="inlineStr">
        <is>
          <t>22,00,000</t>
        </is>
      </c>
      <c r="F182" t="inlineStr">
        <is>
          <t>Construction and maintenance of sewerline , road and other develoment work ar various places in ward no. 24</t>
        </is>
      </c>
      <c r="G182" t="inlineStr">
        <is>
          <t>NAGAR NIGAM JODHPUR NORTH</t>
        </is>
      </c>
    </row>
    <row r="183">
      <c r="A183" s="1" t="n">
        <v>181</v>
      </c>
      <c r="B183">
        <f>HYPERLINK("https://eproc.rajasthan.gov.in/nicgep/app?component=%24DirectLink&amp;page=FrontEndViewTender&amp;service=direct&amp;session=T&amp;sp=SRze%2Bg6DzLw6XW3UHOduhVQ%3D%3D", "CC Road construction work in sitaram dadhichs house to bhaisasur mata mandir in bhuranita in Ward no. 4")</f>
        <v/>
      </c>
      <c r="C183" t="inlineStr">
        <is>
          <t>DLB||Dy.DR-Jodhpur||CEO-Jodhpur</t>
        </is>
      </c>
      <c r="D183" t="inlineStr">
        <is>
          <t>26-May-2025 12:30 PM</t>
        </is>
      </c>
      <c r="E183" t="inlineStr">
        <is>
          <t>18,00,000</t>
        </is>
      </c>
      <c r="F183" t="inlineStr">
        <is>
          <t>CC Road construction work in sitaram dadhichs house to bhaisasur mata mandir in bhuranita in Ward no. 4</t>
        </is>
      </c>
      <c r="G183" t="inlineStr">
        <is>
          <t>NAGAR NIGAM JODHPUR NORTH</t>
        </is>
      </c>
    </row>
    <row r="184">
      <c r="A184" s="1" t="n">
        <v>182</v>
      </c>
      <c r="B184">
        <f>HYPERLINK("https://eproc.rajasthan.gov.in/nicgep/app?component=%24DirectLink&amp;page=FrontEndViewTender&amp;service=direct&amp;session=T&amp;sp=S0AJn0oqUA4mQ6a2cWGe%2BmA%3D%3D", "Construction and maintenance of sewerline , road and other develoment work ar various places in ward no. 6")</f>
        <v/>
      </c>
      <c r="C184" t="inlineStr">
        <is>
          <t>DLB||Dy.DR-Jodhpur||CEO-Jodhpur</t>
        </is>
      </c>
      <c r="D184" t="inlineStr">
        <is>
          <t>26-May-2025 12:30 PM</t>
        </is>
      </c>
      <c r="E184" t="inlineStr">
        <is>
          <t>25,00,000</t>
        </is>
      </c>
      <c r="F184" t="inlineStr">
        <is>
          <t>Construction and maintenance of sewerline , road and other develoment work ar various places in ward no. 6</t>
        </is>
      </c>
      <c r="G184" t="inlineStr">
        <is>
          <t>NAGAR NIGAM JODHPUR NORTH</t>
        </is>
      </c>
    </row>
    <row r="185">
      <c r="A185" s="1" t="n">
        <v>183</v>
      </c>
      <c r="B185">
        <f>HYPERLINK("https://eproc.rajasthan.gov.in/nicgep/app?component=%24DirectLink&amp;page=FrontEndViewTender&amp;service=direct&amp;session=T&amp;sp=SGLIdjw5VDbwVjL8boB09qw%3D%3D", "P.T SURVEY WORK AS PER REQUIREMENT IN CIVIL LINE ZONE AT WARD NO 31 TO 54")</f>
        <v/>
      </c>
      <c r="C185" t="inlineStr">
        <is>
          <t>DLB||Dy.DR-Jaipur||CEO-Jaipur</t>
        </is>
      </c>
      <c r="D185" t="inlineStr">
        <is>
          <t>26-May-2025 06:00 PM</t>
        </is>
      </c>
      <c r="E185" t="inlineStr">
        <is>
          <t>14,85,338</t>
        </is>
      </c>
      <c r="F185" t="inlineStr">
        <is>
          <t>P.T SURVEY WORK AS PER REQUIREMENT IN CIVIL LINE ZONE AT WARD NO 31 TO 54</t>
        </is>
      </c>
      <c r="G185" t="inlineStr">
        <is>
          <t>JAIPUR</t>
        </is>
      </c>
    </row>
    <row r="186">
      <c r="A186" s="1" t="n">
        <v>184</v>
      </c>
      <c r="B186">
        <f>HYPERLINK("https://eproc.rajasthan.gov.in/nicgep/app?component=%24DirectLink&amp;page=FrontEndViewTender&amp;service=direct&amp;session=T&amp;sp=S5tZP5UpMpA%2Bn8bnYDeoRzQ%3D%3D", "FOOTPATH CONSTRUCTION WORK AT HARI NAGAR III AND NEARBY AREA IN WARD NO. 54 CIVIL LINE ZONE")</f>
        <v/>
      </c>
      <c r="C186" t="inlineStr">
        <is>
          <t>DLB||Dy.DR-Jaipur||CEO-Jaipur</t>
        </is>
      </c>
      <c r="D186" t="inlineStr">
        <is>
          <t>26-May-2025 06:00 PM</t>
        </is>
      </c>
      <c r="E186" t="inlineStr">
        <is>
          <t>28,69,694</t>
        </is>
      </c>
      <c r="F186" t="inlineStr">
        <is>
          <t>FOOTPATH CONSTRUCTION WORK AT HARI NAGAR III AND NEARBY AREA IN WARD NO. 54 CIVIL LINE ZONE</t>
        </is>
      </c>
      <c r="G186" t="inlineStr">
        <is>
          <t>JAIPUR</t>
        </is>
      </c>
    </row>
    <row r="187">
      <c r="A187" s="1" t="n">
        <v>185</v>
      </c>
      <c r="B187">
        <f>HYPERLINK("https://eproc.rajasthan.gov.in/nicgep/app?component=%24DirectLink&amp;page=FrontEndViewTender&amp;service=direct&amp;session=T&amp;sp=SRofvJ%2FqEWxbp5IzlORP0%2FQ%3D%3D", "CC Road construction work in From Arun Meghwal house to baba ramdev mandir in ward 6")</f>
        <v/>
      </c>
      <c r="C187" t="inlineStr">
        <is>
          <t>DLB||Dy.DR-Jodhpur||CEO-Jodhpur</t>
        </is>
      </c>
      <c r="D187" t="inlineStr">
        <is>
          <t>26-May-2025 12:30 PM</t>
        </is>
      </c>
      <c r="E187" t="inlineStr">
        <is>
          <t>3,84,000</t>
        </is>
      </c>
      <c r="F187" t="inlineStr">
        <is>
          <t>CC Road construction work in From Arun Meghwal house to baba ramdev mandir in ward 6</t>
        </is>
      </c>
      <c r="G187" t="inlineStr">
        <is>
          <t>NAGAR NIGAM JODHPUR NORTH</t>
        </is>
      </c>
    </row>
    <row r="188">
      <c r="A188" s="1" t="n">
        <v>186</v>
      </c>
      <c r="B188">
        <f>HYPERLINK("https://eproc.rajasthan.gov.in/nicgep/app?component=%24DirectLink&amp;page=FrontEndViewTender&amp;service=direct&amp;session=T&amp;sp=Symh1rxgqYPXuKzLFdskZfg%3D%3D", "Construction and maintenance of sewerline , road and other develoment work ar various places in ward no. 22")</f>
        <v/>
      </c>
      <c r="C188" t="inlineStr">
        <is>
          <t>DLB||Dy.DR-Jodhpur||CEO-Jodhpur</t>
        </is>
      </c>
      <c r="D188" t="inlineStr">
        <is>
          <t>26-May-2025 12:30 PM</t>
        </is>
      </c>
      <c r="E188" t="inlineStr">
        <is>
          <t>22,00,000</t>
        </is>
      </c>
      <c r="F188" t="inlineStr">
        <is>
          <t>Construction and maintenance of sewerline , road and other develoment work ar various places in ward no. 22</t>
        </is>
      </c>
      <c r="G188" t="inlineStr">
        <is>
          <t>NAGAR NIGAM JODHPUR NORTH</t>
        </is>
      </c>
    </row>
    <row r="189">
      <c r="A189" s="1" t="n">
        <v>187</v>
      </c>
      <c r="B189">
        <f>HYPERLINK("https://eproc.rajasthan.gov.in/nicgep/app?component=%24DirectLink&amp;page=FrontEndViewTender&amp;service=direct&amp;session=T&amp;sp=SHQRpQ1%2BYFtnH6azKXZhN3w%3D%3D", "CC Road construction work from new bhakhri bans prakash lakhara house to vishnu water fitting wale house in ward no 4")</f>
        <v/>
      </c>
      <c r="C189" t="inlineStr">
        <is>
          <t>DLB||Dy.DR-Jodhpur||CEO-Jodhpur</t>
        </is>
      </c>
      <c r="D189" t="inlineStr">
        <is>
          <t>26-May-2025 12:30 PM</t>
        </is>
      </c>
      <c r="E189" t="inlineStr">
        <is>
          <t>8,25,000</t>
        </is>
      </c>
      <c r="F189" t="inlineStr">
        <is>
          <t>CC Road construction work from new bhakhri bans prakash lakhara house to vishnu water fitting wale house in ward no 4</t>
        </is>
      </c>
      <c r="G189" t="inlineStr">
        <is>
          <t>NAGAR NIGAM JODHPUR NORTH</t>
        </is>
      </c>
    </row>
    <row r="190">
      <c r="A190" s="1" t="n">
        <v>188</v>
      </c>
      <c r="B190">
        <f>HYPERLINK("https://eproc.rajasthan.gov.in/nicgep/app?component=%24DirectLink&amp;page=FrontEndViewTender&amp;service=direct&amp;session=T&amp;sp=SCBHJwL6%2B%2FJLKBw3KScgHCw%3D%3D", "CONTROL AND SOLUTION OF MONKEY MENACE IN NAGAR NIGAM HERITAGE JAIPUR CITY")</f>
        <v/>
      </c>
      <c r="C190" t="inlineStr">
        <is>
          <t>DLB||Dy.DR-Jaipur||CEO-Jaipur</t>
        </is>
      </c>
      <c r="D190" t="inlineStr">
        <is>
          <t>26-May-2025 09:00 AM</t>
        </is>
      </c>
      <c r="E190" t="inlineStr">
        <is>
          <t>24,60,000</t>
        </is>
      </c>
      <c r="F190" t="inlineStr">
        <is>
          <t>CONTROL AND SOLUTION OF MONKEY MENACE IN NAGAR NIGAM HERITAGE JAIPUR CITY</t>
        </is>
      </c>
      <c r="G190" t="inlineStr">
        <is>
          <t>JAIPUR</t>
        </is>
      </c>
    </row>
    <row r="191">
      <c r="A191" s="1" t="n">
        <v>189</v>
      </c>
      <c r="B191">
        <f>HYPERLINK("https://eproc.rajasthan.gov.in/nicgep/app?component=%24DirectLink&amp;page=FrontEndViewTender&amp;service=direct&amp;session=T&amp;sp=St16wrI30RUobYpe1RY4uVw%3D%3D", "SPARE PARTS AND REPAIR WORK OF TATA KAMAL COACH FABRICATION MAC VEHICLES OF CORPORATION")</f>
        <v/>
      </c>
      <c r="C191" t="inlineStr">
        <is>
          <t>DLB||Dy.DR-Jaipur||CEO-Jaipur</t>
        </is>
      </c>
      <c r="D191" t="inlineStr">
        <is>
          <t>26-May-2025 04:00 PM</t>
        </is>
      </c>
      <c r="E191" t="inlineStr">
        <is>
          <t>40,00,000</t>
        </is>
      </c>
      <c r="F191" t="inlineStr">
        <is>
          <t>SPARE PARTS AND REPAIR WORK OF TATA KAMAL COACH FABRICATION MAC VEHICLES OF CORPORATION</t>
        </is>
      </c>
      <c r="G191" t="inlineStr">
        <is>
          <t>JAIPUR</t>
        </is>
      </c>
    </row>
    <row r="192">
      <c r="A192" s="1" t="n">
        <v>190</v>
      </c>
      <c r="B192">
        <f>HYPERLINK("https://eproc.rajasthan.gov.in/nicgep/app?component=%24DirectLink&amp;page=FrontEndViewTender&amp;service=direct&amp;session=T&amp;sp=S%2Bpsb0pHeyYzwD84VBH%2B73g%3D%3D", "Remediation of Legacy Waste")</f>
        <v/>
      </c>
      <c r="C192" t="inlineStr">
        <is>
          <t>DLB||Dy.DR-Jaipur||EO-Ramgarhshekhawati</t>
        </is>
      </c>
      <c r="D192" t="inlineStr">
        <is>
          <t>30-May-2025 06:00 PM</t>
        </is>
      </c>
      <c r="E192" t="inlineStr">
        <is>
          <t>24,44,000</t>
        </is>
      </c>
      <c r="F192" t="inlineStr">
        <is>
          <t>Remediation of Legacy Waste at Ramgarh Shekhawati</t>
        </is>
      </c>
      <c r="G192" t="inlineStr">
        <is>
          <t>Ramgarh Shekhawati</t>
        </is>
      </c>
    </row>
    <row r="193">
      <c r="A193" s="1" t="n">
        <v>191</v>
      </c>
      <c r="B193">
        <f>HYPERLINK("https://eproc.rajasthan.gov.in/nicgep/app?component=%24DirectLink&amp;page=FrontEndViewTender&amp;service=direct&amp;session=T&amp;sp=SJvA%2BpmSgOOGJJiP4ICca2w%3D%3D", "WORK OF SUPPLY OF FLOWER GARLANDS, BOUQUETS, GARLANDS ETC. IN VARIOUS PUBLIC PROGRAMS IN NAGAR NIGAM JAIPUR HERITAGE")</f>
        <v/>
      </c>
      <c r="C193" t="inlineStr">
        <is>
          <t>DLB||Dy.DR-Jaipur||CEO-Jaipur</t>
        </is>
      </c>
      <c r="D193" t="inlineStr">
        <is>
          <t>22-May-2025 06:00 PM</t>
        </is>
      </c>
      <c r="E193" t="inlineStr">
        <is>
          <t>28,53,000</t>
        </is>
      </c>
      <c r="F193" t="inlineStr">
        <is>
          <t>WORK OF SUPPLY OF FLOWER GARLANDS, BOUQUETS, GARLANDS ETC. IN VARIOUS PUBLIC PROGRAMS IN NAGAR NIGAM JAIPUR HERITAGE</t>
        </is>
      </c>
      <c r="G193" t="inlineStr">
        <is>
          <t>JAIPUR</t>
        </is>
      </c>
    </row>
    <row r="194">
      <c r="A194" s="1" t="n">
        <v>192</v>
      </c>
      <c r="B194">
        <f>HYPERLINK("https://eproc.rajasthan.gov.in/nicgep/app?component=%24DirectLink&amp;page=FrontEndViewTender&amp;service=direct&amp;session=T&amp;sp=SgTRA%2BCdHcmSD9APYLoSWEQ%3D%3D", "Repairing of cement concrete road w n 01 to 31 in marked place nagar palika area baswa")</f>
        <v/>
      </c>
      <c r="C194" t="inlineStr">
        <is>
          <t>DLB||Dy.DR-Jaipur||EO- MANDAWARI</t>
        </is>
      </c>
      <c r="D194" t="inlineStr">
        <is>
          <t>24-May-2025 06:00 PM</t>
        </is>
      </c>
      <c r="E194" t="inlineStr">
        <is>
          <t>24,80,000</t>
        </is>
      </c>
      <c r="F194" t="inlineStr">
        <is>
          <t>Repairing of cement concrete road w n 01 to 31 in marked place nagar palika area baswa</t>
        </is>
      </c>
      <c r="G194" t="inlineStr">
        <is>
          <t>Baswa</t>
        </is>
      </c>
    </row>
    <row r="195">
      <c r="A195" s="1" t="n">
        <v>193</v>
      </c>
      <c r="B195">
        <f>HYPERLINK("https://eproc.rajasthan.gov.in/nicgep/app?component=%24DirectLink&amp;page=FrontEndViewTender&amp;service=direct&amp;session=T&amp;sp=SFeG9xwOHG1HMzxBR3o1tcw%3D%3D", "constrection / repairing of drain work w n 01 to 31 in marked place nagar palika area baswa")</f>
        <v/>
      </c>
      <c r="C195" t="inlineStr">
        <is>
          <t>DLB||Dy.DR-Jaipur||EO- MANDAWARI</t>
        </is>
      </c>
      <c r="D195" t="inlineStr">
        <is>
          <t>24-May-2025 06:00 PM</t>
        </is>
      </c>
      <c r="E195" t="inlineStr">
        <is>
          <t>24,36,000</t>
        </is>
      </c>
      <c r="F195" t="inlineStr">
        <is>
          <t>constrection / repairing of drain work w n 01 to 31 in marked place nagar palika area baswa</t>
        </is>
      </c>
      <c r="G195" t="inlineStr">
        <is>
          <t>Baswa</t>
        </is>
      </c>
    </row>
    <row r="196">
      <c r="A196" s="1" t="n">
        <v>194</v>
      </c>
      <c r="B196">
        <f>HYPERLINK("https://eproc.rajasthan.gov.in/nicgep/app?component=%24DirectLink&amp;page=FrontEndViewTender&amp;service=direct&amp;session=T&amp;sp=SrEWu2FGgfUqQqzq7%2BXPmNQ%3D%3D", "Providing, laying and spreading of granular sub-base w n 01 to 31 in marked place nagar palika area baswa")</f>
        <v/>
      </c>
      <c r="C196" t="inlineStr">
        <is>
          <t>DLB||Dy.DR-Jaipur||EO- MANDAWARI</t>
        </is>
      </c>
      <c r="D196" t="inlineStr">
        <is>
          <t>24-May-2025 06:00 PM</t>
        </is>
      </c>
      <c r="E196" t="inlineStr">
        <is>
          <t>9,95,000</t>
        </is>
      </c>
      <c r="F196" t="inlineStr">
        <is>
          <t>Providing, laying and spreading of granular sub-base w n 01 to 31 in marked place nagar palika area baswa</t>
        </is>
      </c>
      <c r="G196" t="inlineStr">
        <is>
          <t>Baswa</t>
        </is>
      </c>
    </row>
    <row r="197">
      <c r="A197" s="1" t="n">
        <v>195</v>
      </c>
      <c r="B197">
        <f>HYPERLINK("https://eproc.rajasthan.gov.in/nicgep/app?component=%24DirectLink&amp;page=FrontEndViewTender&amp;service=direct&amp;session=T&amp;sp=SI8V0F%2F8bfwQ5S%2FzflLGjBg%3D%3D", "constrection of drain cross work ward no 1 to 31 in marked place nagar palika area baswa")</f>
        <v/>
      </c>
      <c r="C197" t="inlineStr">
        <is>
          <t>DLB||Dy.DR-Jaipur||EO- MANDAWARI</t>
        </is>
      </c>
      <c r="D197" t="inlineStr">
        <is>
          <t>24-May-2025 06:00 PM</t>
        </is>
      </c>
      <c r="E197" t="inlineStr">
        <is>
          <t>9,74,000</t>
        </is>
      </c>
      <c r="F197" t="inlineStr">
        <is>
          <t>constrection of drain cross work ward no 1 to 31 in marked place nagar palika area baswa</t>
        </is>
      </c>
      <c r="G197" t="inlineStr">
        <is>
          <t>Baswa</t>
        </is>
      </c>
    </row>
    <row r="198">
      <c r="A198" s="1" t="n">
        <v>196</v>
      </c>
      <c r="B198">
        <f>HYPERLINK("https://eproc.rajasthan.gov.in/nicgep/app?component=%24DirectLink&amp;page=FrontEndViewTender&amp;service=direct&amp;session=T&amp;sp=SYCmJl4rgmRciW6WEXTxuvA%3D%3D", "Constrection of boundary wall munee baba bagichi hindunya danee nagar palika baswa")</f>
        <v/>
      </c>
      <c r="C198" t="inlineStr">
        <is>
          <t>DLB||Dy.DR-Jaipur||EO- MANDAWARI</t>
        </is>
      </c>
      <c r="D198" t="inlineStr">
        <is>
          <t>24-May-2025 06:00 PM</t>
        </is>
      </c>
      <c r="E198" t="inlineStr">
        <is>
          <t>14,42,000</t>
        </is>
      </c>
      <c r="F198" t="inlineStr">
        <is>
          <t>Constrection of boundary wall munee baba bagichi hindunya danee nagar palika baswa</t>
        </is>
      </c>
      <c r="G198" t="inlineStr">
        <is>
          <t>Baswa</t>
        </is>
      </c>
    </row>
    <row r="199">
      <c r="A199" s="1" t="n">
        <v>197</v>
      </c>
      <c r="B199">
        <f>HYPERLINK("https://eproc.rajasthan.gov.in/nicgep/app?component=%24DirectLink&amp;page=FrontEndViewTender&amp;service=direct&amp;session=T&amp;sp=SfUhESE6%2FxP6b7u2Qibyi4g%3D%3D", "Constrection of nalaa rana shanga circle to puliya both side nagar palika baswa")</f>
        <v/>
      </c>
      <c r="C199" t="inlineStr">
        <is>
          <t>DLB||Dy.DR-Jaipur||EO- MANDAWARI</t>
        </is>
      </c>
      <c r="D199" t="inlineStr">
        <is>
          <t>24-May-2025 06:00 PM</t>
        </is>
      </c>
      <c r="E199" t="inlineStr">
        <is>
          <t>24,86,000</t>
        </is>
      </c>
      <c r="F199" t="inlineStr">
        <is>
          <t>Constrection of nalaa rana shanga circle to puliya both side nagar palika baswa</t>
        </is>
      </c>
      <c r="G199" t="inlineStr">
        <is>
          <t>Baswa</t>
        </is>
      </c>
    </row>
    <row r="200">
      <c r="A200" s="1" t="n">
        <v>198</v>
      </c>
      <c r="B200">
        <f>HYPERLINK("https://eproc.rajasthan.gov.in/nicgep/app?component=%24DirectLink&amp;page=FrontEndViewTender&amp;service=direct&amp;session=T&amp;sp=SV4kpwRnN8Vmn%2BC6Iz9DE0Q%3D%3D", "CC ROAD CONSTRUCTION OR REPAIR WORK IN WARD NO 19")</f>
        <v/>
      </c>
      <c r="C200" t="inlineStr">
        <is>
          <t>DLB||Dy.DR-Kota||Commissioner-Sawaimadhopur</t>
        </is>
      </c>
      <c r="D200" t="inlineStr">
        <is>
          <t>27-May-2025 06:00 PM</t>
        </is>
      </c>
      <c r="E200" t="inlineStr">
        <is>
          <t>12,81,000</t>
        </is>
      </c>
      <c r="F200" t="inlineStr">
        <is>
          <t>CC ROAD CONSTRUCTION OR REPAIR WORK IN WARD NO 19</t>
        </is>
      </c>
      <c r="G200" t="inlineStr">
        <is>
          <t>SAWAI MADHOPUR</t>
        </is>
      </c>
    </row>
    <row r="201">
      <c r="A201" s="1" t="n">
        <v>199</v>
      </c>
      <c r="B201">
        <f>HYPERLINK("https://eproc.rajasthan.gov.in/nicgep/app?component=%24DirectLink&amp;page=FrontEndViewTender&amp;service=direct&amp;session=T&amp;sp=Sq12JWPotWs%2F3UdWz7E%2FE0A%3D%3D", "CC ROAD CONSTRUCTION OR REPAIR WORK IN LOVEKUSH COLONY")</f>
        <v/>
      </c>
      <c r="C201" t="inlineStr">
        <is>
          <t>DLB||Dy.DR-Kota||Commissioner-Sawaimadhopur</t>
        </is>
      </c>
      <c r="D201" t="inlineStr">
        <is>
          <t>27-May-2025 06:00 PM</t>
        </is>
      </c>
      <c r="E201" t="inlineStr">
        <is>
          <t>18,29,000</t>
        </is>
      </c>
      <c r="F201" t="inlineStr">
        <is>
          <t>CC ROAD CONSTRUCTION OR REPAIR WORK IN LOVEKUSH COLONY</t>
        </is>
      </c>
      <c r="G201" t="inlineStr">
        <is>
          <t>SAWAI MADHOPUR</t>
        </is>
      </c>
    </row>
    <row r="202">
      <c r="A202" s="1" t="n">
        <v>200</v>
      </c>
      <c r="B202">
        <f>HYPERLINK("https://eproc.rajasthan.gov.in/nicgep/app?component=%24DirectLink&amp;page=FrontEndViewTender&amp;service=direct&amp;session=T&amp;sp=SEZ7T0c91MVmoOvwtSXwCmQ%3D%3D", "CC ROAD REPAIR WORK MUKESH PARK TO SHYAM GENERAL STORE")</f>
        <v/>
      </c>
      <c r="C202" t="inlineStr">
        <is>
          <t>DLB||Dy.DR-Kota||Commissioner-Sawaimadhopur</t>
        </is>
      </c>
      <c r="D202" t="inlineStr">
        <is>
          <t>27-May-2025 06:00 PM</t>
        </is>
      </c>
      <c r="E202" t="inlineStr">
        <is>
          <t>13,72,000</t>
        </is>
      </c>
      <c r="F202" t="inlineStr">
        <is>
          <t>CC ROAD REPAIR WORK MUKESH PARK TO SHYAM GENERAL STORE</t>
        </is>
      </c>
      <c r="G202" t="inlineStr">
        <is>
          <t>SAWAI MADHOPUR</t>
        </is>
      </c>
    </row>
    <row r="203">
      <c r="A203" s="1" t="n">
        <v>201</v>
      </c>
      <c r="B203">
        <f>HYPERLINK("https://eproc.rajasthan.gov.in/nicgep/app?component=%24DirectLink&amp;page=FrontEndViewTender&amp;service=direct&amp;session=T&amp;sp=SRFl59xWzj3hkFrHDoZGDXg%3D%3D", "CC ROAD CONSTRUCTION OR REPAIR WORK KAJAL KIRANA STORE TO RAKESH SONI")</f>
        <v/>
      </c>
      <c r="C203" t="inlineStr">
        <is>
          <t>DLB||Dy.DR-Kota||Commissioner-Sawaimadhopur</t>
        </is>
      </c>
      <c r="D203" t="inlineStr">
        <is>
          <t>27-May-2025 06:00 PM</t>
        </is>
      </c>
      <c r="E203" t="inlineStr">
        <is>
          <t>13,72,000</t>
        </is>
      </c>
      <c r="F203" t="inlineStr">
        <is>
          <t>CC ROAD CONSTRUCTION OR REPAIR WORK KAJAL KIRANA STORE TO RAKESH SONI</t>
        </is>
      </c>
      <c r="G203" t="inlineStr">
        <is>
          <t>SAWAI MADHOPUR</t>
        </is>
      </c>
    </row>
    <row r="204">
      <c r="A204" s="1" t="n">
        <v>202</v>
      </c>
      <c r="B204">
        <f>HYPERLINK("https://eproc.rajasthan.gov.in/nicgep/app?component=%24DirectLink&amp;page=FrontEndViewTender&amp;service=direct&amp;session=T&amp;sp=S4EdODvK2Y2d99v%2BZLwzltg%3D%3D", "Construction and maintenance of sewerline , road and other develoment work ar various places in ward no. 12")</f>
        <v/>
      </c>
      <c r="C204" t="inlineStr">
        <is>
          <t>DLB||Dy.DR-Jodhpur||CEO-Jodhpur</t>
        </is>
      </c>
      <c r="D204" t="inlineStr">
        <is>
          <t>26-May-2025 12:30 PM</t>
        </is>
      </c>
      <c r="E204" t="inlineStr">
        <is>
          <t>22,00,000</t>
        </is>
      </c>
      <c r="F204" t="inlineStr">
        <is>
          <t>Construction and maintenance of sewerline , road and other develoment work ar various places in ward no. 12</t>
        </is>
      </c>
      <c r="G204" t="inlineStr">
        <is>
          <t>NAGAR NIGAM JODHPUR NORTH</t>
        </is>
      </c>
    </row>
    <row r="205">
      <c r="A205" s="1" t="n">
        <v>203</v>
      </c>
      <c r="B205">
        <f>HYPERLINK("https://eproc.rajasthan.gov.in/nicgep/app?component=%24DirectLink&amp;page=FrontEndViewTender&amp;service=direct&amp;session=T&amp;sp=ScYcRhjez84L8aB4UNLlRLA%3D%3D", "Construction and maintenance of sewerline , road and other develoment work ar various places in ward no. 13")</f>
        <v/>
      </c>
      <c r="C205" t="inlineStr">
        <is>
          <t>DLB||Dy.DR-Jodhpur||CEO-Jodhpur</t>
        </is>
      </c>
      <c r="D205" t="inlineStr">
        <is>
          <t>26-May-2025 12:30 PM</t>
        </is>
      </c>
      <c r="E205" t="inlineStr">
        <is>
          <t>25,00,000</t>
        </is>
      </c>
      <c r="F205" t="inlineStr">
        <is>
          <t>Construction and maintenance of sewerline , road and other develoment work ar various places in ward no. 13</t>
        </is>
      </c>
      <c r="G205" t="inlineStr">
        <is>
          <t>NAGAR NIGAM JODHPUR NORTH</t>
        </is>
      </c>
    </row>
    <row r="206">
      <c r="A206" s="1" t="n">
        <v>204</v>
      </c>
      <c r="B206">
        <f>HYPERLINK("https://eproc.rajasthan.gov.in/nicgep/app?component=%24DirectLink&amp;page=FrontEndViewTender&amp;service=direct&amp;session=T&amp;sp=SgqdWsyBkw6LIcOw1E33EiQ%3D%3D", "Rate contract for Repairing and maintenance of road by cold bitumenand at various places in ward no 1 to 24")</f>
        <v/>
      </c>
      <c r="C206" t="inlineStr">
        <is>
          <t>DLB||Dy.DR-Jodhpur||CEO-Jodhpur</t>
        </is>
      </c>
      <c r="D206" t="inlineStr">
        <is>
          <t>26-May-2025 12:30 PM</t>
        </is>
      </c>
      <c r="E206" t="inlineStr">
        <is>
          <t>3,00,000</t>
        </is>
      </c>
      <c r="F206" t="inlineStr">
        <is>
          <t>Rate contract for Repairing and maintenance of road by cold bitumenand at various places in ward no 1 to 24</t>
        </is>
      </c>
      <c r="G206" t="inlineStr">
        <is>
          <t>NAGAR NIGAM JODHPUR NORTH</t>
        </is>
      </c>
    </row>
    <row r="207">
      <c r="A207" s="1" t="n">
        <v>205</v>
      </c>
      <c r="B207">
        <f>HYPERLINK("https://eproc.rajasthan.gov.in/nicgep/app?component=%24DirectLink&amp;page=FrontEndViewTender&amp;service=direct&amp;session=T&amp;sp=Su8bifzIU6TpSamz%2F7Xs2ow%3D%3D", "REPAIR WORK AND SPARE PARTS OF MAHINDRA WADIA MAC VEHICLES OF THE CORPORATION")</f>
        <v/>
      </c>
      <c r="C207" t="inlineStr">
        <is>
          <t>DLB||Dy.DR-Jaipur||CEO-Jaipur</t>
        </is>
      </c>
      <c r="D207" t="inlineStr">
        <is>
          <t>26-May-2025 04:00 PM</t>
        </is>
      </c>
      <c r="E207" t="inlineStr">
        <is>
          <t>30,00,000</t>
        </is>
      </c>
      <c r="F207" t="inlineStr">
        <is>
          <t>REPAIR WORK AND SPARE PARTS OF MAHINDRA WADIA MAC VEHICLES OF THE CORPORATION</t>
        </is>
      </c>
      <c r="G207" t="inlineStr">
        <is>
          <t>JAIPUR</t>
        </is>
      </c>
    </row>
    <row r="208">
      <c r="A208" s="1" t="n">
        <v>206</v>
      </c>
      <c r="B208">
        <f>HYPERLINK("https://eproc.rajasthan.gov.in/nicgep/app?component=%24DirectLink&amp;page=FrontEndViewTender&amp;service=direct&amp;session=T&amp;sp=SyOhYS8S3v8ql6PO2pgcbeA%3D%3D", "CC Road construction work in from dhan wali Sadak to to shopping center in ward 9")</f>
        <v/>
      </c>
      <c r="C208" t="inlineStr">
        <is>
          <t>DLB||Dy.DR-Jodhpur||CEO-Jodhpur</t>
        </is>
      </c>
      <c r="D208" t="inlineStr">
        <is>
          <t>26-May-2025 12:30 PM</t>
        </is>
      </c>
      <c r="E208" t="inlineStr">
        <is>
          <t>10,50,000</t>
        </is>
      </c>
      <c r="F208" t="inlineStr">
        <is>
          <t>CC Road construction work in from dhan wali Sadak to to shopping center in ward 9</t>
        </is>
      </c>
      <c r="G208" t="inlineStr">
        <is>
          <t>NAGAR NIGAM JODHPUR NORTH</t>
        </is>
      </c>
    </row>
    <row r="209">
      <c r="A209" s="1" t="n">
        <v>207</v>
      </c>
      <c r="B209">
        <f>HYPERLINK("https://eproc.rajasthan.gov.in/nicgep/app?component=%24DirectLink&amp;page=FrontEndViewTender&amp;service=direct&amp;session=T&amp;sp=S%2BKIf9Q%2FK81o7KoyMOX97Jw%3D%3D", "CC Road construction work from Narsing house to bastiram mehtas house in ward 6")</f>
        <v/>
      </c>
      <c r="C209" t="inlineStr">
        <is>
          <t>DLB||Dy.DR-Jodhpur||CEO-Jodhpur</t>
        </is>
      </c>
      <c r="D209" t="inlineStr">
        <is>
          <t>26-May-2025 12:30 PM</t>
        </is>
      </c>
      <c r="E209" t="inlineStr">
        <is>
          <t>9,53,000</t>
        </is>
      </c>
      <c r="F209" t="inlineStr">
        <is>
          <t>CC Road construction work from Narsing house to bastiram mehtas house in ward 6</t>
        </is>
      </c>
      <c r="G209" t="inlineStr">
        <is>
          <t>NAGAR NIGAM JODHPUR NORTH</t>
        </is>
      </c>
    </row>
    <row r="210">
      <c r="A210" s="1" t="n">
        <v>208</v>
      </c>
      <c r="B210">
        <f>HYPERLINK("https://eproc.rajasthan.gov.in/nicgep/app?component=%24DirectLink&amp;page=FrontEndViewTender&amp;service=direct&amp;session=T&amp;sp=SJDxdjwKSOwlk4ULl3czBYg%3D%3D", "CC Road construction work from Narsing house to shankar panwar house in ward 6")</f>
        <v/>
      </c>
      <c r="C210" t="inlineStr">
        <is>
          <t>DLB||Dy.DR-Jodhpur||CEO-Jodhpur</t>
        </is>
      </c>
      <c r="D210" t="inlineStr">
        <is>
          <t>26-May-2025 12:30 PM</t>
        </is>
      </c>
      <c r="E210" t="inlineStr">
        <is>
          <t>9,53,000</t>
        </is>
      </c>
      <c r="F210" t="inlineStr">
        <is>
          <t>CC Road construction work from Narsing house to shankar panwar house in ward 6</t>
        </is>
      </c>
      <c r="G210" t="inlineStr">
        <is>
          <t>NAGAR NIGAM JODHPUR NORTH</t>
        </is>
      </c>
    </row>
    <row r="211">
      <c r="A211" s="1" t="n">
        <v>209</v>
      </c>
      <c r="B211">
        <f>HYPERLINK("https://eproc.rajasthan.gov.in/nicgep/app?component=%24DirectLink&amp;page=FrontEndViewTender&amp;service=direct&amp;session=T&amp;sp=SMLptgH8CIiRFWow5QkW62g%3D%3D", "construction of nalla from kriya jhalara phed pump to vidhyashala school ward no 19")</f>
        <v/>
      </c>
      <c r="C211" t="inlineStr">
        <is>
          <t>DLB||Dy.DR-Jodhpur||CEO-Jodhpur</t>
        </is>
      </c>
      <c r="D211" t="inlineStr">
        <is>
          <t>26-May-2025 12:30 PM</t>
        </is>
      </c>
      <c r="E211" t="inlineStr">
        <is>
          <t>28,66,000</t>
        </is>
      </c>
      <c r="F211" t="inlineStr">
        <is>
          <t>construction of nalla from kriya jhalara phed pump to vidhyashala school ward no 19</t>
        </is>
      </c>
      <c r="G211" t="inlineStr">
        <is>
          <t>NAGAR NIGAM JODHPUR NORTH</t>
        </is>
      </c>
    </row>
    <row r="212">
      <c r="A212" s="1" t="n">
        <v>210</v>
      </c>
      <c r="B212">
        <f>HYPERLINK("https://eproc.rajasthan.gov.in/nicgep/app?component=%24DirectLink&amp;page=FrontEndViewTender&amp;service=direct&amp;session=T&amp;sp=SBJU3apXehC1GcT2mh4CR1A%3D%3D", "maliram halwai ke ghar to main road chirawa jhunjhunu road c c road wark at ward no 09")</f>
        <v/>
      </c>
      <c r="C212" t="inlineStr">
        <is>
          <t>DLB||Dy.DR-Bikaner||EO-Rajaldesar</t>
        </is>
      </c>
      <c r="D212" t="inlineStr">
        <is>
          <t>26-May-2025 05:00 PM</t>
        </is>
      </c>
      <c r="E212" t="inlineStr">
        <is>
          <t>14,32,000</t>
        </is>
      </c>
      <c r="F212" t="inlineStr">
        <is>
          <t>maliram halwai ke ghar to main road chirawa jhunjhunu road c c road wark at ward no 09</t>
        </is>
      </c>
      <c r="G212" t="inlineStr">
        <is>
          <t>bagar</t>
        </is>
      </c>
    </row>
    <row r="213">
      <c r="A213" s="1" t="n">
        <v>211</v>
      </c>
      <c r="B213">
        <f>HYPERLINK("https://eproc.rajasthan.gov.in/nicgep/app?component=%24DirectLink&amp;page=FrontEndViewTender&amp;service=direct&amp;session=T&amp;sp=S%2FOFGQL3vKYX9Alj3zCpyrQ%3D%3D", "MAIN RAOD PHED OFFICE TO RAMNIWAS HOUSE VIA BALAJI MANDIR C C ROAD WARK AT WARD NO 06")</f>
        <v/>
      </c>
      <c r="C213" t="inlineStr">
        <is>
          <t>DLB||Dy.DR-Bikaner||EO-Rajaldesar</t>
        </is>
      </c>
      <c r="D213" t="inlineStr">
        <is>
          <t>26-May-2025 05:00 PM</t>
        </is>
      </c>
      <c r="E213" t="inlineStr">
        <is>
          <t>15,05,000</t>
        </is>
      </c>
      <c r="F213" t="inlineStr">
        <is>
          <t>MAIN RAOD PHED OFFICE TO RAMNIWAS HOUSE VIA BALAJI MANDIR C C ROAD WARK AT WARD NO 06</t>
        </is>
      </c>
      <c r="G213" t="inlineStr">
        <is>
          <t>BAGAR</t>
        </is>
      </c>
    </row>
    <row r="214">
      <c r="A214" s="1" t="n">
        <v>212</v>
      </c>
      <c r="B214">
        <f>HYPERLINK("https://eproc.rajasthan.gov.in/nicgep/app?component=%24DirectLink&amp;page=FrontEndViewTender&amp;service=direct&amp;session=T&amp;sp=SBMvFeFWmNc5oSBnq3bprEg%3D%3D", "B L SCHOOL TO SACHITANAND OJHA HOUSE C C ROAD WARD WARD NO 06")</f>
        <v/>
      </c>
      <c r="C214" t="inlineStr">
        <is>
          <t>DLB||Dy.DR-Bikaner||EO-Rajaldesar</t>
        </is>
      </c>
      <c r="D214" t="inlineStr">
        <is>
          <t>26-May-2025 05:00 PM</t>
        </is>
      </c>
      <c r="E214" t="inlineStr">
        <is>
          <t>8,06,000</t>
        </is>
      </c>
      <c r="F214" t="inlineStr">
        <is>
          <t>B L SCHOOL TO SACHITANAND OJHA HOUSE C C ROAD WARD WARD NO 06</t>
        </is>
      </c>
      <c r="G214" t="inlineStr">
        <is>
          <t>BAGAR</t>
        </is>
      </c>
    </row>
    <row r="215">
      <c r="A215" s="1" t="n">
        <v>213</v>
      </c>
      <c r="B215">
        <f>HYPERLINK("https://eproc.rajasthan.gov.in/nicgep/app?component=%24DirectLink&amp;page=FrontEndViewTender&amp;service=direct&amp;session=T&amp;sp=S6kvogjCdaCIKs1abldVWIw%3D%3D", "CC ROAD SEWERLINE WORK AT VARIOUS PLACES IN WARD NO 15 (2023-2024)")</f>
        <v/>
      </c>
      <c r="C215" t="inlineStr">
        <is>
          <t>DLB||Dy.DR-Jodhpur||CEO-Jodhpur</t>
        </is>
      </c>
      <c r="D215" t="inlineStr">
        <is>
          <t>26-May-2025 12:30 PM</t>
        </is>
      </c>
      <c r="E215" t="inlineStr">
        <is>
          <t>25,00,000</t>
        </is>
      </c>
      <c r="F215" t="inlineStr">
        <is>
          <t>CC ROAD SEWERLINE WORK AT VARIOUS PLACES IN WARD NO 15 (2023-2024)</t>
        </is>
      </c>
      <c r="G215" t="inlineStr">
        <is>
          <t>NAGAR NIGAM JODHPUR NORTH</t>
        </is>
      </c>
    </row>
    <row r="216">
      <c r="A216" s="1" t="n">
        <v>214</v>
      </c>
      <c r="B216">
        <f>HYPERLINK("https://eproc.rajasthan.gov.in/nicgep/app?component=%24DirectLink&amp;page=FrontEndViewTender&amp;service=direct&amp;session=T&amp;sp=SYvkesb8mTHkd%2BefhwfeyaQ%3D%3D", "CC ROAD CONSTRUCTION OR REPAIR WORK IN WARD NO 15")</f>
        <v/>
      </c>
      <c r="C216" t="inlineStr">
        <is>
          <t>DLB||Dy.DR-Kota||Commissioner-Sawaimadhopur</t>
        </is>
      </c>
      <c r="D216" t="inlineStr">
        <is>
          <t>27-May-2025 06:00 PM</t>
        </is>
      </c>
      <c r="E216" t="inlineStr">
        <is>
          <t>17,38,000</t>
        </is>
      </c>
      <c r="F216" t="inlineStr">
        <is>
          <t>CC ROAD CONSTRUCTION OR REPAIR WORK IN WARD NO 15</t>
        </is>
      </c>
      <c r="G216" t="inlineStr">
        <is>
          <t>SAWAI MADHOPUR</t>
        </is>
      </c>
    </row>
    <row r="217">
      <c r="A217" s="1" t="n">
        <v>215</v>
      </c>
      <c r="B217">
        <f>HYPERLINK("https://eproc.rajasthan.gov.in/nicgep/app?component=%24DirectLink&amp;page=FrontEndViewTender&amp;service=direct&amp;session=T&amp;sp=Sw36NpGbFnWOGFUaQZJEFqQ%3D%3D", "RENOVATION WORK OF SHAMSHAN LOCATED NEAR BHARAT NAGAR KACCHI BASTI IN WARD WARD NO. 03 OF MURLIPURA ZONE OF MUNICIPAL CORPORATION GREATER JAIPUR")</f>
        <v/>
      </c>
      <c r="C217" t="inlineStr">
        <is>
          <t>DLB||Dy.DR-Jaipur||CEO-Jaipur</t>
        </is>
      </c>
      <c r="D217" t="inlineStr">
        <is>
          <t>24-May-2025 06:00 PM</t>
        </is>
      </c>
      <c r="E217" t="inlineStr">
        <is>
          <t>9,38,000</t>
        </is>
      </c>
      <c r="F217" t="inlineStr">
        <is>
          <t>RENOVATION WORK OF SHAMSHAN LOCATED NEAR BHARAT NAGAR KACCHI BASTI IN WARD WARD NO. 03 OF MURLIPURA ZONE OF MUNICIPAL CORPORATION GREATER JAIPUR</t>
        </is>
      </c>
      <c r="G217" t="inlineStr">
        <is>
          <t>JAIPUR</t>
        </is>
      </c>
    </row>
    <row r="218">
      <c r="A218" s="1" t="n">
        <v>216</v>
      </c>
      <c r="B218">
        <f>HYPERLINK("https://eproc.rajasthan.gov.in/nicgep/app?component=%24DirectLink&amp;page=FrontEndViewTender&amp;service=direct&amp;session=T&amp;sp=SxtMsFJq1GDU33%2B5D2z94mQ%3D%3D", "DEVELOPMENT WORK IN WARD NO. 24 COUNCILLOR OFFICE, LIBRARY AND R P A ROAD MOKSHADHAM OF VIDYADHAR NAGAR ZONE OF MUNICIPAL CORPORATION GREATER JAIPUR")</f>
        <v/>
      </c>
      <c r="C218" t="inlineStr">
        <is>
          <t>DLB||Dy.DR-Jaipur||CEO-Jaipur</t>
        </is>
      </c>
      <c r="D218" t="inlineStr">
        <is>
          <t>24-May-2025 06:00 PM</t>
        </is>
      </c>
      <c r="E218" t="inlineStr">
        <is>
          <t>12,70,000</t>
        </is>
      </c>
      <c r="F218" t="inlineStr">
        <is>
          <t>DEVELOPMENT WORK IN WARD NO. 24 COUNCILLOR OFFICE, LIBRARY AND R P A ROAD MOKSHADHAM OF VIDYADHAR NAGAR ZONE OF MUNICIPAL CORPORATION GREATER JAIPUR</t>
        </is>
      </c>
      <c r="G218" t="inlineStr">
        <is>
          <t>JAIPUR</t>
        </is>
      </c>
    </row>
    <row r="219">
      <c r="A219" s="1" t="n">
        <v>217</v>
      </c>
      <c r="B219">
        <f>HYPERLINK("https://eproc.rajasthan.gov.in/nicgep/app?component=%24DirectLink&amp;page=FrontEndViewTender&amp;service=direct&amp;session=T&amp;sp=SPMoVNr0xvbzipDwrk9qEsw%3D%3D", "DEVELOPMENT WORK AT BUDHSINGPURA MOKSHADHAM LOCATED IN WARD NUMBER 111 OF MUNICIPAL CORPORATION GREATER JAIPUR")</f>
        <v/>
      </c>
      <c r="C219" t="inlineStr">
        <is>
          <t>DLB||Dy.DR-Jaipur||CEO-Jaipur</t>
        </is>
      </c>
      <c r="D219" t="inlineStr">
        <is>
          <t>24-May-2025 06:00 PM</t>
        </is>
      </c>
      <c r="E219" t="inlineStr">
        <is>
          <t>9,97,000</t>
        </is>
      </c>
      <c r="F219" t="inlineStr">
        <is>
          <t>DEVELOPMENT WORK AT BUDHSINGPURA MOKSHADHAM LOCATED IN WARD NUMBER 111 OF MUNICIPAL CORPORATION GREATER JAIPUR</t>
        </is>
      </c>
      <c r="G219" t="inlineStr">
        <is>
          <t>JAIPUR</t>
        </is>
      </c>
    </row>
    <row r="220">
      <c r="A220" s="1" t="n">
        <v>218</v>
      </c>
      <c r="B220">
        <f>HYPERLINK("https://eproc.rajasthan.gov.in/nicgep/app?component=%24DirectLink&amp;page=FrontEndViewTender&amp;service=direct&amp;session=T&amp;sp=SvgNgnzErcsZ7D%2FpNCBo%2FpQ%3D%3D", "DEVELOPMENT WORK AT THE SHAMSHAN GHAT LOCATED IN BADARAMA (HANUMAN NAGAR EXTENSION) SITUATED IN WARD NUMBER 46 OF MUNICIPAL CORPORATION GREATER JAIPUR")</f>
        <v/>
      </c>
      <c r="C220" t="inlineStr">
        <is>
          <t>DLB||Dy.DR-Jaipur||CEO-Jaipur</t>
        </is>
      </c>
      <c r="D220" t="inlineStr">
        <is>
          <t>24-May-2025 06:00 PM</t>
        </is>
      </c>
      <c r="E220" t="inlineStr">
        <is>
          <t>9,53,000</t>
        </is>
      </c>
      <c r="F220" t="inlineStr">
        <is>
          <t>DEVELOPMENT WORK AT THE SHAMSHAN GHAT LOCATED IN BADARAMA (HANUMAN NAGAR EXTENSION) SITUATED IN WARD NUMBER 46 OF MUNICIPAL CORPORATION GREATER JAIPUR</t>
        </is>
      </c>
      <c r="G220" t="inlineStr">
        <is>
          <t>JAIPUR</t>
        </is>
      </c>
    </row>
    <row r="221">
      <c r="A221" s="1" t="n">
        <v>219</v>
      </c>
      <c r="B221">
        <f>HYPERLINK("https://eproc.rajasthan.gov.in/nicgep/app?component=%24DirectLink&amp;page=FrontEndViewTender&amp;service=direct&amp;session=T&amp;sp=S8EpCDT%2Bi%2Bg9hQCFi0bNFYQ%3D%3D", "NECESSARY DEVELOPMENT WORK IN GOLYAVAS SHAMSHAN LOCATED IN WARD NO. 74 MANSAROVAR OF MUNICIPAL CORPORATION GREATER JAIPUR")</f>
        <v/>
      </c>
      <c r="C221" t="inlineStr">
        <is>
          <t>DLB||Dy.DR-Jaipur||CEO-Jaipur</t>
        </is>
      </c>
      <c r="D221" t="inlineStr">
        <is>
          <t>24-May-2025 06:00 PM</t>
        </is>
      </c>
      <c r="E221" t="inlineStr">
        <is>
          <t>15,00,000</t>
        </is>
      </c>
      <c r="F221" t="inlineStr">
        <is>
          <t>NECESSARY DEVELOPMENT WORK IN GOLYAVAS SHAMSHAN LOCATED IN WARD NO. 74 MANSAROVAR OF MUNICIPAL CORPORATION GREATER JAIPUR</t>
        </is>
      </c>
      <c r="G221" t="inlineStr">
        <is>
          <t>JAIPUR</t>
        </is>
      </c>
    </row>
    <row r="222">
      <c r="A222" s="1" t="n">
        <v>220</v>
      </c>
      <c r="B222">
        <f>HYPERLINK("https://eproc.rajasthan.gov.in/nicgep/app?component=%24DirectLink&amp;page=FrontEndViewTender&amp;service=direct&amp;session=T&amp;sp=SSPDqpdVoPuo904pBmT1X2Q%3D%3D", "NECESSARY DEVELOPMENT WORK AT DHOLAI SHAMSHAN LOCATED IN WARD NO. 74 MANSAROVAR OF MUNICIPAL CORPORATION GREATER JAIPUR")</f>
        <v/>
      </c>
      <c r="C222" t="inlineStr">
        <is>
          <t>DLB||Dy.DR-Jaipur||CEO-Jaipur</t>
        </is>
      </c>
      <c r="D222" t="inlineStr">
        <is>
          <t>24-May-2025 06:00 PM</t>
        </is>
      </c>
      <c r="E222" t="inlineStr">
        <is>
          <t>15,00,000</t>
        </is>
      </c>
      <c r="F222" t="inlineStr">
        <is>
          <t>NECESSARY DEVELOPMENT WORK AT DHOLAI SHAMSHAN LOCATED IN WARD NO. 74 MANSAROVAR OF MUNICIPAL CORPORATION GREATER JAIPUR</t>
        </is>
      </c>
      <c r="G222" t="inlineStr">
        <is>
          <t>JAIPUR</t>
        </is>
      </c>
    </row>
    <row r="223">
      <c r="A223" s="1" t="n">
        <v>221</v>
      </c>
      <c r="B223">
        <f>HYPERLINK("https://eproc.rajasthan.gov.in/nicgep/app?component=%24DirectLink&amp;page=FrontEndViewTender&amp;service=direct&amp;session=T&amp;sp=Sh7xJ%2FWjqNG3GkU3GEKnMnQ%3D%3D", "WORK OF CONSTRUCTION OF SEWER CONNECTION AND SEPTIC TANK AT VARIOUS SULABH TOILETS LOCATED IN THE MUNICIPAL CORPORATION GREATER JAIPUR JURISDICTION")</f>
        <v/>
      </c>
      <c r="C223" t="inlineStr">
        <is>
          <t>DLB||Dy.DR-Jaipur||CEO-Jaipur</t>
        </is>
      </c>
      <c r="D223" t="inlineStr">
        <is>
          <t>24-May-2025 06:00 PM</t>
        </is>
      </c>
      <c r="E223" t="inlineStr">
        <is>
          <t>13,74,000</t>
        </is>
      </c>
      <c r="F223" t="inlineStr">
        <is>
          <t>WORK OF CONSTRUCTION OF SEWER CONNECTION AND SEPTIC TANK AT VARIOUS SULABH TOILETS LOCATED IN THE MUNICIPAL CORPORATION GREATER JAIPUR JURISDICTION</t>
        </is>
      </c>
      <c r="G223" t="inlineStr">
        <is>
          <t>JAIPUR</t>
        </is>
      </c>
    </row>
    <row r="224">
      <c r="A224" s="1" t="n">
        <v>222</v>
      </c>
      <c r="B224">
        <f>HYPERLINK("https://eproc.rajasthan.gov.in/nicgep/app?component=%24DirectLink&amp;page=FrontEndViewTender&amp;service=direct&amp;session=T&amp;sp=S7EoVFAwb2BoCKC78lZ%2F%2Bkg%3D%3D", "sanitation work")</f>
        <v/>
      </c>
      <c r="C224" t="inlineStr">
        <is>
          <t>DLB||Dy.DR-Jaipur||EO-Bagru</t>
        </is>
      </c>
      <c r="D224" t="inlineStr">
        <is>
          <t>26-May-2025 11:00 AM</t>
        </is>
      </c>
      <c r="E224" t="inlineStr">
        <is>
          <t>56,34,000</t>
        </is>
      </c>
      <c r="F224" t="inlineStr">
        <is>
          <t>sanitation work</t>
        </is>
      </c>
      <c r="G224" t="inlineStr">
        <is>
          <t>sanitation work</t>
        </is>
      </c>
    </row>
    <row r="225">
      <c r="A225" s="1" t="n">
        <v>223</v>
      </c>
      <c r="B225">
        <f>HYPERLINK("https://eproc.rajasthan.gov.in/nicgep/app?component=%24DirectLink&amp;page=FrontEndViewTender&amp;service=direct&amp;session=T&amp;sp=SmoYZSemKEbZcDxC63Pih4w%3D%3D", "nagar palika mahwa kshetre ke polish thane and jila asptala ke samne circle nirman karya")</f>
        <v/>
      </c>
      <c r="C225" t="inlineStr">
        <is>
          <t>DLB||Dy.DR- Bharatpur||EO- Mahuwa</t>
        </is>
      </c>
      <c r="D225" t="inlineStr">
        <is>
          <t>23-May-2025 12:00 PM</t>
        </is>
      </c>
      <c r="E225" t="inlineStr">
        <is>
          <t>9,89,000</t>
        </is>
      </c>
      <c r="F225" t="inlineStr">
        <is>
          <t>nagar palika mahwa kshetre ke polish thane and jila asptala ke samne circle nirman karya</t>
        </is>
      </c>
      <c r="G225" t="inlineStr">
        <is>
          <t>work</t>
        </is>
      </c>
    </row>
    <row r="226">
      <c r="A226" s="1" t="n">
        <v>224</v>
      </c>
      <c r="B226">
        <f>HYPERLINK("https://eproc.rajasthan.gov.in/nicgep/app?component=%24DirectLink&amp;page=FrontEndViewTender&amp;service=direct&amp;session=T&amp;sp=SKf05KsKSNuWgiLnN0TXxaw%3D%3D", "bharatpur road sabji mandi ke pass circle nirman karya")</f>
        <v/>
      </c>
      <c r="C226" t="inlineStr">
        <is>
          <t>DLB||Dy.DR- Bharatpur||EO- Mahuwa</t>
        </is>
      </c>
      <c r="D226" t="inlineStr">
        <is>
          <t>23-May-2025 12:00 PM</t>
        </is>
      </c>
      <c r="E226" t="inlineStr">
        <is>
          <t>9,89,000</t>
        </is>
      </c>
      <c r="F226" t="inlineStr">
        <is>
          <t>bharatpur road sabji mandi ke pass circle nirman karya</t>
        </is>
      </c>
      <c r="G226" t="inlineStr">
        <is>
          <t>work</t>
        </is>
      </c>
    </row>
    <row r="227">
      <c r="A227" s="1" t="n">
        <v>225</v>
      </c>
      <c r="B227">
        <f>HYPERLINK("https://eproc.rajasthan.gov.in/nicgep/app?component=%24DirectLink&amp;page=FrontEndViewTender&amp;service=direct&amp;session=T&amp;sp=SX6vMr6kjKKCKqZ998pjESQ%3D%3D", "Drain Cleaning Safai Shramik Supply Work")</f>
        <v/>
      </c>
      <c r="C227" t="inlineStr">
        <is>
          <t>DLB||Dy.DR-Ajmer||Commissioner-Kishangarh</t>
        </is>
      </c>
      <c r="D227" t="inlineStr">
        <is>
          <t>30-May-2025 06:00 PM</t>
        </is>
      </c>
      <c r="E227" t="inlineStr">
        <is>
          <t>1,80,00,000</t>
        </is>
      </c>
      <c r="F227" t="inlineStr">
        <is>
          <t>Drain Cleaning Safai Shramik Supply Work</t>
        </is>
      </c>
      <c r="G227" t="inlineStr">
        <is>
          <t>kishangarh</t>
        </is>
      </c>
    </row>
    <row r="228">
      <c r="A228" s="1" t="n">
        <v>226</v>
      </c>
      <c r="B228">
        <f>HYPERLINK("https://eproc.rajasthan.gov.in/nicgep/app?component=%24DirectLink&amp;page=FrontEndViewTender&amp;service=direct&amp;session=T&amp;sp=S4TogGrPSqOeZVK01HCgcgw%3D%3D", "Cleaning Road and wards for Safai Shramik Supply Work")</f>
        <v/>
      </c>
      <c r="C228" t="inlineStr">
        <is>
          <t>DLB||Dy.DR-Ajmer||Commissioner-Kishangarh</t>
        </is>
      </c>
      <c r="D228" t="inlineStr">
        <is>
          <t>30-May-2025 06:00 PM</t>
        </is>
      </c>
      <c r="E228" t="inlineStr">
        <is>
          <t>1,21,00,000</t>
        </is>
      </c>
      <c r="F228" t="inlineStr">
        <is>
          <t>Cleaning Road and wards for Safai Shramik Supply Work</t>
        </is>
      </c>
      <c r="G228" t="inlineStr">
        <is>
          <t>kishangarh</t>
        </is>
      </c>
    </row>
    <row r="229">
      <c r="A229" s="1" t="n">
        <v>227</v>
      </c>
      <c r="B229">
        <f>HYPERLINK("https://eproc.rajasthan.gov.in/nicgep/app?component=%24DirectLink&amp;page=FrontEndViewTender&amp;service=direct&amp;session=T&amp;sp=Sm0DcuKAVAm6F1qGkgPvjJQ%3D%3D", "CC ROAD CONSTRUCTION OR REPAIR WORK IN WARD NO 57")</f>
        <v/>
      </c>
      <c r="C229" t="inlineStr">
        <is>
          <t>DLB||Dy.DR-Kota||Commissioner-Sawaimadhopur</t>
        </is>
      </c>
      <c r="D229" t="inlineStr">
        <is>
          <t>27-May-2025 06:00 PM</t>
        </is>
      </c>
      <c r="E229" t="inlineStr">
        <is>
          <t>20,76,000</t>
        </is>
      </c>
      <c r="F229" t="inlineStr">
        <is>
          <t>CC ROAD CONSTRUCTION OR REPAIR WORK IN WARD NO 57</t>
        </is>
      </c>
      <c r="G229" t="inlineStr">
        <is>
          <t>SAWAI MADHOPUR</t>
        </is>
      </c>
    </row>
    <row r="230">
      <c r="A230" s="1" t="n">
        <v>228</v>
      </c>
      <c r="B230">
        <f>HYPERLINK("https://eproc.rajasthan.gov.in/nicgep/app?component=%24DirectLink&amp;page=FrontEndViewTender&amp;service=direct&amp;session=T&amp;sp=SxOlcPR%2F%2FfF4PuyYShOIkCg%3D%3D", "Development of Waste to Art Wall and Beautification through various mode of Artistic work including Exotic and 3D Painting with Rajasthani Cultural painting work under Swachh Bharat Mission in Nagar Nigam North")</f>
        <v/>
      </c>
      <c r="C230" t="inlineStr">
        <is>
          <t>DLB||Dy.DR-Jodhpur||CEO-Jodhpur</t>
        </is>
      </c>
      <c r="D230" t="inlineStr">
        <is>
          <t>28-May-2025 03:00 PM</t>
        </is>
      </c>
      <c r="E230" t="inlineStr">
        <is>
          <t>11,40,000</t>
        </is>
      </c>
      <c r="F230" t="inlineStr">
        <is>
          <t>Development of Waste to Art Wall and Beautification through various mode of Artistic work including Exotic and 3D Painting with Rajasthani Cultural painting work under Swachh Bharat Mission in Nagar Nigam North</t>
        </is>
      </c>
      <c r="G230" t="inlineStr">
        <is>
          <t>NAGAR NIGAM JODHPUR NORTH</t>
        </is>
      </c>
    </row>
    <row r="231">
      <c r="A231" s="1" t="n">
        <v>229</v>
      </c>
      <c r="B231">
        <f>HYPERLINK("https://eproc.rajasthan.gov.in/nicgep/app?component=%24DirectLink&amp;page=FrontEndViewTender&amp;service=direct&amp;session=T&amp;sp=SsfbIvIjWTAhzLbseq7wzHA%3D%3D", "Construction of interlocking tiles Road jain temple to amrit khatri ward no 11.")</f>
        <v/>
      </c>
      <c r="C231" t="inlineStr">
        <is>
          <t>DLB||Dy.DR-Jodhpur||EO-Pokran</t>
        </is>
      </c>
      <c r="D231" t="inlineStr">
        <is>
          <t>26-May-2025 06:00 PM</t>
        </is>
      </c>
      <c r="E231" t="inlineStr">
        <is>
          <t>8,62,000</t>
        </is>
      </c>
      <c r="F231" t="inlineStr">
        <is>
          <t>Construction of interlocking tiles Road jain temple to amrit khatri ward no 11.</t>
        </is>
      </c>
      <c r="G231" t="inlineStr">
        <is>
          <t>pokaran</t>
        </is>
      </c>
    </row>
    <row r="232">
      <c r="A232" s="1" t="n">
        <v>230</v>
      </c>
      <c r="B232">
        <f>HYPERLINK("https://eproc.rajasthan.gov.in/nicgep/app?component=%24DirectLink&amp;page=FrontEndViewTender&amp;service=direct&amp;session=T&amp;sp=SGHkE2o%2BByfHWyBOA596DgQ%3D%3D", "Maintenance and operation work on the auto tipper of the municipality with driver and diesel for door-to-door garbage collection")</f>
        <v/>
      </c>
      <c r="C232" t="inlineStr">
        <is>
          <t>DLB||Dy.DR-Jodhpur||EO-Sojatcity</t>
        </is>
      </c>
      <c r="D232" t="inlineStr">
        <is>
          <t>23-May-2025 06:00 PM</t>
        </is>
      </c>
      <c r="E232" t="inlineStr">
        <is>
          <t>25,00,000</t>
        </is>
      </c>
      <c r="F232" t="inlineStr">
        <is>
          <t>door to door garbage collection</t>
        </is>
      </c>
      <c r="G232" t="inlineStr">
        <is>
          <t>SOJAT CITY</t>
        </is>
      </c>
    </row>
    <row r="233">
      <c r="A233" s="1" t="n">
        <v>231</v>
      </c>
      <c r="B233">
        <f>HYPERLINK("https://eproc.rajasthan.gov.in/nicgep/app?component=%24DirectLink&amp;page=FrontEndViewTender&amp;service=direct&amp;session=T&amp;sp=SUbLACDPmu%2BYlErFbrX%2FzcQ%3D%3D", "Providing auto tipper, driver with diesel for door-to-door garbage collection and maintenance and operation work by the contractor at his own level")</f>
        <v/>
      </c>
      <c r="C233" t="inlineStr">
        <is>
          <t>DLB||Dy.DR-Jodhpur||EO-Sojatcity</t>
        </is>
      </c>
      <c r="D233" t="inlineStr">
        <is>
          <t>23-May-2025 06:00 PM</t>
        </is>
      </c>
      <c r="E233" t="inlineStr">
        <is>
          <t>25,00,000</t>
        </is>
      </c>
      <c r="F233" t="inlineStr">
        <is>
          <t>door to door garbage collection</t>
        </is>
      </c>
      <c r="G233" t="inlineStr">
        <is>
          <t>SOJAT CITY</t>
        </is>
      </c>
    </row>
    <row r="234">
      <c r="A234" s="1" t="n">
        <v>232</v>
      </c>
      <c r="B234">
        <f>HYPERLINK("https://eproc.rajasthan.gov.in/nicgep/app?component=%24DirectLink&amp;page=FrontEndViewTender&amp;service=direct&amp;session=T&amp;sp=SQdyyD%2BsBFHpEgv77FpvOsg%3D%3D", "SITC OF POST TOP")</f>
        <v/>
      </c>
      <c r="C234" t="inlineStr">
        <is>
          <t>DLB||Dy.DR-Ajmer||EO-Asind</t>
        </is>
      </c>
      <c r="D234" t="inlineStr">
        <is>
          <t>26-May-2025 06:00 PM</t>
        </is>
      </c>
      <c r="E234" t="inlineStr">
        <is>
          <t>86,47,000</t>
        </is>
      </c>
      <c r="F234" t="inlineStr">
        <is>
          <t>SITC OF POST TOP</t>
        </is>
      </c>
      <c r="G234" t="inlineStr">
        <is>
          <t>JAHAZPUR</t>
        </is>
      </c>
    </row>
    <row r="235">
      <c r="A235" s="1" t="n">
        <v>233</v>
      </c>
      <c r="B235">
        <f>HYPERLINK("https://eproc.rajasthan.gov.in/nicgep/app?component=%24DirectLink&amp;page=FrontEndViewTender&amp;service=direct&amp;session=T&amp;sp=SmrSo5TM82HfAK8IFQMioYA%3D%3D", "SITC OF OCTAGONAL POLE")</f>
        <v/>
      </c>
      <c r="C235" t="inlineStr">
        <is>
          <t>DLB||Dy.DR-Ajmer||EO-Asind</t>
        </is>
      </c>
      <c r="D235" t="inlineStr">
        <is>
          <t>26-May-2025 06:00 PM</t>
        </is>
      </c>
      <c r="E235" t="inlineStr">
        <is>
          <t>1,38,49,000</t>
        </is>
      </c>
      <c r="F235" t="inlineStr">
        <is>
          <t>SITC OF OCTAGONAL POLE</t>
        </is>
      </c>
      <c r="G235" t="inlineStr">
        <is>
          <t>JAHAZPUR</t>
        </is>
      </c>
    </row>
    <row r="236">
      <c r="A236" s="1" t="n">
        <v>234</v>
      </c>
      <c r="B236">
        <f>HYPERLINK("https://eproc.rajasthan.gov.in/nicgep/app?component=%24DirectLink&amp;page=FrontEndViewTender&amp;service=direct&amp;session=T&amp;sp=SXtEV6n5IDdzLrK9nSHlIDQ%3D%3D", "ARC OF LED LIGHT")</f>
        <v/>
      </c>
      <c r="C236" t="inlineStr">
        <is>
          <t>DLB||Dy.DR-Ajmer||EO-Asind</t>
        </is>
      </c>
      <c r="D236" t="inlineStr">
        <is>
          <t>26-May-2025 06:00 PM</t>
        </is>
      </c>
      <c r="E236" t="inlineStr">
        <is>
          <t>59,77,000</t>
        </is>
      </c>
      <c r="F236" t="inlineStr">
        <is>
          <t>ARC OF LED LIGHT</t>
        </is>
      </c>
      <c r="G236" t="inlineStr">
        <is>
          <t>JAHAZPUR</t>
        </is>
      </c>
    </row>
    <row r="237">
      <c r="A237" s="1" t="n">
        <v>235</v>
      </c>
      <c r="B237">
        <f>HYPERLINK("https://eproc.rajasthan.gov.in/nicgep/app?component=%24DirectLink&amp;page=FrontEndViewTender&amp;service=direct&amp;session=T&amp;sp=Sqdgb2QI%2FZLVIdC5QwhZRcw%3D%3D", "SITC OF DECORATIVE POLE")</f>
        <v/>
      </c>
      <c r="C237" t="inlineStr">
        <is>
          <t>DLB||Dy.DR-Ajmer||EO-Asind</t>
        </is>
      </c>
      <c r="D237" t="inlineStr">
        <is>
          <t>26-May-2025 06:00 PM</t>
        </is>
      </c>
      <c r="E237" t="inlineStr">
        <is>
          <t>1,26,51,000</t>
        </is>
      </c>
      <c r="F237" t="inlineStr">
        <is>
          <t>SITC OF DECORATIVE POLE</t>
        </is>
      </c>
      <c r="G237" t="inlineStr">
        <is>
          <t>JAHAZPUR</t>
        </is>
      </c>
    </row>
    <row r="238">
      <c r="A238" s="1" t="n">
        <v>236</v>
      </c>
      <c r="B238">
        <f>HYPERLINK("https://eproc.rajasthan.gov.in/nicgep/app?component=%24DirectLink&amp;page=FrontEndViewTender&amp;service=direct&amp;session=T&amp;sp=S%2F16IimRaFPiH88WAH1kTUQ%3D%3D", "NPS/2025-26/708-710")</f>
        <v/>
      </c>
      <c r="C238" t="inlineStr">
        <is>
          <t>DLB||Dy.DR-Jodhpur||EO-Shivganj</t>
        </is>
      </c>
      <c r="D238" t="inlineStr">
        <is>
          <t>24-May-2025 06:00 PM</t>
        </is>
      </c>
      <c r="E238" t="inlineStr">
        <is>
          <t>20,00,000</t>
        </is>
      </c>
      <c r="F238" t="inlineStr">
        <is>
          <t>CIVIL WORK</t>
        </is>
      </c>
      <c r="G238" t="inlineStr">
        <is>
          <t>SADRI</t>
        </is>
      </c>
    </row>
    <row r="239">
      <c r="A239" s="1" t="n">
        <v>237</v>
      </c>
      <c r="B239">
        <f>HYPERLINK("https://eproc.rajasthan.gov.in/nicgep/app?component=%24DirectLink&amp;page=FrontEndViewTender&amp;service=direct&amp;session=T&amp;sp=S1laGzLEGU7lLjtykUyHMcw%3D%3D", "NPS/2025-26/708-710")</f>
        <v/>
      </c>
      <c r="C239" t="inlineStr">
        <is>
          <t>DLB||Dy.DR-Jodhpur||EO-Shivganj</t>
        </is>
      </c>
      <c r="D239" t="inlineStr">
        <is>
          <t>24-May-2025 06:00 PM</t>
        </is>
      </c>
      <c r="E239" t="inlineStr">
        <is>
          <t>8,34,000</t>
        </is>
      </c>
      <c r="F239" t="inlineStr">
        <is>
          <t>CIVIL WORK</t>
        </is>
      </c>
      <c r="G239" t="inlineStr">
        <is>
          <t>SADRI</t>
        </is>
      </c>
    </row>
    <row r="240">
      <c r="A240" s="1" t="n">
        <v>238</v>
      </c>
      <c r="B240">
        <f>HYPERLINK("https://eproc.rajasthan.gov.in/nicgep/app?component=%24DirectLink&amp;page=FrontEndViewTender&amp;service=direct&amp;session=T&amp;sp=SRmNbMjCmmVvDVKENLwPbjA%3D%3D", "NPS/2025-26/708-710")</f>
        <v/>
      </c>
      <c r="C240" t="inlineStr">
        <is>
          <t>DLB||Dy.DR-Jodhpur||EO-Shivganj</t>
        </is>
      </c>
      <c r="D240" t="inlineStr">
        <is>
          <t>24-May-2025 06:00 PM</t>
        </is>
      </c>
      <c r="E240" t="inlineStr">
        <is>
          <t>11,99,000</t>
        </is>
      </c>
      <c r="F240" t="inlineStr">
        <is>
          <t>CIVIL WORK</t>
        </is>
      </c>
      <c r="G240" t="inlineStr">
        <is>
          <t>SADRI</t>
        </is>
      </c>
    </row>
    <row r="241">
      <c r="A241" s="1" t="n">
        <v>239</v>
      </c>
      <c r="B241">
        <f>HYPERLINK("https://eproc.rajasthan.gov.in/nicgep/app?component=%24DirectLink&amp;page=FrontEndViewTender&amp;service=direct&amp;session=T&amp;sp=SC8LklIO1pHuYw29tHXgKqQ%3D%3D", "NPS/2025-26/708-710")</f>
        <v/>
      </c>
      <c r="C241" t="inlineStr">
        <is>
          <t>DLB||Dy.DR-Jodhpur||EO-Shivganj</t>
        </is>
      </c>
      <c r="D241" t="inlineStr">
        <is>
          <t>24-May-2025 06:00 PM</t>
        </is>
      </c>
      <c r="E241" t="inlineStr">
        <is>
          <t>14,13,000</t>
        </is>
      </c>
      <c r="F241" t="inlineStr">
        <is>
          <t>CIVIL WORK</t>
        </is>
      </c>
      <c r="G241" t="inlineStr">
        <is>
          <t>SADRI</t>
        </is>
      </c>
    </row>
    <row r="242">
      <c r="A242" s="1" t="n">
        <v>240</v>
      </c>
      <c r="B242">
        <f>HYPERLINK("https://eproc.rajasthan.gov.in/nicgep/app?component=%24DirectLink&amp;page=FrontEndViewTender&amp;service=direct&amp;session=T&amp;sp=Su9u3xtEQPKMNWkWVosNIsg%3D%3D", "NPS/2025-26/708-710")</f>
        <v/>
      </c>
      <c r="C242" t="inlineStr">
        <is>
          <t>DLB||Dy.DR-Jodhpur||EO-Shivganj</t>
        </is>
      </c>
      <c r="D242" t="inlineStr">
        <is>
          <t>24-May-2025 06:00 PM</t>
        </is>
      </c>
      <c r="E242" t="inlineStr">
        <is>
          <t>7,40,000</t>
        </is>
      </c>
      <c r="F242" t="inlineStr">
        <is>
          <t>CIVIL WORK</t>
        </is>
      </c>
      <c r="G242" t="inlineStr">
        <is>
          <t>SADRI</t>
        </is>
      </c>
    </row>
    <row r="243">
      <c r="A243" s="1" t="n">
        <v>241</v>
      </c>
      <c r="B243">
        <f>HYPERLINK("https://eproc.rajasthan.gov.in/nicgep/app?component=%24DirectLink&amp;page=FrontEndViewTender&amp;service=direct&amp;session=T&amp;sp=S8AeiY43IDadkKOgtxBJ90g%3D%3D", "NPS/2025-26/708-710")</f>
        <v/>
      </c>
      <c r="C243" t="inlineStr">
        <is>
          <t>DLB||Dy.DR-Jodhpur||EO-Shivganj</t>
        </is>
      </c>
      <c r="D243" t="inlineStr">
        <is>
          <t>24-May-2025 06:00 PM</t>
        </is>
      </c>
      <c r="E243" t="inlineStr">
        <is>
          <t>10,75,000</t>
        </is>
      </c>
      <c r="F243" t="inlineStr">
        <is>
          <t>CIVIL WORK</t>
        </is>
      </c>
      <c r="G243" t="inlineStr">
        <is>
          <t>SADRI</t>
        </is>
      </c>
    </row>
    <row r="244">
      <c r="A244" s="1" t="n">
        <v>242</v>
      </c>
      <c r="B244">
        <f>HYPERLINK("https://eproc.rajasthan.gov.in/nicgep/app?component=%24DirectLink&amp;page=FrontEndViewTender&amp;service=direct&amp;session=T&amp;sp=SGkg4Os2tDJkREb6o0ZgHsA%3D%3D", "Spares Parts for JS 30 Mini Poclain")</f>
        <v/>
      </c>
      <c r="C244" t="inlineStr">
        <is>
          <t>DLB||Dy.DR-Ajmer||CEO-Ajmer</t>
        </is>
      </c>
      <c r="D244" t="inlineStr">
        <is>
          <t>21-May-2025 06:00 PM</t>
        </is>
      </c>
      <c r="E244" t="inlineStr">
        <is>
          <t>6,83,312</t>
        </is>
      </c>
      <c r="F244" t="inlineStr">
        <is>
          <t>Spares Parts for JS 30 Mini Poclain</t>
        </is>
      </c>
      <c r="G244" t="inlineStr">
        <is>
          <t>nagar nigam, ajmer</t>
        </is>
      </c>
    </row>
    <row r="245">
      <c r="A245" s="1" t="n">
        <v>243</v>
      </c>
      <c r="B245">
        <f>HYPERLINK("https://eproc.rajasthan.gov.in/nicgep/app?component=%24DirectLink&amp;page=FrontEndViewTender&amp;service=direct&amp;session=T&amp;sp=SHNDUc8zL4ZuNtXlI5IqGtg%3D%3D", "Cleaning work of four walled water tank built in cowshed for collecting dirty water before monsoon.")</f>
        <v/>
      </c>
      <c r="C245" t="inlineStr">
        <is>
          <t>DLB||Dy.DR-Jaipur||EO-Vidhyavihar</t>
        </is>
      </c>
      <c r="D245" t="inlineStr">
        <is>
          <t>22-May-2025 02:00 PM</t>
        </is>
      </c>
      <c r="E245" t="inlineStr">
        <is>
          <t>8,63,001</t>
        </is>
      </c>
      <c r="F245" t="inlineStr">
        <is>
          <t>Cleaning work of four walled water tank built in cowshed for collecting dirty water before monsoon.</t>
        </is>
      </c>
      <c r="G245" t="inlineStr">
        <is>
          <t>Area of the Municipal Board Pilani</t>
        </is>
      </c>
    </row>
    <row r="246">
      <c r="A246" s="1" t="n">
        <v>244</v>
      </c>
      <c r="B246">
        <f>HYPERLINK("https://eproc.rajasthan.gov.in/nicgep/app?component=%24DirectLink&amp;page=FrontEndViewTender&amp;service=direct&amp;session=T&amp;sp=Smbvi2uEgT4TKBfv3DpyfjA%3D%3D", "Drain cleaning work in municipal area before monsoon.")</f>
        <v/>
      </c>
      <c r="C246" t="inlineStr">
        <is>
          <t>DLB||Dy.DR-Jaipur||EO-Vidhyavihar</t>
        </is>
      </c>
      <c r="D246" t="inlineStr">
        <is>
          <t>22-May-2025 02:00 PM</t>
        </is>
      </c>
      <c r="E246" t="inlineStr">
        <is>
          <t>24,68,193</t>
        </is>
      </c>
      <c r="F246" t="inlineStr">
        <is>
          <t>Drain cleaning work in municipal area before monsoon.</t>
        </is>
      </c>
      <c r="G246" t="inlineStr">
        <is>
          <t>Area of the Municipal Board Pilani</t>
        </is>
      </c>
    </row>
    <row r="247">
      <c r="A247" s="1" t="n">
        <v>245</v>
      </c>
      <c r="B247">
        <f>HYPERLINK("https://eproc.rajasthan.gov.in/nicgep/app?component=%24DirectLink&amp;page=FrontEndViewTender&amp;service=direct&amp;session=T&amp;sp=SUHKqXX8w2NPhzLx2FgDi1Q%3D%3D", "NPS/2025-26/708-710")</f>
        <v/>
      </c>
      <c r="C247" t="inlineStr">
        <is>
          <t>DLB||Dy.DR-Jodhpur||EO-Shivganj</t>
        </is>
      </c>
      <c r="D247" t="inlineStr">
        <is>
          <t>24-May-2025 06:00 PM</t>
        </is>
      </c>
      <c r="E247" t="inlineStr">
        <is>
          <t>5,89,000</t>
        </is>
      </c>
      <c r="F247" t="inlineStr">
        <is>
          <t>CIVIL WORK</t>
        </is>
      </c>
      <c r="G247" t="inlineStr">
        <is>
          <t>SADRI</t>
        </is>
      </c>
    </row>
    <row r="248">
      <c r="A248" s="1" t="n">
        <v>246</v>
      </c>
      <c r="B248">
        <f>HYPERLINK("https://eproc.rajasthan.gov.in/nicgep/app?component=%24DirectLink&amp;page=FrontEndViewTender&amp;service=direct&amp;session=T&amp;sp=SJKgXHTz%2B7roVuSRCJS87zg%3D%3D", "E-NIT No.20/2025-26/Niman ARC")</f>
        <v/>
      </c>
      <c r="C248" t="inlineStr">
        <is>
          <t>DLB||Dy.DR-Bikaner||CEO-Bikaner</t>
        </is>
      </c>
      <c r="D248" t="inlineStr">
        <is>
          <t>24-May-2025 06:00 PM</t>
        </is>
      </c>
      <c r="E248" t="inlineStr">
        <is>
          <t>40,00,000</t>
        </is>
      </c>
      <c r="F248" t="inlineStr">
        <is>
          <t>ARC for construction and repairing work of road in ward no.07, 28, 47, 48, 52, 67, 68, 69 Bikaner.</t>
        </is>
      </c>
      <c r="G248" t="inlineStr">
        <is>
          <t>Bikaner</t>
        </is>
      </c>
    </row>
    <row r="249">
      <c r="A249" s="1" t="n">
        <v>247</v>
      </c>
      <c r="B249">
        <f>HYPERLINK("https://eproc.rajasthan.gov.in/nicgep/app?component=%24DirectLink&amp;page=FrontEndViewTender&amp;service=direct&amp;session=T&amp;sp=SbC%2Bft6x3%2FRkrCw2Ub3WjDQ%3D%3D", "E-NIT No.21/2025-26/Nirman ARC")</f>
        <v/>
      </c>
      <c r="C249" t="inlineStr">
        <is>
          <t>DLB||Dy.DR-Bikaner||CEO-Bikaner</t>
        </is>
      </c>
      <c r="D249" t="inlineStr">
        <is>
          <t>24-May-2025 06:00 PM</t>
        </is>
      </c>
      <c r="E249" t="inlineStr">
        <is>
          <t>30,00,000</t>
        </is>
      </c>
      <c r="F249" t="inlineStr">
        <is>
          <t>ARC for work of drains, cross, canals, sewer line, cover, chambers etc. at ward no. 3,4,5,6,26,27,46,13,14 Bikaner.</t>
        </is>
      </c>
      <c r="G249" t="inlineStr">
        <is>
          <t>Bikaner</t>
        </is>
      </c>
    </row>
    <row r="250">
      <c r="A250" s="1" t="n">
        <v>248</v>
      </c>
      <c r="B250">
        <f>HYPERLINK("https://eproc.rajasthan.gov.in/nicgep/app?component=%24DirectLink&amp;page=FrontEndViewTender&amp;service=direct&amp;session=T&amp;sp=Sj9Msd3HzCno5%2BHmoOlmSsA%3D%3D", "E-NIT No.22/2025-26/Nirman ARC")</f>
        <v/>
      </c>
      <c r="C250" t="inlineStr">
        <is>
          <t>DLB||Dy.DR-Bikaner||CEO-Bikaner</t>
        </is>
      </c>
      <c r="D250" t="inlineStr">
        <is>
          <t>24-May-2025 06:00 PM</t>
        </is>
      </c>
      <c r="E250" t="inlineStr">
        <is>
          <t>25,00,000</t>
        </is>
      </c>
      <c r="F250" t="inlineStr">
        <is>
          <t>ARC for repair work of drains, cross, canals, sewer line, cover, chambers etc. at ward no. 07, 28, 47, 48 Bikaner.</t>
        </is>
      </c>
      <c r="G250" t="inlineStr">
        <is>
          <t>Bikaner</t>
        </is>
      </c>
    </row>
    <row r="251">
      <c r="A251" s="1" t="n">
        <v>249</v>
      </c>
      <c r="B251">
        <f>HYPERLINK("https://eproc.rajasthan.gov.in/nicgep/app?component=%24DirectLink&amp;page=FrontEndViewTender&amp;service=direct&amp;session=T&amp;sp=SMfiiVfcKRZB0RX2je7IX0A%3D%3D", "E-NIT No.25/2025-26/Nirman 05")</f>
        <v/>
      </c>
      <c r="C251" t="inlineStr">
        <is>
          <t>DLB||Dy.DR-Bikaner||CEO-Bikaner</t>
        </is>
      </c>
      <c r="D251" t="inlineStr">
        <is>
          <t>19-May-2025 06:00 PM</t>
        </is>
      </c>
      <c r="E251" t="inlineStr">
        <is>
          <t>49,90,000</t>
        </is>
      </c>
      <c r="F251" t="inlineStr">
        <is>
          <t>Canal cleaning and repair work from rk bhawan choraha puliya via mohta sarai to badri bhairu.</t>
        </is>
      </c>
      <c r="G251" t="inlineStr">
        <is>
          <t>Bikaner</t>
        </is>
      </c>
    </row>
    <row r="252">
      <c r="A252" s="1" t="n">
        <v>250</v>
      </c>
      <c r="B252">
        <f>HYPERLINK("https://eproc.rajasthan.gov.in/nicgep/app?component=%24DirectLink&amp;page=FrontEndViewTender&amp;service=direct&amp;session=T&amp;sp=S2mOxkHbSCZgv%2BA7bgjc9OQ%3D%3D", "E-NIT No.25/2025-26/Nirman 06")</f>
        <v/>
      </c>
      <c r="C252" t="inlineStr">
        <is>
          <t>DLB||Dy.DR-Bikaner||CEO-Bikaner</t>
        </is>
      </c>
      <c r="D252" t="inlineStr">
        <is>
          <t>19-May-2025 06:00 PM</t>
        </is>
      </c>
      <c r="E252" t="inlineStr">
        <is>
          <t>30,67,000</t>
        </is>
      </c>
      <c r="F252" t="inlineStr">
        <is>
          <t>Canal cleaning and repair work from gauri juice kamla colony, behind nagar nigam office, behind vinoba ground and line police, Bikaner.</t>
        </is>
      </c>
      <c r="G252" t="inlineStr">
        <is>
          <t>Bikaner</t>
        </is>
      </c>
    </row>
    <row r="253">
      <c r="A253" s="1" t="n">
        <v>251</v>
      </c>
      <c r="B253">
        <f>HYPERLINK("https://eproc.rajasthan.gov.in/nicgep/app?component=%24DirectLink&amp;page=FrontEndViewTender&amp;service=direct&amp;session=T&amp;sp=S2NqN7wISAu4ccIp1agjaiQ%3D%3D", "E-NIT No.25/2025-26/Nirman 04")</f>
        <v/>
      </c>
      <c r="C253" t="inlineStr">
        <is>
          <t>DLB||Dy.DR-Bikaner||CEO-Bikaner</t>
        </is>
      </c>
      <c r="D253" t="inlineStr">
        <is>
          <t>19-May-2025 06:00 PM</t>
        </is>
      </c>
      <c r="E253" t="inlineStr">
        <is>
          <t>15,42,000</t>
        </is>
      </c>
      <c r="F253" t="inlineStr">
        <is>
          <t>Canal cleaning and repair work from mausam vibhag via aashram to gemna peer road Bikaner.</t>
        </is>
      </c>
      <c r="G253" t="inlineStr">
        <is>
          <t>Bikaner</t>
        </is>
      </c>
    </row>
    <row r="254">
      <c r="A254" s="1" t="n">
        <v>252</v>
      </c>
      <c r="B254">
        <f>HYPERLINK("https://eproc.rajasthan.gov.in/nicgep/app?component=%24DirectLink&amp;page=FrontEndViewTender&amp;service=direct&amp;session=T&amp;sp=SvWD0s%2F0FrGzdgjP9YfJcfg%3D%3D", "E-NIT No.25/2025-26/Nirman 01")</f>
        <v/>
      </c>
      <c r="C254" t="inlineStr">
        <is>
          <t>DLB||Dy.DR-Bikaner||CEO-Bikaner</t>
        </is>
      </c>
      <c r="D254" t="inlineStr">
        <is>
          <t>19-May-2025 06:00 PM</t>
        </is>
      </c>
      <c r="E254" t="inlineStr">
        <is>
          <t>32,90,000</t>
        </is>
      </c>
      <c r="F254" t="inlineStr">
        <is>
          <t>Cleaning work of canal from Ganesh bal vidhya niketan via mahalaxmi swiming pool to khudkhuda road, Bikaner.</t>
        </is>
      </c>
      <c r="G254" t="inlineStr">
        <is>
          <t>Bikaner</t>
        </is>
      </c>
    </row>
    <row r="255">
      <c r="A255" s="1" t="n">
        <v>253</v>
      </c>
      <c r="B255">
        <f>HYPERLINK("https://eproc.rajasthan.gov.in/nicgep/app?component=%24DirectLink&amp;page=FrontEndViewTender&amp;service=direct&amp;session=T&amp;sp=SleaDaVs0swpdCM5qZQzCGQ%3D%3D", "E-NIT No.25/2025-26/Nirman 02")</f>
        <v/>
      </c>
      <c r="C255" t="inlineStr">
        <is>
          <t>DLB||Dy.DR-Bikaner||CEO-Bikaner</t>
        </is>
      </c>
      <c r="D255" t="inlineStr">
        <is>
          <t>19-May-2025 06:00 PM</t>
        </is>
      </c>
      <c r="E255" t="inlineStr">
        <is>
          <t>27,30,000</t>
        </is>
      </c>
      <c r="F255" t="inlineStr">
        <is>
          <t>Canal cleaning and repair work from chaudhary dharmkanta via parshuram dwar to gemna peer side road, Bikaner.</t>
        </is>
      </c>
      <c r="G255" t="inlineStr">
        <is>
          <t>Bikaner</t>
        </is>
      </c>
    </row>
    <row r="256">
      <c r="A256" s="1" t="n">
        <v>254</v>
      </c>
      <c r="B256">
        <f>HYPERLINK("https://eproc.rajasthan.gov.in/nicgep/app?component=%24DirectLink&amp;page=FrontEndViewTender&amp;service=direct&amp;session=T&amp;sp=SV03ZMhy6nZpN8qXKTTbVvA%3D%3D", "E-NIT No.23/2025-26/Nirman ARC")</f>
        <v/>
      </c>
      <c r="C256" t="inlineStr">
        <is>
          <t>DLB||Dy.DR-Bikaner||CEO-Bikaner</t>
        </is>
      </c>
      <c r="D256" t="inlineStr">
        <is>
          <t>24-May-2025 06:00 PM</t>
        </is>
      </c>
      <c r="E256" t="inlineStr">
        <is>
          <t>40,00,000</t>
        </is>
      </c>
      <c r="F256" t="inlineStr">
        <is>
          <t>ARC for construction and repair work of roads at ward no. 29, 30, 34, 35, 49, 50, 72, 78 Bikaner.</t>
        </is>
      </c>
      <c r="G256" t="inlineStr">
        <is>
          <t>Bikaner</t>
        </is>
      </c>
    </row>
    <row r="257">
      <c r="A257" s="1" t="n">
        <v>255</v>
      </c>
      <c r="B257">
        <f>HYPERLINK("https://eproc.rajasthan.gov.in/nicgep/app?component=%24DirectLink&amp;page=FrontEndViewTender&amp;service=direct&amp;session=T&amp;sp=SXn1v2u38qU9vzc6o9jb6vA%3D%3D", "E-NIT No.25/2025-26/Nirman 03")</f>
        <v/>
      </c>
      <c r="C257" t="inlineStr">
        <is>
          <t>DLB||Dy.DR-Bikaner||CEO-Bikaner</t>
        </is>
      </c>
      <c r="D257" t="inlineStr">
        <is>
          <t>19-May-2025 06:00 PM</t>
        </is>
      </c>
      <c r="E257" t="inlineStr">
        <is>
          <t>18,54,000</t>
        </is>
      </c>
      <c r="F257" t="inlineStr">
        <is>
          <t>Canal cleaning and repair work from gouri juice centre to kalu modi bada and saansio ka mohalla, Bikaner.</t>
        </is>
      </c>
      <c r="G257" t="inlineStr">
        <is>
          <t>Bikaner</t>
        </is>
      </c>
    </row>
    <row r="258">
      <c r="A258" s="1" t="n">
        <v>256</v>
      </c>
      <c r="B258">
        <f>HYPERLINK("https://eproc.rajasthan.gov.in/nicgep/app?component=%24DirectLink&amp;page=FrontEndViewTender&amp;service=direct&amp;session=T&amp;sp=SFkUVDf1OsGdJ%2BsbYRM2Fwg%3D%3D", "Garbage transportation work in Municipal Council Sirohi")</f>
        <v/>
      </c>
      <c r="C258" t="inlineStr">
        <is>
          <t>DLB||Dy.DR-Jodhpur||Commissioner-Sirohi</t>
        </is>
      </c>
      <c r="D258" t="inlineStr">
        <is>
          <t>26-May-2025 06:00 PM</t>
        </is>
      </c>
      <c r="E258" t="inlineStr">
        <is>
          <t>1,02,63,000</t>
        </is>
      </c>
      <c r="F258" t="inlineStr">
        <is>
          <t>Garbage transportation work in Municipal Council Sirohi</t>
        </is>
      </c>
      <c r="G258" t="inlineStr">
        <is>
          <t>MUNICIPAL COUNCIL SIROHI</t>
        </is>
      </c>
    </row>
    <row r="259">
      <c r="A259" s="1" t="n">
        <v>257</v>
      </c>
      <c r="B259">
        <f>HYPERLINK("https://eproc.rajasthan.gov.in/nicgep/app?component=%24DirectLink&amp;page=FrontEndViewTender&amp;service=direct&amp;session=T&amp;sp=SdOo1LZVzzkkP5pTZqDmylQ%3D%3D", "To provide hydraulic excavator for heavy purposes and important works in Nagar Parishad Sirohi.")</f>
        <v/>
      </c>
      <c r="C259" t="inlineStr">
        <is>
          <t>DLB||Dy.DR-Jodhpur||Commissioner-Sirohi</t>
        </is>
      </c>
      <c r="D259" t="inlineStr">
        <is>
          <t>26-May-2025 06:00 PM</t>
        </is>
      </c>
      <c r="E259" t="inlineStr">
        <is>
          <t>57,60,000</t>
        </is>
      </c>
      <c r="F259" t="inlineStr">
        <is>
          <t>To provide hydraulic excavator for heavy purposes and important works in Nagar Parishad Sirohi.</t>
        </is>
      </c>
      <c r="G259" t="inlineStr">
        <is>
          <t>MUNICIPAL COUNCIL SIROHI</t>
        </is>
      </c>
    </row>
    <row r="260">
      <c r="A260" s="1" t="n">
        <v>258</v>
      </c>
      <c r="B260">
        <f>HYPERLINK("https://eproc.rajasthan.gov.in/nicgep/app?component=%24DirectLink&amp;page=FrontEndViewTender&amp;service=direct&amp;session=T&amp;sp=SuY6ZHd%2BCqyR0r6ZLla6%2BIw%3D%3D", "Labour supply work for daily cleaning work in Nagar Parishad Sirohi.")</f>
        <v/>
      </c>
      <c r="C260" t="inlineStr">
        <is>
          <t>DLB||Dy.DR-Jodhpur||Commissioner-Sirohi</t>
        </is>
      </c>
      <c r="D260" t="inlineStr">
        <is>
          <t>26-May-2025 06:00 PM</t>
        </is>
      </c>
      <c r="E260" t="inlineStr">
        <is>
          <t>1,59,87,000</t>
        </is>
      </c>
      <c r="F260" t="inlineStr">
        <is>
          <t>Labour supply work for daily cleaning work in Nagar Parishad Sirohi.</t>
        </is>
      </c>
      <c r="G260" t="inlineStr">
        <is>
          <t>MUNICIPAL COUNCIL SIROHI</t>
        </is>
      </c>
    </row>
    <row r="261">
      <c r="A261" s="1" t="n">
        <v>259</v>
      </c>
      <c r="B261">
        <f>HYPERLINK("https://eproc.rajasthan.gov.in/nicgep/app?component=%24DirectLink&amp;page=FrontEndViewTender&amp;service=direct&amp;session=T&amp;sp=S3UXEN15AusBzUYcW6RbbZw%3D%3D", "WORK NO 12")</f>
        <v/>
      </c>
      <c r="C261" t="inlineStr">
        <is>
          <t>DLB||Dy.DR-Ajmer||EO-Kuchamancity</t>
        </is>
      </c>
      <c r="D261" t="inlineStr">
        <is>
          <t>26-May-2025 09:00 AM</t>
        </is>
      </c>
      <c r="E261" t="inlineStr">
        <is>
          <t>47,49,000</t>
        </is>
      </c>
      <c r="F261" t="inlineStr">
        <is>
          <t>WROK NO 12</t>
        </is>
      </c>
      <c r="G261" t="inlineStr">
        <is>
          <t>NAGAR PALIKA DHOD</t>
        </is>
      </c>
    </row>
    <row r="262">
      <c r="A262" s="1" t="n">
        <v>260</v>
      </c>
      <c r="B262">
        <f>HYPERLINK("https://eproc.rajasthan.gov.in/nicgep/app?component=%24DirectLink&amp;page=FrontEndViewTender&amp;service=direct&amp;session=T&amp;sp=Sp5V5HkvUMyzu1CzqlA6wHg%3D%3D", "WORK NO 06")</f>
        <v/>
      </c>
      <c r="C262" t="inlineStr">
        <is>
          <t>DLB||Dy.DR-Ajmer||EO-Kuchamancity</t>
        </is>
      </c>
      <c r="D262" t="inlineStr">
        <is>
          <t>26-May-2025 09:00 AM</t>
        </is>
      </c>
      <c r="E262" t="inlineStr">
        <is>
          <t>10,00,000</t>
        </is>
      </c>
      <c r="F262" t="inlineStr">
        <is>
          <t>WROK NO 06</t>
        </is>
      </c>
      <c r="G262" t="inlineStr">
        <is>
          <t>NAGAR PALIKA DHOD</t>
        </is>
      </c>
    </row>
    <row r="263">
      <c r="A263" s="1" t="n">
        <v>261</v>
      </c>
      <c r="B263">
        <f>HYPERLINK("https://eproc.rajasthan.gov.in/nicgep/app?component=%24DirectLink&amp;page=FrontEndViewTender&amp;service=direct&amp;session=T&amp;sp=SQmVBVCUP0wNBl4ZzOYzyzA%3D%3D", "WORK NO 07")</f>
        <v/>
      </c>
      <c r="C263" t="inlineStr">
        <is>
          <t>DLB||Dy.DR-Ajmer||EO-Kuchamancity</t>
        </is>
      </c>
      <c r="D263" t="inlineStr">
        <is>
          <t>26-May-2025 09:00 AM</t>
        </is>
      </c>
      <c r="E263" t="inlineStr">
        <is>
          <t>12,08,000</t>
        </is>
      </c>
      <c r="F263" t="inlineStr">
        <is>
          <t>WROK NO 07</t>
        </is>
      </c>
      <c r="G263" t="inlineStr">
        <is>
          <t>NAGAR PALIKA DHOD</t>
        </is>
      </c>
    </row>
    <row r="264">
      <c r="A264" s="1" t="n">
        <v>262</v>
      </c>
      <c r="B264">
        <f>HYPERLINK("https://eproc.rajasthan.gov.in/nicgep/app?component=%24DirectLink&amp;page=FrontEndViewTender&amp;service=direct&amp;session=T&amp;sp=S34dbrSbRu6ZgPf9BoIJxNw%3D%3D", "WORK NO 08")</f>
        <v/>
      </c>
      <c r="C264" t="inlineStr">
        <is>
          <t>DLB||Dy.DR-Ajmer||EO-Kuchamancity</t>
        </is>
      </c>
      <c r="D264" t="inlineStr">
        <is>
          <t>26-May-2025 09:00 AM</t>
        </is>
      </c>
      <c r="E264" t="inlineStr">
        <is>
          <t>44,73,000</t>
        </is>
      </c>
      <c r="F264" t="inlineStr">
        <is>
          <t>WROK NO 08</t>
        </is>
      </c>
      <c r="G264" t="inlineStr">
        <is>
          <t>NAGAR PALIKA DHOD</t>
        </is>
      </c>
    </row>
    <row r="265">
      <c r="A265" s="1" t="n">
        <v>263</v>
      </c>
      <c r="B265">
        <f>HYPERLINK("https://eproc.rajasthan.gov.in/nicgep/app?component=%24DirectLink&amp;page=FrontEndViewTender&amp;service=direct&amp;session=T&amp;sp=SmTylfI231LOCZSfj7qhjTA%3D%3D", "WORK NO 01")</f>
        <v/>
      </c>
      <c r="C265" t="inlineStr">
        <is>
          <t>DLB||Dy.DR-Ajmer||EO-Kuchamancity</t>
        </is>
      </c>
      <c r="D265" t="inlineStr">
        <is>
          <t>26-May-2025 09:00 AM</t>
        </is>
      </c>
      <c r="E265" t="inlineStr">
        <is>
          <t>48,89,000</t>
        </is>
      </c>
      <c r="F265" t="inlineStr">
        <is>
          <t>WROK NO 01</t>
        </is>
      </c>
      <c r="G265" t="inlineStr">
        <is>
          <t>NAGAR PALIKA DHOD</t>
        </is>
      </c>
    </row>
    <row r="266">
      <c r="A266" s="1" t="n">
        <v>264</v>
      </c>
      <c r="B266">
        <f>HYPERLINK("https://eproc.rajasthan.gov.in/nicgep/app?component=%24DirectLink&amp;page=FrontEndViewTender&amp;service=direct&amp;session=T&amp;sp=SGhSXmcFB%2FeBgPvYVxH0JzA%3D%3D", "WORK NO 09")</f>
        <v/>
      </c>
      <c r="C266" t="inlineStr">
        <is>
          <t>DLB||Dy.DR-Ajmer||EO-Kuchamancity</t>
        </is>
      </c>
      <c r="D266" t="inlineStr">
        <is>
          <t>26-May-2025 09:00 AM</t>
        </is>
      </c>
      <c r="E266" t="inlineStr">
        <is>
          <t>12,64,000</t>
        </is>
      </c>
      <c r="F266" t="inlineStr">
        <is>
          <t>WROK NO 09</t>
        </is>
      </c>
      <c r="G266" t="inlineStr">
        <is>
          <t>NAGAR PALIKA DHOD</t>
        </is>
      </c>
    </row>
    <row r="267">
      <c r="A267" s="1" t="n">
        <v>265</v>
      </c>
      <c r="B267">
        <f>HYPERLINK("https://eproc.rajasthan.gov.in/nicgep/app?component=%24DirectLink&amp;page=FrontEndViewTender&amp;service=direct&amp;session=T&amp;sp=SPPWNj7o4XyVyD6kTD1A5oQ%3D%3D", "WORK NO 02")</f>
        <v/>
      </c>
      <c r="C267" t="inlineStr">
        <is>
          <t>DLB||Dy.DR-Ajmer||EO-Kuchamancity</t>
        </is>
      </c>
      <c r="D267" t="inlineStr">
        <is>
          <t>26-May-2025 09:00 AM</t>
        </is>
      </c>
      <c r="E267" t="inlineStr">
        <is>
          <t>49,50,000</t>
        </is>
      </c>
      <c r="F267" t="inlineStr">
        <is>
          <t>WROK NO 02</t>
        </is>
      </c>
      <c r="G267" t="inlineStr">
        <is>
          <t>NAGAR PALIKA DHOD</t>
        </is>
      </c>
    </row>
    <row r="268">
      <c r="A268" s="1" t="n">
        <v>266</v>
      </c>
      <c r="B268">
        <f>HYPERLINK("https://eproc.rajasthan.gov.in/nicgep/app?component=%24DirectLink&amp;page=FrontEndViewTender&amp;service=direct&amp;session=T&amp;sp=S7wOtX6MCpOG6hx%2FnAuGg5A%3D%3D", "WORK NO 10")</f>
        <v/>
      </c>
      <c r="C268" t="inlineStr">
        <is>
          <t>DLB||Dy.DR-Ajmer||EO-Kuchamancity</t>
        </is>
      </c>
      <c r="D268" t="inlineStr">
        <is>
          <t>26-May-2025 09:00 AM</t>
        </is>
      </c>
      <c r="E268" t="inlineStr">
        <is>
          <t>3,45,000</t>
        </is>
      </c>
      <c r="F268" t="inlineStr">
        <is>
          <t>WROK NO 10</t>
        </is>
      </c>
      <c r="G268" t="inlineStr">
        <is>
          <t>NAGAR PALIKA DHOD</t>
        </is>
      </c>
    </row>
    <row r="269">
      <c r="A269" s="1" t="n">
        <v>267</v>
      </c>
      <c r="B269">
        <f>HYPERLINK("https://eproc.rajasthan.gov.in/nicgep/app?component=%24DirectLink&amp;page=FrontEndViewTender&amp;service=direct&amp;session=T&amp;sp=SAEnJny6%2B3nPTMVFu7d0QYw%3D%3D", "WORK NO 03")</f>
        <v/>
      </c>
      <c r="C269" t="inlineStr">
        <is>
          <t>DLB||Dy.DR-Ajmer||EO-Kuchamancity</t>
        </is>
      </c>
      <c r="D269" t="inlineStr">
        <is>
          <t>26-May-2025 09:00 AM</t>
        </is>
      </c>
      <c r="E269" t="inlineStr">
        <is>
          <t>14,89,000</t>
        </is>
      </c>
      <c r="F269" t="inlineStr">
        <is>
          <t>WROK NO 03</t>
        </is>
      </c>
      <c r="G269" t="inlineStr">
        <is>
          <t>NAGAR PALIKA DHOD</t>
        </is>
      </c>
    </row>
    <row r="270">
      <c r="A270" s="1" t="n">
        <v>268</v>
      </c>
      <c r="B270">
        <f>HYPERLINK("https://eproc.rajasthan.gov.in/nicgep/app?component=%24DirectLink&amp;page=FrontEndViewTender&amp;service=direct&amp;session=T&amp;sp=SwgbMFcC9TsCIcvoBBygwqw%3D%3D", "WORK NO 04")</f>
        <v/>
      </c>
      <c r="C270" t="inlineStr">
        <is>
          <t>DLB||Dy.DR-Ajmer||EO-Kuchamancity</t>
        </is>
      </c>
      <c r="D270" t="inlineStr">
        <is>
          <t>26-May-2025 09:00 AM</t>
        </is>
      </c>
      <c r="E270" t="inlineStr">
        <is>
          <t>24,50,000</t>
        </is>
      </c>
      <c r="F270" t="inlineStr">
        <is>
          <t>WROK NO 04</t>
        </is>
      </c>
      <c r="G270" t="inlineStr">
        <is>
          <t>NAGAR PALIKA DHOD</t>
        </is>
      </c>
    </row>
    <row r="271">
      <c r="A271" s="1" t="n">
        <v>269</v>
      </c>
      <c r="B271">
        <f>HYPERLINK("https://eproc.rajasthan.gov.in/nicgep/app?component=%24DirectLink&amp;page=FrontEndViewTender&amp;service=direct&amp;session=T&amp;sp=SfK8e%2F6ohZWyZPQjnwkEIpQ%3D%3D", "WORK NO 11")</f>
        <v/>
      </c>
      <c r="C271" t="inlineStr">
        <is>
          <t>DLB||Dy.DR-Ajmer||EO-Kuchamancity</t>
        </is>
      </c>
      <c r="D271" t="inlineStr">
        <is>
          <t>26-May-2025 09:00 AM</t>
        </is>
      </c>
      <c r="E271" t="inlineStr">
        <is>
          <t>26,19,000</t>
        </is>
      </c>
      <c r="F271" t="inlineStr">
        <is>
          <t>WROK NO 11</t>
        </is>
      </c>
      <c r="G271" t="inlineStr">
        <is>
          <t>NAGAR PALIKA DHOD</t>
        </is>
      </c>
    </row>
    <row r="272">
      <c r="A272" s="1" t="n">
        <v>270</v>
      </c>
      <c r="B272">
        <f>HYPERLINK("https://eproc.rajasthan.gov.in/nicgep/app?component=%24DirectLink&amp;page=FrontEndViewTender&amp;service=direct&amp;session=T&amp;sp=SjiYrqXWectbpVecgFTfn9g%3D%3D", "WORK NO 05")</f>
        <v/>
      </c>
      <c r="C272" t="inlineStr">
        <is>
          <t>DLB||Dy.DR-Ajmer||EO-Kuchamancity</t>
        </is>
      </c>
      <c r="D272" t="inlineStr">
        <is>
          <t>26-May-2025 09:00 AM</t>
        </is>
      </c>
      <c r="E272" t="inlineStr">
        <is>
          <t>24,92,000</t>
        </is>
      </c>
      <c r="F272" t="inlineStr">
        <is>
          <t>WROK NO 05</t>
        </is>
      </c>
      <c r="G272" t="inlineStr">
        <is>
          <t>NAGAR PALIKA DHOD</t>
        </is>
      </c>
    </row>
    <row r="273">
      <c r="A273" s="1" t="n">
        <v>271</v>
      </c>
      <c r="B273">
        <f>HYPERLINK("https://eproc.rajasthan.gov.in/nicgep/app?component=%24DirectLink&amp;page=FrontEndViewTender&amp;service=direct&amp;session=T&amp;sp=SZ52VkHkpLPy471y2rVOWyw%3D%3D", "WORK NO 13")</f>
        <v/>
      </c>
      <c r="C273" t="inlineStr">
        <is>
          <t>DLB||Dy.DR-Ajmer||EO-Kuchamancity</t>
        </is>
      </c>
      <c r="D273" t="inlineStr">
        <is>
          <t>26-May-2025 09:00 AM</t>
        </is>
      </c>
      <c r="E273" t="inlineStr">
        <is>
          <t>31,97,000</t>
        </is>
      </c>
      <c r="F273" t="inlineStr">
        <is>
          <t>WROK NO 13</t>
        </is>
      </c>
      <c r="G273" t="inlineStr">
        <is>
          <t>NAGAR PALIKA DHOD</t>
        </is>
      </c>
    </row>
    <row r="274">
      <c r="A274" s="1" t="n">
        <v>272</v>
      </c>
      <c r="B274">
        <f>HYPERLINK("https://eproc.rajasthan.gov.in/nicgep/app?component=%24DirectLink&amp;page=FrontEndViewTender&amp;service=direct&amp;session=T&amp;sp=SOKlZLV6RAyDV0AreIyl40g%3D%3D", "WORK NO 14")</f>
        <v/>
      </c>
      <c r="C274" t="inlineStr">
        <is>
          <t>DLB||Dy.DR-Ajmer||EO-Kuchamancity</t>
        </is>
      </c>
      <c r="D274" t="inlineStr">
        <is>
          <t>26-May-2025 09:00 AM</t>
        </is>
      </c>
      <c r="E274" t="inlineStr">
        <is>
          <t>7,96,000</t>
        </is>
      </c>
      <c r="F274" t="inlineStr">
        <is>
          <t>WROK NO 14</t>
        </is>
      </c>
      <c r="G274" t="inlineStr">
        <is>
          <t>NAGAR PALIKA DHOD</t>
        </is>
      </c>
    </row>
    <row r="275">
      <c r="A275" s="1" t="n">
        <v>273</v>
      </c>
      <c r="B275">
        <f>HYPERLINK("https://eproc.rajasthan.gov.in/nicgep/app?component=%24DirectLink&amp;page=FrontEndViewTender&amp;service=direct&amp;session=T&amp;sp=SY4Nn8Ab5hIKC8gJImMbnHg%3D%3D", "Construction of cc Road From Bharatpur Road To Nagar Palika Office Mahwa.")</f>
        <v/>
      </c>
      <c r="C275" t="inlineStr">
        <is>
          <t>DLB||Dy.DR- Bharatpur||EO- Mahuwa</t>
        </is>
      </c>
      <c r="D275" t="inlineStr">
        <is>
          <t>27-May-2025 12:00 PM</t>
        </is>
      </c>
      <c r="E275" t="inlineStr">
        <is>
          <t>24,99,000</t>
        </is>
      </c>
      <c r="F275" t="inlineStr">
        <is>
          <t>Construction of cc Road From Bharatpur Road To Nagar Palika Office Mahwa.</t>
        </is>
      </c>
      <c r="G275" t="inlineStr">
        <is>
          <t>civil</t>
        </is>
      </c>
    </row>
    <row r="276">
      <c r="A276" s="1" t="n">
        <v>274</v>
      </c>
      <c r="B276">
        <f>HYPERLINK("https://eproc.rajasthan.gov.in/nicgep/app?component=%24DirectLink&amp;page=FrontEndViewTender&amp;service=direct&amp;session=T&amp;sp=S0vrQsCKibCeG%2BVR2s9hYPQ%3D%3D", "Silt Clearance of Drain And Tanks at Various Place in Municipal Area")</f>
        <v/>
      </c>
      <c r="C276" t="inlineStr">
        <is>
          <t>DLB||Dy.DR-Jaipur||EO-Baggar</t>
        </is>
      </c>
      <c r="D276" t="inlineStr">
        <is>
          <t>24-May-2025 06:00 PM</t>
        </is>
      </c>
      <c r="E276" t="inlineStr">
        <is>
          <t>24,76,000</t>
        </is>
      </c>
      <c r="F276" t="inlineStr">
        <is>
          <t>Silt Clearance of Drain And Tanks at Various Place in Municipal Area</t>
        </is>
      </c>
      <c r="G276" t="inlineStr">
        <is>
          <t>services</t>
        </is>
      </c>
    </row>
    <row r="277">
      <c r="A277" s="1" t="n">
        <v>275</v>
      </c>
      <c r="B277">
        <f>HYPERLINK("https://eproc.rajasthan.gov.in/nicgep/app?component=%24DirectLink&amp;page=FrontEndViewTender&amp;service=direct&amp;session=T&amp;sp=Smb9%2BGKEnPVgS0pvbwZQ5nA%3D%3D", "Patch and Jhiri work in ward 28,36,45,46,63,64,65,66,67,68 and 61,62,37, 38 in Municipal Corporation Udaipur. (e_04 / Nirman_01)")</f>
        <v/>
      </c>
      <c r="C277" t="inlineStr">
        <is>
          <t>DLB||Dy.DR-Udaipur||Commissioner-Udaipur</t>
        </is>
      </c>
      <c r="D277" t="inlineStr">
        <is>
          <t>26-May-2025 06:55 PM</t>
        </is>
      </c>
      <c r="E277" t="inlineStr">
        <is>
          <t>35,75,000</t>
        </is>
      </c>
      <c r="F277" t="inlineStr">
        <is>
          <t>Patch and Jhiri work in ward 28,36,45,46,63,64,65,66,67,68 and 61,62,37, 38 in Municipal Corporation Udaipur. (e_04 / Nirman_01)</t>
        </is>
      </c>
      <c r="G277" t="inlineStr">
        <is>
          <t>udaipur</t>
        </is>
      </c>
    </row>
    <row r="278">
      <c r="A278" s="1" t="n">
        <v>276</v>
      </c>
      <c r="B278">
        <f>HYPERLINK("https://eproc.rajasthan.gov.in/nicgep/app?component=%24DirectLink&amp;page=FrontEndViewTender&amp;service=direct&amp;session=T&amp;sp=SA8u7XBZ%2FB0bDtdh9lhQWQA%3D%3D", "Supply of Colorpainting Material Brush as er Bid")</f>
        <v/>
      </c>
      <c r="C278" t="inlineStr">
        <is>
          <t>DLB||Dy.DR-Ajmer||CEO-Ajmer</t>
        </is>
      </c>
      <c r="D278" t="inlineStr">
        <is>
          <t>21-May-2025 06:00 PM</t>
        </is>
      </c>
      <c r="E278" t="inlineStr">
        <is>
          <t>8,98,000</t>
        </is>
      </c>
      <c r="F278" t="inlineStr">
        <is>
          <t>Supply of Colorpainting Material Brush as er Bid</t>
        </is>
      </c>
      <c r="G278" t="inlineStr">
        <is>
          <t>nagar nigam, ajmer</t>
        </is>
      </c>
    </row>
    <row r="279">
      <c r="A279" s="1" t="n">
        <v>277</v>
      </c>
      <c r="B279">
        <f>HYPERLINK("https://eproc.rajasthan.gov.in/nicgep/app?component=%24DirectLink&amp;page=FrontEndViewTender&amp;service=direct&amp;session=T&amp;sp=S3lFkyyvtsDG0reK9T9K%2B6w%3D%3D", "During rainy season, drainage work through pump set in ward number 21 to 45.")</f>
        <v/>
      </c>
      <c r="C279" t="inlineStr">
        <is>
          <t>DLB||Dy.DR-Jaipur||Commissioner-Bhartpur</t>
        </is>
      </c>
      <c r="D279" t="inlineStr">
        <is>
          <t>22-May-2025 06:00 PM</t>
        </is>
      </c>
      <c r="E279" t="inlineStr">
        <is>
          <t>10,56,000</t>
        </is>
      </c>
      <c r="F279" t="inlineStr">
        <is>
          <t>During rainy season, drainage work through pump set in ward number 21 to 45.</t>
        </is>
      </c>
      <c r="G279" t="inlineStr">
        <is>
          <t>Municipal Corporation, Bharatpur</t>
        </is>
      </c>
    </row>
    <row r="280">
      <c r="A280" s="1" t="n">
        <v>278</v>
      </c>
      <c r="B280">
        <f>HYPERLINK("https://eproc.rajasthan.gov.in/nicgep/app?component=%24DirectLink&amp;page=FrontEndViewTender&amp;service=direct&amp;session=T&amp;sp=SkzIKRTEzEZwb3vWxoGr1aQ%3D%3D", "Reconstruction work of the damaged wall of Naval Sagar pond in ward no. 08.")</f>
        <v/>
      </c>
      <c r="C280" t="inlineStr">
        <is>
          <t>DLB||Dy.DR-Kota||Commissioner-Bundi</t>
        </is>
      </c>
      <c r="D280" t="inlineStr">
        <is>
          <t>28-May-2025 06:00 PM</t>
        </is>
      </c>
      <c r="E280" t="inlineStr">
        <is>
          <t>8,00,000</t>
        </is>
      </c>
      <c r="F280" t="inlineStr">
        <is>
          <t>Reconstruction work of the damaged wall of Naval Sagar pond in ward no. 08.</t>
        </is>
      </c>
      <c r="G280" t="inlineStr">
        <is>
          <t>Nagar Parishad, Bundi</t>
        </is>
      </c>
    </row>
    <row r="281">
      <c r="A281" s="1" t="n">
        <v>279</v>
      </c>
      <c r="B281">
        <f>HYPERLINK("https://eproc.rajasthan.gov.in/nicgep/app?component=%24DirectLink&amp;page=FrontEndViewTender&amp;service=direct&amp;session=T&amp;sp=SoCcsCGun7R3EHZSPJ28MOg%3D%3D", "BOUNDARY WALL CONSTRUCTION WORK AND FENCING CONSTRUCTION WORK IN J.P. COLONY MOKSHADHAM")</f>
        <v/>
      </c>
      <c r="C281" t="inlineStr">
        <is>
          <t>DLB||Dy.DR-Jaipur||CEO-Jaipur</t>
        </is>
      </c>
      <c r="D281" t="inlineStr">
        <is>
          <t>26-May-2025 06:00 PM</t>
        </is>
      </c>
      <c r="E281" t="inlineStr">
        <is>
          <t>9,99,000</t>
        </is>
      </c>
      <c r="F281" t="inlineStr">
        <is>
          <t>BOUNDARY WALL CONSTRUCTION WORK AND FENCING CONSTRUCTION WORK IN J.P. COLONY MOKSHADHAM</t>
        </is>
      </c>
      <c r="G281" t="inlineStr">
        <is>
          <t>JAIPUR</t>
        </is>
      </c>
    </row>
    <row r="282">
      <c r="A282" s="1" t="n">
        <v>280</v>
      </c>
      <c r="B282">
        <f>HYPERLINK("https://eproc.rajasthan.gov.in/nicgep/app?component=%24DirectLink&amp;page=FrontEndViewTender&amp;service=direct&amp;session=T&amp;sp=SyJ%2BpScpdhgceg0iTjfyLnQ%3D%3D", "Construction of CC Work Phase-8 Jaswant Nagar W.No. 12")</f>
        <v/>
      </c>
      <c r="C282" t="inlineStr">
        <is>
          <t>DLB||Dy.DR-Jaipur||Commissioner-Bhartpur</t>
        </is>
      </c>
      <c r="D282" t="inlineStr">
        <is>
          <t>22-May-2025 06:00 PM</t>
        </is>
      </c>
      <c r="E282" t="inlineStr">
        <is>
          <t>49,98,000</t>
        </is>
      </c>
      <c r="F282" t="inlineStr">
        <is>
          <t>Construction of CC Work Phase-8 Jaswant Nagar W.No. 12</t>
        </is>
      </c>
      <c r="G282" t="inlineStr">
        <is>
          <t>Municipal Corporation, Bharatpur</t>
        </is>
      </c>
    </row>
    <row r="283">
      <c r="A283" s="1" t="n">
        <v>281</v>
      </c>
      <c r="B283">
        <f>HYPERLINK("https://eproc.rajasthan.gov.in/nicgep/app?component=%24DirectLink&amp;page=FrontEndViewTender&amp;service=direct&amp;session=T&amp;sp=Sse3PTrGm1fL%2B0FO89zkLHg%3D%3D", "DAMRIKARAN WORK IN SURAJ NAGAR, DADAGURUDEV NAGAR AND VARIOUS PLACES IN WARD NO. 89 OF SANGANER ZONE")</f>
        <v/>
      </c>
      <c r="C283" t="inlineStr">
        <is>
          <t>DLB||Dy.DR-Jaipur||CEO-Jaipur</t>
        </is>
      </c>
      <c r="D283" t="inlineStr">
        <is>
          <t>26-May-2025 06:00 PM</t>
        </is>
      </c>
      <c r="E283" t="inlineStr">
        <is>
          <t>34,20,000</t>
        </is>
      </c>
      <c r="F283" t="inlineStr">
        <is>
          <t>DAMRIKARAN WORK IN SURAJ NAGAR, DADAGURUDEV NAGAR AND VARIOUS PLACES IN WARD NO. 89 OF SANGANER ZONE</t>
        </is>
      </c>
      <c r="G283" t="inlineStr">
        <is>
          <t>JAIPUR</t>
        </is>
      </c>
    </row>
    <row r="284">
      <c r="A284" s="1" t="n">
        <v>282</v>
      </c>
      <c r="B284">
        <f>HYPERLINK("https://eproc.rajasthan.gov.in/nicgep/app?component=%24DirectLink&amp;page=FrontEndViewTender&amp;service=direct&amp;session=T&amp;sp=Sj7QPFpOWuNglp3BVcIK%2BsA%3D%3D", "Operation and Maintenace of Sewerage Treatment Plant (STP 7.5 MLD) (Near Jodkiya Phatak) and SPS (Near Zila Club and behind Shiv mandir cinema) at Hanumangarh Junction.")</f>
        <v/>
      </c>
      <c r="C284" t="inlineStr">
        <is>
          <t>DLB||Dy.DR-Ajmer||EO-Merta City</t>
        </is>
      </c>
      <c r="D284" t="inlineStr">
        <is>
          <t>28-May-2025 03:00 PM</t>
        </is>
      </c>
      <c r="E284" t="inlineStr">
        <is>
          <t>11,94,000</t>
        </is>
      </c>
      <c r="F284" t="inlineStr">
        <is>
          <t>Operation and Maintenace of Sewerage Treatment Plant (STP 7.5 MLD) (Near Jodkiya Phatak) and SPS (Near Zila Club and behind Shiv mandir cinema) at Hanumangarh Junction.</t>
        </is>
      </c>
      <c r="G284" t="inlineStr">
        <is>
          <t>HANUMANGARH</t>
        </is>
      </c>
    </row>
    <row r="285">
      <c r="A285" s="1" t="n">
        <v>283</v>
      </c>
      <c r="B285">
        <f>HYPERLINK("https://eproc.rajasthan.gov.in/nicgep/app?component=%24DirectLink&amp;page=FrontEndViewTender&amp;service=direct&amp;session=T&amp;sp=SWs1szbOeZG2QVx10CG7vgA%3D%3D", "Nagar Parishad Dhoinda Zone ke Vibhinna Kshetro me Naali Nirman Evam Marammat Karya (Nagar Parishad Rajsamand)")</f>
        <v/>
      </c>
      <c r="C285" t="inlineStr">
        <is>
          <t>DLB||Dy.DR-Udaipur||Commissioner-Rajsamand</t>
        </is>
      </c>
      <c r="D285" t="inlineStr">
        <is>
          <t>27-May-2025 06:00 PM</t>
        </is>
      </c>
      <c r="E285" t="inlineStr">
        <is>
          <t>20,00,000</t>
        </is>
      </c>
      <c r="F285" t="inlineStr">
        <is>
          <t>Nagar Parishad Dhoinda Zone ke Vibhinna Kshetro me Naali Nirman Evam Marammat Karya (Nagar Parishad Rajsamand)</t>
        </is>
      </c>
      <c r="G285" t="inlineStr">
        <is>
          <t>Rajsamand</t>
        </is>
      </c>
    </row>
    <row r="286">
      <c r="A286" s="1" t="n">
        <v>284</v>
      </c>
      <c r="B286">
        <f>HYPERLINK("https://eproc.rajasthan.gov.in/nicgep/app?component=%24DirectLink&amp;page=FrontEndViewTender&amp;service=direct&amp;session=T&amp;sp=ST%2Fj1y3naKRakHJV9HQLfdA%3D%3D", "Shrimali Samaj ke Samudayik Bhawan ke aas paas CC Sadak Nirman Karya (Nagar Parishad Rajsamand)")</f>
        <v/>
      </c>
      <c r="C286" t="inlineStr">
        <is>
          <t>DLB||Dy.DR-Udaipur||Commissioner-Rajsamand</t>
        </is>
      </c>
      <c r="D286" t="inlineStr">
        <is>
          <t>27-May-2025 06:00 PM</t>
        </is>
      </c>
      <c r="E286" t="inlineStr">
        <is>
          <t>10,44,000</t>
        </is>
      </c>
      <c r="F286" t="inlineStr">
        <is>
          <t>Shrimali Samaj ke Samudayik Bhawan ke aas paas CC Sadak Nirman Karya (Nagar Parishad Rajsamand)</t>
        </is>
      </c>
      <c r="G286" t="inlineStr">
        <is>
          <t>Rajsamand</t>
        </is>
      </c>
    </row>
    <row r="287">
      <c r="A287" s="1" t="n">
        <v>285</v>
      </c>
      <c r="B287">
        <f>HYPERLINK("https://eproc.rajasthan.gov.in/nicgep/app?component=%24DirectLink&amp;page=FrontEndViewTender&amp;service=direct&amp;session=T&amp;sp=SeKdQeWqTD%2F8AmGNBXIUKMg%3D%3D", "DAMAR ROAD CONSTRUCTION WORK IN GOVARDHANPURI EXTENSION LOCATED IN WARD NO. 12")</f>
        <v/>
      </c>
      <c r="C287" t="inlineStr">
        <is>
          <t>DLB||Dy.DR-Jaipur||CEO-Jaipur</t>
        </is>
      </c>
      <c r="D287" t="inlineStr">
        <is>
          <t>24-May-2025 06:00 PM</t>
        </is>
      </c>
      <c r="E287" t="inlineStr">
        <is>
          <t>7,65,000</t>
        </is>
      </c>
      <c r="F287" t="inlineStr">
        <is>
          <t>DAMAR ROAD CONSTRUCTION WORK IN GOVARDHANPURI EXTENSION LOCATED IN WARD NO. 12</t>
        </is>
      </c>
      <c r="G287" t="inlineStr">
        <is>
          <t>JAIPUR</t>
        </is>
      </c>
    </row>
    <row r="288">
      <c r="A288" s="1" t="n">
        <v>286</v>
      </c>
      <c r="B288">
        <f>HYPERLINK("https://eproc.rajasthan.gov.in/nicgep/app?component=%24DirectLink&amp;page=FrontEndViewTender&amp;service=direct&amp;session=T&amp;sp=Sgj8RNisn0XY5aG2o%2BpFezA%3D%3D", "DEVELOPMENT WORK IN VARIOUS PARKS IN WARD NO. 26")</f>
        <v/>
      </c>
      <c r="C288" t="inlineStr">
        <is>
          <t>DLB||Dy.DR-Jaipur||CEO-Jaipur</t>
        </is>
      </c>
      <c r="D288" t="inlineStr">
        <is>
          <t>26-May-2025 06:00 PM</t>
        </is>
      </c>
      <c r="E288" t="inlineStr">
        <is>
          <t>10,00,000</t>
        </is>
      </c>
      <c r="F288" t="inlineStr">
        <is>
          <t>DEVELOPMENT WORK IN VARIOUS PARKS IN WARD NO. 26</t>
        </is>
      </c>
      <c r="G288" t="inlineStr">
        <is>
          <t>JAIPUR</t>
        </is>
      </c>
    </row>
    <row r="289">
      <c r="A289" s="1" t="n">
        <v>287</v>
      </c>
      <c r="B289">
        <f>HYPERLINK("https://eproc.rajasthan.gov.in/nicgep/app?component=%24DirectLink&amp;page=FrontEndViewTender&amp;service=direct&amp;session=T&amp;sp=S27iDeYclJ9nrCKIgh9L9tQ%3D%3D", "CONSTRUCTION AND DEVELOPMENT WORK OF BOUNDARY WALL OF 6 PARKS IN WARD NO. 35")</f>
        <v/>
      </c>
      <c r="C289" t="inlineStr">
        <is>
          <t>DLB||Dy.DR-Jaipur||CEO-Jaipur</t>
        </is>
      </c>
      <c r="D289" t="inlineStr">
        <is>
          <t>26-May-2025 06:00 PM</t>
        </is>
      </c>
      <c r="E289" t="inlineStr">
        <is>
          <t>7,00,000</t>
        </is>
      </c>
      <c r="F289" t="inlineStr">
        <is>
          <t>CONSTRUCTION AND DEVELOPMENT WORK OF BOUNDARY WALL OF 6 PARKS IN WARD NO. 35</t>
        </is>
      </c>
      <c r="G289" t="inlineStr">
        <is>
          <t>JAIPUR</t>
        </is>
      </c>
    </row>
    <row r="290">
      <c r="A290" s="1" t="n">
        <v>288</v>
      </c>
      <c r="B290">
        <f>HYPERLINK("https://eproc.rajasthan.gov.in/nicgep/app?component=%24DirectLink&amp;page=FrontEndViewTender&amp;service=direct&amp;session=T&amp;sp=S5H6Dr1gscRh1X4CiPgmg8Q%3D%3D", "TOILET CONSTRUCTION WORK OUTSIDE SECTOR 2 GANESH PARK IN WARD NO. 21 OF VIDYADHAR NAGAR ZONE")</f>
        <v/>
      </c>
      <c r="C290" t="inlineStr">
        <is>
          <t>DLB||Dy.DR-Jaipur||CEO-Jaipur</t>
        </is>
      </c>
      <c r="D290" t="inlineStr">
        <is>
          <t>26-May-2025 06:00 PM</t>
        </is>
      </c>
      <c r="E290" t="inlineStr">
        <is>
          <t>1,78,000</t>
        </is>
      </c>
      <c r="F290" t="inlineStr">
        <is>
          <t>TOILET CONSTRUCTION WORK OUTSIDE SECTOR 2 GANESH PARK IN WARD NO. 21 OF VIDYADHAR NAGAR ZONE</t>
        </is>
      </c>
      <c r="G290" t="inlineStr">
        <is>
          <t>JAIPUR</t>
        </is>
      </c>
    </row>
    <row r="291">
      <c r="A291" s="1" t="n">
        <v>289</v>
      </c>
      <c r="B291">
        <f>HYPERLINK("https://eproc.rajasthan.gov.in/nicgep/app?component=%24DirectLink&amp;page=FrontEndViewTender&amp;service=direct&amp;session=T&amp;sp=SaU1HIw7oiiq5plzK8eEjUQ%3D%3D", "Wall Panelling and Electric work in New Nagar Parishad Building in M. C. Bundi")</f>
        <v/>
      </c>
      <c r="C291" t="inlineStr">
        <is>
          <t>DLB||Dy.DR-Kota||Commissioner-Bundi</t>
        </is>
      </c>
      <c r="D291" t="inlineStr">
        <is>
          <t>26-May-2025 06:00 PM</t>
        </is>
      </c>
      <c r="E291" t="inlineStr">
        <is>
          <t>49,66,000</t>
        </is>
      </c>
      <c r="F291" t="inlineStr">
        <is>
          <t>Wall Panelling and Electric work in New Nagar Parishad Building in M. C. Bundi</t>
        </is>
      </c>
      <c r="G291" t="inlineStr">
        <is>
          <t>Nagar Parishad, Bundi</t>
        </is>
      </c>
    </row>
    <row r="292">
      <c r="A292" s="1" t="n">
        <v>290</v>
      </c>
      <c r="B292">
        <f>HYPERLINK("https://eproc.rajasthan.gov.in/nicgep/app?component=%24DirectLink&amp;page=FrontEndViewTender&amp;service=direct&amp;session=T&amp;sp=S1eEpAjFp9%2FWsdJiAsjqmMA%3D%3D", "ENIB04WORK14")</f>
        <v/>
      </c>
      <c r="C292" t="inlineStr">
        <is>
          <t>DLB||Dy.DR-Jaipur||Commissioner-Sikar</t>
        </is>
      </c>
      <c r="D292" t="inlineStr">
        <is>
          <t>25-May-2025 06:00 PM</t>
        </is>
      </c>
      <c r="E292" t="inlineStr">
        <is>
          <t>10,00,000</t>
        </is>
      </c>
      <c r="F292" t="inlineStr">
        <is>
          <t>Maintenance and Repairing work of Sumpwell at Nawalgarh Road Sikar</t>
        </is>
      </c>
      <c r="G292" t="inlineStr">
        <is>
          <t>MUNICIPAL COUNCIL SIKAR</t>
        </is>
      </c>
    </row>
    <row r="293">
      <c r="A293" s="1" t="n">
        <v>291</v>
      </c>
      <c r="B293">
        <f>HYPERLINK("https://eproc.rajasthan.gov.in/nicgep/app?component=%24DirectLink&amp;page=FrontEndViewTender&amp;service=direct&amp;session=T&amp;sp=STWo2q078Mc55iEomCD7cng%3D%3D", "ENIB04WORK12")</f>
        <v/>
      </c>
      <c r="C293" t="inlineStr">
        <is>
          <t>DLB||Dy.DR-Jaipur||Commissioner-Sikar</t>
        </is>
      </c>
      <c r="D293" t="inlineStr">
        <is>
          <t>25-May-2025 06:00 PM</t>
        </is>
      </c>
      <c r="E293" t="inlineStr">
        <is>
          <t>20,00,000</t>
        </is>
      </c>
      <c r="F293" t="inlineStr">
        <is>
          <t>Item rate contract for road cutting (by electrial dept., airtel, vodafone) repairing at various places in wn 46 to 54</t>
        </is>
      </c>
      <c r="G293" t="inlineStr">
        <is>
          <t>MUNICIPAL COUNCIL SIKAR</t>
        </is>
      </c>
    </row>
    <row r="294">
      <c r="A294" s="1" t="n">
        <v>292</v>
      </c>
      <c r="B294">
        <f>HYPERLINK("https://eproc.rajasthan.gov.in/nicgep/app?component=%24DirectLink&amp;page=FrontEndViewTender&amp;service=direct&amp;session=T&amp;sp=S8TgrCH2SEC%2FfshY7VMDqfA%3D%3D", "ENIB04WORK13")</f>
        <v/>
      </c>
      <c r="C294" t="inlineStr">
        <is>
          <t>DLB||Dy.DR-Jaipur||Commissioner-Sikar</t>
        </is>
      </c>
      <c r="D294" t="inlineStr">
        <is>
          <t>25-May-2025 06:00 PM</t>
        </is>
      </c>
      <c r="E294" t="inlineStr">
        <is>
          <t>20,00,000</t>
        </is>
      </c>
      <c r="F294" t="inlineStr">
        <is>
          <t>Item rate contract for road cutting (by electrial dept., airtel, vodafone) repairing at various places in wn 21 to 40</t>
        </is>
      </c>
      <c r="G294" t="inlineStr">
        <is>
          <t>MUNICIPAL COUNCIL SIKAR</t>
        </is>
      </c>
    </row>
    <row r="295">
      <c r="A295" s="1" t="n">
        <v>293</v>
      </c>
      <c r="B295">
        <f>HYPERLINK("https://eproc.rajasthan.gov.in/nicgep/app?component=%24DirectLink&amp;page=FrontEndViewTender&amp;service=direct&amp;session=T&amp;sp=S9yUYPY%2F6NTSttMHQ5lkcZw%3D%3D", "ENIB04WORK10")</f>
        <v/>
      </c>
      <c r="C295" t="inlineStr">
        <is>
          <t>DLB||Dy.DR-Jaipur||Commissioner-Sikar</t>
        </is>
      </c>
      <c r="D295" t="inlineStr">
        <is>
          <t>25-May-2025 06:00 PM</t>
        </is>
      </c>
      <c r="E295" t="inlineStr">
        <is>
          <t>48,83,000</t>
        </is>
      </c>
      <c r="F295" t="inlineStr">
        <is>
          <t>Construction of drain work from Dhod road to Kanwarpura road (Bismillah colony).</t>
        </is>
      </c>
      <c r="G295" t="inlineStr">
        <is>
          <t>MUNICIPAL COUNCIL SIKAR</t>
        </is>
      </c>
    </row>
    <row r="296">
      <c r="A296" s="1" t="n">
        <v>294</v>
      </c>
      <c r="B296">
        <f>HYPERLINK("https://eproc.rajasthan.gov.in/nicgep/app?component=%24DirectLink&amp;page=FrontEndViewTender&amp;service=direct&amp;session=T&amp;sp=S%2BAMfGQotGuppgbhmUkmHAw%3D%3D", "ENIB04WORK11")</f>
        <v/>
      </c>
      <c r="C296" t="inlineStr">
        <is>
          <t>DLB||Dy.DR-Jaipur||Commissioner-Sikar</t>
        </is>
      </c>
      <c r="D296" t="inlineStr">
        <is>
          <t>25-May-2025 06:00 PM</t>
        </is>
      </c>
      <c r="E296" t="inlineStr">
        <is>
          <t>20,00,000</t>
        </is>
      </c>
      <c r="F296" t="inlineStr">
        <is>
          <t>Item rate contract for road cutting (by electrial dept., airtel, vodafone) repairing at various places in wn 55,56 and 57</t>
        </is>
      </c>
      <c r="G296" t="inlineStr">
        <is>
          <t>MUNICIPAL COUNCIL SIKAR</t>
        </is>
      </c>
    </row>
    <row r="297">
      <c r="A297" s="1" t="n">
        <v>295</v>
      </c>
      <c r="B297">
        <f>HYPERLINK("https://eproc.rajasthan.gov.in/nicgep/app?component=%24DirectLink&amp;page=FrontEndViewTender&amp;service=direct&amp;session=T&amp;sp=SoIOocMJ%2BjF%2BZT1q8UeDwfA%3D%3D", "ENIB04WORK07")</f>
        <v/>
      </c>
      <c r="C297" t="inlineStr">
        <is>
          <t>DLB||Dy.DR-Jaipur||Commissioner-Sikar</t>
        </is>
      </c>
      <c r="D297" t="inlineStr">
        <is>
          <t>25-May-2025 06:00 PM</t>
        </is>
      </c>
      <c r="E297" t="inlineStr">
        <is>
          <t>25,00,000</t>
        </is>
      </c>
      <c r="F297" t="inlineStr">
        <is>
          <t>Item Rate Contract for House Sewer Connection at Various places in Sikar</t>
        </is>
      </c>
      <c r="G297" t="inlineStr">
        <is>
          <t>MUNICIPAL COUNCIL SIKAR</t>
        </is>
      </c>
    </row>
    <row r="298">
      <c r="A298" s="1" t="n">
        <v>296</v>
      </c>
      <c r="B298">
        <f>HYPERLINK("https://eproc.rajasthan.gov.in/nicgep/app?component=%24DirectLink&amp;page=FrontEndViewTender&amp;service=direct&amp;session=T&amp;sp=SDMi%2Bsqmg9X6%2BvklnL4FE3Q%3D%3D", "ENIB04WORK08")</f>
        <v/>
      </c>
      <c r="C298" t="inlineStr">
        <is>
          <t>DLB||Dy.DR-Jaipur||Commissioner-Sikar</t>
        </is>
      </c>
      <c r="D298" t="inlineStr">
        <is>
          <t>25-May-2025 06:00 PM</t>
        </is>
      </c>
      <c r="E298" t="inlineStr">
        <is>
          <t>16,95,000</t>
        </is>
      </c>
      <c r="F298" t="inlineStr">
        <is>
          <t>Constgruction of RWR (Rain Water Recharge) Structure in Municipal Council Area Sikar</t>
        </is>
      </c>
      <c r="G298" t="inlineStr">
        <is>
          <t>MUNICIPAL COUNCIL SIKAR</t>
        </is>
      </c>
    </row>
    <row r="299">
      <c r="A299" s="1" t="n">
        <v>297</v>
      </c>
      <c r="B299">
        <f>HYPERLINK("https://eproc.rajasthan.gov.in/nicgep/app?component=%24DirectLink&amp;page=FrontEndViewTender&amp;service=direct&amp;session=T&amp;sp=SOQy5Qu%2BFPt3c9ygnJxcrhw%3D%3D", "ENIB04WORK09")</f>
        <v/>
      </c>
      <c r="C299" t="inlineStr">
        <is>
          <t>DLB||Dy.DR-Jaipur||Commissioner-Sikar</t>
        </is>
      </c>
      <c r="D299" t="inlineStr">
        <is>
          <t>25-May-2025 06:00 PM</t>
        </is>
      </c>
      <c r="E299" t="inlineStr">
        <is>
          <t>50,00,000</t>
        </is>
      </c>
      <c r="F299" t="inlineStr">
        <is>
          <t>Item Rate Contract for road repair and pothole repairing during rainy seasion at various places in Sikar</t>
        </is>
      </c>
      <c r="G299" t="inlineStr">
        <is>
          <t>MUNICIPAL COUNCIL SIKAR</t>
        </is>
      </c>
    </row>
    <row r="300">
      <c r="A300" s="1" t="n">
        <v>298</v>
      </c>
      <c r="B300">
        <f>HYPERLINK("https://eproc.rajasthan.gov.in/nicgep/app?component=%24DirectLink&amp;page=FrontEndViewTender&amp;service=direct&amp;session=T&amp;sp=SryLL9eY6CGahkTA2O5yekg%3D%3D", "Supply and Fixing Outer Electric Pole and Light and Stage Light at Town Hall M.C. Bundi")</f>
        <v/>
      </c>
      <c r="C300" t="inlineStr">
        <is>
          <t>DLB||Dy.DR-Kota||Commissioner-Bundi</t>
        </is>
      </c>
      <c r="D300" t="inlineStr">
        <is>
          <t>26-May-2025 06:00 PM</t>
        </is>
      </c>
      <c r="E300" t="inlineStr">
        <is>
          <t>49,99,000</t>
        </is>
      </c>
      <c r="F300" t="inlineStr">
        <is>
          <t>Supply and Fixing Outer Electric Pole and Light and Stage Light at Town Hall M.C. Bundi</t>
        </is>
      </c>
      <c r="G300" t="inlineStr">
        <is>
          <t>Nagar Parishad, Bundi</t>
        </is>
      </c>
    </row>
    <row r="301">
      <c r="A301" s="1" t="n">
        <v>299</v>
      </c>
      <c r="B301">
        <f>HYPERLINK("https://eproc.rajasthan.gov.in/nicgep/app?component=%24DirectLink&amp;page=FrontEndViewTender&amp;service=direct&amp;session=T&amp;sp=SOT4kO9Val5OUZ5Ew6wD1Aw%3D%3D", "ENIB04WORK02")</f>
        <v/>
      </c>
      <c r="C301" t="inlineStr">
        <is>
          <t>DLB||Dy.DR-Jaipur||Commissioner-Sikar</t>
        </is>
      </c>
      <c r="D301" t="inlineStr">
        <is>
          <t>25-May-2025 06:00 PM</t>
        </is>
      </c>
      <c r="E301" t="inlineStr">
        <is>
          <t>25,00,000</t>
        </is>
      </c>
      <c r="F301" t="inlineStr">
        <is>
          <t>Repair of Cross and Drain Work in Ward No. 19 to 30 in Sikar. (Item Rate Contract)</t>
        </is>
      </c>
      <c r="G301" t="inlineStr">
        <is>
          <t>MUNICIPAL COUNCIL SIKAR</t>
        </is>
      </c>
    </row>
    <row r="302">
      <c r="A302" s="1" t="n">
        <v>300</v>
      </c>
      <c r="B302">
        <f>HYPERLINK("https://eproc.rajasthan.gov.in/nicgep/app?component=%24DirectLink&amp;page=FrontEndViewTender&amp;service=direct&amp;session=T&amp;sp=Se1twyLJ5Ec2wwFc%2FbpxDrg%3D%3D", "Interlocking tile construction work from Kishangarh Road to Vikram house")</f>
        <v/>
      </c>
      <c r="C302" t="inlineStr">
        <is>
          <t>DLB||Dy.DR-Jaipur||EO- PAOTA PRAGPURA</t>
        </is>
      </c>
      <c r="D302" t="inlineStr">
        <is>
          <t>22-May-2025 06:00 PM</t>
        </is>
      </c>
      <c r="E302" t="inlineStr">
        <is>
          <t>9,16,000</t>
        </is>
      </c>
      <c r="F302" t="inlineStr">
        <is>
          <t>Interlocking tile construction work from Kishangarh Road to Vikram house</t>
        </is>
      </c>
      <c r="G302" t="inlineStr">
        <is>
          <t>kotkasim</t>
        </is>
      </c>
    </row>
    <row r="303">
      <c r="A303" s="1" t="n">
        <v>301</v>
      </c>
      <c r="B303">
        <f>HYPERLINK("https://eproc.rajasthan.gov.in/nicgep/app?component=%24DirectLink&amp;page=FrontEndViewTender&amp;service=direct&amp;session=T&amp;sp=ScqkXxxXfvPWxZ1XyZXvjDA%3D%3D", "Supply and Fixing Point Wiring, Cables, Panels and Electric Accessories at Town Hall in M.C. Bundi")</f>
        <v/>
      </c>
      <c r="C303" t="inlineStr">
        <is>
          <t>DLB||Dy.DR-Kota||Commissioner-Bundi</t>
        </is>
      </c>
      <c r="D303" t="inlineStr">
        <is>
          <t>26-May-2025 06:00 PM</t>
        </is>
      </c>
      <c r="E303" t="inlineStr">
        <is>
          <t>47,76,000</t>
        </is>
      </c>
      <c r="F303" t="inlineStr">
        <is>
          <t>Supply and Fixing Point Wiring, Cables, Panels and Electric Accessories at Town Hall in M.C. Bundi</t>
        </is>
      </c>
      <c r="G303" t="inlineStr">
        <is>
          <t>Nagar Parishad, Bundi</t>
        </is>
      </c>
    </row>
    <row r="304">
      <c r="A304" s="1" t="n">
        <v>302</v>
      </c>
      <c r="B304">
        <f>HYPERLINK("https://eproc.rajasthan.gov.in/nicgep/app?component=%24DirectLink&amp;page=FrontEndViewTender&amp;service=direct&amp;session=T&amp;sp=SjcRRPwykXBPDPJEa%2F1HZjw%3D%3D", "ENIB04WORK05")</f>
        <v/>
      </c>
      <c r="C304" t="inlineStr">
        <is>
          <t>DLB||Dy.DR-Jaipur||Commissioner-Sikar</t>
        </is>
      </c>
      <c r="D304" t="inlineStr">
        <is>
          <t>25-May-2025 06:00 PM</t>
        </is>
      </c>
      <c r="E304" t="inlineStr">
        <is>
          <t>25,00,000</t>
        </is>
      </c>
      <c r="F304" t="inlineStr">
        <is>
          <t>Repair of Cross and Drain Work in Ward No. 55 to 57 in Sikar. (Item Rate Contract)</t>
        </is>
      </c>
      <c r="G304" t="inlineStr">
        <is>
          <t>MUNICIPAL COUNCIL SIKAR</t>
        </is>
      </c>
    </row>
    <row r="305">
      <c r="A305" s="1" t="n">
        <v>303</v>
      </c>
      <c r="B305">
        <f>HYPERLINK("https://eproc.rajasthan.gov.in/nicgep/app?component=%24DirectLink&amp;page=FrontEndViewTender&amp;service=direct&amp;session=T&amp;sp=SzkoyB2dHv2uRfe3qyyBU%2BQ%3D%3D", "ENIB04WORK06")</f>
        <v/>
      </c>
      <c r="C305" t="inlineStr">
        <is>
          <t>DLB||Dy.DR-Jaipur||Commissioner-Sikar</t>
        </is>
      </c>
      <c r="D305" t="inlineStr">
        <is>
          <t>25-May-2025 06:00 PM</t>
        </is>
      </c>
      <c r="E305" t="inlineStr">
        <is>
          <t>25,00,000</t>
        </is>
      </c>
      <c r="F305" t="inlineStr">
        <is>
          <t>Repair of Cross and Drain Work in Ward No. 58 to 65 in Sikar.(Item Rate Contract)</t>
        </is>
      </c>
      <c r="G305" t="inlineStr">
        <is>
          <t>MUNICIPAL COUNCIL SIKAR</t>
        </is>
      </c>
    </row>
    <row r="306">
      <c r="A306" s="1" t="n">
        <v>304</v>
      </c>
      <c r="B306">
        <f>HYPERLINK("https://eproc.rajasthan.gov.in/nicgep/app?component=%24DirectLink&amp;page=FrontEndViewTender&amp;service=direct&amp;session=T&amp;sp=SlRUCwwv9F43kPkayVWcrpA%3D%3D", "Interlocking tile construction work from Kishangarh Road to Dhana house and from Dhana house to Jitendra house")</f>
        <v/>
      </c>
      <c r="C306" t="inlineStr">
        <is>
          <t>DLB||Dy.DR-Jaipur||EO- PAOTA PRAGPURA</t>
        </is>
      </c>
      <c r="D306" t="inlineStr">
        <is>
          <t>22-May-2025 06:00 PM</t>
        </is>
      </c>
      <c r="E306" t="inlineStr">
        <is>
          <t>4,70,000</t>
        </is>
      </c>
      <c r="F306" t="inlineStr">
        <is>
          <t>Interlocking tile construction work from Kishangarh Road to Dhana house and from Dhana house to Jitendra house</t>
        </is>
      </c>
      <c r="G306" t="inlineStr">
        <is>
          <t>kotkasim</t>
        </is>
      </c>
    </row>
    <row r="307">
      <c r="A307" s="1" t="n">
        <v>305</v>
      </c>
      <c r="B307">
        <f>HYPERLINK("https://eproc.rajasthan.gov.in/nicgep/app?component=%24DirectLink&amp;page=FrontEndViewTender&amp;service=direct&amp;session=T&amp;sp=SQzViveKiGDiLtasou3SXXA%3D%3D", "Supply and Fixing Chairs at Town Hall in M.C. Bundi")</f>
        <v/>
      </c>
      <c r="C307" t="inlineStr">
        <is>
          <t>DLB||Dy.DR-Kota||Commissioner-Bundi</t>
        </is>
      </c>
      <c r="D307" t="inlineStr">
        <is>
          <t>26-May-2025 06:00 PM</t>
        </is>
      </c>
      <c r="E307" t="inlineStr">
        <is>
          <t>48,36,000</t>
        </is>
      </c>
      <c r="F307" t="inlineStr">
        <is>
          <t>Supply and Fixing Chairs at Town Hall in M.C. Bundi</t>
        </is>
      </c>
      <c r="G307" t="inlineStr">
        <is>
          <t>Nagar Parishad, Bundi</t>
        </is>
      </c>
    </row>
    <row r="308">
      <c r="A308" s="1" t="n">
        <v>306</v>
      </c>
      <c r="B308">
        <f>HYPERLINK("https://eproc.rajasthan.gov.in/nicgep/app?component=%24DirectLink&amp;page=FrontEndViewTender&amp;service=direct&amp;session=T&amp;sp=StWhQqYrLhPionhZRDVbqcQ%3D%3D", "Interlocking tile construction work from Raju house to Radheshyam house")</f>
        <v/>
      </c>
      <c r="C308" t="inlineStr">
        <is>
          <t>DLB||Dy.DR-Jaipur||EO- PAOTA PRAGPURA</t>
        </is>
      </c>
      <c r="D308" t="inlineStr">
        <is>
          <t>22-May-2025 06:00 PM</t>
        </is>
      </c>
      <c r="E308" t="inlineStr">
        <is>
          <t>9,40,000</t>
        </is>
      </c>
      <c r="F308" t="inlineStr">
        <is>
          <t>Interlocking tile construction work from Raju house to Radheshyam house</t>
        </is>
      </c>
      <c r="G308" t="inlineStr">
        <is>
          <t>kotkasim</t>
        </is>
      </c>
    </row>
    <row r="309">
      <c r="A309" s="1" t="n">
        <v>307</v>
      </c>
      <c r="B309">
        <f>HYPERLINK("https://eproc.rajasthan.gov.in/nicgep/app?component=%24DirectLink&amp;page=FrontEndViewTender&amp;service=direct&amp;session=T&amp;sp=SzvXFa5DTvqIIXSCwgW%2FXFw%3D%3D", "ENIB04WORK04")</f>
        <v/>
      </c>
      <c r="C309" t="inlineStr">
        <is>
          <t>DLB||Dy.DR-Jaipur||Commissioner-Sikar</t>
        </is>
      </c>
      <c r="D309" t="inlineStr">
        <is>
          <t>25-May-2025 06:00 PM</t>
        </is>
      </c>
      <c r="E309" t="inlineStr">
        <is>
          <t>25,00,000</t>
        </is>
      </c>
      <c r="F309" t="inlineStr">
        <is>
          <t>Repair of Cross and Drain Work in Ward No. 46 to 54 in Sikar. (Item Rate Contract)</t>
        </is>
      </c>
      <c r="G309" t="inlineStr">
        <is>
          <t>MUNICIPAL COUNCIL SIKAR</t>
        </is>
      </c>
    </row>
    <row r="310">
      <c r="A310" s="1" t="n">
        <v>308</v>
      </c>
      <c r="B310">
        <f>HYPERLINK("https://eproc.rajasthan.gov.in/nicgep/app?component=%24DirectLink&amp;page=FrontEndViewTender&amp;service=direct&amp;session=T&amp;sp=S6E4LruQrR5Km%2FLLZHJF%2BQQ%3D%3D", "ENIB04WORK03")</f>
        <v/>
      </c>
      <c r="C310" t="inlineStr">
        <is>
          <t>DLB||Dy.DR-Jaipur||Commissioner-Sikar</t>
        </is>
      </c>
      <c r="D310" t="inlineStr">
        <is>
          <t>25-May-2025 06:00 PM</t>
        </is>
      </c>
      <c r="E310" t="inlineStr">
        <is>
          <t>25,00,000</t>
        </is>
      </c>
      <c r="F310" t="inlineStr">
        <is>
          <t>Repair of Cross and Drain Work in Ward No. 31 to 45 in Sikar. (Item Rate Contract)</t>
        </is>
      </c>
      <c r="G310" t="inlineStr">
        <is>
          <t>MUNICIPAL COUNCIL SIKAR</t>
        </is>
      </c>
    </row>
    <row r="311">
      <c r="A311" s="1" t="n">
        <v>309</v>
      </c>
      <c r="B311">
        <f>HYPERLINK("https://eproc.rajasthan.gov.in/nicgep/app?component=%24DirectLink&amp;page=FrontEndViewTender&amp;service=direct&amp;session=T&amp;sp=S%2FEV3X%2BPVHyqqE7ztKfOgew%3D%3D", "E-NIT No.01/2025-26/Garage Drivers")</f>
        <v/>
      </c>
      <c r="C311" t="inlineStr">
        <is>
          <t>DLB||Dy.DR-Bikaner||CEO-Bikaner</t>
        </is>
      </c>
      <c r="D311" t="inlineStr">
        <is>
          <t>06-Jun-2025 05:00 PM</t>
        </is>
      </c>
      <c r="E311" t="inlineStr">
        <is>
          <t>1,50,00,000</t>
        </is>
      </c>
      <c r="F311" t="inlineStr">
        <is>
          <t>Supply work of Drivers for various vehicles and machines to nagar nigam bikaner as per contract basis for two years.</t>
        </is>
      </c>
      <c r="G311" t="inlineStr">
        <is>
          <t>Bikaner</t>
        </is>
      </c>
    </row>
    <row r="312">
      <c r="A312" s="1" t="n">
        <v>310</v>
      </c>
      <c r="B312">
        <f>HYPERLINK("https://eproc.rajasthan.gov.in/nicgep/app?component=%24DirectLink&amp;page=FrontEndViewTender&amp;service=direct&amp;session=T&amp;sp=SVj1v5WxTratJhsNIdPX7FQ%3D%3D", "ENIB04WORK01")</f>
        <v/>
      </c>
      <c r="C312" t="inlineStr">
        <is>
          <t>DLB||Dy.DR-Jaipur||Commissioner-Sikar</t>
        </is>
      </c>
      <c r="D312" t="inlineStr">
        <is>
          <t>25-May-2025 06:00 PM</t>
        </is>
      </c>
      <c r="E312" t="inlineStr">
        <is>
          <t>25,00,000</t>
        </is>
      </c>
      <c r="F312" t="inlineStr">
        <is>
          <t>Repair of Cross and Drain Work in Ward No. 01 to 18 in Sikar. (Item Rate Contract)</t>
        </is>
      </c>
      <c r="G312" t="inlineStr">
        <is>
          <t>MUNICIPAL COUNCIL SIKAR</t>
        </is>
      </c>
    </row>
    <row r="313">
      <c r="A313" s="1" t="n">
        <v>311</v>
      </c>
      <c r="B313">
        <f>HYPERLINK("https://eproc.rajasthan.gov.in/nicgep/app?component=%24DirectLink&amp;page=FrontEndViewTender&amp;service=direct&amp;session=T&amp;sp=S0furoMY0sOJRginswkfj0g%3D%3D", "All work related to road light On-Off and road line repair work in the Municipal council area, high mast light and all the lights of the park and road lights.")</f>
        <v/>
      </c>
      <c r="C313" t="inlineStr">
        <is>
          <t>DLB||Dy.DR-Kota||Commissioner-Baran</t>
        </is>
      </c>
      <c r="D313" t="inlineStr">
        <is>
          <t>26-May-2025 03:00 PM</t>
        </is>
      </c>
      <c r="E313" t="inlineStr">
        <is>
          <t>23,00,000</t>
        </is>
      </c>
      <c r="F313" t="inlineStr">
        <is>
          <t>All work related to road light On-Off and road line repair work in the Municipal council area, high mast light and all the lights of the park and road lights.</t>
        </is>
      </c>
      <c r="G313" t="inlineStr">
        <is>
          <t>Baran</t>
        </is>
      </c>
    </row>
    <row r="314">
      <c r="A314" s="1" t="n">
        <v>312</v>
      </c>
      <c r="B314">
        <f>HYPERLINK("https://eproc.rajasthan.gov.in/nicgep/app?component=%24DirectLink&amp;page=FrontEndViewTender&amp;service=direct&amp;session=T&amp;sp=Sm4FCs37eONGf%2BurAc%2FfFlg%3D%3D", "Photography and Videography Work including Mela.")</f>
        <v/>
      </c>
      <c r="C314" t="inlineStr">
        <is>
          <t>DLB||Dy.DR-Kota||Commissioner-Baran</t>
        </is>
      </c>
      <c r="D314" t="inlineStr">
        <is>
          <t>26-May-2025 03:00 PM</t>
        </is>
      </c>
      <c r="E314" t="inlineStr">
        <is>
          <t>4,00,000</t>
        </is>
      </c>
      <c r="F314" t="inlineStr">
        <is>
          <t>Photography and Videography Work including Mela.</t>
        </is>
      </c>
      <c r="G314" t="inlineStr">
        <is>
          <t>Baran</t>
        </is>
      </c>
    </row>
    <row r="315">
      <c r="A315" s="1" t="n">
        <v>313</v>
      </c>
      <c r="B315">
        <f>HYPERLINK("https://eproc.rajasthan.gov.in/nicgep/app?component=%24DirectLink&amp;page=FrontEndViewTender&amp;service=direct&amp;session=T&amp;sp=S2X5DhJkWUjS%2BJy1ybLhDFQ%3D%3D", "Chaukidari work in Kachra Plant, Kayan House and Parks situated in Nagar Parishad Area.")</f>
        <v/>
      </c>
      <c r="C315" t="inlineStr">
        <is>
          <t>DLB||Dy.DR-Kota||Commissioner-Baran</t>
        </is>
      </c>
      <c r="D315" t="inlineStr">
        <is>
          <t>26-May-2025 03:00 PM</t>
        </is>
      </c>
      <c r="E315" t="inlineStr">
        <is>
          <t>20,00,000</t>
        </is>
      </c>
      <c r="F315" t="inlineStr">
        <is>
          <t>Chaukidari work in Kachra Plant, Kayan House and Parks situated in Nagar Parishad Area.</t>
        </is>
      </c>
      <c r="G315" t="inlineStr">
        <is>
          <t>Baran</t>
        </is>
      </c>
    </row>
    <row r="316">
      <c r="A316" s="1" t="n">
        <v>314</v>
      </c>
      <c r="B316">
        <f>HYPERLINK("https://eproc.rajasthan.gov.in/nicgep/app?component=%24DirectLink&amp;page=FrontEndViewTender&amp;service=direct&amp;session=T&amp;sp=SefmB%2B3ROxlAO2DSpfTHrbg%3D%3D", "Stationery Printing and Flex Printing work including Fixing work.")</f>
        <v/>
      </c>
      <c r="C316" t="inlineStr">
        <is>
          <t>DLB||Dy.DR-Kota||Commissioner-Baran</t>
        </is>
      </c>
      <c r="D316" t="inlineStr">
        <is>
          <t>26-May-2025 03:00 PM</t>
        </is>
      </c>
      <c r="E316" t="inlineStr">
        <is>
          <t>20,00,000</t>
        </is>
      </c>
      <c r="F316" t="inlineStr">
        <is>
          <t>Stationery Printing and Flex Printing work including Fixing work.</t>
        </is>
      </c>
      <c r="G316" t="inlineStr">
        <is>
          <t>Baran</t>
        </is>
      </c>
    </row>
    <row r="317">
      <c r="A317" s="1" t="n">
        <v>315</v>
      </c>
      <c r="B317">
        <f>HYPERLINK("https://eproc.rajasthan.gov.in/nicgep/app?component=%24DirectLink&amp;page=FrontEndViewTender&amp;service=direct&amp;session=T&amp;sp=SAqz9DILYMiUUZvYL6GLRjQ%3D%3D", "Chowpatty construction work near 80 feet road Shyama Prasad Mukherjee Park.")</f>
        <v/>
      </c>
      <c r="C317" t="inlineStr">
        <is>
          <t>DLB||Dy.DR-Ajmer||EO-Niwai</t>
        </is>
      </c>
      <c r="D317" t="inlineStr">
        <is>
          <t>03-Jun-2025 06:00 PM</t>
        </is>
      </c>
      <c r="E317" t="inlineStr">
        <is>
          <t>1,49,93,000</t>
        </is>
      </c>
      <c r="F317" t="inlineStr">
        <is>
          <t>Chowpatty construction work near 80 feet road Shyama Prasad Mukherjee Park.</t>
        </is>
      </c>
      <c r="G317" t="inlineStr">
        <is>
          <t>NEWAI</t>
        </is>
      </c>
    </row>
    <row r="318">
      <c r="A318" s="1" t="n">
        <v>316</v>
      </c>
      <c r="B318">
        <f>HYPERLINK("https://eproc.rajasthan.gov.in/nicgep/app?component=%24DirectLink&amp;page=FrontEndViewTender&amp;service=direct&amp;session=T&amp;sp=SQtpbQXgANESYpdl7M6qY9w%3D%3D", "Construction of Sabji mandi back side of Govt senior sec. school , Newai.")</f>
        <v/>
      </c>
      <c r="C318" t="inlineStr">
        <is>
          <t>DLB||Dy.DR-Ajmer||EO-Niwai</t>
        </is>
      </c>
      <c r="D318" t="inlineStr">
        <is>
          <t>03-Jun-2025 06:00 PM</t>
        </is>
      </c>
      <c r="E318" t="inlineStr">
        <is>
          <t>96,03,000</t>
        </is>
      </c>
      <c r="F318" t="inlineStr">
        <is>
          <t>Construction of Sabji mandi back side of Govt senior sec. school , Newai.</t>
        </is>
      </c>
      <c r="G318" t="inlineStr">
        <is>
          <t>NEWAI</t>
        </is>
      </c>
    </row>
    <row r="319">
      <c r="A319" s="1" t="n">
        <v>317</v>
      </c>
      <c r="B319">
        <f>HYPERLINK("https://eproc.rajasthan.gov.in/nicgep/app?component=%24DirectLink&amp;page=FrontEndViewTender&amp;service=direct&amp;session=T&amp;sp=SrYpOyuDArEFUfluPvoRLBQ%3D%3D", "The work of constructing a martyr memorial in the municipality area")</f>
        <v/>
      </c>
      <c r="C319" t="inlineStr">
        <is>
          <t>DLB||Dy.DR-Ajmer||EO-Niwai</t>
        </is>
      </c>
      <c r="D319" t="inlineStr">
        <is>
          <t>03-Jun-2025 06:00 PM</t>
        </is>
      </c>
      <c r="E319" t="inlineStr">
        <is>
          <t>1,02,63,000</t>
        </is>
      </c>
      <c r="F319" t="inlineStr">
        <is>
          <t>The work of constructing a martyr memorial in the municipality area</t>
        </is>
      </c>
      <c r="G319" t="inlineStr">
        <is>
          <t>NEWAI</t>
        </is>
      </c>
    </row>
    <row r="320">
      <c r="A320" s="1" t="n">
        <v>318</v>
      </c>
      <c r="B320">
        <f>HYPERLINK("https://eproc.rajasthan.gov.in/nicgep/app?component=%24DirectLink&amp;page=FrontEndViewTender&amp;service=direct&amp;session=T&amp;sp=SxgCyPuuQjOzhP4%2FNf4nMMw%3D%3D", "Construction of Guest House Building at Newai.")</f>
        <v/>
      </c>
      <c r="C320" t="inlineStr">
        <is>
          <t>DLB||Dy.DR-Ajmer||EO-Niwai</t>
        </is>
      </c>
      <c r="D320" t="inlineStr">
        <is>
          <t>03-Jun-2025 06:00 PM</t>
        </is>
      </c>
      <c r="E320" t="inlineStr">
        <is>
          <t>1,49,72,000</t>
        </is>
      </c>
      <c r="F320" t="inlineStr">
        <is>
          <t>Construction of Guest House Building at Newai.</t>
        </is>
      </c>
      <c r="G320" t="inlineStr">
        <is>
          <t>NEWAI</t>
        </is>
      </c>
    </row>
    <row r="321">
      <c r="A321" s="1" t="n">
        <v>319</v>
      </c>
      <c r="B321">
        <f>HYPERLINK("https://eproc.rajasthan.gov.in/nicgep/app?component=%24DirectLink&amp;page=FrontEndViewTender&amp;service=direct&amp;session=T&amp;sp=SXqcouHqVJKvJ2M3%2FSZWYgA%3D%3D", "Deep Bore work in Kabristan Jawahar Nagar W.No. 43")</f>
        <v/>
      </c>
      <c r="C321" t="inlineStr">
        <is>
          <t>DLB||Dy.DR-Jaipur||Commissioner-Bhartpur</t>
        </is>
      </c>
      <c r="D321" t="inlineStr">
        <is>
          <t>22-May-2025 06:00 PM</t>
        </is>
      </c>
      <c r="E321" t="inlineStr">
        <is>
          <t>5,79,000</t>
        </is>
      </c>
      <c r="F321" t="inlineStr">
        <is>
          <t>Deep Bore work in Kabristan Jawahar Nagar W.No. 43</t>
        </is>
      </c>
      <c r="G321" t="inlineStr">
        <is>
          <t>Municipal Corporation, Bharatpur</t>
        </is>
      </c>
    </row>
    <row r="322">
      <c r="A322" s="1" t="n">
        <v>320</v>
      </c>
      <c r="B322">
        <f>HYPERLINK("https://eproc.rajasthan.gov.in/nicgep/app?component=%24DirectLink&amp;page=FrontEndViewTender&amp;service=direct&amp;session=T&amp;sp=SMaTbvaxYNf8mf%2BB2DPWryA%3D%3D", "Construction of tiranga circle")</f>
        <v/>
      </c>
      <c r="C322" t="inlineStr">
        <is>
          <t>DLB||Dy.DR-Ajmer||EO-Merta City</t>
        </is>
      </c>
      <c r="D322" t="inlineStr">
        <is>
          <t>09-Jun-2025 06:00 PM</t>
        </is>
      </c>
      <c r="E322" t="inlineStr">
        <is>
          <t>20,28,000</t>
        </is>
      </c>
      <c r="F322" t="inlineStr">
        <is>
          <t>Construction of tiranga circle</t>
        </is>
      </c>
      <c r="G322" t="inlineStr">
        <is>
          <t>Merta City</t>
        </is>
      </c>
    </row>
    <row r="323">
      <c r="A323" s="1" t="n">
        <v>321</v>
      </c>
      <c r="B323">
        <f>HYPERLINK("https://eproc.rajasthan.gov.in/nicgep/app?component=%24DirectLink&amp;page=FrontEndViewTender&amp;service=direct&amp;session=T&amp;sp=S4CXFB1WuZznQ9Ck9hpjE%2FA%3D%3D", "Construction of boundary wall around Abdul Kalam Park")</f>
        <v/>
      </c>
      <c r="C323" t="inlineStr">
        <is>
          <t>DLB||Dy.DR-Ajmer||EO-Merta City</t>
        </is>
      </c>
      <c r="D323" t="inlineStr">
        <is>
          <t>09-Jun-2025 06:00 PM</t>
        </is>
      </c>
      <c r="E323" t="inlineStr">
        <is>
          <t>24,98,000</t>
        </is>
      </c>
      <c r="F323" t="inlineStr">
        <is>
          <t>Construction of boundary wall around Abdul Kalam Park</t>
        </is>
      </c>
      <c r="G323" t="inlineStr">
        <is>
          <t>Merta City</t>
        </is>
      </c>
    </row>
    <row r="324">
      <c r="A324" s="1" t="n">
        <v>322</v>
      </c>
      <c r="B324">
        <f>HYPERLINK("https://eproc.rajasthan.gov.in/nicgep/app?component=%24DirectLink&amp;page=FrontEndViewTender&amp;service=direct&amp;session=T&amp;sp=SeHML%2F9QxClJNECnW5YR0Lg%3D%3D", "Supply work in Temporary Auto Tipper and Hopper driver")</f>
        <v/>
      </c>
      <c r="C324" t="inlineStr">
        <is>
          <t>DLB||Dy.DR-Bikaner||EO-Shrivijaynagar</t>
        </is>
      </c>
      <c r="D324" t="inlineStr">
        <is>
          <t>26-May-2025 09:00 AM</t>
        </is>
      </c>
      <c r="E324" t="inlineStr">
        <is>
          <t>22,50,000</t>
        </is>
      </c>
      <c r="F324" t="inlineStr">
        <is>
          <t>Supply work in Temporary Auto Tipper and Hopper driver</t>
        </is>
      </c>
      <c r="G324" t="inlineStr">
        <is>
          <t>SRIVIJAYNAGAR</t>
        </is>
      </c>
    </row>
    <row r="325">
      <c r="A325" s="1" t="n">
        <v>323</v>
      </c>
      <c r="B325">
        <f>HYPERLINK("https://eproc.rajasthan.gov.in/nicgep/app?component=%24DirectLink&amp;page=FrontEndViewTender&amp;service=direct&amp;session=T&amp;sp=SJbwTcQAWkW2Sqjw9XHvB6g%3D%3D", "Construction of nala from ramkunwar sevag khet to girdhari sevag khet")</f>
        <v/>
      </c>
      <c r="C325" t="inlineStr">
        <is>
          <t>DLB||Dy.DR-Ajmer||EO-Merta City</t>
        </is>
      </c>
      <c r="D325" t="inlineStr">
        <is>
          <t>09-Jun-2025 06:00 PM</t>
        </is>
      </c>
      <c r="E325" t="inlineStr">
        <is>
          <t>20,02,000</t>
        </is>
      </c>
      <c r="F325" t="inlineStr">
        <is>
          <t>Construction of nala from ramkunwar sevag khet to girdhari sevag khet</t>
        </is>
      </c>
      <c r="G325" t="inlineStr">
        <is>
          <t>Merta City</t>
        </is>
      </c>
    </row>
    <row r="326">
      <c r="A326" s="1" t="n">
        <v>324</v>
      </c>
      <c r="B326">
        <f>HYPERLINK("https://eproc.rajasthan.gov.in/nicgep/app?component=%24DirectLink&amp;page=FrontEndViewTender&amp;service=direct&amp;session=T&amp;sp=SQ9us1zewmOJILtMiVaOCrA%3D%3D", "Construction of boundary wall around hindu shamshan bhumi at bhatta chauraha (South-East of Gotan Road-Jaitaran Road intersection)")</f>
        <v/>
      </c>
      <c r="C326" t="inlineStr">
        <is>
          <t>DLB||Dy.DR-Ajmer||EO-Merta City</t>
        </is>
      </c>
      <c r="D326" t="inlineStr">
        <is>
          <t>09-Jun-2025 06:00 PM</t>
        </is>
      </c>
      <c r="E326" t="inlineStr">
        <is>
          <t>24,98,000</t>
        </is>
      </c>
      <c r="F326" t="inlineStr">
        <is>
          <t>Construction of boundary wall around hindu shamshan bhumi at bhatta chauraha (South-East of Gotan Road-Jaitaran Road intersection)</t>
        </is>
      </c>
      <c r="G326" t="inlineStr">
        <is>
          <t>Merta City</t>
        </is>
      </c>
    </row>
    <row r="327">
      <c r="A327" s="1" t="n">
        <v>325</v>
      </c>
      <c r="B327">
        <f>HYPERLINK("https://eproc.rajasthan.gov.in/nicgep/app?component=%24DirectLink&amp;page=FrontEndViewTender&amp;service=direct&amp;session=T&amp;sp=SG7Ztplc%2BxGjDET%2F9gDBtpA%3D%3D", "Supply work in Temporary Gardener")</f>
        <v/>
      </c>
      <c r="C327" t="inlineStr">
        <is>
          <t>DLB||Dy.DR-Bikaner||EO-Shrivijaynagar</t>
        </is>
      </c>
      <c r="D327" t="inlineStr">
        <is>
          <t>26-May-2025 09:00 AM</t>
        </is>
      </c>
      <c r="E327" t="inlineStr">
        <is>
          <t>15,00,000</t>
        </is>
      </c>
      <c r="F327" t="inlineStr">
        <is>
          <t>Supply work in Temporary Gardener</t>
        </is>
      </c>
      <c r="G327" t="inlineStr">
        <is>
          <t>SRIVIJAYNAGAR</t>
        </is>
      </c>
    </row>
    <row r="328">
      <c r="A328" s="1" t="n">
        <v>326</v>
      </c>
      <c r="B328">
        <f>HYPERLINK("https://eproc.rajasthan.gov.in/nicgep/app?component=%24DirectLink&amp;page=FrontEndViewTender&amp;service=direct&amp;session=T&amp;sp=SqeVZpLtiCV70SNYPbwT1Nw%3D%3D", "Construction of nala from potar sahb home to ashok mali home")</f>
        <v/>
      </c>
      <c r="C328" t="inlineStr">
        <is>
          <t>DLB||Dy.DR-Ajmer||EO-Merta City</t>
        </is>
      </c>
      <c r="D328" t="inlineStr">
        <is>
          <t>09-Jun-2025 06:00 PM</t>
        </is>
      </c>
      <c r="E328" t="inlineStr">
        <is>
          <t>24,98,000</t>
        </is>
      </c>
      <c r="F328" t="inlineStr">
        <is>
          <t>Construction of nala from potar sahb home to ashok mali home</t>
        </is>
      </c>
      <c r="G328" t="inlineStr">
        <is>
          <t>Merta City</t>
        </is>
      </c>
    </row>
    <row r="329">
      <c r="A329" s="1" t="n">
        <v>327</v>
      </c>
      <c r="B329">
        <f>HYPERLINK("https://eproc.rajasthan.gov.in/nicgep/app?component=%24DirectLink&amp;page=FrontEndViewTender&amp;service=direct&amp;session=T&amp;sp=SGXbs1cjiTBqiz8DhJRDjLw%3D%3D", "Construction of wbm/bitumen work rajpurohit chatrawas to vishnusagar")</f>
        <v/>
      </c>
      <c r="C329" t="inlineStr">
        <is>
          <t>DLB||Dy.DR-Ajmer||EO-Merta City</t>
        </is>
      </c>
      <c r="D329" t="inlineStr">
        <is>
          <t>09-Jun-2025 06:00 PM</t>
        </is>
      </c>
      <c r="E329" t="inlineStr">
        <is>
          <t>24,97,000</t>
        </is>
      </c>
      <c r="F329" t="inlineStr">
        <is>
          <t>Construction of wbm/bitumen work rajpurohit chatrawas to vishnusagar</t>
        </is>
      </c>
      <c r="G329" t="inlineStr">
        <is>
          <t>Merta City</t>
        </is>
      </c>
    </row>
    <row r="330">
      <c r="A330" s="1" t="n">
        <v>328</v>
      </c>
      <c r="B330">
        <f>HYPERLINK("https://eproc.rajasthan.gov.in/nicgep/app?component=%24DirectLink&amp;page=FrontEndViewTender&amp;service=direct&amp;session=T&amp;sp=SAXz%2B8senbUuJvH%2FQnj4pjg%3D%3D", "Construction of nala from jodhpur chowki to mahendra vakil house")</f>
        <v/>
      </c>
      <c r="C330" t="inlineStr">
        <is>
          <t>DLB||Dy.DR-Ajmer||EO-Merta City</t>
        </is>
      </c>
      <c r="D330" t="inlineStr">
        <is>
          <t>09-Jun-2025 06:00 PM</t>
        </is>
      </c>
      <c r="E330" t="inlineStr">
        <is>
          <t>14,23,000</t>
        </is>
      </c>
      <c r="F330" t="inlineStr">
        <is>
          <t>Construction of nala from jodhpur chowki to mahendra vakil house</t>
        </is>
      </c>
      <c r="G330" t="inlineStr">
        <is>
          <t>Merta City</t>
        </is>
      </c>
    </row>
    <row r="331">
      <c r="A331" s="1" t="n">
        <v>329</v>
      </c>
      <c r="B331">
        <f>HYPERLINK("https://eproc.rajasthan.gov.in/nicgep/app?component=%24DirectLink&amp;page=FrontEndViewTender&amp;service=direct&amp;session=T&amp;sp=STIUU4VCRef3Nw8v44xVuHw%3D%3D", "Construction of wbm/bitumen work derani talab north west corner to gotan road")</f>
        <v/>
      </c>
      <c r="C331" t="inlineStr">
        <is>
          <t>DLB||Dy.DR-Ajmer||EO-Merta City</t>
        </is>
      </c>
      <c r="D331" t="inlineStr">
        <is>
          <t>09-Jun-2025 06:00 PM</t>
        </is>
      </c>
      <c r="E331" t="inlineStr">
        <is>
          <t>24,97,000</t>
        </is>
      </c>
      <c r="F331" t="inlineStr">
        <is>
          <t>Construction of wbm/bitumen work derani talab north west corner to gotan road</t>
        </is>
      </c>
      <c r="G331" t="inlineStr">
        <is>
          <t>Merta City</t>
        </is>
      </c>
    </row>
    <row r="332">
      <c r="A332" s="1" t="n">
        <v>330</v>
      </c>
      <c r="B332">
        <f>HYPERLINK("https://eproc.rajasthan.gov.in/nicgep/app?component=%24DirectLink&amp;page=FrontEndViewTender&amp;service=direct&amp;session=T&amp;sp=S%2Bgak9WqcE1bYveKWTAiyGQ%3D%3D", "Supply work in Temporary Sweeper")</f>
        <v/>
      </c>
      <c r="C332" t="inlineStr">
        <is>
          <t>DLB||Dy.DR-Bikaner||EO-Shrivijaynagar</t>
        </is>
      </c>
      <c r="D332" t="inlineStr">
        <is>
          <t>26-May-2025 09:00 AM</t>
        </is>
      </c>
      <c r="E332" t="inlineStr">
        <is>
          <t>46,00,000</t>
        </is>
      </c>
      <c r="F332" t="inlineStr">
        <is>
          <t>Supply work in Temporary Sweeper</t>
        </is>
      </c>
      <c r="G332" t="inlineStr">
        <is>
          <t>SRIVIJAYNAGAR</t>
        </is>
      </c>
    </row>
    <row r="333">
      <c r="A333" s="1" t="n">
        <v>331</v>
      </c>
      <c r="B333">
        <f>HYPERLINK("https://eproc.rajasthan.gov.in/nicgep/app?component=%24DirectLink&amp;page=FrontEndViewTender&amp;service=direct&amp;session=T&amp;sp=SVXqhAwre57IkAzcAotHFgA%3D%3D", "Repairing of cc road ward 1 to 40 (annual rate contract)")</f>
        <v/>
      </c>
      <c r="C333" t="inlineStr">
        <is>
          <t>DLB||Dy.DR-Ajmer||EO-Merta City</t>
        </is>
      </c>
      <c r="D333" t="inlineStr">
        <is>
          <t>09-Jun-2025 06:00 PM</t>
        </is>
      </c>
      <c r="E333" t="inlineStr">
        <is>
          <t>19,80,000</t>
        </is>
      </c>
      <c r="F333" t="inlineStr">
        <is>
          <t>Repairing of cc road ward 1 to 40 (annual rate contract)</t>
        </is>
      </c>
      <c r="G333" t="inlineStr">
        <is>
          <t>Merta City</t>
        </is>
      </c>
    </row>
    <row r="334">
      <c r="A334" s="1" t="n">
        <v>332</v>
      </c>
      <c r="B334">
        <f>HYPERLINK("https://eproc.rajasthan.gov.in/nicgep/app?component=%24DirectLink&amp;page=FrontEndViewTender&amp;service=direct&amp;session=T&amp;sp=S3S8Hazlhge33aLVbtlAe%2BA%3D%3D", "Supply work in Temporary Computer Operator")</f>
        <v/>
      </c>
      <c r="C334" t="inlineStr">
        <is>
          <t>DLB||Dy.DR-Bikaner||EO-Shrivijaynagar</t>
        </is>
      </c>
      <c r="D334" t="inlineStr">
        <is>
          <t>26-May-2025 09:00 AM</t>
        </is>
      </c>
      <c r="E334" t="inlineStr">
        <is>
          <t>13,00,000</t>
        </is>
      </c>
      <c r="F334" t="inlineStr">
        <is>
          <t>Supply work in Temporary Computer Operator</t>
        </is>
      </c>
      <c r="G334" t="inlineStr">
        <is>
          <t>SRIVIJAYNAGAR</t>
        </is>
      </c>
    </row>
    <row r="335">
      <c r="A335" s="1" t="n">
        <v>333</v>
      </c>
      <c r="B335">
        <f>HYPERLINK("https://eproc.rajasthan.gov.in/nicgep/app?component=%24DirectLink&amp;page=FrontEndViewTender&amp;service=direct&amp;session=T&amp;sp=S%2FR6zVLVybHIW9LaVCNUaTg%3D%3D", "Construction of wbm/bitumen work jivan ji aara panchayat samiti office merta road main road")</f>
        <v/>
      </c>
      <c r="C335" t="inlineStr">
        <is>
          <t>DLB||Dy.DR-Ajmer||EO-Merta City</t>
        </is>
      </c>
      <c r="D335" t="inlineStr">
        <is>
          <t>09-Jun-2025 06:00 PM</t>
        </is>
      </c>
      <c r="E335" t="inlineStr">
        <is>
          <t>24,86,000</t>
        </is>
      </c>
      <c r="F335" t="inlineStr">
        <is>
          <t>Construction of wbm/bitumen work jivan ji aara panchayat samiti office merta road main road</t>
        </is>
      </c>
      <c r="G335" t="inlineStr">
        <is>
          <t>Merta City</t>
        </is>
      </c>
    </row>
    <row r="336">
      <c r="A336" s="1" t="n">
        <v>334</v>
      </c>
      <c r="B336">
        <f>HYPERLINK("https://eproc.rajasthan.gov.in/nicgep/app?component=%24DirectLink&amp;page=FrontEndViewTender&amp;service=direct&amp;session=T&amp;sp=SWcH%2FCy6n9u8I3BVcGv0LmQ%3D%3D", "Construction of cc block and tin shed in Mali Samaj Samshan Chundhiya Road")</f>
        <v/>
      </c>
      <c r="C336" t="inlineStr">
        <is>
          <t>DLB||Dy.DR-Ajmer||EO-Merta City</t>
        </is>
      </c>
      <c r="D336" t="inlineStr">
        <is>
          <t>09-Jun-2025 06:00 PM</t>
        </is>
      </c>
      <c r="E336" t="inlineStr">
        <is>
          <t>10,94,000</t>
        </is>
      </c>
      <c r="F336" t="inlineStr">
        <is>
          <t>Construction of cc block and tin shed in Mali Samaj Samshan Chundhiya Road</t>
        </is>
      </c>
      <c r="G336" t="inlineStr">
        <is>
          <t>Merta City</t>
        </is>
      </c>
    </row>
    <row r="337">
      <c r="A337" s="1" t="n">
        <v>335</v>
      </c>
      <c r="B337">
        <f>HYPERLINK("https://eproc.rajasthan.gov.in/nicgep/app?component=%24DirectLink&amp;page=FrontEndViewTender&amp;service=direct&amp;session=T&amp;sp=SC3qQzEfNAGU1VRqwUlDRgg%3D%3D", "Repairing /Construction of drain, cross work ward 1 to 40 (annual rate contract)")</f>
        <v/>
      </c>
      <c r="C337" t="inlineStr">
        <is>
          <t>DLB||Dy.DR-Ajmer||EO-Merta City</t>
        </is>
      </c>
      <c r="D337" t="inlineStr">
        <is>
          <t>09-Jun-2025 06:00 PM</t>
        </is>
      </c>
      <c r="E337" t="inlineStr">
        <is>
          <t>24,91,000</t>
        </is>
      </c>
      <c r="F337" t="inlineStr">
        <is>
          <t>Repairing /Construction of drain, cross work ward 1 to 40 (annual rate contract)</t>
        </is>
      </c>
      <c r="G337" t="inlineStr">
        <is>
          <t>Merta City</t>
        </is>
      </c>
    </row>
    <row r="338">
      <c r="A338" s="1" t="n">
        <v>336</v>
      </c>
      <c r="B338">
        <f>HYPERLINK("https://eproc.rajasthan.gov.in/nicgep/app?component=%24DirectLink&amp;page=FrontEndViewTender&amp;service=direct&amp;session=T&amp;sp=SboUHAvf6dFS%2B6EwhqOGIUg%3D%3D", "SITC OF OCTAGONAL POLE")</f>
        <v/>
      </c>
      <c r="C338" t="inlineStr">
        <is>
          <t>DLB||Dy.DR-Jaipur||CEO-Jaipur</t>
        </is>
      </c>
      <c r="D338" t="inlineStr">
        <is>
          <t>26-May-2025 06:00 PM</t>
        </is>
      </c>
      <c r="E338" t="inlineStr">
        <is>
          <t>1,49,10,000</t>
        </is>
      </c>
      <c r="F338" t="inlineStr">
        <is>
          <t>SITC OF OCTAGONAL POLE</t>
        </is>
      </c>
      <c r="G338" t="inlineStr">
        <is>
          <t>PHAGI</t>
        </is>
      </c>
    </row>
    <row r="339">
      <c r="A339" s="1" t="n">
        <v>337</v>
      </c>
      <c r="B339">
        <f>HYPERLINK("https://eproc.rajasthan.gov.in/nicgep/app?component=%24DirectLink&amp;page=FrontEndViewTender&amp;service=direct&amp;session=T&amp;sp=S16xTR4FzsiZ4rkSqGrLkWw%3D%3D", "Construction of Transfer Station")</f>
        <v/>
      </c>
      <c r="C339" t="inlineStr">
        <is>
          <t>DLB||Dy.DR-Ajmer||Commissioner-Kishangarh</t>
        </is>
      </c>
      <c r="D339" t="inlineStr">
        <is>
          <t>26-May-2025 06:00 PM</t>
        </is>
      </c>
      <c r="E339" t="inlineStr">
        <is>
          <t>36,24,000</t>
        </is>
      </c>
      <c r="F339" t="inlineStr">
        <is>
          <t>Construction of Transfer Station</t>
        </is>
      </c>
      <c r="G339" t="inlineStr">
        <is>
          <t>kishangarh</t>
        </is>
      </c>
    </row>
    <row r="340">
      <c r="A340" s="1" t="n">
        <v>338</v>
      </c>
      <c r="B340">
        <f>HYPERLINK("https://eproc.rajasthan.gov.in/nicgep/app?component=%24DirectLink&amp;page=FrontEndViewTender&amp;service=direct&amp;session=T&amp;sp=SDeoyDFqQO0wdToUApB%2Fu6Q%3D%3D", "Construction work of interlocking road from Shri Sundarkand Gaushala Mandir to Sainis house in ward no. 25, Tehsil Rawatsar, District Hanumangarh MLA Fund")</f>
        <v/>
      </c>
      <c r="C340" t="inlineStr">
        <is>
          <t>DLB||Dy.DR-Bikaner||EO-Rawatsar</t>
        </is>
      </c>
      <c r="D340" t="inlineStr">
        <is>
          <t>20-May-2025 05:00 PM</t>
        </is>
      </c>
      <c r="E340" t="inlineStr">
        <is>
          <t>4,00,000</t>
        </is>
      </c>
      <c r="F340" t="inlineStr">
        <is>
          <t>Construction work of interlocking road from Shri Sundarkand Gaushala Mandir to Sainis house in ward no. 25, Tehsil Rawatsar, District Hanumangarh MLA Fund</t>
        </is>
      </c>
      <c r="G340" t="inlineStr">
        <is>
          <t>rawatsar</t>
        </is>
      </c>
    </row>
    <row r="341">
      <c r="A341" s="1" t="n">
        <v>339</v>
      </c>
      <c r="B341">
        <f>HYPERLINK("https://eproc.rajasthan.gov.in/nicgep/app?component=%24DirectLink&amp;page=FrontEndViewTender&amp;service=direct&amp;session=T&amp;sp=SVhzj%2BDKVmCRJJ4Gbnar3LA%3D%3D", "SITC OF LED LIGHT")</f>
        <v/>
      </c>
      <c r="C341" t="inlineStr">
        <is>
          <t>DLB||Dy.DR-Jaipur||CEO-Jaipur</t>
        </is>
      </c>
      <c r="D341" t="inlineStr">
        <is>
          <t>26-May-2025 06:00 PM</t>
        </is>
      </c>
      <c r="E341" t="inlineStr">
        <is>
          <t>47,93,000</t>
        </is>
      </c>
      <c r="F341" t="inlineStr">
        <is>
          <t>SITC OF LED LIGHT</t>
        </is>
      </c>
      <c r="G341" t="inlineStr">
        <is>
          <t>PHAGI</t>
        </is>
      </c>
    </row>
    <row r="342">
      <c r="A342" s="1" t="n">
        <v>340</v>
      </c>
      <c r="B342">
        <f>HYPERLINK("https://eproc.rajasthan.gov.in/nicgep/app?component=%24DirectLink&amp;page=FrontEndViewTender&amp;service=direct&amp;session=T&amp;sp=SUZDUF4M5%2FGR%2BSeXk1Bqtbg%3D%3D", "SITC OF SOLAR LIGHT")</f>
        <v/>
      </c>
      <c r="C342" t="inlineStr">
        <is>
          <t>DLB||Dy.DR-Jaipur||CEO-Jaipur</t>
        </is>
      </c>
      <c r="D342" t="inlineStr">
        <is>
          <t>26-May-2025 06:00 PM</t>
        </is>
      </c>
      <c r="E342" t="inlineStr">
        <is>
          <t>48,21,000</t>
        </is>
      </c>
      <c r="F342" t="inlineStr">
        <is>
          <t>SITC OF SOLAR LIGHT</t>
        </is>
      </c>
      <c r="G342" t="inlineStr">
        <is>
          <t>PHAGI</t>
        </is>
      </c>
    </row>
    <row r="343">
      <c r="A343" s="1" t="n">
        <v>341</v>
      </c>
      <c r="B343">
        <f>HYPERLINK("https://eproc.rajasthan.gov.in/nicgep/app?component=%24DirectLink&amp;page=FrontEndViewTender&amp;service=direct&amp;session=T&amp;sp=SHHf7oATjal%2F0roZkmKbrRw%3D%3D", "nagarpalika lunakaransar nagariya chetar me saaf saffi vayvsatha yatha nala safai gali ave road safai aadi saffai vavstha hetu 50 safai karmik 10 mahila ave 40 purush safai karmik parti din aapurti karye")</f>
        <v/>
      </c>
      <c r="C343" t="inlineStr">
        <is>
          <t>DLB||Dy.DR-Bikaner||CEO-Bikaner</t>
        </is>
      </c>
      <c r="D343" t="inlineStr">
        <is>
          <t>22-May-2025 02:00 PM</t>
        </is>
      </c>
      <c r="E343" t="inlineStr">
        <is>
          <t>81,00,000</t>
        </is>
      </c>
      <c r="F343" t="inlineStr">
        <is>
          <t>nagarpalika lunakaransar nagariya chetar me saaf saffi vayvsatha yatha nala safai gali ave road safai aadi saffai vavstha hetu 50 safai karmik 10 mahila ave 40 purush safai karmik parti din aapurti karye</t>
        </is>
      </c>
      <c r="G343" t="inlineStr">
        <is>
          <t>lunkarnasar</t>
        </is>
      </c>
    </row>
    <row r="344">
      <c r="A344" s="1" t="n">
        <v>342</v>
      </c>
      <c r="B344">
        <f>HYPERLINK("https://eproc.rajasthan.gov.in/nicgep/app?component=%24DirectLink&amp;page=FrontEndViewTender&amp;service=direct&amp;session=T&amp;sp=SiiT3hzlEceDdPmPuAQak4g%3D%3D", "pipe line work")</f>
        <v/>
      </c>
      <c r="C344" t="inlineStr">
        <is>
          <t>DLB||Dy.DR-Bikaner||EO-Sujangarh</t>
        </is>
      </c>
      <c r="D344" t="inlineStr">
        <is>
          <t>26-May-2025 12:00 PM</t>
        </is>
      </c>
      <c r="E344" t="inlineStr">
        <is>
          <t>17,10,000</t>
        </is>
      </c>
      <c r="F344" t="inlineStr">
        <is>
          <t>MAHAVEER JI MANDA KE KHET SE RAJKUMAR BEDA KE KHET TAK PIPE LINE DALNE KA KARYA</t>
        </is>
      </c>
      <c r="G344" t="inlineStr">
        <is>
          <t>sujangarh</t>
        </is>
      </c>
    </row>
    <row r="345">
      <c r="A345" s="1" t="n">
        <v>343</v>
      </c>
      <c r="B345">
        <f>HYPERLINK("https://eproc.rajasthan.gov.in/nicgep/app?component=%24DirectLink&amp;page=FrontEndViewTender&amp;service=direct&amp;session=T&amp;sp=SRFed5gzfIHgdeQaCkCI6Jw%3D%3D", "The work of getting the rain water drainage work done in the municipal area using mud pump with alternator on rent")</f>
        <v/>
      </c>
      <c r="C345" t="inlineStr">
        <is>
          <t>DLB||Dy.DR- Bharatpur||EO-BASEDI</t>
        </is>
      </c>
      <c r="D345" t="inlineStr">
        <is>
          <t>22-May-2025 06:00 PM</t>
        </is>
      </c>
      <c r="E345" t="inlineStr">
        <is>
          <t>9,79,000</t>
        </is>
      </c>
      <c r="F345" t="inlineStr">
        <is>
          <t>The work of getting the rain water drainage work done in the municipal area using mud pump with alternator on rent</t>
        </is>
      </c>
      <c r="G345" t="inlineStr">
        <is>
          <t>KUMHER</t>
        </is>
      </c>
    </row>
    <row r="346">
      <c r="A346" s="1" t="n">
        <v>344</v>
      </c>
      <c r="B346">
        <f>HYPERLINK("https://eproc.rajasthan.gov.in/nicgep/app?component=%24DirectLink&amp;page=FrontEndViewTender&amp;service=direct&amp;session=T&amp;sp=SJiJAZQ%2FizxlChEXuh2%2FPNA%3D%3D", "WORK OF INSTALLING SUBMERSIBLE MOTOR AND MUD PUMP IN MOUND NO. 1, 2, 5, 6 AND 7 IN WARD NO. 96 AND 97 OF ADARSH NAGAR ZONE AND IN THE POND LOCATED IN MOHAN NAGAR")</f>
        <v/>
      </c>
      <c r="C346" t="inlineStr">
        <is>
          <t>DLB||Dy.DR-Jaipur||CEO-Jaipur</t>
        </is>
      </c>
      <c r="D346" t="inlineStr">
        <is>
          <t>24-May-2025 06:00 PM</t>
        </is>
      </c>
      <c r="E346" t="inlineStr">
        <is>
          <t>20,91,540</t>
        </is>
      </c>
      <c r="F346" t="inlineStr">
        <is>
          <t>WORK OF INSTALLING SUBMERSIBLE MOTOR AND MUD PUMP IN MOUND NO. 1, 2, 5, 6 AND 7 IN WARD NO. 96 AND 97 OF ADARSH NAGAR ZONE AND IN THE POND LOCATED IN MOHAN NAGAR</t>
        </is>
      </c>
      <c r="G346" t="inlineStr">
        <is>
          <t>JAIPUR</t>
        </is>
      </c>
    </row>
    <row r="347">
      <c r="A347" s="1" t="n">
        <v>345</v>
      </c>
      <c r="B347">
        <f>HYPERLINK("https://eproc.rajasthan.gov.in/nicgep/app?component=%24DirectLink&amp;page=FrontEndViewTender&amp;service=direct&amp;session=T&amp;sp=S7XYmf%2F90nI2W%2FrqwgXM26Q%3D%3D", "MISCELLANEOUS WORKS AT TRANSPORT NAGAR BUS STAND IN ADARSH NAGAR ZONE OF JAIPUR HERITAGE MUNICIPAL CORPORATION")</f>
        <v/>
      </c>
      <c r="C347" t="inlineStr">
        <is>
          <t>DLB||Dy.DR-Jaipur||CEO-Jaipur</t>
        </is>
      </c>
      <c r="D347" t="inlineStr">
        <is>
          <t>21-May-2025 06:00 PM</t>
        </is>
      </c>
      <c r="E347" t="inlineStr">
        <is>
          <t>8,53,094</t>
        </is>
      </c>
      <c r="F347" t="inlineStr">
        <is>
          <t>MISCELLANEOUS WORKS AT TRANSPORT NAGAR BUS STAND IN ADARSH NAGAR ZONE OF JAIPUR HERITAGE MUNICIPAL CORPORATION</t>
        </is>
      </c>
      <c r="G347" t="inlineStr">
        <is>
          <t>JAIPUR</t>
        </is>
      </c>
    </row>
    <row r="348">
      <c r="A348" s="1" t="n">
        <v>346</v>
      </c>
      <c r="B348">
        <f>HYPERLINK("https://eproc.rajasthan.gov.in/nicgep/app?component=%24DirectLink&amp;page=FrontEndViewTender&amp;service=direct&amp;session=T&amp;sp=SlRGERf9VDXDpTGHo2a%2F6PA%3D%3D", "Work of installing diesel engine on rent for drainage of rain water in municipal area")</f>
        <v/>
      </c>
      <c r="C348" t="inlineStr">
        <is>
          <t>DLB||Dy.DR- Bharatpur||EO-BASEDI</t>
        </is>
      </c>
      <c r="D348" t="inlineStr">
        <is>
          <t>22-May-2025 06:00 PM</t>
        </is>
      </c>
      <c r="E348" t="inlineStr">
        <is>
          <t>4,95,000</t>
        </is>
      </c>
      <c r="F348" t="inlineStr">
        <is>
          <t>Work of installing diesel engine on rent for drainage of rain water in municipal area</t>
        </is>
      </c>
      <c r="G348" t="inlineStr">
        <is>
          <t>KUMHER</t>
        </is>
      </c>
    </row>
    <row r="349">
      <c r="A349" s="1" t="n">
        <v>347</v>
      </c>
      <c r="B349">
        <f>HYPERLINK("https://eproc.rajasthan.gov.in/nicgep/app?component=%24DirectLink&amp;page=FrontEndViewTender&amp;service=direct&amp;session=T&amp;sp=SLx0Sz6eMaH9YtA3BInNH%2Bg%3D%3D", "JCB supply work on rent for various works in municipal area")</f>
        <v/>
      </c>
      <c r="C349" t="inlineStr">
        <is>
          <t>DLB||Dy.DR- Bharatpur||EO-BASEDI</t>
        </is>
      </c>
      <c r="D349" t="inlineStr">
        <is>
          <t>22-May-2025 06:00 PM</t>
        </is>
      </c>
      <c r="E349" t="inlineStr">
        <is>
          <t>9,95,000</t>
        </is>
      </c>
      <c r="F349" t="inlineStr">
        <is>
          <t>JCB supply work on rent for various works in municipal area</t>
        </is>
      </c>
      <c r="G349" t="inlineStr">
        <is>
          <t>kumher</t>
        </is>
      </c>
    </row>
    <row r="350">
      <c r="A350" s="1" t="n">
        <v>348</v>
      </c>
      <c r="B350">
        <f>HYPERLINK("https://eproc.rajasthan.gov.in/nicgep/app?component=%24DirectLink&amp;page=FrontEndViewTender&amp;service=direct&amp;session=T&amp;sp=SMuIJ%2BlPzCXWpl0SwFj7Rug%3D%3D", "WORK NO 04")</f>
        <v/>
      </c>
      <c r="C350" t="inlineStr">
        <is>
          <t>DLB||Dy.DR-Jaipur||Commissioner-Jhunjhunu</t>
        </is>
      </c>
      <c r="D350" t="inlineStr">
        <is>
          <t>23-May-2025 10:00 AM</t>
        </is>
      </c>
      <c r="E350" t="inlineStr">
        <is>
          <t>24,19,000</t>
        </is>
      </c>
      <c r="F350" t="inlineStr">
        <is>
          <t>CONSTRUCTION OF CC ROAD FROM VIRENDRA CHANWARIYA HOUSE TO JODIYA ROAD AT WARD NO 17</t>
        </is>
      </c>
      <c r="G350" t="inlineStr">
        <is>
          <t>SULTANA</t>
        </is>
      </c>
    </row>
    <row r="351">
      <c r="A351" s="1" t="n">
        <v>349</v>
      </c>
      <c r="B351">
        <f>HYPERLINK("https://eproc.rajasthan.gov.in/nicgep/app?component=%24DirectLink&amp;page=FrontEndViewTender&amp;service=direct&amp;session=T&amp;sp=Sr%2FCiHd1H3M48rx0RYiVT9A%3D%3D", "WORK NO 01")</f>
        <v/>
      </c>
      <c r="C351" t="inlineStr">
        <is>
          <t>DLB||Dy.DR-Jaipur||Commissioner-Jhunjhunu</t>
        </is>
      </c>
      <c r="D351" t="inlineStr">
        <is>
          <t>23-May-2025 10:00 AM</t>
        </is>
      </c>
      <c r="E351" t="inlineStr">
        <is>
          <t>23,85,000</t>
        </is>
      </c>
      <c r="F351" t="inlineStr">
        <is>
          <t>CONSTRUCTION AND REPAIR WORK OF DRAINAGE ATVARIOUS PLACES IN SULTANA</t>
        </is>
      </c>
      <c r="G351" t="inlineStr">
        <is>
          <t>SULTANA</t>
        </is>
      </c>
    </row>
    <row r="352">
      <c r="A352" s="1" t="n">
        <v>350</v>
      </c>
      <c r="B352">
        <f>HYPERLINK("https://eproc.rajasthan.gov.in/nicgep/app?component=%24DirectLink&amp;page=FrontEndViewTender&amp;service=direct&amp;session=T&amp;sp=SQligCO1f7KkjiKOsORCf6g%3D%3D", "WORK NO 03")</f>
        <v/>
      </c>
      <c r="C352" t="inlineStr">
        <is>
          <t>DLB||Dy.DR-Jaipur||Commissioner-Jhunjhunu</t>
        </is>
      </c>
      <c r="D352" t="inlineStr">
        <is>
          <t>23-May-2025 10:00 AM</t>
        </is>
      </c>
      <c r="E352" t="inlineStr">
        <is>
          <t>12,79,000</t>
        </is>
      </c>
      <c r="F352" t="inlineStr">
        <is>
          <t>CONSTRUCTION OF CC ROAD FROM MEHBOOB HOUSETO CHIRAWA BYPASS ROAD AT WARD NO 8</t>
        </is>
      </c>
      <c r="G352" t="inlineStr">
        <is>
          <t>SULTANA</t>
        </is>
      </c>
    </row>
    <row r="353">
      <c r="A353" s="1" t="n">
        <v>351</v>
      </c>
      <c r="B353">
        <f>HYPERLINK("https://eproc.rajasthan.gov.in/nicgep/app?component=%24DirectLink&amp;page=FrontEndViewTender&amp;service=direct&amp;session=T&amp;sp=SnG38L%2FM1iJpl7pbb4KziPw%3D%3D", "WORK NO 02")</f>
        <v/>
      </c>
      <c r="C353" t="inlineStr">
        <is>
          <t>DLB||Dy.DR-Jaipur||Commissioner-Jhunjhunu</t>
        </is>
      </c>
      <c r="D353" t="inlineStr">
        <is>
          <t>23-May-2025 10:00 AM</t>
        </is>
      </c>
      <c r="E353" t="inlineStr">
        <is>
          <t>6,86,000</t>
        </is>
      </c>
      <c r="F353" t="inlineStr">
        <is>
          <t>CONSTRUCTION OF INTERLOCK ROAD FROM NOOR LEELGAR HOUSE TO SUSHIL SONI HOUSE</t>
        </is>
      </c>
      <c r="G353" t="inlineStr">
        <is>
          <t>SULTANA</t>
        </is>
      </c>
    </row>
    <row r="354">
      <c r="A354" s="1" t="n">
        <v>352</v>
      </c>
      <c r="B354">
        <f>HYPERLINK("https://eproc.rajasthan.gov.in/nicgep/app?component=%24DirectLink&amp;page=FrontEndViewTender&amp;service=direct&amp;session=T&amp;sp=SvXFx7G6QBDlamPpyCV29hg%3D%3D", "Street Light Repairing and Maintenance Work in Nagar Parishad Karauli Area")</f>
        <v/>
      </c>
      <c r="C354" t="inlineStr">
        <is>
          <t>DLB||Dy.DR-Kota||Commissioner-Karauli</t>
        </is>
      </c>
      <c r="D354" t="inlineStr">
        <is>
          <t>26-May-2025 06:00 PM</t>
        </is>
      </c>
      <c r="E354" t="inlineStr">
        <is>
          <t>25,22,000</t>
        </is>
      </c>
      <c r="F354" t="inlineStr">
        <is>
          <t>Street Light Repairing and Maintenance Work in Nagar Parishad Karauli Area</t>
        </is>
      </c>
      <c r="G354" t="inlineStr">
        <is>
          <t>KARAULI</t>
        </is>
      </c>
    </row>
    <row r="355">
      <c r="A355" s="1" t="n">
        <v>353</v>
      </c>
      <c r="B355">
        <f>HYPERLINK("https://eproc.rajasthan.gov.in/nicgep/app?component=%24DirectLink&amp;page=FrontEndViewTender&amp;service=direct&amp;session=T&amp;sp=Sbq4HausesFSl5XYEu9ItFw%3D%3D", "Annual Rate Contract of Providing Replacement of Cables MS Poles etc in Zone-1 Kota North")</f>
        <v/>
      </c>
      <c r="C355" t="inlineStr">
        <is>
          <t>DLB||Dy.DR-Kota||CEO-Kota</t>
        </is>
      </c>
      <c r="D355" t="inlineStr">
        <is>
          <t>26-May-2025 06:00 PM</t>
        </is>
      </c>
      <c r="E355" t="inlineStr">
        <is>
          <t>1,49,20,000</t>
        </is>
      </c>
      <c r="F355" t="inlineStr">
        <is>
          <t>Annual Rate Contract of Providing Replacement of Cables MS Poles etc in Zone-1 Kota North</t>
        </is>
      </c>
      <c r="G355" t="inlineStr">
        <is>
          <t>kota</t>
        </is>
      </c>
    </row>
    <row r="356">
      <c r="A356" s="1" t="n">
        <v>354</v>
      </c>
      <c r="B356">
        <f>HYPERLINK("https://eproc.rajasthan.gov.in/nicgep/app?component=%24DirectLink&amp;page=FrontEndViewTender&amp;service=direct&amp;session=T&amp;sp=SjDAm%2F7TdlzOiAtpBoMGdzQ%3D%3D", "Annual Rate Contract of Providing Replacement of Cables MS Poles etc in Zone-2 Kota North")</f>
        <v/>
      </c>
      <c r="C356" t="inlineStr">
        <is>
          <t>DLB||Dy.DR-Kota||CEO-Kota</t>
        </is>
      </c>
      <c r="D356" t="inlineStr">
        <is>
          <t>26-May-2025 06:00 PM</t>
        </is>
      </c>
      <c r="E356" t="inlineStr">
        <is>
          <t>1,49,20,000</t>
        </is>
      </c>
      <c r="F356" t="inlineStr">
        <is>
          <t>Annual Rate Contract of Providing Replacement of Cables MS Poles etc in Zone-2 Kota North</t>
        </is>
      </c>
      <c r="G356" t="inlineStr">
        <is>
          <t>kota</t>
        </is>
      </c>
    </row>
    <row r="357">
      <c r="A357" s="1" t="n">
        <v>355</v>
      </c>
      <c r="B357">
        <f>HYPERLINK("https://eproc.rajasthan.gov.in/nicgep/app?component=%24DirectLink&amp;page=FrontEndViewTender&amp;service=direct&amp;session=T&amp;sp=SCuJ5tqMDuYOqxnzC3pzd0Q%3D%3D", "food/nasta supply work")</f>
        <v/>
      </c>
      <c r="C357" t="inlineStr">
        <is>
          <t>DLB||Dy.DR-Jaipur||CEO-Jaipur</t>
        </is>
      </c>
      <c r="D357" t="inlineStr">
        <is>
          <t>19-May-2025 05:00 PM</t>
        </is>
      </c>
      <c r="E357" t="inlineStr">
        <is>
          <t>3,00,000</t>
        </is>
      </c>
      <c r="F357" t="inlineStr">
        <is>
          <t>food/nasta supply work</t>
        </is>
      </c>
      <c r="G357" t="inlineStr">
        <is>
          <t>service</t>
        </is>
      </c>
    </row>
    <row r="358">
      <c r="A358" s="1" t="n">
        <v>356</v>
      </c>
      <c r="B358">
        <f>HYPERLINK("https://eproc.rajasthan.gov.in/nicgep/app?component=%24DirectLink&amp;page=FrontEndViewTender&amp;service=direct&amp;session=T&amp;sp=SmTe8db%2BHgbaCkfKeEKL4XA%3D%3D", "REPAIR WORK OF ROAD CUT DONE BY PHED IN WARD NO. 97 OF SANGANER ZONE")</f>
        <v/>
      </c>
      <c r="C358" t="inlineStr">
        <is>
          <t>DLB||Dy.DR-Jaipur||CEO-Jaipur</t>
        </is>
      </c>
      <c r="D358" t="inlineStr">
        <is>
          <t>26-May-2025 06:00 PM</t>
        </is>
      </c>
      <c r="E358" t="inlineStr">
        <is>
          <t>1,38,04,000</t>
        </is>
      </c>
      <c r="F358" t="inlineStr">
        <is>
          <t>REPAIR WORK OF ROAD CUT DONE BY PHED IN WARD NO. 97 OF SANGANER ZONE</t>
        </is>
      </c>
      <c r="G358" t="inlineStr">
        <is>
          <t>JAIPUR</t>
        </is>
      </c>
    </row>
    <row r="359">
      <c r="A359" s="1" t="n">
        <v>357</v>
      </c>
      <c r="B359">
        <f>HYPERLINK("https://eproc.rajasthan.gov.in/nicgep/app?component=%24DirectLink&amp;page=FrontEndViewTender&amp;service=direct&amp;session=T&amp;sp=SY8pjUijV7cLEx0lYSjdsrw%3D%3D", "Development of Iot-based system for Door to Door Segregated Municipal waste collection and transporatation till transfer station of MSW under the Nagar Parishad Churu")</f>
        <v/>
      </c>
      <c r="C359" t="inlineStr">
        <is>
          <t>DLB||Dy.DR-Bikaner||Commissioner-Churu</t>
        </is>
      </c>
      <c r="D359" t="inlineStr">
        <is>
          <t>02-Jun-2025 11:00 AM</t>
        </is>
      </c>
      <c r="E359" t="inlineStr">
        <is>
          <t>16,70,40,000</t>
        </is>
      </c>
      <c r="F359" t="inlineStr">
        <is>
          <t>Development of Iot-based system for Door to Door Segregated Municipal waste collection and transporatation till transfer station of MSW under the Nagar Parishad Churu</t>
        </is>
      </c>
      <c r="G359" t="inlineStr">
        <is>
          <t>CHURU</t>
        </is>
      </c>
    </row>
    <row r="360">
      <c r="A360" s="1" t="n">
        <v>358</v>
      </c>
      <c r="B360">
        <f>HYPERLINK("https://eproc.rajasthan.gov.in/nicgep/app?component=%24DirectLink&amp;page=FrontEndViewTender&amp;service=direct&amp;session=T&amp;sp=SUUeie8v7q%2FdK9EXHtZPSKQ%3D%3D", "Pani Camper Supply work")</f>
        <v/>
      </c>
      <c r="C360" t="inlineStr">
        <is>
          <t>DLB||Dy.DR-Jaipur||CEO-Jaipur</t>
        </is>
      </c>
      <c r="D360" t="inlineStr">
        <is>
          <t>19-May-2025 05:00 PM</t>
        </is>
      </c>
      <c r="E360" t="inlineStr">
        <is>
          <t>2,00,000</t>
        </is>
      </c>
      <c r="F360" t="inlineStr">
        <is>
          <t>Pani Camper Supply work</t>
        </is>
      </c>
      <c r="G360" t="inlineStr">
        <is>
          <t>service</t>
        </is>
      </c>
    </row>
    <row r="361">
      <c r="A361" s="1" t="n">
        <v>359</v>
      </c>
      <c r="B361">
        <f>HYPERLINK("https://eproc.rajasthan.gov.in/nicgep/app?component=%24DirectLink&amp;page=FrontEndViewTender&amp;service=direct&amp;session=T&amp;sp=S9%2BQedziq2W1jBZNyNKFU1g%3D%3D", "Flax and Banner work")</f>
        <v/>
      </c>
      <c r="C361" t="inlineStr">
        <is>
          <t>DLB||Dy.DR-Jaipur||CEO-Jaipur</t>
        </is>
      </c>
      <c r="D361" t="inlineStr">
        <is>
          <t>19-May-2025 05:00 PM</t>
        </is>
      </c>
      <c r="E361" t="inlineStr">
        <is>
          <t>5,00,000</t>
        </is>
      </c>
      <c r="F361" t="inlineStr">
        <is>
          <t>Flax and Banner work</t>
        </is>
      </c>
      <c r="G361" t="inlineStr">
        <is>
          <t>service</t>
        </is>
      </c>
    </row>
    <row r="362">
      <c r="A362" s="1" t="n">
        <v>360</v>
      </c>
      <c r="B362">
        <f>HYPERLINK("https://eproc.rajasthan.gov.in/nicgep/app?component=%24DirectLink&amp;page=FrontEndViewTender&amp;service=direct&amp;session=T&amp;sp=SQUpuHp8SK6oMkJQgrK%2BIqg%3D%3D", "Stationory supply")</f>
        <v/>
      </c>
      <c r="C362" t="inlineStr">
        <is>
          <t>DLB||Dy.DR-Jaipur||CEO-Jaipur</t>
        </is>
      </c>
      <c r="D362" t="inlineStr">
        <is>
          <t>19-May-2025 05:00 PM</t>
        </is>
      </c>
      <c r="E362" t="inlineStr">
        <is>
          <t>4,00,000</t>
        </is>
      </c>
      <c r="F362" t="inlineStr">
        <is>
          <t>Stationory supply</t>
        </is>
      </c>
      <c r="G362" t="inlineStr">
        <is>
          <t>service</t>
        </is>
      </c>
    </row>
    <row r="363">
      <c r="A363" s="1" t="n">
        <v>361</v>
      </c>
      <c r="B363">
        <f>HYPERLINK("https://eproc.rajasthan.gov.in/nicgep/app?component=%24DirectLink&amp;page=FrontEndViewTender&amp;service=direct&amp;session=T&amp;sp=ST79Cb9zIa8wnNBDjL%2BCGQw%3D%3D", "Dana Nukti supply work on national festival.")</f>
        <v/>
      </c>
      <c r="C363" t="inlineStr">
        <is>
          <t>DLB||Dy.DR-Jaipur||CEO-Jaipur</t>
        </is>
      </c>
      <c r="D363" t="inlineStr">
        <is>
          <t>19-May-2025 05:00 PM</t>
        </is>
      </c>
      <c r="E363" t="inlineStr">
        <is>
          <t>2,50,000</t>
        </is>
      </c>
      <c r="F363" t="inlineStr">
        <is>
          <t>Dana Nukti supply work on national festival.</t>
        </is>
      </c>
      <c r="G363" t="inlineStr">
        <is>
          <t>service</t>
        </is>
      </c>
    </row>
    <row r="364">
      <c r="A364" s="1" t="n">
        <v>362</v>
      </c>
      <c r="B364">
        <f>HYPERLINK("https://eproc.rajasthan.gov.in/nicgep/app?component=%24DirectLink&amp;page=FrontEndViewTender&amp;service=direct&amp;session=T&amp;sp=SmtpRtqcjLBKjKzilaxpi2w%3D%3D", "Beautification and construction work of clock tower.")</f>
        <v/>
      </c>
      <c r="C364" t="inlineStr">
        <is>
          <t>DLB||Dy.DR-Ajmer||EO-Kekri</t>
        </is>
      </c>
      <c r="D364" t="inlineStr">
        <is>
          <t>19-May-2025 05:00 PM</t>
        </is>
      </c>
      <c r="E364" t="inlineStr">
        <is>
          <t>70,00,000</t>
        </is>
      </c>
      <c r="F364" t="inlineStr">
        <is>
          <t>Beautification and construction work of clock tower.</t>
        </is>
      </c>
      <c r="G364" t="inlineStr">
        <is>
          <t>work</t>
        </is>
      </c>
    </row>
    <row r="365">
      <c r="A365" s="1" t="n">
        <v>363</v>
      </c>
      <c r="B365">
        <f>HYPERLINK("https://eproc.rajasthan.gov.in/nicgep/app?component=%24DirectLink&amp;page=FrontEndViewTender&amp;service=direct&amp;session=T&amp;sp=SBQ9RDgw151B2tRFJ0Cd3Mg%3D%3D", "REGARDING HIRING OF SOUND SYSTEM AND STAGE LIGHT FOR SOUND BROADCASTING IN VARIOUS PROMOTIONAL FUNCTIONS AND PROGRAMS ORGANIZED BY MUNICIPAL CORPORATION, JAIPUR HERITAGE ANNUAL RATE CONTRACT 2025-26")</f>
        <v/>
      </c>
      <c r="C365" t="inlineStr">
        <is>
          <t>DLB||Dy.DR-Jaipur||CEO-Jaipur</t>
        </is>
      </c>
      <c r="D365" t="inlineStr">
        <is>
          <t>27-May-2025 06:00 PM</t>
        </is>
      </c>
      <c r="E365" t="inlineStr">
        <is>
          <t>75,00,000</t>
        </is>
      </c>
      <c r="F365" t="inlineStr">
        <is>
          <t>REGARDING HIRING OF SOUND SYSTEM AND STAGE LIGHT FOR SOUND BROADCASTING IN VARIOUS PROMOTIONAL FUNCTIONS AND PROGRAMS ORGANIZED BY MUNICIPAL CORPORATION, JAIPUR HERITAGE ANNUAL RATE CONTRACT 2025-26</t>
        </is>
      </c>
      <c r="G365" t="inlineStr">
        <is>
          <t>JAIPUR</t>
        </is>
      </c>
    </row>
    <row r="366">
      <c r="A366" s="1" t="n">
        <v>364</v>
      </c>
      <c r="B366">
        <f>HYPERLINK("https://eproc.rajasthan.gov.in/nicgep/app?component=%24DirectLink&amp;page=FrontEndViewTender&amp;service=direct&amp;session=T&amp;sp=SXLTer71191fWqVNnf4OD1A%3D%3D", "Rate contract work for regular Sewer Cleaning with the help of Sewer Jetting cum suction machine Medium Capacity (16T Chassis) including deployment of Machines, necessary equipment and skilled Manpower in Jurisdiction of Municipal Corporation Jodhpur")</f>
        <v/>
      </c>
      <c r="C366" t="inlineStr">
        <is>
          <t>DLB||Dy.DR-Jodhpur||CEO-Jodhpur</t>
        </is>
      </c>
      <c r="D366" t="inlineStr">
        <is>
          <t>02-Jun-2025 05:00 PM</t>
        </is>
      </c>
      <c r="E366" t="inlineStr">
        <is>
          <t>5,28,00,000</t>
        </is>
      </c>
      <c r="F366" t="inlineStr">
        <is>
          <t>Rate contract work for regular Sewer Cleaning with the help of Sewer Jetting cum suction machine Medium Capacity (16T Chassis) including deployment of Machines, necessary equipment and skilled Manpower in Jurisdiction of Municipal Corporation Jodhpur</t>
        </is>
      </c>
      <c r="G366" t="inlineStr">
        <is>
          <t>nagar nigam jodhpur south</t>
        </is>
      </c>
    </row>
    <row r="367">
      <c r="A367" s="1" t="n">
        <v>365</v>
      </c>
      <c r="B367">
        <f>HYPERLINK("https://eproc.rajasthan.gov.in/nicgep/app?component=%24DirectLink&amp;page=FrontEndViewTender&amp;service=direct&amp;session=T&amp;sp=SavLOnHQklCtKqaV5NlbnbQ%3D%3D", "NECESSARY WORK AT FLOOD CONTROL CENTRES OF NAGAR NIGAM JAIPUR HERITAGE. (YEAR 2025)")</f>
        <v/>
      </c>
      <c r="C367" t="inlineStr">
        <is>
          <t>DLB||Dy.DR-Jaipur||CEO-Jaipur</t>
        </is>
      </c>
      <c r="D367" t="inlineStr">
        <is>
          <t>26-May-2025 11:00 AM</t>
        </is>
      </c>
      <c r="E367" t="inlineStr">
        <is>
          <t>76,29,000</t>
        </is>
      </c>
      <c r="F367" t="inlineStr">
        <is>
          <t>NECESSARY WORK AT FLOOD CONTROL CENTRES OF NAGAR NIGAM JAIPUR HERITAGE. (YEAR 2025)</t>
        </is>
      </c>
      <c r="G367" t="inlineStr">
        <is>
          <t>JAIPUR</t>
        </is>
      </c>
    </row>
    <row r="368">
      <c r="A368" s="1" t="n">
        <v>366</v>
      </c>
      <c r="B368">
        <f>HYPERLINK("https://eproc.rajasthan.gov.in/nicgep/app?component=%24DirectLink&amp;page=FrontEndViewTender&amp;service=direct&amp;session=T&amp;sp=SHbUd0vgVocnwg0S6eaek3g%3D%3D", "Supplying of Autotippers (including Drivers, Helpers, Diesel,Maintenance and all other expenses) for Door to Door Collection in Municipal Area Borawar")</f>
        <v/>
      </c>
      <c r="C368" t="inlineStr">
        <is>
          <t>DLB||Dy.DR-Ajmer||EO-Kuchamancity</t>
        </is>
      </c>
      <c r="D368" t="inlineStr">
        <is>
          <t>22-May-2025 09:00 AM</t>
        </is>
      </c>
      <c r="E368" t="inlineStr">
        <is>
          <t>1,20,00,000</t>
        </is>
      </c>
      <c r="F368" t="inlineStr">
        <is>
          <t>Supplying of Autotippers (including Drivers, Helpers, Diesel,Maintenance and all other expenses) for Door to Door Collection in Municipal Area Borawar</t>
        </is>
      </c>
      <c r="G368" t="inlineStr">
        <is>
          <t>BORAWAR</t>
        </is>
      </c>
    </row>
    <row r="369">
      <c r="A369" s="1" t="n">
        <v>367</v>
      </c>
      <c r="B369">
        <f>HYPERLINK("https://eproc.rajasthan.gov.in/nicgep/app?component=%24DirectLink&amp;page=FrontEndViewTender&amp;service=direct&amp;session=T&amp;sp=SfDnE%2FbIp9PMHzvFWOgLO9w%3D%3D", "Toilet Reparing")</f>
        <v/>
      </c>
      <c r="C369" t="inlineStr">
        <is>
          <t>DLB||Dy.DR-Jaipur||EO-Mandawa</t>
        </is>
      </c>
      <c r="D369" t="inlineStr">
        <is>
          <t>23-May-2025 12:00 PM</t>
        </is>
      </c>
      <c r="E369" t="inlineStr">
        <is>
          <t>5,99,000</t>
        </is>
      </c>
      <c r="F369" t="inlineStr">
        <is>
          <t>Toilet Reparing</t>
        </is>
      </c>
      <c r="G369" t="inlineStr">
        <is>
          <t>Municipal board Mukundgarh</t>
        </is>
      </c>
    </row>
    <row r="370">
      <c r="A370" s="1" t="n">
        <v>368</v>
      </c>
      <c r="B370">
        <f>HYPERLINK("https://eproc.rajasthan.gov.in/nicgep/app?component=%24DirectLink&amp;page=FrontEndViewTender&amp;service=direct&amp;session=T&amp;sp=Slswq%2BjaZjK1loNBWEvikpg%3D%3D", "Const. of CC work")</f>
        <v/>
      </c>
      <c r="C370" t="inlineStr">
        <is>
          <t>DLB||Dy.DR-Jaipur||EO-Mandawa</t>
        </is>
      </c>
      <c r="D370" t="inlineStr">
        <is>
          <t>23-May-2025 12:00 PM</t>
        </is>
      </c>
      <c r="E370" t="inlineStr">
        <is>
          <t>19,97,000</t>
        </is>
      </c>
      <c r="F370" t="inlineStr">
        <is>
          <t>Const. of CC work</t>
        </is>
      </c>
      <c r="G370" t="inlineStr">
        <is>
          <t>Municipal board Mukundgarh</t>
        </is>
      </c>
    </row>
    <row r="371">
      <c r="A371" s="1" t="n">
        <v>369</v>
      </c>
      <c r="B371">
        <f>HYPERLINK("https://eproc.rajasthan.gov.in/nicgep/app?component=%24DirectLink&amp;page=FrontEndViewTender&amp;service=direct&amp;session=T&amp;sp=SVKwYw1OLc7VUdy2KdXcIkw%3D%3D", "sump well cleaning work")</f>
        <v/>
      </c>
      <c r="C371" t="inlineStr">
        <is>
          <t>DLB||Dy.DR-Bikaner||EO-Sujangarh</t>
        </is>
      </c>
      <c r="D371" t="inlineStr">
        <is>
          <t>19-May-2025 12:00 PM</t>
        </is>
      </c>
      <c r="E371" t="inlineStr">
        <is>
          <t>5,69,000</t>
        </is>
      </c>
      <c r="F371" t="inlineStr">
        <is>
          <t>sump well cleaning work</t>
        </is>
      </c>
      <c r="G371" t="inlineStr">
        <is>
          <t>Sujangarh</t>
        </is>
      </c>
    </row>
    <row r="372">
      <c r="A372" s="1" t="n">
        <v>370</v>
      </c>
      <c r="B372">
        <f>HYPERLINK("https://eproc.rajasthan.gov.in/nicgep/app?component=%24DirectLink&amp;page=FrontEndViewTender&amp;service=direct&amp;session=T&amp;sp=S3P9AxUtD8fliNT2sJbs9ww%3D%3D", "CONSTRUCTION OF WBM ROAD AT SEWAPURA DUMPSITE")</f>
        <v/>
      </c>
      <c r="C372" t="inlineStr">
        <is>
          <t>DLB||Dy.DR-Jaipur||CEO-Jaipur</t>
        </is>
      </c>
      <c r="D372" t="inlineStr">
        <is>
          <t>23-May-2025 02:00 PM</t>
        </is>
      </c>
      <c r="E372" t="inlineStr">
        <is>
          <t>37,44,000</t>
        </is>
      </c>
      <c r="F372" t="inlineStr">
        <is>
          <t>CONSTRUCTION OF WBM ROAD AT SEWAPURA DUMPSITE</t>
        </is>
      </c>
      <c r="G372" t="inlineStr">
        <is>
          <t>JAIPUR</t>
        </is>
      </c>
    </row>
    <row r="373">
      <c r="A373" s="1" t="n">
        <v>371</v>
      </c>
      <c r="B373">
        <f>HYPERLINK("https://eproc.rajasthan.gov.in/nicgep/app?component=%24DirectLink&amp;page=FrontEndViewTender&amp;service=direct&amp;session=T&amp;sp=SpX6W3zPc6icfskPzJGWiQA%3D%3D", "Repairing of drain near Gandhi nagar over bridge at aburoad")</f>
        <v/>
      </c>
      <c r="C373" t="inlineStr">
        <is>
          <t>DLB||Dy.DR-Jodhpur||EO-Aburoad</t>
        </is>
      </c>
      <c r="D373" t="inlineStr">
        <is>
          <t>19-May-2025 06:00 PM</t>
        </is>
      </c>
      <c r="E373" t="inlineStr">
        <is>
          <t>4,29,000</t>
        </is>
      </c>
      <c r="F373" t="inlineStr">
        <is>
          <t>Repairing of drain near Gandhi nagar over bridge at aburoad</t>
        </is>
      </c>
      <c r="G373" t="inlineStr">
        <is>
          <t>ABUROAD</t>
        </is>
      </c>
    </row>
    <row r="374">
      <c r="A374" s="1" t="n">
        <v>372</v>
      </c>
      <c r="B374">
        <f>HYPERLINK("https://eproc.rajasthan.gov.in/nicgep/app?component=%24DirectLink&amp;page=FrontEndViewTender&amp;service=direct&amp;session=T&amp;sp=SY37J6ytY9YhmkyGG68nR2A%3D%3D", "Construction and Repairing of Drain (ARC 2025-26) Various Places In Municipal Area Merta Road")</f>
        <v/>
      </c>
      <c r="C374" t="inlineStr">
        <is>
          <t>DLB||Dy.DR-Ajmer||EO-Mundwa</t>
        </is>
      </c>
      <c r="D374" t="inlineStr">
        <is>
          <t>22-May-2025 06:00 PM</t>
        </is>
      </c>
      <c r="E374" t="inlineStr">
        <is>
          <t>25,00,000</t>
        </is>
      </c>
      <c r="F374" t="inlineStr">
        <is>
          <t>Construction and Repairing of Drain (ARC 2025-26) Various Places In Municipal Area Merta Road</t>
        </is>
      </c>
      <c r="G374" t="inlineStr">
        <is>
          <t>Municipal Board Merta Road</t>
        </is>
      </c>
    </row>
    <row r="375">
      <c r="A375" s="1" t="n">
        <v>373</v>
      </c>
      <c r="B375">
        <f>HYPERLINK("https://eproc.rajasthan.gov.in/nicgep/app?component=%24DirectLink&amp;page=FrontEndViewTender&amp;service=direct&amp;session=T&amp;sp=SEFWG7sDx18a0h2cWgiqrew%3D%3D", "Construction of C C Block Ramp at Govt Sr. Sec. School Kapriwas")</f>
        <v/>
      </c>
      <c r="C375" t="inlineStr">
        <is>
          <t>DLB||Dy.DR-Ajmer||EO-Mundwa</t>
        </is>
      </c>
      <c r="D375" t="inlineStr">
        <is>
          <t>22-May-2025 06:00 PM</t>
        </is>
      </c>
      <c r="E375" t="inlineStr">
        <is>
          <t>6,83,000</t>
        </is>
      </c>
      <c r="F375" t="inlineStr">
        <is>
          <t>Construction of C C Block Ramp at Govt Sr. Sec. School Kapriwas</t>
        </is>
      </c>
      <c r="G375" t="inlineStr">
        <is>
          <t>Municipal Board Merta Road</t>
        </is>
      </c>
    </row>
    <row r="376">
      <c r="A376" s="1" t="n">
        <v>374</v>
      </c>
      <c r="B376">
        <f>HYPERLINK("https://eproc.rajasthan.gov.in/nicgep/app?component=%24DirectLink&amp;page=FrontEndViewTender&amp;service=direct&amp;session=T&amp;sp=Sy2XkZpg4%2BqOFYDh5pXtYFA%3D%3D", "Decorative Work in Municipal Building Merta Road")</f>
        <v/>
      </c>
      <c r="C376" t="inlineStr">
        <is>
          <t>DLB||Dy.DR-Ajmer||EO-Mundwa</t>
        </is>
      </c>
      <c r="D376" t="inlineStr">
        <is>
          <t>22-May-2025 06:00 PM</t>
        </is>
      </c>
      <c r="E376" t="inlineStr">
        <is>
          <t>11,12,000</t>
        </is>
      </c>
      <c r="F376" t="inlineStr">
        <is>
          <t>Decorative Work in Municipal Building Merta Road</t>
        </is>
      </c>
      <c r="G376" t="inlineStr">
        <is>
          <t>Municipal Board Merta Road</t>
        </is>
      </c>
    </row>
    <row r="377">
      <c r="A377" s="1" t="n">
        <v>375</v>
      </c>
      <c r="B377">
        <f>HYPERLINK("https://eproc.rajasthan.gov.in/nicgep/app?component=%24DirectLink&amp;page=FrontEndViewTender&amp;service=direct&amp;session=T&amp;sp=SsH9wuMMlU7OLOg8Qlw4cQA%3D%3D", "Construction and Repair of CC Road (ARC 2025-26) at Various Places In Municipal Area Merta Road")</f>
        <v/>
      </c>
      <c r="C377" t="inlineStr">
        <is>
          <t>DLB||Dy.DR-Ajmer||EO-Mundwa</t>
        </is>
      </c>
      <c r="D377" t="inlineStr">
        <is>
          <t>22-May-2025 06:00 PM</t>
        </is>
      </c>
      <c r="E377" t="inlineStr">
        <is>
          <t>25,00,000</t>
        </is>
      </c>
      <c r="F377" t="inlineStr">
        <is>
          <t>Construction and Repair of CC Road (ARC 2025-26) at Various Places In Municipal Area Merta Road</t>
        </is>
      </c>
      <c r="G377" t="inlineStr">
        <is>
          <t>Municipal Board Merta Road</t>
        </is>
      </c>
    </row>
    <row r="378">
      <c r="A378" s="1" t="n">
        <v>376</v>
      </c>
      <c r="B378">
        <f>HYPERLINK("https://eproc.rajasthan.gov.in/nicgep/app?component=%24DirectLink&amp;page=FrontEndViewTender&amp;service=direct&amp;session=T&amp;sp=SGBIBTKB6gziTNDtt79myUg%3D%3D", "Cleaning of nalla at various places bali")</f>
        <v/>
      </c>
      <c r="C378" t="inlineStr">
        <is>
          <t>DLB||Dy.DR-Jodhpur||EO-Bali</t>
        </is>
      </c>
      <c r="D378" t="inlineStr">
        <is>
          <t>27-May-2025 02:30 PM</t>
        </is>
      </c>
      <c r="E378" t="inlineStr">
        <is>
          <t>24,57,000</t>
        </is>
      </c>
      <c r="F378" t="inlineStr">
        <is>
          <t>Civil Works</t>
        </is>
      </c>
      <c r="G378" t="inlineStr">
        <is>
          <t>BALI</t>
        </is>
      </c>
    </row>
    <row r="379">
      <c r="A379" s="1" t="n">
        <v>377</v>
      </c>
      <c r="B379">
        <f>HYPERLINK("https://eproc.rajasthan.gov.in/nicgep/app?component=%24DirectLink&amp;page=FrontEndViewTender&amp;service=direct&amp;session=T&amp;sp=Slxb645QVluAglOXhjAN%2BQw%3D%3D", "STP_UPGRADE")</f>
        <v/>
      </c>
      <c r="C379" t="inlineStr">
        <is>
          <t>DLB||Dy.DR-Kota||Commissioner-Sawaimadhopur</t>
        </is>
      </c>
      <c r="D379" t="inlineStr">
        <is>
          <t>23-May-2025 06:00 PM</t>
        </is>
      </c>
      <c r="E379" t="inlineStr">
        <is>
          <t>10,00,000</t>
        </is>
      </c>
      <c r="F379" t="inlineStr">
        <is>
          <t>Preparation of Detailed Project Report (DPR) for Upgradation of Effluent Discharge Standards in Compliance with NGT Norms for Existing Sewage Treatment Plant (STP) Based on ASP Technology, and Enhancement of Treatment Capacity from 7.5 MLD to 10 MLD</t>
        </is>
      </c>
      <c r="G379" t="inlineStr">
        <is>
          <t>PALI</t>
        </is>
      </c>
    </row>
    <row r="380">
      <c r="A380" s="1" t="n">
        <v>378</v>
      </c>
      <c r="B380">
        <f>HYPERLINK("https://eproc.rajasthan.gov.in/nicgep/app?component=%24DirectLink&amp;page=FrontEndViewTender&amp;service=direct&amp;session=T&amp;sp=S7Xd33o4XeOinAO6XwhOxvw%3D%3D", "Construction of Drain Infront of Dr. Sunil Pathak via dharmendra saini to Ram Nagar Do Mora")</f>
        <v/>
      </c>
      <c r="C380" t="inlineStr">
        <is>
          <t>DLB||Dy.DR-Jaipur||Commissioner-Bhartpur</t>
        </is>
      </c>
      <c r="D380" t="inlineStr">
        <is>
          <t>22-May-2025 06:00 PM</t>
        </is>
      </c>
      <c r="E380" t="inlineStr">
        <is>
          <t>23,83,000</t>
        </is>
      </c>
      <c r="F380" t="inlineStr">
        <is>
          <t>Construction of Drain Infront of Dr. Sunil Pathak via dharmendra saini to Ram Nagar Do Mora</t>
        </is>
      </c>
      <c r="G380" t="inlineStr">
        <is>
          <t>Municipal Corporation, Bharatpur</t>
        </is>
      </c>
    </row>
    <row r="381">
      <c r="A381" s="1" t="n">
        <v>379</v>
      </c>
      <c r="B381">
        <f>HYPERLINK("https://eproc.rajasthan.gov.in/nicgep/app?component=%24DirectLink&amp;page=FrontEndViewTender&amp;service=direct&amp;session=T&amp;sp=SDH6f9Iv7zyFc8ROofVHh7A%3D%3D", "Street Light On/Off, Electric Maintenance, Electric Fitting and Wire Panel work at Palika area.")</f>
        <v/>
      </c>
      <c r="C381" t="inlineStr">
        <is>
          <t>DLB||Dy.DR-Kota||EO-Lakheri</t>
        </is>
      </c>
      <c r="D381" t="inlineStr">
        <is>
          <t>20-May-2025 06:00 PM</t>
        </is>
      </c>
      <c r="E381" t="inlineStr">
        <is>
          <t>20,00,000</t>
        </is>
      </c>
      <c r="F381" t="inlineStr">
        <is>
          <t>Street Light On/Off, Electric Maintenance, Electric Fitting and Wire Panel work at Palika area.</t>
        </is>
      </c>
      <c r="G381" t="inlineStr">
        <is>
          <t>Rawatbhata</t>
        </is>
      </c>
    </row>
    <row r="382">
      <c r="A382" s="1" t="n">
        <v>380</v>
      </c>
      <c r="B382">
        <f>HYPERLINK("https://eproc.rajasthan.gov.in/nicgep/app?component=%24DirectLink&amp;page=FrontEndViewTender&amp;service=direct&amp;session=T&amp;sp=SVGagS%2FKupayO9%2BjTwTzSlA%3D%3D", "nagar nigam kota south area chambale garden maintenance work employee supply work 7")</f>
        <v/>
      </c>
      <c r="C382" t="inlineStr">
        <is>
          <t>DLB||Dy.DR-Kota||CEO-Kota</t>
        </is>
      </c>
      <c r="D382" t="inlineStr">
        <is>
          <t>21-May-2025 06:00 PM</t>
        </is>
      </c>
      <c r="E382" t="inlineStr">
        <is>
          <t>53,88,910</t>
        </is>
      </c>
      <c r="F382" t="inlineStr">
        <is>
          <t>nagar nigam kota south area chambale garden maintenance work employee supply work 7</t>
        </is>
      </c>
      <c r="G382" t="inlineStr">
        <is>
          <t>kota</t>
        </is>
      </c>
    </row>
    <row r="383">
      <c r="A383" s="1" t="n">
        <v>381</v>
      </c>
      <c r="B383">
        <f>HYPERLINK("https://eproc.rajasthan.gov.in/nicgep/app?component=%24DirectLink&amp;page=FrontEndViewTender&amp;service=direct&amp;session=T&amp;sp=S%2BRXc5aVuLX6Ja4Y%2B4YlywA%3D%3D", "Construction RCC HALL OF SATASANG bhavan at ramdev mandir top khana bas.")</f>
        <v/>
      </c>
      <c r="C383" t="inlineStr">
        <is>
          <t>DLB||Dy.DR-Jodhpur||EO-Bali</t>
        </is>
      </c>
      <c r="D383" t="inlineStr">
        <is>
          <t>27-May-2025 02:00 PM</t>
        </is>
      </c>
      <c r="E383" t="inlineStr">
        <is>
          <t>19,06,000</t>
        </is>
      </c>
      <c r="F383" t="inlineStr">
        <is>
          <t>Civil Works</t>
        </is>
      </c>
      <c r="G383" t="inlineStr">
        <is>
          <t>BALI</t>
        </is>
      </c>
    </row>
    <row r="384">
      <c r="A384" s="1" t="n">
        <v>382</v>
      </c>
      <c r="B384">
        <f>HYPERLINK("https://eproc.rajasthan.gov.in/nicgep/app?component=%24DirectLink&amp;page=FrontEndViewTender&amp;service=direct&amp;session=T&amp;sp=SqYNzLsIlHHGJ12mlXv%2FOeg%3D%3D", "Ward number 21 CC road construction work from Agrasen Dharamshala to Bihani Chowk")</f>
        <v/>
      </c>
      <c r="C384" t="inlineStr">
        <is>
          <t>DLB||Dy.DR-Bikaner||EO-Nohar</t>
        </is>
      </c>
      <c r="D384" t="inlineStr">
        <is>
          <t>24-May-2025 05:00 PM</t>
        </is>
      </c>
      <c r="E384" t="inlineStr">
        <is>
          <t>7,08,000</t>
        </is>
      </c>
      <c r="F384" t="inlineStr">
        <is>
          <t>Ward number 21 CC road construction work from Agrasen Dharamshala to Bihani Chowk</t>
        </is>
      </c>
      <c r="G384" t="inlineStr">
        <is>
          <t>MB Nohar</t>
        </is>
      </c>
    </row>
    <row r="385">
      <c r="A385" s="1" t="n">
        <v>383</v>
      </c>
      <c r="B385">
        <f>HYPERLINK("https://eproc.rajasthan.gov.in/nicgep/app?component=%24DirectLink&amp;page=FrontEndViewTender&amp;service=direct&amp;session=T&amp;sp=SbJ8QhEMz3U3niqtNP9wX%2Fw%3D%3D", "Construction of C.C road IN BAYOSA MATA JI MANDIR TO JAGDISH VARMA JI HOME IN WARD NO. 10")</f>
        <v/>
      </c>
      <c r="C385" t="inlineStr">
        <is>
          <t>DLB||Dy.DR-Jodhpur||EO-Bali</t>
        </is>
      </c>
      <c r="D385" t="inlineStr">
        <is>
          <t>27-May-2025 02:00 PM</t>
        </is>
      </c>
      <c r="E385" t="inlineStr">
        <is>
          <t>11,15,000</t>
        </is>
      </c>
      <c r="F385" t="inlineStr">
        <is>
          <t>civil works</t>
        </is>
      </c>
      <c r="G385" t="inlineStr">
        <is>
          <t>BALI</t>
        </is>
      </c>
    </row>
    <row r="386">
      <c r="A386" s="1" t="n">
        <v>384</v>
      </c>
      <c r="B386">
        <f>HYPERLINK("https://eproc.rajasthan.gov.in/nicgep/app?component=%24DirectLink&amp;page=FrontEndViewTender&amp;service=direct&amp;session=T&amp;sp=Souhh4IfwQXHDlQzMIaVVKA%3D%3D", "Ward number 21 CC road construction work from Agrasen Dharamshala to Bihani Chowk")</f>
        <v/>
      </c>
      <c r="C386" t="inlineStr">
        <is>
          <t>DLB||Dy.DR-Bikaner||EO-Nohar</t>
        </is>
      </c>
      <c r="D386" t="inlineStr">
        <is>
          <t>24-May-2025 05:00 PM</t>
        </is>
      </c>
      <c r="E386" t="inlineStr">
        <is>
          <t>24,99,000</t>
        </is>
      </c>
      <c r="F386" t="inlineStr">
        <is>
          <t>Ward number 21 CC road construction work from Agrasen Dharamshala to Bihani Chowk</t>
        </is>
      </c>
      <c r="G386" t="inlineStr">
        <is>
          <t>MB Nohar</t>
        </is>
      </c>
    </row>
    <row r="387">
      <c r="A387" s="1" t="n">
        <v>385</v>
      </c>
      <c r="B387">
        <f>HYPERLINK("https://eproc.rajasthan.gov.in/nicgep/app?component=%24DirectLink&amp;page=FrontEndViewTender&amp;service=direct&amp;session=T&amp;sp=S8aJJOMVnntg8G%2F59lhyNSg%3D%3D", "Construction of DRAIN WORKS IN ARC IN 1 TO 25 WARDS.")</f>
        <v/>
      </c>
      <c r="C387" t="inlineStr">
        <is>
          <t>DLB||Dy.DR-Jodhpur||EO-Bali</t>
        </is>
      </c>
      <c r="D387" t="inlineStr">
        <is>
          <t>27-May-2025 02:00 PM</t>
        </is>
      </c>
      <c r="E387" t="inlineStr">
        <is>
          <t>24,91,000</t>
        </is>
      </c>
      <c r="F387" t="inlineStr">
        <is>
          <t>Civil Works</t>
        </is>
      </c>
      <c r="G387" t="inlineStr">
        <is>
          <t>BALI</t>
        </is>
      </c>
    </row>
    <row r="388">
      <c r="A388" s="1" t="n">
        <v>386</v>
      </c>
      <c r="B388">
        <f>HYPERLINK("https://eproc.rajasthan.gov.in/nicgep/app?component=%24DirectLink&amp;page=FrontEndViewTender&amp;service=direct&amp;session=T&amp;sp=SbHwAXKuGk0EjnjuR2ENpJg%3D%3D", "Construction of C.C road IN ARC IN 1 TO 25 WARDS.")</f>
        <v/>
      </c>
      <c r="C388" t="inlineStr">
        <is>
          <t>DLB||Dy.DR-Jodhpur||EO-Bali</t>
        </is>
      </c>
      <c r="D388" t="inlineStr">
        <is>
          <t>27-May-2025 02:00 PM</t>
        </is>
      </c>
      <c r="E388" t="inlineStr">
        <is>
          <t>24,99,000</t>
        </is>
      </c>
      <c r="F388" t="inlineStr">
        <is>
          <t>Civil Works</t>
        </is>
      </c>
      <c r="G388" t="inlineStr">
        <is>
          <t>BALI</t>
        </is>
      </c>
    </row>
    <row r="389">
      <c r="A389" s="1" t="n">
        <v>387</v>
      </c>
      <c r="B389">
        <f>HYPERLINK("https://eproc.rajasthan.gov.in/nicgep/app?component=%24DirectLink&amp;page=FrontEndViewTender&amp;service=direct&amp;session=T&amp;sp=SO2MUQCSaFq8UPcqBy7tLlw%3D%3D", "nagar nigam kota south area dushera ground peri pheri road maintenance work employee supply work 6")</f>
        <v/>
      </c>
      <c r="C389" t="inlineStr">
        <is>
          <t>DLB||Dy.DR-Kota||CEO-Kota</t>
        </is>
      </c>
      <c r="D389" t="inlineStr">
        <is>
          <t>21-May-2025 06:00 PM</t>
        </is>
      </c>
      <c r="E389" t="inlineStr">
        <is>
          <t>21,73,687</t>
        </is>
      </c>
      <c r="F389" t="inlineStr">
        <is>
          <t>nagar nigam kota south area dushera ground peri pheri road maintenance work employee supply work 6</t>
        </is>
      </c>
      <c r="G389" t="inlineStr">
        <is>
          <t>kota</t>
        </is>
      </c>
    </row>
    <row r="390">
      <c r="A390" s="1" t="n">
        <v>388</v>
      </c>
      <c r="B390">
        <f>HYPERLINK("https://eproc.rajasthan.gov.in/nicgep/app?component=%24DirectLink&amp;page=FrontEndViewTender&amp;service=direct&amp;session=T&amp;sp=S9npHbvTWxjnzgN5uTmvhQg%3D%3D", "nagar nigam kota south area second zone ped cutting and chatai garden store employee supply work 2")</f>
        <v/>
      </c>
      <c r="C390" t="inlineStr">
        <is>
          <t>DLB||Dy.DR-Kota||CEO-Kota</t>
        </is>
      </c>
      <c r="D390" t="inlineStr">
        <is>
          <t>21-May-2025 06:00 PM</t>
        </is>
      </c>
      <c r="E390" t="inlineStr">
        <is>
          <t>12,02,966</t>
        </is>
      </c>
      <c r="F390" t="inlineStr">
        <is>
          <t>nagar nigam kota south area second zone ped cutting and chatai garden store employee supply work 2</t>
        </is>
      </c>
      <c r="G390" t="inlineStr">
        <is>
          <t>kota</t>
        </is>
      </c>
    </row>
    <row r="391">
      <c r="A391" s="1" t="n">
        <v>389</v>
      </c>
      <c r="B391">
        <f>HYPERLINK("https://eproc.rajasthan.gov.in/nicgep/app?component=%24DirectLink&amp;page=FrontEndViewTender&amp;service=direct&amp;session=T&amp;sp=SjazszPBei2GvvjX56wP1ng%3D%3D", "nagar nigam kota south area kishorepura muktidham maintenance employee supply work 3")</f>
        <v/>
      </c>
      <c r="C391" t="inlineStr">
        <is>
          <t>DLB||Dy.DR-Kota||CEO-Kota</t>
        </is>
      </c>
      <c r="D391" t="inlineStr">
        <is>
          <t>21-May-2025 06:00 PM</t>
        </is>
      </c>
      <c r="E391" t="inlineStr">
        <is>
          <t>16,63,584</t>
        </is>
      </c>
      <c r="F391" t="inlineStr">
        <is>
          <t>nagar nigam kota south area kishorepura muktidham maintenance employee supply work 3</t>
        </is>
      </c>
      <c r="G391" t="inlineStr">
        <is>
          <t>kota</t>
        </is>
      </c>
    </row>
    <row r="392">
      <c r="A392" s="1" t="n">
        <v>390</v>
      </c>
      <c r="B392">
        <f>HYPERLINK("https://eproc.rajasthan.gov.in/nicgep/app?component=%24DirectLink&amp;page=FrontEndViewTender&amp;service=direct&amp;session=T&amp;sp=SaTtRYqeDQWN3taZDl8beuA%3D%3D", "Ward number 26 CC road construction work from Hawai Jahaj Wali Haveli to Gurudwara")</f>
        <v/>
      </c>
      <c r="C392" t="inlineStr">
        <is>
          <t>DLB||Dy.DR-Bikaner||EO-Nohar</t>
        </is>
      </c>
      <c r="D392" t="inlineStr">
        <is>
          <t>24-May-2025 05:00 PM</t>
        </is>
      </c>
      <c r="E392" t="inlineStr">
        <is>
          <t>24,97,000</t>
        </is>
      </c>
      <c r="F392" t="inlineStr">
        <is>
          <t>Ward number 26 CC road construction work from Hawai Jahaj Wali Haveli to Gurudwara</t>
        </is>
      </c>
      <c r="G392" t="inlineStr">
        <is>
          <t>MB Nohar</t>
        </is>
      </c>
    </row>
    <row r="393">
      <c r="A393" s="1" t="n">
        <v>391</v>
      </c>
      <c r="B393">
        <f>HYPERLINK("https://eproc.rajasthan.gov.in/nicgep/app?component=%24DirectLink&amp;page=FrontEndViewTender&amp;service=direct&amp;session=T&amp;sp=SSovmpFGcV9sIy1DVG6qhXA%3D%3D", "Ward number 26 CC road construction work from Bhagat Singh Chowk to Hawai Jahaj Wali Haveli via Naresh Chimpa")</f>
        <v/>
      </c>
      <c r="C393" t="inlineStr">
        <is>
          <t>DLB||Dy.DR-Bikaner||EO-Nohar</t>
        </is>
      </c>
      <c r="D393" t="inlineStr">
        <is>
          <t>24-May-2025 05:00 PM</t>
        </is>
      </c>
      <c r="E393" t="inlineStr">
        <is>
          <t>24,59,000</t>
        </is>
      </c>
      <c r="F393" t="inlineStr">
        <is>
          <t>Ward number 26 CC road construction work from Bhagat Singh Chowk to Hawai Jahaj Wali Haveli via Naresh Chimpa</t>
        </is>
      </c>
      <c r="G393" t="inlineStr">
        <is>
          <t>MB Nohar</t>
        </is>
      </c>
    </row>
    <row r="394">
      <c r="A394" s="1" t="n">
        <v>392</v>
      </c>
      <c r="B394">
        <f>HYPERLINK("https://eproc.rajasthan.gov.in/nicgep/app?component=%24DirectLink&amp;page=FrontEndViewTender&amp;service=direct&amp;session=T&amp;sp=Su14AqRdEjWxknhzGv1hSMA%3D%3D", "Construction interlocking block in ADJ Court.")</f>
        <v/>
      </c>
      <c r="C394" t="inlineStr">
        <is>
          <t>DLB||Dy.DR-Jodhpur||EO-Bali</t>
        </is>
      </c>
      <c r="D394" t="inlineStr">
        <is>
          <t>27-May-2025 02:00 PM</t>
        </is>
      </c>
      <c r="E394" t="inlineStr">
        <is>
          <t>12,79,000</t>
        </is>
      </c>
      <c r="F394" t="inlineStr">
        <is>
          <t>Civil work</t>
        </is>
      </c>
      <c r="G394" t="inlineStr">
        <is>
          <t>BALI</t>
        </is>
      </c>
    </row>
    <row r="395">
      <c r="A395" s="1" t="n">
        <v>393</v>
      </c>
      <c r="B395">
        <f>HYPERLINK("https://eproc.rajasthan.gov.in/nicgep/app?component=%24DirectLink&amp;page=FrontEndViewTender&amp;service=direct&amp;session=T&amp;sp=S7%2BuY9an4imp1oBVyenCtuA%3D%3D", "Construction of Bitumen road and drain in kanji nagar in w.no 24")</f>
        <v/>
      </c>
      <c r="C395" t="inlineStr">
        <is>
          <t>DLB||Dy.DR-Jodhpur||EO-Bali</t>
        </is>
      </c>
      <c r="D395" t="inlineStr">
        <is>
          <t>27-May-2025 02:00 PM</t>
        </is>
      </c>
      <c r="E395" t="inlineStr">
        <is>
          <t>28,93,000</t>
        </is>
      </c>
      <c r="F395" t="inlineStr">
        <is>
          <t>Civil Works</t>
        </is>
      </c>
      <c r="G395" t="inlineStr">
        <is>
          <t>BALI</t>
        </is>
      </c>
    </row>
    <row r="396">
      <c r="A396" s="1" t="n">
        <v>394</v>
      </c>
      <c r="B396">
        <f>HYPERLINK("https://eproc.rajasthan.gov.in/nicgep/app?component=%24DirectLink&amp;page=FrontEndViewTender&amp;service=direct&amp;session=T&amp;sp=S4GS6nsCShWegySDBgtz%2FTA%3D%3D", "Ward number 24 CC road construction work from Ganesh Chowk to Bhagat Singh Chowk")</f>
        <v/>
      </c>
      <c r="C396" t="inlineStr">
        <is>
          <t>DLB||Dy.DR-Bikaner||EO-Nohar</t>
        </is>
      </c>
      <c r="D396" t="inlineStr">
        <is>
          <t>24-May-2025 05:00 PM</t>
        </is>
      </c>
      <c r="E396" t="inlineStr">
        <is>
          <t>24,93,000</t>
        </is>
      </c>
      <c r="F396" t="inlineStr">
        <is>
          <t>Ward number 24 CC road construction work from Ganesh Chowk to Bhagat Singh Chowk</t>
        </is>
      </c>
      <c r="G396" t="inlineStr">
        <is>
          <t>MB Nohar</t>
        </is>
      </c>
    </row>
    <row r="397">
      <c r="A397" s="1" t="n">
        <v>395</v>
      </c>
      <c r="B397">
        <f>HYPERLINK("https://eproc.rajasthan.gov.in/nicgep/app?component=%24DirectLink&amp;page=FrontEndViewTender&amp;service=direct&amp;session=T&amp;sp=S6yMT25uhKN6W6MYWGyUUWQ%3D%3D", "Ward number 36 CC road construction work from Meena Dharamshala to Panchayat Samiti")</f>
        <v/>
      </c>
      <c r="C397" t="inlineStr">
        <is>
          <t>DLB||Dy.DR-Bikaner||EO-Nohar</t>
        </is>
      </c>
      <c r="D397" t="inlineStr">
        <is>
          <t>24-May-2025 05:00 PM</t>
        </is>
      </c>
      <c r="E397" t="inlineStr">
        <is>
          <t>23,21,000</t>
        </is>
      </c>
      <c r="F397" t="inlineStr">
        <is>
          <t>Ward number 36 CC road construction work from Meena Dharamshala to Panchayat Samiti</t>
        </is>
      </c>
      <c r="G397" t="inlineStr">
        <is>
          <t>MB Nohar</t>
        </is>
      </c>
    </row>
    <row r="398">
      <c r="A398" s="1" t="n">
        <v>396</v>
      </c>
      <c r="B398">
        <f>HYPERLINK("https://eproc.rajasthan.gov.in/nicgep/app?component=%24DirectLink&amp;page=FrontEndViewTender&amp;service=direct&amp;session=T&amp;sp=S1%2FH07r0bT%2B0nVgHdnzD49g%3D%3D", "nagar nigam kota south area first zone ped cutting and chatai garden store employee supply work 1")</f>
        <v/>
      </c>
      <c r="C398" t="inlineStr">
        <is>
          <t>DLB||Dy.DR-Kota||CEO-Kota</t>
        </is>
      </c>
      <c r="D398" t="inlineStr">
        <is>
          <t>21-May-2025 06:00 PM</t>
        </is>
      </c>
      <c r="E398" t="inlineStr">
        <is>
          <t>12,02,966</t>
        </is>
      </c>
      <c r="F398" t="inlineStr">
        <is>
          <t>nagar nigam kota south area first zone ped cutting and chatai garden store employee supply work 1</t>
        </is>
      </c>
      <c r="G398" t="inlineStr">
        <is>
          <t>kota</t>
        </is>
      </c>
    </row>
    <row r="399">
      <c r="A399" s="1" t="n">
        <v>397</v>
      </c>
      <c r="B399">
        <f>HYPERLINK("https://eproc.rajasthan.gov.in/nicgep/app?component=%24DirectLink&amp;page=FrontEndViewTender&amp;service=direct&amp;session=T&amp;sp=SsjQvZAVOr0E1%2B67s0Pg06g%3D%3D", "NAGAR PALIKA MAHWA KE JONE N 03 ME SAFAI KARYA")</f>
        <v/>
      </c>
      <c r="C399" t="inlineStr">
        <is>
          <t>DLB||Dy.DR- Bharatpur||EO- Mahuwa</t>
        </is>
      </c>
      <c r="D399" t="inlineStr">
        <is>
          <t>21-May-2025 12:00 PM</t>
        </is>
      </c>
      <c r="E399" t="inlineStr">
        <is>
          <t>90,00,000</t>
        </is>
      </c>
      <c r="F399" t="inlineStr">
        <is>
          <t>NAGAR PALIKA MAHWA KE JONE N 03 ME SAFAI KARYA</t>
        </is>
      </c>
      <c r="G399" t="inlineStr">
        <is>
          <t>SERVICES</t>
        </is>
      </c>
    </row>
    <row r="400">
      <c r="A400" s="1" t="n">
        <v>398</v>
      </c>
      <c r="B400">
        <f>HYPERLINK("https://eproc.rajasthan.gov.in/nicgep/app?component=%24DirectLink&amp;page=FrontEndViewTender&amp;service=direct&amp;session=T&amp;sp=SCWHv57CQPKSBSB1ZThBQcw%3D%3D", "nagar palika mahwa ke jone n 01 safai karya")</f>
        <v/>
      </c>
      <c r="C400" t="inlineStr">
        <is>
          <t>DLB||Dy.DR- Bharatpur||EO- Mahuwa</t>
        </is>
      </c>
      <c r="D400" t="inlineStr">
        <is>
          <t>21-May-2025 12:00 PM</t>
        </is>
      </c>
      <c r="E400" t="inlineStr">
        <is>
          <t>80,00,000</t>
        </is>
      </c>
      <c r="F400" t="inlineStr">
        <is>
          <t>nagar palika mahwa ke jone n 01 safai karya</t>
        </is>
      </c>
      <c r="G400" t="inlineStr">
        <is>
          <t>service</t>
        </is>
      </c>
    </row>
    <row r="401">
      <c r="A401" s="1" t="n">
        <v>399</v>
      </c>
      <c r="B401">
        <f>HYPERLINK("https://eproc.rajasthan.gov.in/nicgep/app?component=%24DirectLink&amp;page=FrontEndViewTender&amp;service=direct&amp;session=T&amp;sp=SYggtW9z5oqr2RTSH3vP1kQ%3D%3D", "Construction of c.c road in madanlal house to sugno devi house tak.")</f>
        <v/>
      </c>
      <c r="C401" t="inlineStr">
        <is>
          <t>DLB||Dy.DR-Jodhpur||EO-Bali</t>
        </is>
      </c>
      <c r="D401" t="inlineStr">
        <is>
          <t>27-May-2025 02:00 PM</t>
        </is>
      </c>
      <c r="E401" t="inlineStr">
        <is>
          <t>11,56,000</t>
        </is>
      </c>
      <c r="F401" t="inlineStr">
        <is>
          <t>Civil Works</t>
        </is>
      </c>
      <c r="G401" t="inlineStr">
        <is>
          <t>BALI</t>
        </is>
      </c>
    </row>
    <row r="402">
      <c r="A402" s="1" t="n">
        <v>400</v>
      </c>
      <c r="B402">
        <f>HYPERLINK("https://eproc.rajasthan.gov.in/nicgep/app?component=%24DirectLink&amp;page=FrontEndViewTender&amp;service=direct&amp;session=T&amp;sp=S0DONUziAkwewbKj14fdEEQ%3D%3D", "Construction of bus stop in tin set (Steel)")</f>
        <v/>
      </c>
      <c r="C402" t="inlineStr">
        <is>
          <t>DLB||Dy.DR-Jodhpur||EO-Bali</t>
        </is>
      </c>
      <c r="D402" t="inlineStr">
        <is>
          <t>27-May-2025 02:00 PM</t>
        </is>
      </c>
      <c r="E402" t="inlineStr">
        <is>
          <t>45,00,000</t>
        </is>
      </c>
      <c r="F402" t="inlineStr">
        <is>
          <t>Civil Works</t>
        </is>
      </c>
      <c r="G402" t="inlineStr">
        <is>
          <t>BALI</t>
        </is>
      </c>
    </row>
    <row r="403">
      <c r="A403" s="1" t="n">
        <v>401</v>
      </c>
      <c r="B403">
        <f>HYPERLINK("https://eproc.rajasthan.gov.in/nicgep/app?component=%24DirectLink&amp;page=FrontEndViewTender&amp;service=direct&amp;session=T&amp;sp=SCINMpYJEWcisrzycfiW3IA%3D%3D", "Construction of C.C road and drain works amba mata temple to gomaram various place.")</f>
        <v/>
      </c>
      <c r="C403" t="inlineStr">
        <is>
          <t>DLB||Dy.DR-Jodhpur||EO-Bali</t>
        </is>
      </c>
      <c r="D403" t="inlineStr">
        <is>
          <t>27-May-2025 02:00 PM</t>
        </is>
      </c>
      <c r="E403" t="inlineStr">
        <is>
          <t>10,85,000</t>
        </is>
      </c>
      <c r="F403" t="inlineStr">
        <is>
          <t>Civil Works</t>
        </is>
      </c>
      <c r="G403" t="inlineStr">
        <is>
          <t>BALI</t>
        </is>
      </c>
    </row>
    <row r="404">
      <c r="A404" s="1" t="n">
        <v>402</v>
      </c>
      <c r="B404">
        <f>HYPERLINK("https://eproc.rajasthan.gov.in/nicgep/app?component=%24DirectLink&amp;page=FrontEndViewTender&amp;service=direct&amp;session=T&amp;sp=SyAI7CvNpHOISMwa9RwJ0CQ%3D%3D", "indarraj ji bhandari adv, ki gali c.c road and drain ward no. 04")</f>
        <v/>
      </c>
      <c r="C404" t="inlineStr">
        <is>
          <t>DLB||Dy.DR-Jodhpur||EO-Bali</t>
        </is>
      </c>
      <c r="D404" t="inlineStr">
        <is>
          <t>27-May-2025 02:00 PM</t>
        </is>
      </c>
      <c r="E404" t="inlineStr">
        <is>
          <t>11,16,000</t>
        </is>
      </c>
      <c r="F404" t="inlineStr">
        <is>
          <t>Civil Works</t>
        </is>
      </c>
      <c r="G404" t="inlineStr">
        <is>
          <t>BALI</t>
        </is>
      </c>
    </row>
    <row r="405">
      <c r="A405" s="1" t="n">
        <v>403</v>
      </c>
      <c r="B405">
        <f>HYPERLINK("https://eproc.rajasthan.gov.in/nicgep/app?component=%24DirectLink&amp;page=FrontEndViewTender&amp;service=direct&amp;session=T&amp;sp=S7iazsdxB23L%2Fnw%2FEwuoPrQ%3D%3D", "Construction of C.C road In ghisulal foji ka bera daknava ward 03")</f>
        <v/>
      </c>
      <c r="C405" t="inlineStr">
        <is>
          <t>DLB||Dy.DR-Jodhpur||EO-Bali</t>
        </is>
      </c>
      <c r="D405" t="inlineStr">
        <is>
          <t>27-May-2025 02:00 PM</t>
        </is>
      </c>
      <c r="E405" t="inlineStr">
        <is>
          <t>8,00,000</t>
        </is>
      </c>
      <c r="F405" t="inlineStr">
        <is>
          <t>Civil Works</t>
        </is>
      </c>
      <c r="G405" t="inlineStr">
        <is>
          <t>BALI</t>
        </is>
      </c>
    </row>
    <row r="406">
      <c r="A406" s="1" t="n">
        <v>404</v>
      </c>
      <c r="B406">
        <f>HYPERLINK("https://eproc.rajasthan.gov.in/nicgep/app?component=%24DirectLink&amp;page=FrontEndViewTender&amp;service=direct&amp;session=T&amp;sp=SxswOhSqbIwZ9zG7eJMgH2w%3D%3D", "NAGAR PALIKA MAHWA KE JONE N 02 ME SAFAI KARYA")</f>
        <v/>
      </c>
      <c r="C406" t="inlineStr">
        <is>
          <t>DLB||Dy.DR- Bharatpur||EO- Mahuwa</t>
        </is>
      </c>
      <c r="D406" t="inlineStr">
        <is>
          <t>21-May-2025 12:00 PM</t>
        </is>
      </c>
      <c r="E406" t="inlineStr">
        <is>
          <t>80,00,000</t>
        </is>
      </c>
      <c r="F406" t="inlineStr">
        <is>
          <t>NAGAR PALIKA MAHWA KE JONE N 02 ME SAFAI KARYA</t>
        </is>
      </c>
      <c r="G406" t="inlineStr">
        <is>
          <t>SERIVES</t>
        </is>
      </c>
    </row>
    <row r="407">
      <c r="A407" s="1" t="n">
        <v>405</v>
      </c>
      <c r="B407">
        <f>HYPERLINK("https://eproc.rajasthan.gov.in/nicgep/app?component=%24DirectLink&amp;page=FrontEndViewTender&amp;service=direct&amp;session=T&amp;sp=SjLyEzlHh5UAWfl11qjRlvQ%3D%3D", "Construction of room and hall in muncipal board office")</f>
        <v/>
      </c>
      <c r="C407" t="inlineStr">
        <is>
          <t>DLB||Dy.DR-Jodhpur||EO-Bali</t>
        </is>
      </c>
      <c r="D407" t="inlineStr">
        <is>
          <t>27-May-2025 02:00 PM</t>
        </is>
      </c>
      <c r="E407" t="inlineStr">
        <is>
          <t>19,43,000</t>
        </is>
      </c>
      <c r="F407" t="inlineStr">
        <is>
          <t>Civil Works</t>
        </is>
      </c>
      <c r="G407" t="inlineStr">
        <is>
          <t>BALI</t>
        </is>
      </c>
    </row>
    <row r="408">
      <c r="A408" s="1" t="n">
        <v>406</v>
      </c>
      <c r="B408">
        <f>HYPERLINK("https://eproc.rajasthan.gov.in/nicgep/app?component=%24DirectLink&amp;page=FrontEndViewTender&amp;service=direct&amp;session=T&amp;sp=SzxmGWc%2BPzXq%2FFY7DfoCqNg%3D%3D", "Construction of C.C road IN jain padi mandir ward no.11.")</f>
        <v/>
      </c>
      <c r="C408" t="inlineStr">
        <is>
          <t>DLB||Dy.DR-Jodhpur||EO-Bali</t>
        </is>
      </c>
      <c r="D408" t="inlineStr">
        <is>
          <t>27-May-2025 02:00 PM</t>
        </is>
      </c>
      <c r="E408" t="inlineStr">
        <is>
          <t>9,08,000</t>
        </is>
      </c>
      <c r="F408" t="inlineStr">
        <is>
          <t>Civil Works</t>
        </is>
      </c>
      <c r="G408" t="inlineStr">
        <is>
          <t>BALI</t>
        </is>
      </c>
    </row>
    <row r="409">
      <c r="A409" s="1" t="n">
        <v>407</v>
      </c>
      <c r="B409">
        <f>HYPERLINK("https://eproc.rajasthan.gov.in/nicgep/app?component=%24DirectLink&amp;page=FrontEndViewTender&amp;service=direct&amp;session=T&amp;sp=S7hT19of2xLbmJKzMS1sGVg%3D%3D", "Construction of C.C road and drain bera badlawa raod se dhani road tak ward no 04")</f>
        <v/>
      </c>
      <c r="C409" t="inlineStr">
        <is>
          <t>DLB||Dy.DR-Jodhpur||EO-Bali</t>
        </is>
      </c>
      <c r="D409" t="inlineStr">
        <is>
          <t>27-May-2025 02:00 PM</t>
        </is>
      </c>
      <c r="E409" t="inlineStr">
        <is>
          <t>11,51,000</t>
        </is>
      </c>
      <c r="F409" t="inlineStr">
        <is>
          <t>Civil Works</t>
        </is>
      </c>
      <c r="G409" t="inlineStr">
        <is>
          <t>BALI</t>
        </is>
      </c>
    </row>
    <row r="410">
      <c r="A410" s="1" t="n">
        <v>408</v>
      </c>
      <c r="B410">
        <f>HYPERLINK("https://eproc.rajasthan.gov.in/nicgep/app?component=%24DirectLink&amp;page=FrontEndViewTender&amp;service=direct&amp;session=T&amp;sp=SkHemfzlYm4f5QqV3woR7Bw%3D%3D", "nagar nigam kota south area bhitariya kund garden maintenance work employee supply work 5")</f>
        <v/>
      </c>
      <c r="C410" t="inlineStr">
        <is>
          <t>DLB||Dy.DR-Kota||CEO-Kota</t>
        </is>
      </c>
      <c r="D410" t="inlineStr">
        <is>
          <t>21-May-2025 06:00 PM</t>
        </is>
      </c>
      <c r="E410" t="inlineStr">
        <is>
          <t>14,78,739</t>
        </is>
      </c>
      <c r="F410" t="inlineStr">
        <is>
          <t>nagar nigam kota south area bhitariya kund garden maintenance work employee supply work 5</t>
        </is>
      </c>
      <c r="G410" t="inlineStr">
        <is>
          <t>kota</t>
        </is>
      </c>
    </row>
    <row r="411">
      <c r="A411" s="1" t="n">
        <v>409</v>
      </c>
      <c r="B411">
        <f>HYPERLINK("https://eproc.rajasthan.gov.in/nicgep/app?component=%24DirectLink&amp;page=FrontEndViewTender&amp;service=direct&amp;session=T&amp;sp=SWR%2BN3n3bKmtt3Tux4QbLdg%3D%3D", "nagar nigam kota south area trafik park maintenance work employee suppy work 4")</f>
        <v/>
      </c>
      <c r="C411" t="inlineStr">
        <is>
          <t>DLB||Dy.DR-Kota||CEO-Kota</t>
        </is>
      </c>
      <c r="D411" t="inlineStr">
        <is>
          <t>21-May-2025 06:00 PM</t>
        </is>
      </c>
      <c r="E411" t="inlineStr">
        <is>
          <t>32,60,490</t>
        </is>
      </c>
      <c r="F411" t="inlineStr">
        <is>
          <t>nagar nigam kota south area trafik park maintenance work employee suppy work 4</t>
        </is>
      </c>
      <c r="G411" t="inlineStr">
        <is>
          <t>kota</t>
        </is>
      </c>
    </row>
    <row r="412">
      <c r="A412" s="1" t="n">
        <v>410</v>
      </c>
      <c r="B412">
        <f>HYPERLINK("https://eproc.rajasthan.gov.in/nicgep/app?component=%24DirectLink&amp;page=FrontEndViewTender&amp;service=direct&amp;session=T&amp;sp=SMJ1ddzYG7JDmuq2sLKKfnQ%3D%3D", "NAGAR PALIKA MAHWA KE JONE N 04 ME SAFAI KARYA")</f>
        <v/>
      </c>
      <c r="C412" t="inlineStr">
        <is>
          <t>DLB||Dy.DR- Bharatpur||EO- Mahuwa</t>
        </is>
      </c>
      <c r="D412" t="inlineStr">
        <is>
          <t>21-May-2025 12:00 PM</t>
        </is>
      </c>
      <c r="E412" t="inlineStr">
        <is>
          <t>60,00,000</t>
        </is>
      </c>
      <c r="F412" t="inlineStr">
        <is>
          <t>NAGAR PALIKA MAHWA KE JONE N 04 ME SAFAI KARYA</t>
        </is>
      </c>
      <c r="G412" t="inlineStr">
        <is>
          <t>SERVICE</t>
        </is>
      </c>
    </row>
    <row r="413">
      <c r="A413" s="1" t="n">
        <v>411</v>
      </c>
      <c r="B413">
        <f>HYPERLINK("https://eproc.rajasthan.gov.in/nicgep/app?component=%24DirectLink&amp;page=FrontEndViewTender&amp;service=direct&amp;session=T&amp;sp=SNOQIeUm8JKNBPoi%2BQ9Ictw%3D%3D", "Construction of C.C road In radawa main road falna sadari road ward no 21")</f>
        <v/>
      </c>
      <c r="C413" t="inlineStr">
        <is>
          <t>DLB||Dy.DR-Jodhpur||EO-Bali</t>
        </is>
      </c>
      <c r="D413" t="inlineStr">
        <is>
          <t>27-May-2025 02:00 PM</t>
        </is>
      </c>
      <c r="E413" t="inlineStr">
        <is>
          <t>4,78,000</t>
        </is>
      </c>
      <c r="F413" t="inlineStr">
        <is>
          <t>Civil Works</t>
        </is>
      </c>
      <c r="G413" t="inlineStr">
        <is>
          <t>BALI</t>
        </is>
      </c>
    </row>
    <row r="414">
      <c r="A414" s="1" t="n">
        <v>412</v>
      </c>
      <c r="B414">
        <f>HYPERLINK("https://eproc.rajasthan.gov.in/nicgep/app?component=%24DirectLink&amp;page=FrontEndViewTender&amp;service=direct&amp;session=T&amp;sp=Sc%2BZ0LBMLw2n1c9gOztC5Cg%3D%3D", "Construction of Safety wall near adarsh bal niketan school bali.")</f>
        <v/>
      </c>
      <c r="C414" t="inlineStr">
        <is>
          <t>DLB||Dy.DR-Jodhpur||EO-Bali</t>
        </is>
      </c>
      <c r="D414" t="inlineStr">
        <is>
          <t>27-May-2025 02:00 PM</t>
        </is>
      </c>
      <c r="E414" t="inlineStr">
        <is>
          <t>21,64,000</t>
        </is>
      </c>
      <c r="F414" t="inlineStr">
        <is>
          <t>civil works</t>
        </is>
      </c>
      <c r="G414" t="inlineStr">
        <is>
          <t>BALI</t>
        </is>
      </c>
    </row>
    <row r="415">
      <c r="A415" s="1" t="n">
        <v>413</v>
      </c>
      <c r="B415">
        <f>HYPERLINK("https://eproc.rajasthan.gov.in/nicgep/app?component=%24DirectLink&amp;page=FrontEndViewTender&amp;service=direct&amp;session=T&amp;sp=SLvWGns5eCRIhS1ggbrDW6Q%3D%3D", "Construction of repairing in nalla of various place in bali.")</f>
        <v/>
      </c>
      <c r="C415" t="inlineStr">
        <is>
          <t>DLB||Dy.DR-Jodhpur||EO-Bali</t>
        </is>
      </c>
      <c r="D415" t="inlineStr">
        <is>
          <t>27-May-2025 02:00 PM</t>
        </is>
      </c>
      <c r="E415" t="inlineStr">
        <is>
          <t>22,36,000</t>
        </is>
      </c>
      <c r="F415" t="inlineStr">
        <is>
          <t>Civil works</t>
        </is>
      </c>
      <c r="G415" t="inlineStr">
        <is>
          <t>BALI</t>
        </is>
      </c>
    </row>
    <row r="416">
      <c r="A416" s="1" t="n">
        <v>414</v>
      </c>
      <c r="B416">
        <f>HYPERLINK("https://eproc.rajasthan.gov.in/nicgep/app?component=%24DirectLink&amp;page=FrontEndViewTender&amp;service=direct&amp;session=T&amp;sp=Sh4XZads4%2BHG1eaOs%2BTs%2BNg%3D%3D", "Construction of nalla near rajawat parks ward no 08")</f>
        <v/>
      </c>
      <c r="C416" t="inlineStr">
        <is>
          <t>DLB||Dy.DR-Jodhpur||EO-Bali</t>
        </is>
      </c>
      <c r="D416" t="inlineStr">
        <is>
          <t>27-May-2025 02:00 PM</t>
        </is>
      </c>
      <c r="E416" t="inlineStr">
        <is>
          <t>12,38,000</t>
        </is>
      </c>
      <c r="F416" t="inlineStr">
        <is>
          <t>Civil Works</t>
        </is>
      </c>
      <c r="G416" t="inlineStr">
        <is>
          <t>BALI</t>
        </is>
      </c>
    </row>
    <row r="417">
      <c r="A417" s="1" t="n">
        <v>415</v>
      </c>
      <c r="B417">
        <f>HYPERLINK("https://eproc.rajasthan.gov.in/nicgep/app?component=%24DirectLink&amp;page=FrontEndViewTender&amp;service=direct&amp;session=T&amp;sp=S7lRt9fctDc4SGYPCOjABzw%3D%3D", "Construction of repairing in nala of girls school bali and near high sec. school.")</f>
        <v/>
      </c>
      <c r="C417" t="inlineStr">
        <is>
          <t>DLB||Dy.DR-Jodhpur||EO-Bali</t>
        </is>
      </c>
      <c r="D417" t="inlineStr">
        <is>
          <t>27-May-2025 02:00 PM</t>
        </is>
      </c>
      <c r="E417" t="inlineStr">
        <is>
          <t>3,36,000</t>
        </is>
      </c>
      <c r="F417" t="inlineStr">
        <is>
          <t>Civil works</t>
        </is>
      </c>
      <c r="G417" t="inlineStr">
        <is>
          <t>BALI</t>
        </is>
      </c>
    </row>
    <row r="418">
      <c r="A418" s="1" t="n">
        <v>416</v>
      </c>
      <c r="B418">
        <f>HYPERLINK("https://eproc.rajasthan.gov.in/nicgep/app?component=%24DirectLink&amp;page=FrontEndViewTender&amp;service=direct&amp;session=T&amp;sp=SVjOVj%2F5xc3%2BgucSEwIObfg%3D%3D", "Construction of boundary wall repairing in various palce bali")</f>
        <v/>
      </c>
      <c r="C418" t="inlineStr">
        <is>
          <t>DLB||Dy.DR-Jodhpur||EO-Bali</t>
        </is>
      </c>
      <c r="D418" t="inlineStr">
        <is>
          <t>27-May-2025 02:00 PM</t>
        </is>
      </c>
      <c r="E418" t="inlineStr">
        <is>
          <t>1,87,000</t>
        </is>
      </c>
      <c r="F418" t="inlineStr">
        <is>
          <t>Civil works</t>
        </is>
      </c>
      <c r="G418" t="inlineStr">
        <is>
          <t>BALI</t>
        </is>
      </c>
    </row>
    <row r="419">
      <c r="A419" s="1" t="n">
        <v>417</v>
      </c>
      <c r="B419">
        <f>HYPERLINK("https://eproc.rajasthan.gov.in/nicgep/app?component=%24DirectLink&amp;page=FrontEndViewTender&amp;service=direct&amp;session=T&amp;sp=SAGXi9zWCYMcOOy%2BFzQbCIQ%3D%3D", "Construction of C.C road IN radawa bayosa mandir vali gali ward no. 22")</f>
        <v/>
      </c>
      <c r="C419" t="inlineStr">
        <is>
          <t>DLB||Dy.DR-Jodhpur||EO-Bali</t>
        </is>
      </c>
      <c r="D419" t="inlineStr">
        <is>
          <t>27-May-2025 02:00 PM</t>
        </is>
      </c>
      <c r="E419" t="inlineStr">
        <is>
          <t>14,43,000</t>
        </is>
      </c>
      <c r="F419" t="inlineStr">
        <is>
          <t>Civil Works</t>
        </is>
      </c>
      <c r="G419" t="inlineStr">
        <is>
          <t>BALI</t>
        </is>
      </c>
    </row>
    <row r="420">
      <c r="A420" s="1" t="n">
        <v>418</v>
      </c>
      <c r="B420">
        <f>HYPERLINK("https://eproc.rajasthan.gov.in/nicgep/app?component=%24DirectLink&amp;page=FrontEndViewTender&amp;service=direct&amp;session=T&amp;sp=SKIqYPAckvaWPgfzq69%2BFjQ%3D%3D", "Construction of drain ,paver block infront of LIC office on main road.")</f>
        <v/>
      </c>
      <c r="C420" t="inlineStr">
        <is>
          <t>DLB||Dy.DR-Jodhpur||EO-Bali</t>
        </is>
      </c>
      <c r="D420" t="inlineStr">
        <is>
          <t>27-May-2025 02:00 PM</t>
        </is>
      </c>
      <c r="E420" t="inlineStr">
        <is>
          <t>30,15,000</t>
        </is>
      </c>
      <c r="F420" t="inlineStr">
        <is>
          <t>Civil Works</t>
        </is>
      </c>
      <c r="G420" t="inlineStr">
        <is>
          <t>BALI</t>
        </is>
      </c>
    </row>
    <row r="421">
      <c r="A421" s="1" t="n">
        <v>419</v>
      </c>
      <c r="B421">
        <f>HYPERLINK("https://eproc.rajasthan.gov.in/nicgep/app?component=%24DirectLink&amp;page=FrontEndViewTender&amp;service=direct&amp;session=T&amp;sp=SSEJZVvlHcf%2BAwbD4f2Ljgw%3D%3D", "Construction of nalla from aai mata school towards government school in w.no-16.")</f>
        <v/>
      </c>
      <c r="C421" t="inlineStr">
        <is>
          <t>DLB||Dy.DR-Jodhpur||EO-Bali</t>
        </is>
      </c>
      <c r="D421" t="inlineStr">
        <is>
          <t>27-May-2025 02:00 PM</t>
        </is>
      </c>
      <c r="E421" t="inlineStr">
        <is>
          <t>50,03,000</t>
        </is>
      </c>
      <c r="F421" t="inlineStr">
        <is>
          <t>Civil Works</t>
        </is>
      </c>
      <c r="G421" t="inlineStr">
        <is>
          <t>BALI</t>
        </is>
      </c>
    </row>
    <row r="422">
      <c r="A422" s="1" t="n">
        <v>420</v>
      </c>
      <c r="B422">
        <f>HYPERLINK("https://eproc.rajasthan.gov.in/nicgep/app?component=%24DirectLink&amp;page=FrontEndViewTender&amp;service=direct&amp;session=T&amp;sp=S1Ey3qKJVoMmf2dGOF5As5g%3D%3D", "Construction of hall in goswami samaj samshan.")</f>
        <v/>
      </c>
      <c r="C422" t="inlineStr">
        <is>
          <t>DLB||Dy.DR-Jodhpur||EO-Bali</t>
        </is>
      </c>
      <c r="D422" t="inlineStr">
        <is>
          <t>27-May-2025 02:00 PM</t>
        </is>
      </c>
      <c r="E422" t="inlineStr">
        <is>
          <t>25,59,000</t>
        </is>
      </c>
      <c r="F422" t="inlineStr">
        <is>
          <t>Civil Works</t>
        </is>
      </c>
      <c r="G422" t="inlineStr">
        <is>
          <t>BALI</t>
        </is>
      </c>
    </row>
    <row r="423">
      <c r="A423" s="1" t="n">
        <v>421</v>
      </c>
      <c r="B423">
        <f>HYPERLINK("https://eproc.rajasthan.gov.in/nicgep/app?component=%24DirectLink&amp;page=FrontEndViewTender&amp;service=direct&amp;session=T&amp;sp=ShqsNcclCWFv4Dm%2F4FrRv5A%3D%3D", "Construction of CC Repair and installation of iron crossing mesh on drains in various areas of the municipality Kherwara")</f>
        <v/>
      </c>
      <c r="C423" t="inlineStr">
        <is>
          <t>DLB||Dy.DR-Udaipur||Commissioner-Dungarpur</t>
        </is>
      </c>
      <c r="D423" t="inlineStr">
        <is>
          <t>20-May-2025 06:00 PM</t>
        </is>
      </c>
      <c r="E423" t="inlineStr">
        <is>
          <t>23,45,000</t>
        </is>
      </c>
      <c r="F423" t="inlineStr">
        <is>
          <t>Construction of CC Repair and installation of iron crossing mesh on drains in various areas of the municipality Kherwara</t>
        </is>
      </c>
      <c r="G423" t="inlineStr">
        <is>
          <t>KHERWARA</t>
        </is>
      </c>
    </row>
    <row r="424">
      <c r="A424" s="1" t="n">
        <v>422</v>
      </c>
      <c r="B424">
        <f>HYPERLINK("https://eproc.rajasthan.gov.in/nicgep/app?component=%24DirectLink&amp;page=FrontEndViewTender&amp;service=direct&amp;session=T&amp;sp=SsXiFjVwaWSmvUUe1A6l5Uw%3D%3D", "Construction of C.C road samudayak chochalay se laduram jogi ghar tak puran kerapura road ward no 25.")</f>
        <v/>
      </c>
      <c r="C424" t="inlineStr">
        <is>
          <t>DLB||Dy.DR-Jodhpur||EO-Bali</t>
        </is>
      </c>
      <c r="D424" t="inlineStr">
        <is>
          <t>27-May-2025 02:00 PM</t>
        </is>
      </c>
      <c r="E424" t="inlineStr">
        <is>
          <t>27,67,000</t>
        </is>
      </c>
      <c r="F424" t="inlineStr">
        <is>
          <t>Civil Works</t>
        </is>
      </c>
      <c r="G424" t="inlineStr">
        <is>
          <t>BALI</t>
        </is>
      </c>
    </row>
    <row r="425">
      <c r="A425" s="1" t="n">
        <v>423</v>
      </c>
      <c r="B425">
        <f>HYPERLINK("https://eproc.rajasthan.gov.in/nicgep/app?component=%24DirectLink&amp;page=FrontEndViewTender&amp;service=direct&amp;session=T&amp;sp=SXZdyyhq2T9810LnBAUcnEw%3D%3D", "Construction of C.C road IN mandanlal ji house to rajendra singh ji home and various place ward no. 04.")</f>
        <v/>
      </c>
      <c r="C425" t="inlineStr">
        <is>
          <t>DLB||Dy.DR-Jodhpur||EO-Bali</t>
        </is>
      </c>
      <c r="D425" t="inlineStr">
        <is>
          <t>27-May-2025 02:00 PM</t>
        </is>
      </c>
      <c r="E425" t="inlineStr">
        <is>
          <t>8,02,000</t>
        </is>
      </c>
      <c r="F425" t="inlineStr">
        <is>
          <t>Civil Works</t>
        </is>
      </c>
      <c r="G425" t="inlineStr">
        <is>
          <t>BALI</t>
        </is>
      </c>
    </row>
    <row r="426">
      <c r="A426" s="1" t="n">
        <v>424</v>
      </c>
      <c r="B426">
        <f>HYPERLINK("https://eproc.rajasthan.gov.in/nicgep/app?component=%24DirectLink&amp;page=FrontEndViewTender&amp;service=direct&amp;session=T&amp;sp=S1v%2FThnTt649se6dDqShyYA%3D%3D", "Construction of C.C road and drain IN magilal ji house se ramlal ji ghar tak ward no 12")</f>
        <v/>
      </c>
      <c r="C426" t="inlineStr">
        <is>
          <t>DLB||Dy.DR-Jodhpur||EO-Bali</t>
        </is>
      </c>
      <c r="D426" t="inlineStr">
        <is>
          <t>27-May-2025 02:00 PM</t>
        </is>
      </c>
      <c r="E426" t="inlineStr">
        <is>
          <t>8,31,000</t>
        </is>
      </c>
      <c r="F426" t="inlineStr">
        <is>
          <t>Civil Works</t>
        </is>
      </c>
      <c r="G426" t="inlineStr">
        <is>
          <t>BALI</t>
        </is>
      </c>
    </row>
    <row r="427">
      <c r="A427" s="1" t="n">
        <v>425</v>
      </c>
      <c r="B427">
        <f>HYPERLINK("https://eproc.rajasthan.gov.in/nicgep/app?component=%24DirectLink&amp;page=FrontEndViewTender&amp;service=direct&amp;session=T&amp;sp=SmHEg0sWRSri5WMDB28Aw9Q%3D%3D", "Construction of C.C road bera rupji vala ward no 25.")</f>
        <v/>
      </c>
      <c r="C427" t="inlineStr">
        <is>
          <t>DLB||Dy.DR-Jodhpur||EO-Bali</t>
        </is>
      </c>
      <c r="D427" t="inlineStr">
        <is>
          <t>27-May-2025 02:00 PM</t>
        </is>
      </c>
      <c r="E427" t="inlineStr">
        <is>
          <t>9,62,000</t>
        </is>
      </c>
      <c r="F427" t="inlineStr">
        <is>
          <t>Civil Works</t>
        </is>
      </c>
      <c r="G427" t="inlineStr">
        <is>
          <t>BALI</t>
        </is>
      </c>
    </row>
    <row r="428">
      <c r="A428" s="1" t="n">
        <v>426</v>
      </c>
      <c r="B428">
        <f>HYPERLINK("https://eproc.rajasthan.gov.in/nicgep/app?component=%24DirectLink&amp;page=FrontEndViewTender&amp;service=direct&amp;session=T&amp;sp=SMSCE0x0X9Dq%2FUjy%2FpSdecw%3D%3D", "Vibhinn Work At Nagarpalika Area at Nagarpalika Jhalrapatan Dist Jhalawar")</f>
        <v/>
      </c>
      <c r="C428" t="inlineStr">
        <is>
          <t>DLB||Dy.DR-Kota||Commissioner-Jhalawar</t>
        </is>
      </c>
      <c r="D428" t="inlineStr">
        <is>
          <t>21-May-2025 10:00 AM</t>
        </is>
      </c>
      <c r="E428" t="inlineStr">
        <is>
          <t>18,14,000</t>
        </is>
      </c>
      <c r="F428" t="inlineStr">
        <is>
          <t>Vibhinn Work At Nagarpalika Area at Nagarpalika Jhalrapatan Dist Jhalawar</t>
        </is>
      </c>
      <c r="G428" t="inlineStr">
        <is>
          <t>Jhalrapatan</t>
        </is>
      </c>
    </row>
    <row r="429">
      <c r="A429" s="1" t="n">
        <v>427</v>
      </c>
      <c r="B429">
        <f>HYPERLINK("https://eproc.rajasthan.gov.in/nicgep/app?component=%24DirectLink&amp;page=FrontEndViewTender&amp;service=direct&amp;session=T&amp;sp=SWbY0FoH7%2F8dkNl1Xjy9HvQ%3D%3D", "Cons. Of Interloking Work At Various Placses In Municipal Area at Nagarpalika Jhalrapatan Dist Jhalawar")</f>
        <v/>
      </c>
      <c r="C429" t="inlineStr">
        <is>
          <t>DLB||Dy.DR-Kota||Commissioner-Jhalawar</t>
        </is>
      </c>
      <c r="D429" t="inlineStr">
        <is>
          <t>21-May-2025 10:00 AM</t>
        </is>
      </c>
      <c r="E429" t="inlineStr">
        <is>
          <t>24,47,000</t>
        </is>
      </c>
      <c r="F429" t="inlineStr">
        <is>
          <t>Cons. Of Interloking Work At Various Placses In Municipal Area at Nagarpalika Jhalrapatan Dist Jhalawar</t>
        </is>
      </c>
      <c r="G429" t="inlineStr">
        <is>
          <t>Jhalrapatan</t>
        </is>
      </c>
    </row>
    <row r="430">
      <c r="A430" s="1" t="n">
        <v>428</v>
      </c>
      <c r="B430">
        <f>HYPERLINK("https://eproc.rajasthan.gov.in/nicgep/app?component=%24DirectLink&amp;page=FrontEndViewTender&amp;service=direct&amp;session=T&amp;sp=SHgO9aGJwOdzb9SOa%2BUSLCQ%3D%3D", "Repair Of CC Road And Patch Work At Various Placses In Municipal Area a at Nagarpalika Jhalrapatan Dist Jhalawar")</f>
        <v/>
      </c>
      <c r="C430" t="inlineStr">
        <is>
          <t>DLB||Dy.DR-Kota||Commissioner-Jhalawar</t>
        </is>
      </c>
      <c r="D430" t="inlineStr">
        <is>
          <t>21-May-2025 10:00 AM</t>
        </is>
      </c>
      <c r="E430" t="inlineStr">
        <is>
          <t>24,71,000</t>
        </is>
      </c>
      <c r="F430" t="inlineStr">
        <is>
          <t>Repair Of CC Road And Patch Work At Various Placses In Municipal Area a at Nagarpalika Jhalrapatan Dist Jhalawar</t>
        </is>
      </c>
      <c r="G430" t="inlineStr">
        <is>
          <t>Jhalrapatan</t>
        </is>
      </c>
    </row>
    <row r="431">
      <c r="A431" s="1" t="n">
        <v>429</v>
      </c>
      <c r="B431">
        <f>HYPERLINK("https://eproc.rajasthan.gov.in/nicgep/app?component=%24DirectLink&amp;page=FrontEndViewTender&amp;service=direct&amp;session=T&amp;sp=SqAjY5tbVxcziPxu7NW1UqQ%3D%3D", "Cons. Of Ghat and Other Work at Chandrabhaga River Near Muktidham at Nagarpalika Jhalrapatan Dist Jhalawar")</f>
        <v/>
      </c>
      <c r="C431" t="inlineStr">
        <is>
          <t>DLB||Dy.DR-Kota||Commissioner-Jhalawar</t>
        </is>
      </c>
      <c r="D431" t="inlineStr">
        <is>
          <t>21-May-2025 10:00 AM</t>
        </is>
      </c>
      <c r="E431" t="inlineStr">
        <is>
          <t>24,03,000</t>
        </is>
      </c>
      <c r="F431" t="inlineStr">
        <is>
          <t>Cons. Of Ghat and Other Work at Chandrabhaga River Near Muktidham at Nagarpalika Jhalrapatan Dist Jhalawar</t>
        </is>
      </c>
      <c r="G431" t="inlineStr">
        <is>
          <t>Jhalrapatan</t>
        </is>
      </c>
    </row>
    <row r="432">
      <c r="A432" s="1" t="n">
        <v>430</v>
      </c>
      <c r="B432">
        <f>HYPERLINK("https://eproc.rajasthan.gov.in/nicgep/app?component=%24DirectLink&amp;page=FrontEndViewTender&amp;service=direct&amp;session=T&amp;sp=S5AKe%2Bvbxt0OyhvAU9DaBtQ%3D%3D", "WORK NO 01")</f>
        <v/>
      </c>
      <c r="C432" t="inlineStr">
        <is>
          <t>DLB||Dy.DR-Jaipur||EO-Chirawa</t>
        </is>
      </c>
      <c r="D432" t="inlineStr">
        <is>
          <t>23-May-2025 10:00 AM</t>
        </is>
      </c>
      <c r="E432" t="inlineStr">
        <is>
          <t>49,11,000</t>
        </is>
      </c>
      <c r="F432" t="inlineStr">
        <is>
          <t>CONSTRUCTION OF DIVIDER WORK FROM CHUNGI NO 03 TO BUS STAND AND BUS STAND TO NEHRU PARK</t>
        </is>
      </c>
      <c r="G432" t="inlineStr">
        <is>
          <t>CHIRAWA</t>
        </is>
      </c>
    </row>
    <row r="433">
      <c r="A433" s="1" t="n">
        <v>431</v>
      </c>
      <c r="B433">
        <f>HYPERLINK("https://eproc.rajasthan.gov.in/nicgep/app?component=%24DirectLink&amp;page=FrontEndViewTender&amp;service=direct&amp;session=T&amp;sp=SGVnTdAqN%2BwS9xHfwol05aA%3D%3D", "WORK NO 04")</f>
        <v/>
      </c>
      <c r="C433" t="inlineStr">
        <is>
          <t>DLB||Dy.DR-Jaipur||EO-Chirawa</t>
        </is>
      </c>
      <c r="D433" t="inlineStr">
        <is>
          <t>23-May-2025 10:00 AM</t>
        </is>
      </c>
      <c r="E433" t="inlineStr">
        <is>
          <t>49,29,000</t>
        </is>
      </c>
      <c r="F433" t="inlineStr">
        <is>
          <t>CONSTRUCTION OF DIVIDER WORK FROM MUKESH BATTERY SHOP TO PILANI CHOURAHA</t>
        </is>
      </c>
      <c r="G433" t="inlineStr">
        <is>
          <t>CHIRAWA</t>
        </is>
      </c>
    </row>
    <row r="434">
      <c r="A434" s="1" t="n">
        <v>432</v>
      </c>
      <c r="B434">
        <f>HYPERLINK("https://eproc.rajasthan.gov.in/nicgep/app?component=%24DirectLink&amp;page=FrontEndViewTender&amp;service=direct&amp;session=T&amp;sp=S303my8UMOL5g6G1kUS%2BVbg%3D%3D", "WORK NO 03")</f>
        <v/>
      </c>
      <c r="C434" t="inlineStr">
        <is>
          <t>DLB||Dy.DR-Jaipur||EO-Chirawa</t>
        </is>
      </c>
      <c r="D434" t="inlineStr">
        <is>
          <t>23-May-2025 10:00 AM</t>
        </is>
      </c>
      <c r="E434" t="inlineStr">
        <is>
          <t>34,78,000</t>
        </is>
      </c>
      <c r="F434" t="inlineStr">
        <is>
          <t>CONSTRUCTION OF PIPE DRAIN WORK FROM LALCHAND SHOP TO KABUTARKHANA</t>
        </is>
      </c>
      <c r="G434" t="inlineStr">
        <is>
          <t>CHIRAWA</t>
        </is>
      </c>
    </row>
    <row r="435">
      <c r="A435" s="1" t="n">
        <v>433</v>
      </c>
      <c r="B435">
        <f>HYPERLINK("https://eproc.rajasthan.gov.in/nicgep/app?component=%24DirectLink&amp;page=FrontEndViewTender&amp;service=direct&amp;session=T&amp;sp=SMYL94%2BfEL2877vuyJq1jag%3D%3D", "WORK NO 02")</f>
        <v/>
      </c>
      <c r="C435" t="inlineStr">
        <is>
          <t>DLB||Dy.DR-Jaipur||EO-Chirawa</t>
        </is>
      </c>
      <c r="D435" t="inlineStr">
        <is>
          <t>23-May-2025 10:00 AM</t>
        </is>
      </c>
      <c r="E435" t="inlineStr">
        <is>
          <t>35,16,000</t>
        </is>
      </c>
      <c r="F435" t="inlineStr">
        <is>
          <t>CONSTRUCTION OF DIVIDER WORK FROM CHUNGI NO 03 TO NEHRU PARK</t>
        </is>
      </c>
      <c r="G435" t="inlineStr">
        <is>
          <t>CHIRAWA</t>
        </is>
      </c>
    </row>
    <row r="436">
      <c r="A436" s="1" t="n">
        <v>434</v>
      </c>
      <c r="B436">
        <f>HYPERLINK("https://eproc.rajasthan.gov.in/nicgep/app?component=%24DirectLink&amp;page=FrontEndViewTender&amp;service=direct&amp;session=T&amp;sp=S19385f2SnA%2BuViDmy70IoA%3D%3D", "WORK NO 05")</f>
        <v/>
      </c>
      <c r="C436" t="inlineStr">
        <is>
          <t>DLB||Dy.DR-Jaipur||EO-Chirawa</t>
        </is>
      </c>
      <c r="D436" t="inlineStr">
        <is>
          <t>23-May-2025 10:00 AM</t>
        </is>
      </c>
      <c r="E436" t="inlineStr">
        <is>
          <t>19,30,000</t>
        </is>
      </c>
      <c r="F436" t="inlineStr">
        <is>
          <t>EARTH FILLING WORK FOR RDF AND COMPOST PLAN</t>
        </is>
      </c>
      <c r="G436" t="inlineStr">
        <is>
          <t>CHIRAWA</t>
        </is>
      </c>
    </row>
    <row r="437">
      <c r="A437" s="1" t="n">
        <v>435</v>
      </c>
      <c r="B437">
        <f>HYPERLINK("https://eproc.rajasthan.gov.in/nicgep/app?component=%24DirectLink&amp;page=FrontEndViewTender&amp;service=direct&amp;session=T&amp;sp=SendU6kJdZyuyRH5DzJykEQ%3D%3D", "Construction Of samudayik bhawan at Chamunda Mata Mandir Ward No. 09 Sanwad")</f>
        <v/>
      </c>
      <c r="C437" t="inlineStr">
        <is>
          <t>DLB||Dy.DR-Udaipur||EO-Fatenagar Sanwar</t>
        </is>
      </c>
      <c r="D437" t="inlineStr">
        <is>
          <t>22-May-2025 06:00 PM</t>
        </is>
      </c>
      <c r="E437" t="inlineStr">
        <is>
          <t>6,00,000</t>
        </is>
      </c>
      <c r="F437" t="inlineStr">
        <is>
          <t>Construction Of samudayik bhawan at Chamunda Mata Mandir Ward No. 09 Sanwad</t>
        </is>
      </c>
      <c r="G437" t="inlineStr">
        <is>
          <t>Fatehnagar Sanwad</t>
        </is>
      </c>
    </row>
    <row r="438">
      <c r="A438" s="1" t="n">
        <v>436</v>
      </c>
      <c r="B438">
        <f>HYPERLINK("https://eproc.rajasthan.gov.in/nicgep/app?component=%24DirectLink&amp;page=FrontEndViewTender&amp;service=direct&amp;session=T&amp;sp=S1OHn1sjW2cWsgO8mp1GYUg%3D%3D", "CNG Tempo With Driver for Door to Door Garbage Collection")</f>
        <v/>
      </c>
      <c r="C438" t="inlineStr">
        <is>
          <t>DLB||Dy.DR-Ajmer||Commissioner-Kishangarh</t>
        </is>
      </c>
      <c r="D438" t="inlineStr">
        <is>
          <t>23-May-2025 03:00 PM</t>
        </is>
      </c>
      <c r="E438" t="inlineStr">
        <is>
          <t>90,00,000</t>
        </is>
      </c>
      <c r="F438" t="inlineStr">
        <is>
          <t>CNG Tempo With Driver for Door to Door Garbage Collection</t>
        </is>
      </c>
      <c r="G438" t="inlineStr">
        <is>
          <t>Kishangarh</t>
        </is>
      </c>
    </row>
    <row r="439">
      <c r="A439" s="1" t="n">
        <v>437</v>
      </c>
      <c r="B439">
        <f>HYPERLINK("https://eproc.rajasthan.gov.in/nicgep/app?component=%24DirectLink&amp;page=FrontEndViewTender&amp;service=direct&amp;session=T&amp;sp=ScOYRb3kJSwR05UczkuBGmQ%3D%3D", "Construction Of samudayik bhawan Near Radaji Bavji Ramesh Ji Teli godam ke Attached")</f>
        <v/>
      </c>
      <c r="C439" t="inlineStr">
        <is>
          <t>DLB||Dy.DR-Udaipur||EO-Fatenagar Sanwar</t>
        </is>
      </c>
      <c r="D439" t="inlineStr">
        <is>
          <t>22-May-2025 06:00 PM</t>
        </is>
      </c>
      <c r="E439" t="inlineStr">
        <is>
          <t>12,90,000</t>
        </is>
      </c>
      <c r="F439" t="inlineStr">
        <is>
          <t>Construction Of samudayik bhawan Near Radaji Bavji Ramesh Ji Teli godam ke Attached</t>
        </is>
      </c>
      <c r="G439" t="inlineStr">
        <is>
          <t>Fatehnagar Sanwad</t>
        </is>
      </c>
    </row>
    <row r="440">
      <c r="A440" s="1" t="n">
        <v>438</v>
      </c>
      <c r="B440">
        <f>HYPERLINK("https://eproc.rajasthan.gov.in/nicgep/app?component=%24DirectLink&amp;page=FrontEndViewTender&amp;service=direct&amp;session=T&amp;sp=SEzExLclgJypY%2B1bntp0rTA%3D%3D", "Chandani chock par Raju Chaiwale ki dukan ke pass dranage pipe line badlne ka karya Churu")</f>
        <v/>
      </c>
      <c r="C440" t="inlineStr">
        <is>
          <t>DLB||Dy.DR-Bikaner||Commissioner-Churu</t>
        </is>
      </c>
      <c r="D440" t="inlineStr">
        <is>
          <t>23-May-2025 11:00 AM</t>
        </is>
      </c>
      <c r="E440" t="inlineStr">
        <is>
          <t>8,84,100</t>
        </is>
      </c>
      <c r="F440" t="inlineStr">
        <is>
          <t>Chandani chock par Raju Chaiwale ki dukan ke pass dranage pipe line badlne ka karya Churu</t>
        </is>
      </c>
      <c r="G440" t="inlineStr">
        <is>
          <t>CHURU</t>
        </is>
      </c>
    </row>
    <row r="441">
      <c r="A441" s="1" t="n">
        <v>439</v>
      </c>
      <c r="B441">
        <f>HYPERLINK("https://eproc.rajasthan.gov.in/nicgep/app?component=%24DirectLink&amp;page=FrontEndViewTender&amp;service=direct&amp;session=T&amp;sp=SSly8XDiIc%2F%2BdFCa6Ly8UUQ%3D%3D", "INSTALLATION OF WATER TANKS IN PUBLIC AREAS OF HAWAMAHAL AMER ZONE OF NAGAR NIGAM JAIPUR HERITAGE")</f>
        <v/>
      </c>
      <c r="C441" t="inlineStr">
        <is>
          <t>DLB||Dy.DR-Jaipur||CEO-Jaipur</t>
        </is>
      </c>
      <c r="D441" t="inlineStr">
        <is>
          <t>23-May-2025 11:00 AM</t>
        </is>
      </c>
      <c r="E441" t="inlineStr">
        <is>
          <t>32,50,000</t>
        </is>
      </c>
      <c r="F441" t="inlineStr">
        <is>
          <t>INSTALLATION OF WATER TANKS IN PUBLIC AREAS OF HAWAMAHAL AMER ZONE OF NAGAR NIGAM JAIPUR HERITAGE</t>
        </is>
      </c>
      <c r="G441" t="inlineStr">
        <is>
          <t>JAIPUR</t>
        </is>
      </c>
    </row>
    <row r="442">
      <c r="A442" s="1" t="n">
        <v>440</v>
      </c>
      <c r="B442">
        <f>HYPERLINK("https://eproc.rajasthan.gov.in/nicgep/app?component=%24DirectLink&amp;page=FrontEndViewTender&amp;service=direct&amp;session=T&amp;sp=S3%2Bvx6DJFsBty%2FvLJhnjhkw%3D%3D", "INSTALLATION OF WATER TANKS IN PUBLIC AREAS OF CIVIL LINE ZONE OF NAGAR NIGAM JAIPUR HERITAGE")</f>
        <v/>
      </c>
      <c r="C442" t="inlineStr">
        <is>
          <t>DLB||Dy.DR-Jaipur||CEO-Jaipur</t>
        </is>
      </c>
      <c r="D442" t="inlineStr">
        <is>
          <t>23-May-2025 11:00 AM</t>
        </is>
      </c>
      <c r="E442" t="inlineStr">
        <is>
          <t>25,57,000</t>
        </is>
      </c>
      <c r="F442" t="inlineStr">
        <is>
          <t>INSTALLATION OF WATER TANKS IN PUBLIC AREAS OF CIVIL LINE ZONE OF NAGAR NIGAM JAIPUR HERITAGE</t>
        </is>
      </c>
      <c r="G442" t="inlineStr">
        <is>
          <t>JAIPUR</t>
        </is>
      </c>
    </row>
    <row r="443">
      <c r="A443" s="1" t="n">
        <v>441</v>
      </c>
      <c r="B443">
        <f>HYPERLINK("https://eproc.rajasthan.gov.in/nicgep/app?component=%24DirectLink&amp;page=FrontEndViewTender&amp;service=direct&amp;session=T&amp;sp=S8aMKjXs%2BKdHxd0dR5fFpQQ%3D%3D", "INSTALLATION OF WATER TANKS IN PUBLIC AREAS OF ADARSH NAGAR ZONE OF NAGAR NIGAM JAIPUR HERITAGE")</f>
        <v/>
      </c>
      <c r="C443" t="inlineStr">
        <is>
          <t>DLB||Dy.DR-Jaipur||CEO-Jaipur</t>
        </is>
      </c>
      <c r="D443" t="inlineStr">
        <is>
          <t>23-May-2025 11:00 AM</t>
        </is>
      </c>
      <c r="E443" t="inlineStr">
        <is>
          <t>27,73,000</t>
        </is>
      </c>
      <c r="F443" t="inlineStr">
        <is>
          <t>INSTALLATION OF WATER TANKS IN PUBLIC AREAS OF ADARSH NAGAR ZONE OF NAGAR NIGAM JAIPUR HERITAGE</t>
        </is>
      </c>
      <c r="G443" t="inlineStr">
        <is>
          <t>JAIPUR</t>
        </is>
      </c>
    </row>
    <row r="444">
      <c r="A444" s="1" t="n">
        <v>442</v>
      </c>
      <c r="B444">
        <f>HYPERLINK("https://eproc.rajasthan.gov.in/nicgep/app?component=%24DirectLink&amp;page=FrontEndViewTender&amp;service=direct&amp;session=T&amp;sp=S9MhmH72OCOmUDj%2BOEao1xg%3D%3D", "INSTALLATION OF WATER TANKS IN PUBLIC AREAS OF KISHANPOLE ZONE OF NAGAR NIGAM JAIPUR HERITAGE")</f>
        <v/>
      </c>
      <c r="C444" t="inlineStr">
        <is>
          <t>DLB||Dy.DR-Jaipur||CEO-Jaipur</t>
        </is>
      </c>
      <c r="D444" t="inlineStr">
        <is>
          <t>23-May-2025 11:00 AM</t>
        </is>
      </c>
      <c r="E444" t="inlineStr">
        <is>
          <t>32,71,000</t>
        </is>
      </c>
      <c r="F444" t="inlineStr">
        <is>
          <t>INSTALLATION OF WATER TANKS IN PUBLIC AREAS OF KISHANPOLE ZONE OF NAGAR NIGAM JAIPUR HERITAGE</t>
        </is>
      </c>
      <c r="G444" t="inlineStr">
        <is>
          <t>JAIPUR</t>
        </is>
      </c>
    </row>
    <row r="445">
      <c r="A445" s="1" t="n">
        <v>443</v>
      </c>
      <c r="B445">
        <f>HYPERLINK("https://eproc.rajasthan.gov.in/nicgep/app?component=%24DirectLink&amp;page=FrontEndViewTender&amp;service=direct&amp;session=T&amp;sp=SuSW6zhOXTRjfHMkYz%2B68qw%3D%3D", "BT ROAD REPAIR WORK IN HAWA MAHAL AMER ZONE")</f>
        <v/>
      </c>
      <c r="C445" t="inlineStr">
        <is>
          <t>DLB||Dy.DR-Jaipur||CEO-Jaipur</t>
        </is>
      </c>
      <c r="D445" t="inlineStr">
        <is>
          <t>23-May-2025 06:00 PM</t>
        </is>
      </c>
      <c r="E445" t="inlineStr">
        <is>
          <t>99,28,254</t>
        </is>
      </c>
      <c r="F445" t="inlineStr">
        <is>
          <t>BT ROAD REPAIR WORK IN HAWA MAHAL AMER ZONE</t>
        </is>
      </c>
      <c r="G445" t="inlineStr">
        <is>
          <t>JAIPUR</t>
        </is>
      </c>
    </row>
    <row r="446">
      <c r="A446" s="1" t="n">
        <v>444</v>
      </c>
      <c r="B446">
        <f>HYPERLINK("https://eproc.rajasthan.gov.in/nicgep/app?component=%24DirectLink&amp;page=FrontEndViewTender&amp;service=direct&amp;session=T&amp;sp=SQFBCrJPF7lZrTdLKjdWKmA%3D%3D", "ROAD CONSTRUCTION WORK OF PLOT NO 19 TO BABA RAMDEV MADIR ,PLOT NO 41 TO 22 AND OTHER PLACE IN WARD NO 19 HAWAMAHAL AMER ZONE")</f>
        <v/>
      </c>
      <c r="C446" t="inlineStr">
        <is>
          <t>DLB||Dy.DR-Jaipur||CEO-Jaipur</t>
        </is>
      </c>
      <c r="D446" t="inlineStr">
        <is>
          <t>23-May-2025 06:00 PM</t>
        </is>
      </c>
      <c r="E446" t="inlineStr">
        <is>
          <t>22,78,066</t>
        </is>
      </c>
      <c r="F446" t="inlineStr">
        <is>
          <t>ROAD CONSTRUCTION WORK OF PLOT NO 19 TO BABA RAMDEV MADIR ,PLOT NO 41 TO 22 AND OTHER PLACE IN WARD NO 19 HAWAMAHAL AMER ZONE</t>
        </is>
      </c>
      <c r="G446" t="inlineStr">
        <is>
          <t>JAIPUR</t>
        </is>
      </c>
    </row>
    <row r="447">
      <c r="A447" s="1" t="n">
        <v>445</v>
      </c>
      <c r="B447">
        <f>HYPERLINK("https://eproc.rajasthan.gov.in/nicgep/app?component=%24DirectLink&amp;page=FrontEndViewTender&amp;service=direct&amp;session=T&amp;sp=Sb58cjL%2Fp0qQnciHZLDX7LA%3D%3D", "NAGAR PARISHAD BEAWAR KSHETRA HETU VIBHINN PARV TAYOHAR MELE KE AVSARO PER TEMPORARY LIGHT DECORATION KARYA KI E DAR SANWEEDA")</f>
        <v/>
      </c>
      <c r="C447" t="inlineStr">
        <is>
          <t>DLB||Dy.DR-Ajmer||Commissioner-Beawar</t>
        </is>
      </c>
      <c r="D447" t="inlineStr">
        <is>
          <t>26-May-2025 11:00 AM</t>
        </is>
      </c>
      <c r="E447" t="inlineStr">
        <is>
          <t>42,00,000</t>
        </is>
      </c>
      <c r="F447" t="inlineStr">
        <is>
          <t>NAGAR PARISHAD BEAWAR KSHETRA HETU VIBHINN PARV TAYOHAR MELE KE AVSARO PER TEMPORARY LIGHT DECORATION KARYA KI E DAR SANWEEDA</t>
        </is>
      </c>
      <c r="G447" t="inlineStr">
        <is>
          <t>NPBEAWAR</t>
        </is>
      </c>
    </row>
    <row r="448">
      <c r="A448" s="1" t="n">
        <v>446</v>
      </c>
      <c r="B448">
        <f>HYPERLINK("https://eproc.rajasthan.gov.in/nicgep/app?component=%24DirectLink&amp;page=FrontEndViewTender&amp;service=direct&amp;session=T&amp;sp=SUtiC7ND7EiBQY0yDTLbOCg%3D%3D", "62 QUARTERS VISHVKARMA COLONY, SHASTRI NAGAR, WARD NO 17 ME SAMUDAYIK BHAWAN NIRMAN KARYA (MLA-LAD) , HMAZ NAGAR NIGAM HERITAGE JAIPUR")</f>
        <v/>
      </c>
      <c r="C448" t="inlineStr">
        <is>
          <t>DLB||Dy.DR-Jaipur||CEO-Jaipur</t>
        </is>
      </c>
      <c r="D448" t="inlineStr">
        <is>
          <t>23-May-2025 06:00 PM</t>
        </is>
      </c>
      <c r="E448" t="inlineStr">
        <is>
          <t>14,99,679</t>
        </is>
      </c>
      <c r="F448" t="inlineStr">
        <is>
          <t>62 QUARTERS VISHVKARMA COLONY, SHASTRI NAGAR, WARD NO 17 ME SAMUDAYIK BHAWAN NIRMAN KARYA (MLA-LAD) , HMAZ NAGAR NIGAM HERITAGE JAIPUR</t>
        </is>
      </c>
      <c r="G448" t="inlineStr">
        <is>
          <t>JAIPUR</t>
        </is>
      </c>
    </row>
    <row r="449">
      <c r="A449" s="1" t="n">
        <v>447</v>
      </c>
      <c r="B449">
        <f>HYPERLINK("https://eproc.rajasthan.gov.in/nicgep/app?component=%24DirectLink&amp;page=FrontEndViewTender&amp;service=direct&amp;session=T&amp;sp=Sru8%2FCkcKGQ%2FySPNPQvAZKA%3D%3D", "RESTORATION WORK OF MANGALMATA MARG MAIN GATE IN HAWA MAHAL AMER ZONE WARD NO. 9")</f>
        <v/>
      </c>
      <c r="C449" t="inlineStr">
        <is>
          <t>DLB||Dy.DR-Jaipur||CEO-Jaipur</t>
        </is>
      </c>
      <c r="D449" t="inlineStr">
        <is>
          <t>23-May-2025 06:00 PM</t>
        </is>
      </c>
      <c r="E449" t="inlineStr">
        <is>
          <t>13,11,595</t>
        </is>
      </c>
      <c r="F449" t="inlineStr">
        <is>
          <t>RESTORATION WORK OF MANGALMATA MARG MAIN GATE IN HAWA MAHAL AMER ZONE WARD NO. 9</t>
        </is>
      </c>
      <c r="G449" t="inlineStr">
        <is>
          <t>JAIPUR</t>
        </is>
      </c>
    </row>
    <row r="450">
      <c r="A450" s="1" t="n">
        <v>448</v>
      </c>
      <c r="B450">
        <f>HYPERLINK("https://eproc.rajasthan.gov.in/nicgep/app?component=%24DirectLink&amp;page=FrontEndViewTender&amp;service=direct&amp;session=T&amp;sp=Sr89aArjAQx%2BGe6opyrQJYw%3D%3D", "nagar nigam jodhpur south ke sampurn shetra me barsat ke doran pani nikalne ke liye char mah ke liye avshyaktanusar vibhin shamta ke pump uplabdh karwane ka kary")</f>
        <v/>
      </c>
      <c r="C450" t="inlineStr">
        <is>
          <t>DLB||Dy.DR-Jodhpur||CEO-Jodhpur</t>
        </is>
      </c>
      <c r="D450" t="inlineStr">
        <is>
          <t>22-May-2025 05:00 PM</t>
        </is>
      </c>
      <c r="E450" t="inlineStr">
        <is>
          <t>40,00,000</t>
        </is>
      </c>
      <c r="F450" t="inlineStr">
        <is>
          <t>nagar nigam jodhpur south ke sampurn shetra me barsat ke doran pani nikalne ke liye char mah ke liye avshyaktanusar vibhin shamta ke pump uplabdh karwane ka kary</t>
        </is>
      </c>
      <c r="G450" t="inlineStr">
        <is>
          <t>nagar nigam jodhpur south</t>
        </is>
      </c>
    </row>
    <row r="451">
      <c r="A451" s="1" t="n">
        <v>449</v>
      </c>
      <c r="B451">
        <f>HYPERLINK("https://eproc.rajasthan.gov.in/nicgep/app?component=%24DirectLink&amp;page=FrontEndViewTender&amp;service=direct&amp;session=T&amp;sp=S%2B7eYvwZk0tQ%2Fvxm6TVOzjw%3D%3D", "CONSTRUCTION OF ROOMS AND TOILET IN MUNICIPAL OFFICE MARWAR JUNCTION")</f>
        <v/>
      </c>
      <c r="C451" t="inlineStr">
        <is>
          <t>DLB||Dy.DR-Jodhpur</t>
        </is>
      </c>
      <c r="D451" t="inlineStr">
        <is>
          <t>26-May-2025 03:00 PM</t>
        </is>
      </c>
      <c r="E451" t="inlineStr">
        <is>
          <t>24,29,000</t>
        </is>
      </c>
      <c r="F451" t="inlineStr">
        <is>
          <t>CONSTRUCTION OF ROOMS AND TOILET IN MUNICIPAL OFFICE MARWAR JUNCTION</t>
        </is>
      </c>
      <c r="G451" t="inlineStr">
        <is>
          <t>MARWAR JUNCTION</t>
        </is>
      </c>
    </row>
    <row r="452">
      <c r="A452" s="1" t="n">
        <v>450</v>
      </c>
      <c r="B452">
        <f>HYPERLINK("https://eproc.rajasthan.gov.in/nicgep/app?component=%24DirectLink&amp;page=FrontEndViewTender&amp;service=direct&amp;session=T&amp;sp=SM%2F6YdAzfRNGwIzFVHrgHLg%3D%3D", "Construction of C.C. Road from Ramdev mali to radhe sharma, shyoji mali house tak ward no 27, Newai")</f>
        <v/>
      </c>
      <c r="C452" t="inlineStr">
        <is>
          <t>DLB||Dy.DR-Ajmer||EO-Niwai</t>
        </is>
      </c>
      <c r="D452" t="inlineStr">
        <is>
          <t>23-May-2025 06:00 PM</t>
        </is>
      </c>
      <c r="E452" t="inlineStr">
        <is>
          <t>20,06,000</t>
        </is>
      </c>
      <c r="F452" t="inlineStr">
        <is>
          <t>Construction of C.C. Road from Ramdev mali to radhe sharma, shyoji mali house tak ward no 27, Newai</t>
        </is>
      </c>
      <c r="G452" t="inlineStr">
        <is>
          <t>NEWAI</t>
        </is>
      </c>
    </row>
    <row r="453">
      <c r="A453" s="1" t="n">
        <v>451</v>
      </c>
      <c r="B453">
        <f>HYPERLINK("https://eproc.rajasthan.gov.in/nicgep/app?component=%24DirectLink&amp;page=FrontEndViewTender&amp;service=direct&amp;session=T&amp;sp=Sk6YymYO16n1bWhXf%2BOYjZQ%3D%3D", "Construction work of CC road and drain from the house of Arvind Salodiya to the house of Abdul Aziz Deshwali, in lane no. 15 opposite Ambedkar Circle, ward no. 32.")</f>
        <v/>
      </c>
      <c r="C453" t="inlineStr">
        <is>
          <t>DLB||Dy.DR-Ajmer||EO-Niwai</t>
        </is>
      </c>
      <c r="D453" t="inlineStr">
        <is>
          <t>23-May-2025 06:00 PM</t>
        </is>
      </c>
      <c r="E453" t="inlineStr">
        <is>
          <t>14,69,000</t>
        </is>
      </c>
      <c r="F453" t="inlineStr">
        <is>
          <t>Construction work of CC road and drain from the house of Arvind Salodiya to the house of Abdul Aziz Deshwali, in lane no. 15 opposite Ambedkar Circle, ward no. 32.</t>
        </is>
      </c>
      <c r="G453" t="inlineStr">
        <is>
          <t>NEWAI</t>
        </is>
      </c>
    </row>
    <row r="454">
      <c r="A454" s="1" t="n">
        <v>452</v>
      </c>
      <c r="B454">
        <f>HYPERLINK("https://eproc.rajasthan.gov.in/nicgep/app?component=%24DirectLink&amp;page=FrontEndViewTender&amp;service=direct&amp;session=T&amp;sp=ScLFROREYeO8FYvIJjgvnLQ%3D%3D", "Construction of shivaji park ke aage Toilet dismantle, Interlocking Tile and various work, Niwai.")</f>
        <v/>
      </c>
      <c r="C454" t="inlineStr">
        <is>
          <t>DLB||Dy.DR-Ajmer||EO-Niwai</t>
        </is>
      </c>
      <c r="D454" t="inlineStr">
        <is>
          <t>23-May-2025 06:00 PM</t>
        </is>
      </c>
      <c r="E454" t="inlineStr">
        <is>
          <t>4,89,000</t>
        </is>
      </c>
      <c r="F454" t="inlineStr">
        <is>
          <t>Construction of shivaji park ke aage Toilet dismantle, Interlocking Tile and various work, Niwai.</t>
        </is>
      </c>
      <c r="G454" t="inlineStr">
        <is>
          <t>NEWAI</t>
        </is>
      </c>
    </row>
    <row r="455">
      <c r="A455" s="1" t="n">
        <v>453</v>
      </c>
      <c r="B455">
        <f>HYPERLINK("https://eproc.rajasthan.gov.in/nicgep/app?component=%24DirectLink&amp;page=FrontEndViewTender&amp;service=direct&amp;session=T&amp;sp=SbWVNu3aCybEiKwrTDOWnqg%3D%3D", "Jirrat road community hall safety wall and tin shade work , Niwai.")</f>
        <v/>
      </c>
      <c r="C455" t="inlineStr">
        <is>
          <t>DLB||Dy.DR-Ajmer||EO-Niwai</t>
        </is>
      </c>
      <c r="D455" t="inlineStr">
        <is>
          <t>23-May-2025 06:00 PM</t>
        </is>
      </c>
      <c r="E455" t="inlineStr">
        <is>
          <t>14,16,000</t>
        </is>
      </c>
      <c r="F455" t="inlineStr">
        <is>
          <t>Jirrat road community hall safety wall and tin shade work , Niwai.</t>
        </is>
      </c>
      <c r="G455" t="inlineStr">
        <is>
          <t>NEWAI</t>
        </is>
      </c>
    </row>
    <row r="456">
      <c r="A456" s="1" t="n">
        <v>454</v>
      </c>
      <c r="B456">
        <f>HYPERLINK("https://eproc.rajasthan.gov.in/nicgep/app?component=%24DirectLink&amp;page=FrontEndViewTender&amp;service=direct&amp;session=T&amp;sp=S0U%2FcT4MB0pLXlBIUpaWT%2Bw%3D%3D", "Drain Repair work from korilal to Shivaji Park tak, Niwai.")</f>
        <v/>
      </c>
      <c r="C456" t="inlineStr">
        <is>
          <t>DLB||Dy.DR-Ajmer||EO-Niwai</t>
        </is>
      </c>
      <c r="D456" t="inlineStr">
        <is>
          <t>23-May-2025 06:00 PM</t>
        </is>
      </c>
      <c r="E456" t="inlineStr">
        <is>
          <t>12,20,000</t>
        </is>
      </c>
      <c r="F456" t="inlineStr">
        <is>
          <t>Drain Repair work from korilal to Shivaji Park tak, Niwai.</t>
        </is>
      </c>
      <c r="G456" t="inlineStr">
        <is>
          <t>NEWAI</t>
        </is>
      </c>
    </row>
    <row r="457">
      <c r="A457" s="1" t="n">
        <v>455</v>
      </c>
      <c r="B457">
        <f>HYPERLINK("https://eproc.rajasthan.gov.in/nicgep/app?component=%24DirectLink&amp;page=FrontEndViewTender&amp;service=direct&amp;session=T&amp;sp=S6QTDz%2BNREIyaNSHddqxh1g%3D%3D", "Construction of Boundary wall for shyam vihar park, Niwai.")</f>
        <v/>
      </c>
      <c r="C457" t="inlineStr">
        <is>
          <t>DLB||Dy.DR-Ajmer||EO-Niwai</t>
        </is>
      </c>
      <c r="D457" t="inlineStr">
        <is>
          <t>23-May-2025 06:00 PM</t>
        </is>
      </c>
      <c r="E457" t="inlineStr">
        <is>
          <t>10,25,000</t>
        </is>
      </c>
      <c r="F457" t="inlineStr">
        <is>
          <t>Construction of Boundary wall for shyam vihar park, Niwai.</t>
        </is>
      </c>
      <c r="G457" t="inlineStr">
        <is>
          <t>NEWAI</t>
        </is>
      </c>
    </row>
    <row r="458">
      <c r="A458" s="1" t="n">
        <v>456</v>
      </c>
      <c r="B458">
        <f>HYPERLINK("https://eproc.rajasthan.gov.in/nicgep/app?component=%24DirectLink&amp;page=FrontEndViewTender&amp;service=direct&amp;session=T&amp;sp=S%2FIHyv2y9e0GhTIYIXvapdA%3D%3D", "Construction of C.C. Road from Saraswati vidha mander ke saamne and main road ke pass damage road ward no 23 , Newai")</f>
        <v/>
      </c>
      <c r="C458" t="inlineStr">
        <is>
          <t>DLB||Dy.DR-Ajmer||EO-Niwai</t>
        </is>
      </c>
      <c r="D458" t="inlineStr">
        <is>
          <t>23-May-2025 06:00 PM</t>
        </is>
      </c>
      <c r="E458" t="inlineStr">
        <is>
          <t>15,92,000</t>
        </is>
      </c>
      <c r="F458" t="inlineStr">
        <is>
          <t>Construction of C.C. Road from Saraswati vidha mander ke saamne and main road ke pass damage road ward no 23 , Newai</t>
        </is>
      </c>
      <c r="G458" t="inlineStr">
        <is>
          <t>NEWAI</t>
        </is>
      </c>
    </row>
    <row r="459">
      <c r="A459" s="1" t="n">
        <v>457</v>
      </c>
      <c r="B459">
        <f>HYPERLINK("https://eproc.rajasthan.gov.in/nicgep/app?component=%24DirectLink&amp;page=FrontEndViewTender&amp;service=direct&amp;session=T&amp;sp=SV9mhDWglPy2t3rLGBJdk%2FQ%3D%3D", "Construction of Drain and road in sita vatika colony, Newai.")</f>
        <v/>
      </c>
      <c r="C459" t="inlineStr">
        <is>
          <t>DLB||Dy.DR-Ajmer||EO-Niwai</t>
        </is>
      </c>
      <c r="D459" t="inlineStr">
        <is>
          <t>23-May-2025 06:00 PM</t>
        </is>
      </c>
      <c r="E459" t="inlineStr">
        <is>
          <t>38,29,000</t>
        </is>
      </c>
      <c r="F459" t="inlineStr">
        <is>
          <t>Construction of Drain and road in sita vatika colony, Newai.</t>
        </is>
      </c>
      <c r="G459" t="inlineStr">
        <is>
          <t>NEWAI</t>
        </is>
      </c>
    </row>
    <row r="460">
      <c r="A460" s="1" t="n">
        <v>458</v>
      </c>
      <c r="B460">
        <f>HYPERLINK("https://eproc.rajasthan.gov.in/nicgep/app?component=%24DirectLink&amp;page=FrontEndViewTender&amp;service=direct&amp;session=T&amp;sp=SQp4teMC6x33df93K73mRLw%3D%3D", "Horticulture work Garden development and one year maintenance in Deendayal upadhya Park, Newai.")</f>
        <v/>
      </c>
      <c r="C460" t="inlineStr">
        <is>
          <t>DLB||Dy.DR-Ajmer||EO-Niwai</t>
        </is>
      </c>
      <c r="D460" t="inlineStr">
        <is>
          <t>23-May-2025 06:00 PM</t>
        </is>
      </c>
      <c r="E460" t="inlineStr">
        <is>
          <t>8,24,000</t>
        </is>
      </c>
      <c r="F460" t="inlineStr">
        <is>
          <t>Horticulture work Garden development and one year maintenance in Deendayal upadhya Park, Newai.</t>
        </is>
      </c>
      <c r="G460" t="inlineStr">
        <is>
          <t>NEWAI</t>
        </is>
      </c>
    </row>
    <row r="461">
      <c r="A461" s="1" t="n">
        <v>459</v>
      </c>
      <c r="B461">
        <f>HYPERLINK("https://eproc.rajasthan.gov.in/nicgep/app?component=%24DirectLink&amp;page=FrontEndViewTender&amp;service=direct&amp;session=T&amp;sp=SXIcfTb6Mi%2F1qpzwOXMPMGg%3D%3D", "shahri rozgar guarantee yojana kota nagar nigam south area putai work 1 nit 10")</f>
        <v/>
      </c>
      <c r="C461" t="inlineStr">
        <is>
          <t>DLB||Dy.DR-Kota||CEO-Kota</t>
        </is>
      </c>
      <c r="D461" t="inlineStr">
        <is>
          <t>21-May-2025 06:00 PM</t>
        </is>
      </c>
      <c r="E461" t="inlineStr">
        <is>
          <t>13,46,000</t>
        </is>
      </c>
      <c r="F461" t="inlineStr">
        <is>
          <t>shahri rozgar guarantee yojana kota nagar nigam south area putai work 1 nit 10</t>
        </is>
      </c>
      <c r="G461" t="inlineStr">
        <is>
          <t>kota</t>
        </is>
      </c>
    </row>
    <row r="462">
      <c r="A462" s="1" t="n">
        <v>460</v>
      </c>
      <c r="B462">
        <f>HYPERLINK("https://eproc.rajasthan.gov.in/nicgep/app?component=%24DirectLink&amp;page=FrontEndViewTender&amp;service=direct&amp;session=T&amp;sp=SIVrIrqhSLnDY8m7E0dFQfg%3D%3D", "Street light and maintenance work at municipal board sagwara for one year")</f>
        <v/>
      </c>
      <c r="C462" t="inlineStr">
        <is>
          <t>DLB||Dy.DR-Udaipur||EO-Sagwara</t>
        </is>
      </c>
      <c r="D462" t="inlineStr">
        <is>
          <t>21-May-2025 06:00 PM</t>
        </is>
      </c>
      <c r="E462" t="inlineStr">
        <is>
          <t>39,41,000</t>
        </is>
      </c>
      <c r="F462" t="inlineStr">
        <is>
          <t>Street light and maintenance work at municipal board sagwara for one year</t>
        </is>
      </c>
      <c r="G462" t="inlineStr">
        <is>
          <t>sagwara</t>
        </is>
      </c>
    </row>
    <row r="463">
      <c r="A463" s="1" t="n">
        <v>461</v>
      </c>
      <c r="B463">
        <f>HYPERLINK("https://eproc.rajasthan.gov.in/nicgep/app?component=%24DirectLink&amp;page=FrontEndViewTender&amp;service=direct&amp;session=T&amp;sp=SchIr2lD7WAIkvLhmZST%2BDg%3D%3D", "Construction of Gate at Ramlila ground ward no. 23 Retender")</f>
        <v/>
      </c>
      <c r="C463" t="inlineStr">
        <is>
          <t>DLB||Dy.DR-Bikaner||EO-Rawatsar</t>
        </is>
      </c>
      <c r="D463" t="inlineStr">
        <is>
          <t>21-May-2025 05:00 PM</t>
        </is>
      </c>
      <c r="E463" t="inlineStr">
        <is>
          <t>7,65,814</t>
        </is>
      </c>
      <c r="F463" t="inlineStr">
        <is>
          <t>Construction of Gate at Ramlila ground ward no. 23 Retender</t>
        </is>
      </c>
      <c r="G463" t="inlineStr">
        <is>
          <t>RAWATSAR</t>
        </is>
      </c>
    </row>
    <row r="464">
      <c r="A464" s="1" t="n">
        <v>462</v>
      </c>
      <c r="B464">
        <f>HYPERLINK("https://eproc.rajasthan.gov.in/nicgep/app?component=%24DirectLink&amp;page=FrontEndViewTender&amp;service=direct&amp;session=T&amp;sp=SrOGSEDUGWhsKehRLFiYciw%3D%3D", "Supply fixing of Plastic Speed Bump at various places of municipal area Rawatsar")</f>
        <v/>
      </c>
      <c r="C464" t="inlineStr">
        <is>
          <t>DLB||Dy.DR-Bikaner||EO-Rawatsar</t>
        </is>
      </c>
      <c r="D464" t="inlineStr">
        <is>
          <t>21-May-2025 05:00 PM</t>
        </is>
      </c>
      <c r="E464" t="inlineStr">
        <is>
          <t>4,23,720</t>
        </is>
      </c>
      <c r="F464" t="inlineStr">
        <is>
          <t>Supply fixing of Plastic Speed Bump at various places of municipal area Rawatsar</t>
        </is>
      </c>
      <c r="G464" t="inlineStr">
        <is>
          <t>RAWATSAR</t>
        </is>
      </c>
    </row>
    <row r="465">
      <c r="A465" s="1" t="n">
        <v>463</v>
      </c>
      <c r="B465">
        <f>HYPERLINK("https://eproc.rajasthan.gov.in/nicgep/app?component=%24DirectLink&amp;page=FrontEndViewTender&amp;service=direct&amp;session=T&amp;sp=SV7jkca8%2BEJYAVEYo1PRWDw%3D%3D", "Supplying, erecting and fixing in position Rcc bench at various places of municipal area Rawatsar")</f>
        <v/>
      </c>
      <c r="C465" t="inlineStr">
        <is>
          <t>DLB||Dy.DR-Bikaner||EO-Rawatsar</t>
        </is>
      </c>
      <c r="D465" t="inlineStr">
        <is>
          <t>21-May-2025 05:00 PM</t>
        </is>
      </c>
      <c r="E465" t="inlineStr">
        <is>
          <t>4,43,000</t>
        </is>
      </c>
      <c r="F465" t="inlineStr">
        <is>
          <t>Supplying, erecting and fixing in position Rcc bench at various places of municipal area Rawatsar</t>
        </is>
      </c>
      <c r="G465" t="inlineStr">
        <is>
          <t>RAWATSAR</t>
        </is>
      </c>
    </row>
    <row r="466">
      <c r="A466" s="1" t="n">
        <v>464</v>
      </c>
      <c r="B466">
        <f>HYPERLINK("https://eproc.rajasthan.gov.in/nicgep/app?component=%24DirectLink&amp;page=FrontEndViewTender&amp;service=direct&amp;session=T&amp;sp=SiLaRlmQZRzVCAXkR%2Bt7EYQ%3D%3D", "Ward no 22 pipe line shifting work Near Rampura Road Rawatsar")</f>
        <v/>
      </c>
      <c r="C466" t="inlineStr">
        <is>
          <t>DLB||Dy.DR-Bikaner||EO-Rawatsar</t>
        </is>
      </c>
      <c r="D466" t="inlineStr">
        <is>
          <t>21-May-2025 05:00 PM</t>
        </is>
      </c>
      <c r="E466" t="inlineStr">
        <is>
          <t>2,26,142</t>
        </is>
      </c>
      <c r="F466" t="inlineStr">
        <is>
          <t>Ward no 22 pipe line shifting work Near Rampura Road Rawatsar</t>
        </is>
      </c>
      <c r="G466" t="inlineStr">
        <is>
          <t>RAWATSAR</t>
        </is>
      </c>
    </row>
    <row r="467">
      <c r="A467" s="1" t="n">
        <v>465</v>
      </c>
      <c r="B467">
        <f>HYPERLINK("https://eproc.rajasthan.gov.in/nicgep/app?component=%24DirectLink&amp;page=FrontEndViewTender&amp;service=direct&amp;session=T&amp;sp=SNslr0rE2oG%2B3GA73jvKv7Q%3D%3D", "Construction of CC Road Drain Megha highway to krishan Bavri ward no 21")</f>
        <v/>
      </c>
      <c r="C467" t="inlineStr">
        <is>
          <t>DLB||Dy.DR-Bikaner||EO-Rawatsar</t>
        </is>
      </c>
      <c r="D467" t="inlineStr">
        <is>
          <t>21-May-2025 05:00 PM</t>
        </is>
      </c>
      <c r="E467" t="inlineStr">
        <is>
          <t>15,46,290</t>
        </is>
      </c>
      <c r="F467" t="inlineStr">
        <is>
          <t>Construction of CC Road Drain Megha highway to krishan Bavri ward no 21</t>
        </is>
      </c>
      <c r="G467" t="inlineStr">
        <is>
          <t>RAWATSAR</t>
        </is>
      </c>
    </row>
    <row r="468">
      <c r="A468" s="1" t="n">
        <v>466</v>
      </c>
      <c r="B468">
        <f>HYPERLINK("https://eproc.rajasthan.gov.in/nicgep/app?component=%24DirectLink&amp;page=FrontEndViewTender&amp;service=direct&amp;session=T&amp;sp=SdevtnlbyVJSynWNLPGJjrg%3D%3D", "Construction of Drain Ramkumar to kamlesh kumar ward no 24")</f>
        <v/>
      </c>
      <c r="C468" t="inlineStr">
        <is>
          <t>DLB||Dy.DR-Bikaner||EO-Rawatsar</t>
        </is>
      </c>
      <c r="D468" t="inlineStr">
        <is>
          <t>21-May-2025 05:00 PM</t>
        </is>
      </c>
      <c r="E468" t="inlineStr">
        <is>
          <t>2,23,402</t>
        </is>
      </c>
      <c r="F468" t="inlineStr">
        <is>
          <t>Construction of Drain Ramkumar to kamlesh kumar ward no 24</t>
        </is>
      </c>
      <c r="G468" t="inlineStr">
        <is>
          <t>RAWATSAR</t>
        </is>
      </c>
    </row>
    <row r="469">
      <c r="A469" s="1" t="n">
        <v>467</v>
      </c>
      <c r="B469">
        <f>HYPERLINK("https://eproc.rajasthan.gov.in/nicgep/app?component=%24DirectLink&amp;page=FrontEndViewTender&amp;service=direct&amp;session=T&amp;sp=SbTcGEi7mi1o5phjpBNSsGA%3D%3D", "Construction of CC Road Drain Gogameri to Bhajan lal Dhal ward no 28")</f>
        <v/>
      </c>
      <c r="C469" t="inlineStr">
        <is>
          <t>DLB||Dy.DR-Bikaner||EO-Rawatsar</t>
        </is>
      </c>
      <c r="D469" t="inlineStr">
        <is>
          <t>21-May-2025 05:00 PM</t>
        </is>
      </c>
      <c r="E469" t="inlineStr">
        <is>
          <t>10,29,287</t>
        </is>
      </c>
      <c r="F469" t="inlineStr">
        <is>
          <t>Construction of CC Road Drain Gogameri to Bhajan lal Dhal ward no 28</t>
        </is>
      </c>
      <c r="G469" t="inlineStr">
        <is>
          <t>RAWATSAR</t>
        </is>
      </c>
    </row>
    <row r="470">
      <c r="A470" s="1" t="n">
        <v>468</v>
      </c>
      <c r="B470">
        <f>HYPERLINK("https://eproc.rajasthan.gov.in/nicgep/app?component=%24DirectLink&amp;page=FrontEndViewTender&amp;service=direct&amp;session=T&amp;sp=SIcPH8o1OZuQsXYA%2Bh%2FpQrw%3D%3D", "Pond digging work near Sahwa Bypass Garg Bhatta")</f>
        <v/>
      </c>
      <c r="C470" t="inlineStr">
        <is>
          <t>DLB||Dy.DR-Bikaner||EO-Nohar</t>
        </is>
      </c>
      <c r="D470" t="inlineStr">
        <is>
          <t>22-May-2025 05:00 PM</t>
        </is>
      </c>
      <c r="E470" t="inlineStr">
        <is>
          <t>14,13,000</t>
        </is>
      </c>
      <c r="F470" t="inlineStr">
        <is>
          <t>Pond digging work near Sahwa Bypass Garg Bhatta</t>
        </is>
      </c>
      <c r="G470" t="inlineStr">
        <is>
          <t>MB Nohar</t>
        </is>
      </c>
    </row>
    <row r="471">
      <c r="A471" s="1" t="n">
        <v>469</v>
      </c>
      <c r="B471">
        <f>HYPERLINK("https://eproc.rajasthan.gov.in/nicgep/app?component=%24DirectLink&amp;page=FrontEndViewTender&amp;service=direct&amp;session=T&amp;sp=STcxZ2CECdMx5DMTSySSs5A%3D%3D", "Ginani digging work near Surya Bhawan")</f>
        <v/>
      </c>
      <c r="C471" t="inlineStr">
        <is>
          <t>DLB||Dy.DR-Bikaner||EO-Nohar</t>
        </is>
      </c>
      <c r="D471" t="inlineStr">
        <is>
          <t>22-May-2025 05:00 PM</t>
        </is>
      </c>
      <c r="E471" t="inlineStr">
        <is>
          <t>24,72,000</t>
        </is>
      </c>
      <c r="F471" t="inlineStr">
        <is>
          <t>Ginani digging work near Surya Bhawan</t>
        </is>
      </c>
      <c r="G471" t="inlineStr">
        <is>
          <t>MB Nohar</t>
        </is>
      </c>
    </row>
    <row r="472">
      <c r="A472" s="1" t="n">
        <v>470</v>
      </c>
      <c r="B472">
        <f>HYPERLINK("https://eproc.rajasthan.gov.in/nicgep/app?component=%24DirectLink&amp;page=FrontEndViewTender&amp;service=direct&amp;session=T&amp;sp=SjwmvXaAHNz3A8JXDv0LXvA%3D%3D", "Ginani digging work behind Mahavir Park")</f>
        <v/>
      </c>
      <c r="C472" t="inlineStr">
        <is>
          <t>DLB||Dy.DR-Bikaner||EO-Nohar</t>
        </is>
      </c>
      <c r="D472" t="inlineStr">
        <is>
          <t>22-May-2025 05:00 PM</t>
        </is>
      </c>
      <c r="E472" t="inlineStr">
        <is>
          <t>14,56,000</t>
        </is>
      </c>
      <c r="F472" t="inlineStr">
        <is>
          <t>Ginani digging work behind Mahavir Park</t>
        </is>
      </c>
      <c r="G472" t="inlineStr">
        <is>
          <t>MB Nohar</t>
        </is>
      </c>
    </row>
    <row r="473">
      <c r="A473" s="1" t="n">
        <v>471</v>
      </c>
      <c r="B473">
        <f>HYPERLINK("https://eproc.rajasthan.gov.in/nicgep/app?component=%24DirectLink&amp;page=FrontEndViewTender&amp;service=direct&amp;session=T&amp;sp=SPn%2FTCKiC1N0cSxgY26YsuQ%3D%3D", "Palika Area Me Safai Kary Hetu Asathai Safai Sharmiko ki Aapurti Karne Ka Kary")</f>
        <v/>
      </c>
      <c r="C473" t="inlineStr">
        <is>
          <t>DLB||Dy.DR-Bikaner||Commissioner-Hanumangarh</t>
        </is>
      </c>
      <c r="D473" t="inlineStr">
        <is>
          <t>23-May-2025 06:00 PM</t>
        </is>
      </c>
      <c r="E473" t="inlineStr">
        <is>
          <t>70,00,000</t>
        </is>
      </c>
      <c r="F473" t="inlineStr">
        <is>
          <t>Palika Area Me Safai Kary Hetu Asathai Safai Sharmiko ki Aapurti Karne Ka Kary</t>
        </is>
      </c>
      <c r="G473" t="inlineStr">
        <is>
          <t>Tibbi</t>
        </is>
      </c>
    </row>
    <row r="474">
      <c r="A474" s="1" t="n">
        <v>472</v>
      </c>
      <c r="B474">
        <f>HYPERLINK("https://eproc.rajasthan.gov.in/nicgep/app?component=%24DirectLink&amp;page=FrontEndViewTender&amp;service=direct&amp;session=T&amp;sp=SfXdblamBOM6zMOv7CLcllg%3D%3D", "Construction of CC Road Drain Roshan lal Bawri to Rajkumar mirashi ward no 24")</f>
        <v/>
      </c>
      <c r="C474" t="inlineStr">
        <is>
          <t>DLB||Dy.DR-Bikaner||EO-Rawatsar</t>
        </is>
      </c>
      <c r="D474" t="inlineStr">
        <is>
          <t>21-May-2025 05:00 PM</t>
        </is>
      </c>
      <c r="E474" t="inlineStr">
        <is>
          <t>12,96,139</t>
        </is>
      </c>
      <c r="F474" t="inlineStr">
        <is>
          <t>Construction of CC Road Drain Roshan lal Bawri to Rajkumar mirashi ward no 24</t>
        </is>
      </c>
      <c r="G474" t="inlineStr">
        <is>
          <t>RAWATSAR</t>
        </is>
      </c>
    </row>
    <row r="475">
      <c r="A475" s="1" t="n">
        <v>473</v>
      </c>
      <c r="B475">
        <f>HYPERLINK("https://eproc.rajasthan.gov.in/nicgep/app?component=%24DirectLink&amp;page=FrontEndViewTender&amp;service=direct&amp;session=T&amp;sp=SHgA6RkjjdeLZI%2Fgfgxi3SA%3D%3D", "Construction of CC Drain and pulia at various place ward no 1-35")</f>
        <v/>
      </c>
      <c r="C475" t="inlineStr">
        <is>
          <t>DLB||Dy.DR-Bikaner||EO-Rawatsar</t>
        </is>
      </c>
      <c r="D475" t="inlineStr">
        <is>
          <t>21-May-2025 05:00 PM</t>
        </is>
      </c>
      <c r="E475" t="inlineStr">
        <is>
          <t>14,61,922</t>
        </is>
      </c>
      <c r="F475" t="inlineStr">
        <is>
          <t>Construction of CC Drain and pulia at various place ward no 1-35</t>
        </is>
      </c>
      <c r="G475" t="inlineStr">
        <is>
          <t>RAWATSAR</t>
        </is>
      </c>
    </row>
    <row r="476">
      <c r="A476" s="1" t="n">
        <v>474</v>
      </c>
      <c r="B476">
        <f>HYPERLINK("https://eproc.rajasthan.gov.in/nicgep/app?component=%24DirectLink&amp;page=FrontEndViewTender&amp;service=direct&amp;session=T&amp;sp=SCyJf5bho3W6F9yyD%2FwWxvg%3D%3D", "Construction of CC Road Drain Makkhan Bazigar to Highway ward no. 15 Retender")</f>
        <v/>
      </c>
      <c r="C476" t="inlineStr">
        <is>
          <t>DLB||Dy.DR-Bikaner||EO-Rawatsar</t>
        </is>
      </c>
      <c r="D476" t="inlineStr">
        <is>
          <t>21-May-2025 05:00 PM</t>
        </is>
      </c>
      <c r="E476" t="inlineStr">
        <is>
          <t>8,36,928</t>
        </is>
      </c>
      <c r="F476" t="inlineStr">
        <is>
          <t>Construction of CC Road Drain Makkhan Bazigar to Highway ward no. 15 Retender</t>
        </is>
      </c>
      <c r="G476" t="inlineStr">
        <is>
          <t>RAWATSAR</t>
        </is>
      </c>
    </row>
    <row r="477">
      <c r="A477" s="1" t="n">
        <v>475</v>
      </c>
      <c r="B477">
        <f>HYPERLINK("https://eproc.rajasthan.gov.in/nicgep/app?component=%24DirectLink&amp;page=FrontEndViewTender&amp;service=direct&amp;session=T&amp;sp=Sfl%2BStASYhNM%2FxALfJqdZjA%3D%3D", "Construction of CC Road Drain Rattan lal to Mahaveer ward no 09 Retender")</f>
        <v/>
      </c>
      <c r="C477" t="inlineStr">
        <is>
          <t>DLB||Dy.DR-Bikaner||EO-Rawatsar</t>
        </is>
      </c>
      <c r="D477" t="inlineStr">
        <is>
          <t>21-May-2025 05:00 PM</t>
        </is>
      </c>
      <c r="E477" t="inlineStr">
        <is>
          <t>5,08,153</t>
        </is>
      </c>
      <c r="F477" t="inlineStr">
        <is>
          <t>Construction of CC Road Drain Rattan lal to Mahaveer ward no 09 Retender</t>
        </is>
      </c>
      <c r="G477" t="inlineStr">
        <is>
          <t>RAWATSAR</t>
        </is>
      </c>
    </row>
    <row r="478">
      <c r="A478" s="1" t="n">
        <v>476</v>
      </c>
      <c r="B478">
        <f>HYPERLINK("https://eproc.rajasthan.gov.in/nicgep/app?component=%24DirectLink&amp;page=FrontEndViewTender&amp;service=direct&amp;session=T&amp;sp=SotFMmtmmRTa2HrFlxEl2%2BA%3D%3D", "Supply Instalation Flag Mast at Bus Stand Rawatsar Retender")</f>
        <v/>
      </c>
      <c r="C478" t="inlineStr">
        <is>
          <t>DLB||Dy.DR-Bikaner||EO-Rawatsar</t>
        </is>
      </c>
      <c r="D478" t="inlineStr">
        <is>
          <t>21-May-2025 05:00 PM</t>
        </is>
      </c>
      <c r="E478" t="inlineStr">
        <is>
          <t>23,83,545</t>
        </is>
      </c>
      <c r="F478" t="inlineStr">
        <is>
          <t>Supply Instalation Flag Mast at Bus Stand Rawatsar Retender</t>
        </is>
      </c>
      <c r="G478" t="inlineStr">
        <is>
          <t>RAWATSAR</t>
        </is>
      </c>
    </row>
    <row r="479">
      <c r="A479" s="1" t="n">
        <v>477</v>
      </c>
      <c r="B479">
        <f>HYPERLINK("https://eproc.rajasthan.gov.in/nicgep/app?component=%24DirectLink&amp;page=FrontEndViewTender&amp;service=direct&amp;session=T&amp;sp=SX%2B07P3EfQg%2B8Zi93MADQxg%3D%3D", "Laying of HDPE Sewer line pumping from bahal road pump house to johri ward no 24")</f>
        <v/>
      </c>
      <c r="C479" t="inlineStr">
        <is>
          <t>DLB||Dy.DR-Bikaner||EO-Rajgarh</t>
        </is>
      </c>
      <c r="D479" t="inlineStr">
        <is>
          <t>02-Jun-2025 06:00 PM</t>
        </is>
      </c>
      <c r="E479" t="inlineStr">
        <is>
          <t>74,47,000</t>
        </is>
      </c>
      <c r="F479" t="inlineStr">
        <is>
          <t>Laying of HDPE Sewer line pumping from bahal road pump house to johri ward no 24</t>
        </is>
      </c>
      <c r="G479" t="inlineStr">
        <is>
          <t>Rajgarh</t>
        </is>
      </c>
    </row>
    <row r="480">
      <c r="A480" s="1" t="n">
        <v>478</v>
      </c>
      <c r="B480">
        <f>HYPERLINK("https://eproc.rajasthan.gov.in/nicgep/app?component=%24DirectLink&amp;page=FrontEndViewTender&amp;service=direct&amp;session=T&amp;sp=SnYPMrEGzTdRySWgltYxdzw%3D%3D", "Laying of Stromwater Pipeline of 600 mm dia from Maharana Pratap Chowk Ward No 03 to Karan Vihar Johri Rajgarh churu")</f>
        <v/>
      </c>
      <c r="C480" t="inlineStr">
        <is>
          <t>DLB||Dy.DR-Bikaner||EO-Rajgarh</t>
        </is>
      </c>
      <c r="D480" t="inlineStr">
        <is>
          <t>02-Jun-2025 06:00 PM</t>
        </is>
      </c>
      <c r="E480" t="inlineStr">
        <is>
          <t>1,20,75,000</t>
        </is>
      </c>
      <c r="F480" t="inlineStr">
        <is>
          <t>Laying of Stromwater Pipeline of 600 mm dia from Maharana Pratap Chowk Ward No 03 to Karan Vihar Johri Rajgarh churu</t>
        </is>
      </c>
      <c r="G480" t="inlineStr">
        <is>
          <t>Rajgarh</t>
        </is>
      </c>
    </row>
    <row r="481">
      <c r="A481" s="1" t="n">
        <v>479</v>
      </c>
      <c r="B481">
        <f>HYPERLINK("https://eproc.rajasthan.gov.in/nicgep/app?component=%24DirectLink&amp;page=FrontEndViewTender&amp;service=direct&amp;session=T&amp;sp=Sg6SYEABswpgSWrGylZsgyA%3D%3D", "Annual rate contract for installing street lights at various places in the municipal area")</f>
        <v/>
      </c>
      <c r="C481" t="inlineStr">
        <is>
          <t>DLB||Dy.DR-Jodhpur||EO-Jaitaran</t>
        </is>
      </c>
      <c r="D481" t="inlineStr">
        <is>
          <t>28-May-2025 10:00 AM</t>
        </is>
      </c>
      <c r="E481" t="inlineStr">
        <is>
          <t>49,70,000</t>
        </is>
      </c>
      <c r="F481" t="inlineStr">
        <is>
          <t>Annual rate contract for installing street lights at various places in the municipal area</t>
        </is>
      </c>
      <c r="G481" t="inlineStr">
        <is>
          <t>jaitaran</t>
        </is>
      </c>
    </row>
    <row r="482">
      <c r="A482" s="1" t="n">
        <v>480</v>
      </c>
      <c r="B482">
        <f>HYPERLINK("https://eproc.rajasthan.gov.in/nicgep/app?component=%24DirectLink&amp;page=FrontEndViewTender&amp;service=direct&amp;session=T&amp;sp=Swy2xjUAeHS77jgyvWL8u%2Fw%3D%3D", "Construction of Recharge Well near Medical collage Churu")</f>
        <v/>
      </c>
      <c r="C482" t="inlineStr">
        <is>
          <t>DLB||Dy.DR-Bikaner||Commissioner-Churu</t>
        </is>
      </c>
      <c r="D482" t="inlineStr">
        <is>
          <t>20-May-2025 11:00 AM</t>
        </is>
      </c>
      <c r="E482" t="inlineStr">
        <is>
          <t>6,33,200</t>
        </is>
      </c>
      <c r="F482" t="inlineStr">
        <is>
          <t>Construction of Recharge Well near Medical collage Churu</t>
        </is>
      </c>
      <c r="G482" t="inlineStr">
        <is>
          <t>CHURU</t>
        </is>
      </c>
    </row>
    <row r="483">
      <c r="A483" s="1" t="n">
        <v>481</v>
      </c>
      <c r="B483">
        <f>HYPERLINK("https://eproc.rajasthan.gov.in/nicgep/app?component=%24DirectLink&amp;page=FrontEndViewTender&amp;service=direct&amp;session=T&amp;sp=Sqc44P4rirogwlefyBYHVgg%3D%3D", "nagrpalika lunkarnsar me 35hp or 35hp se aadhik 05 trackor troli driver sahit ave parti tractor 3 labour safai karye 35 ward ke leye safai karye hetu e tender")</f>
        <v/>
      </c>
      <c r="C483" t="inlineStr">
        <is>
          <t>DLB||Dy.DR-Bikaner||CEO-Bikaner</t>
        </is>
      </c>
      <c r="D483" t="inlineStr">
        <is>
          <t>26-May-2025 11:00 AM</t>
        </is>
      </c>
      <c r="E483" t="inlineStr">
        <is>
          <t>1,11,67,000</t>
        </is>
      </c>
      <c r="F483" t="inlineStr">
        <is>
          <t>nagrpalika lunkarnsar me 35hp or 35hp se aadhik 05 trackor troli driver sahit ave parti tractor 3 labour safai karye 35 ward ke leye safai karye hetu e tender</t>
        </is>
      </c>
      <c r="G483" t="inlineStr">
        <is>
          <t>lunkaransar</t>
        </is>
      </c>
    </row>
    <row r="484">
      <c r="A484" s="1" t="n">
        <v>482</v>
      </c>
      <c r="B484">
        <f>HYPERLINK("https://eproc.rajasthan.gov.in/nicgep/app?component=%24DirectLink&amp;page=FrontEndViewTender&amp;service=direct&amp;session=T&amp;sp=Sw69Kyd0q156nNpO78XVPMw%3D%3D", "Construction of Recharge Well near Babosa mandir Churu")</f>
        <v/>
      </c>
      <c r="C484" t="inlineStr">
        <is>
          <t>DLB||Dy.DR-Bikaner||Commissioner-Churu</t>
        </is>
      </c>
      <c r="D484" t="inlineStr">
        <is>
          <t>20-May-2025 11:00 AM</t>
        </is>
      </c>
      <c r="E484" t="inlineStr">
        <is>
          <t>6,33,200</t>
        </is>
      </c>
      <c r="F484" t="inlineStr">
        <is>
          <t>Construction of Recharge Well near Babosa mandir Churu</t>
        </is>
      </c>
      <c r="G484" t="inlineStr">
        <is>
          <t>CHURU</t>
        </is>
      </c>
    </row>
    <row r="485">
      <c r="A485" s="1" t="n">
        <v>483</v>
      </c>
      <c r="B485">
        <f>HYPERLINK("https://eproc.rajasthan.gov.in/nicgep/app?component=%24DirectLink&amp;page=FrontEndViewTender&amp;service=direct&amp;session=T&amp;sp=SS5u0eJS4iXzFSum51lA%2FAQ%3D%3D", "Construction of Recharge Well near A.D.R. office Churu")</f>
        <v/>
      </c>
      <c r="C485" t="inlineStr">
        <is>
          <t>DLB||Dy.DR-Bikaner||Commissioner-Churu</t>
        </is>
      </c>
      <c r="D485" t="inlineStr">
        <is>
          <t>20-May-2025 11:00 AM</t>
        </is>
      </c>
      <c r="E485" t="inlineStr">
        <is>
          <t>6,33,200</t>
        </is>
      </c>
      <c r="F485" t="inlineStr">
        <is>
          <t>Construction of Recharge Well near A.D.R. office Churu</t>
        </is>
      </c>
      <c r="G485" t="inlineStr">
        <is>
          <t>CHURU</t>
        </is>
      </c>
    </row>
    <row r="486">
      <c r="A486" s="1" t="n">
        <v>484</v>
      </c>
      <c r="B486">
        <f>HYPERLINK("https://eproc.rajasthan.gov.in/nicgep/app?component=%24DirectLink&amp;page=FrontEndViewTender&amp;service=direct&amp;session=T&amp;sp=SsyxJDtTpl15QCd2YYmIlMA%3D%3D", "CLEANING WORK IN ZONE 05 NAGAR PARISHAD KOTPUTLI")</f>
        <v/>
      </c>
      <c r="C486" t="inlineStr">
        <is>
          <t>DLB||Dy.DR-Jaipur||EO-Kotputli</t>
        </is>
      </c>
      <c r="D486" t="inlineStr">
        <is>
          <t>22-May-2025 06:00 PM</t>
        </is>
      </c>
      <c r="E486" t="inlineStr">
        <is>
          <t>38,70,672</t>
        </is>
      </c>
      <c r="F486" t="inlineStr">
        <is>
          <t>CLEANING WORK IN ZONE 05 NAGAR PARISHAD KOTPUTLI</t>
        </is>
      </c>
      <c r="G486" t="inlineStr">
        <is>
          <t>KOTPUTLI</t>
        </is>
      </c>
    </row>
    <row r="487">
      <c r="A487" s="1" t="n">
        <v>485</v>
      </c>
      <c r="B487">
        <f>HYPERLINK("https://eproc.rajasthan.gov.in/nicgep/app?component=%24DirectLink&amp;page=FrontEndViewTender&amp;service=direct&amp;session=T&amp;sp=Sjs57HlPbApAjfJjTK1DWYg%3D%3D", "CLEANING WORK IN ZONE 12 NAGAR PARISHAD KOTPUTLI")</f>
        <v/>
      </c>
      <c r="C487" t="inlineStr">
        <is>
          <t>DLB||Dy.DR-Jaipur||EO-Kotputli</t>
        </is>
      </c>
      <c r="D487" t="inlineStr">
        <is>
          <t>22-May-2025 06:00 PM</t>
        </is>
      </c>
      <c r="E487" t="inlineStr">
        <is>
          <t>26,31,408</t>
        </is>
      </c>
      <c r="F487" t="inlineStr">
        <is>
          <t>CLEANING WORK IN ZONE 12 NAGAR PARISHAD KOTPUTLI</t>
        </is>
      </c>
      <c r="G487" t="inlineStr">
        <is>
          <t>KOTPUTLI</t>
        </is>
      </c>
    </row>
    <row r="488">
      <c r="A488" s="1" t="n">
        <v>486</v>
      </c>
      <c r="B488">
        <f>HYPERLINK("https://eproc.rajasthan.gov.in/nicgep/app?component=%24DirectLink&amp;page=FrontEndViewTender&amp;service=direct&amp;session=T&amp;sp=SS70Ejr%2BbQY%2BhKr6yJI38Gw%3D%3D", "CLEANING WORK IN ZONE 10 NAGAR PARISHAD KOTPUTLI")</f>
        <v/>
      </c>
      <c r="C488" t="inlineStr">
        <is>
          <t>DLB||Dy.DR-Jaipur||EO-Kotputli</t>
        </is>
      </c>
      <c r="D488" t="inlineStr">
        <is>
          <t>22-May-2025 06:00 PM</t>
        </is>
      </c>
      <c r="E488" t="inlineStr">
        <is>
          <t>25,28,136</t>
        </is>
      </c>
      <c r="F488" t="inlineStr">
        <is>
          <t>CLEANING WORK IN ZONE 10 NAGAR PARISHAD KOTPUTLI</t>
        </is>
      </c>
      <c r="G488" t="inlineStr">
        <is>
          <t>KOTPUTLI</t>
        </is>
      </c>
    </row>
    <row r="489">
      <c r="A489" s="1" t="n">
        <v>487</v>
      </c>
      <c r="B489">
        <f>HYPERLINK("https://eproc.rajasthan.gov.in/nicgep/app?component=%24DirectLink&amp;page=FrontEndViewTender&amp;service=direct&amp;session=T&amp;sp=S2v4fPYegL3SD%2BbEzHYHZNQ%3D%3D", "CLEANING WORK IN ZONE 08 NAGAR PARISHAD KOTPUTLI")</f>
        <v/>
      </c>
      <c r="C489" t="inlineStr">
        <is>
          <t>DLB||Dy.DR-Jaipur||EO-Kotputli</t>
        </is>
      </c>
      <c r="D489" t="inlineStr">
        <is>
          <t>22-May-2025 06:00 PM</t>
        </is>
      </c>
      <c r="E489" t="inlineStr">
        <is>
          <t>57,79,176</t>
        </is>
      </c>
      <c r="F489" t="inlineStr">
        <is>
          <t>CLEANING WORK IN ZONE 08 NAGAR PARISHAD KOTPUTLI</t>
        </is>
      </c>
      <c r="G489" t="inlineStr">
        <is>
          <t>KOTPUTLI</t>
        </is>
      </c>
    </row>
    <row r="490">
      <c r="A490" s="1" t="n">
        <v>488</v>
      </c>
      <c r="B490">
        <f>HYPERLINK("https://eproc.rajasthan.gov.in/nicgep/app?component=%24DirectLink&amp;page=FrontEndViewTender&amp;service=direct&amp;session=T&amp;sp=St2FdmcvO62ANLV1RhntqmA%3D%3D", "CLEANING WORK IN ZONE 06 NAGAR PARISHAD KOTPUTLI")</f>
        <v/>
      </c>
      <c r="C490" t="inlineStr">
        <is>
          <t>DLB||Dy.DR-Jaipur||EO-Kotputli</t>
        </is>
      </c>
      <c r="D490" t="inlineStr">
        <is>
          <t>22-May-2025 06:00 PM</t>
        </is>
      </c>
      <c r="E490" t="inlineStr">
        <is>
          <t>48,00,120</t>
        </is>
      </c>
      <c r="F490" t="inlineStr">
        <is>
          <t>CLEANING WORK IN ZONE 06 NAGAR PARISHAD KOTPUTLI</t>
        </is>
      </c>
      <c r="G490" t="inlineStr">
        <is>
          <t>KOTPUTLI</t>
        </is>
      </c>
    </row>
    <row r="491">
      <c r="A491" s="1" t="n">
        <v>489</v>
      </c>
      <c r="B491">
        <f>HYPERLINK("https://eproc.rajasthan.gov.in/nicgep/app?component=%24DirectLink&amp;page=FrontEndViewTender&amp;service=direct&amp;session=T&amp;sp=SqosYr9ZSkcghJjSd1HKQuQ%3D%3D", "CLEANING WORK IN ZONE 07 NAGAR PARISHAD KOTPUTLI")</f>
        <v/>
      </c>
      <c r="C491" t="inlineStr">
        <is>
          <t>DLB||Dy.DR-Jaipur||EO-Kotputli</t>
        </is>
      </c>
      <c r="D491" t="inlineStr">
        <is>
          <t>22-May-2025 06:00 PM</t>
        </is>
      </c>
      <c r="E491" t="inlineStr">
        <is>
          <t>57,79,176</t>
        </is>
      </c>
      <c r="F491" t="inlineStr">
        <is>
          <t>CLEANING WORK IN ZONE 07 NAGAR PARISHAD KOTPUTLI</t>
        </is>
      </c>
      <c r="G491" t="inlineStr">
        <is>
          <t>KOTPUTLI</t>
        </is>
      </c>
    </row>
    <row r="492">
      <c r="A492" s="1" t="n">
        <v>490</v>
      </c>
      <c r="B492">
        <f>HYPERLINK("https://eproc.rajasthan.gov.in/nicgep/app?component=%24DirectLink&amp;page=FrontEndViewTender&amp;service=direct&amp;session=T&amp;sp=SK9OUP9f1Nl9KI2XNZmvQAQ%3D%3D", "CLEANING WORK IN ZONE 01 NAGAR PARISHAD KOTPUTLI")</f>
        <v/>
      </c>
      <c r="C492" t="inlineStr">
        <is>
          <t>DLB||Dy.DR-Jaipur||EO-Kotputli</t>
        </is>
      </c>
      <c r="D492" t="inlineStr">
        <is>
          <t>22-May-2025 06:00 PM</t>
        </is>
      </c>
      <c r="E492" t="inlineStr">
        <is>
          <t>1,36,57,488</t>
        </is>
      </c>
      <c r="F492" t="inlineStr">
        <is>
          <t>CLEANING WORK IN ZONE 01 NAGAR PARISHAD KOTPUTLI</t>
        </is>
      </c>
      <c r="G492" t="inlineStr">
        <is>
          <t>KOTPUTLI</t>
        </is>
      </c>
    </row>
    <row r="493">
      <c r="A493" s="1" t="n">
        <v>491</v>
      </c>
      <c r="B493">
        <f>HYPERLINK("https://eproc.rajasthan.gov.in/nicgep/app?component=%24DirectLink&amp;page=FrontEndViewTender&amp;service=direct&amp;session=T&amp;sp=SCzficeQi34xUQxiHctUNdQ%3D%3D", "CLEANING WORK IN ZONE 09 NAGAR PARISHAD KOTPUTLI")</f>
        <v/>
      </c>
      <c r="C493" t="inlineStr">
        <is>
          <t>DLB||Dy.DR-Jaipur||EO-Kotputli</t>
        </is>
      </c>
      <c r="D493" t="inlineStr">
        <is>
          <t>22-May-2025 06:00 PM</t>
        </is>
      </c>
      <c r="E493" t="inlineStr">
        <is>
          <t>52,13,208</t>
        </is>
      </c>
      <c r="F493" t="inlineStr">
        <is>
          <t>CLEANING WORK IN ZONE 09 NAGAR PARISHAD KOTPUTLI</t>
        </is>
      </c>
      <c r="G493" t="inlineStr">
        <is>
          <t>KOTPUTLI</t>
        </is>
      </c>
    </row>
    <row r="494">
      <c r="A494" s="1" t="n">
        <v>492</v>
      </c>
      <c r="B494">
        <f>HYPERLINK("https://eproc.rajasthan.gov.in/nicgep/app?component=%24DirectLink&amp;page=FrontEndViewTender&amp;service=direct&amp;session=T&amp;sp=SGDCYbssaadKz0comQBkt5w%3D%3D", "CLEANING WORK IN ZONE 03 NAGAR PARISHAD KOTPUTLI")</f>
        <v/>
      </c>
      <c r="C494" t="inlineStr">
        <is>
          <t>DLB||Dy.DR-Jaipur||EO-Kotputli</t>
        </is>
      </c>
      <c r="D494" t="inlineStr">
        <is>
          <t>22-May-2025 06:00 PM</t>
        </is>
      </c>
      <c r="E494" t="inlineStr">
        <is>
          <t>48,00,120</t>
        </is>
      </c>
      <c r="F494" t="inlineStr">
        <is>
          <t>CLEANING WORK IN ZONE 03 NAGAR PARISHAD KOTPUTLI</t>
        </is>
      </c>
      <c r="G494" t="inlineStr">
        <is>
          <t>KOTPUTLI</t>
        </is>
      </c>
    </row>
    <row r="495">
      <c r="A495" s="1" t="n">
        <v>493</v>
      </c>
      <c r="B495">
        <f>HYPERLINK("https://eproc.rajasthan.gov.in/nicgep/app?component=%24DirectLink&amp;page=FrontEndViewTender&amp;service=direct&amp;session=T&amp;sp=SRMFJC59HYhF%2BWIDihiCHQA%3D%3D", "CLEANING WORK IN ZONE 04 NAGAR PARISHAD KOTPUTLI")</f>
        <v/>
      </c>
      <c r="C495" t="inlineStr">
        <is>
          <t>DLB||Dy.DR-Jaipur||EO-Kotputli</t>
        </is>
      </c>
      <c r="D495" t="inlineStr">
        <is>
          <t>22-May-2025 06:00 PM</t>
        </is>
      </c>
      <c r="E495" t="inlineStr">
        <is>
          <t>37,67,400</t>
        </is>
      </c>
      <c r="F495" t="inlineStr">
        <is>
          <t>CLEANING WORK IN ZONE 04 NAGAR PARISHAD KOTPUTLI</t>
        </is>
      </c>
      <c r="G495" t="inlineStr">
        <is>
          <t>KOTPUTLI</t>
        </is>
      </c>
    </row>
    <row r="496">
      <c r="A496" s="1" t="n">
        <v>494</v>
      </c>
      <c r="B496">
        <f>HYPERLINK("https://eproc.rajasthan.gov.in/nicgep/app?component=%24DirectLink&amp;page=FrontEndViewTender&amp;service=direct&amp;session=T&amp;sp=SHndiMRKdpyHUGylizb2PPA%3D%3D", "CLEANING WORK IN ZONE 02 NAGAR PARISHAD KOTPUTLI")</f>
        <v/>
      </c>
      <c r="C496" t="inlineStr">
        <is>
          <t>DLB||Dy.DR-Jaipur||EO-Kotputli</t>
        </is>
      </c>
      <c r="D496" t="inlineStr">
        <is>
          <t>22-May-2025 06:00 PM</t>
        </is>
      </c>
      <c r="E496" t="inlineStr">
        <is>
          <t>50,06,664</t>
        </is>
      </c>
      <c r="F496" t="inlineStr">
        <is>
          <t>CLEANING WORK IN ZONE 02 NAGAR PARISHAD KOTPUTLI</t>
        </is>
      </c>
      <c r="G496" t="inlineStr">
        <is>
          <t>KOTPUTLI</t>
        </is>
      </c>
    </row>
    <row r="497">
      <c r="A497" s="1" t="n">
        <v>495</v>
      </c>
      <c r="B497">
        <f>HYPERLINK("https://eproc.rajasthan.gov.in/nicgep/app?component=%24DirectLink&amp;page=FrontEndViewTender&amp;service=direct&amp;session=T&amp;sp=SUojbYdQeskjwT9m2LGL0Vg%3D%3D", "CLEANING WORK IN ZONE 13 NAGAR PARISHAD KOTPUTLI")</f>
        <v/>
      </c>
      <c r="C497" t="inlineStr">
        <is>
          <t>DLB||Dy.DR-Jaipur||EO-Kotputli</t>
        </is>
      </c>
      <c r="D497" t="inlineStr">
        <is>
          <t>22-May-2025 06:00 PM</t>
        </is>
      </c>
      <c r="E497" t="inlineStr">
        <is>
          <t>25,28,136</t>
        </is>
      </c>
      <c r="F497" t="inlineStr">
        <is>
          <t>CLEANING WORK IN ZONE 13 NAGAR PARISHAD KOTPUTLI</t>
        </is>
      </c>
      <c r="G497" t="inlineStr">
        <is>
          <t>KOTPUTLI</t>
        </is>
      </c>
    </row>
    <row r="498">
      <c r="A498" s="1" t="n">
        <v>496</v>
      </c>
      <c r="B498">
        <f>HYPERLINK("https://eproc.rajasthan.gov.in/nicgep/app?component=%24DirectLink&amp;page=FrontEndViewTender&amp;service=direct&amp;session=T&amp;sp=SNSvkkoIzvawcT9EeEdgDuQ%3D%3D", "CLEANING WORK IN ZONE 14 NAGAR PARISHAD KOTPUTLI")</f>
        <v/>
      </c>
      <c r="C498" t="inlineStr">
        <is>
          <t>DLB||Dy.DR-Jaipur||EO-Kotputli</t>
        </is>
      </c>
      <c r="D498" t="inlineStr">
        <is>
          <t>22-May-2025 06:00 PM</t>
        </is>
      </c>
      <c r="E498" t="inlineStr">
        <is>
          <t>25,28,136</t>
        </is>
      </c>
      <c r="F498" t="inlineStr">
        <is>
          <t>CLEANING WORK IN ZONE 14 NAGAR PARISHAD KOTPUTLI</t>
        </is>
      </c>
      <c r="G498" t="inlineStr">
        <is>
          <t>KOTPUTLI</t>
        </is>
      </c>
    </row>
    <row r="499">
      <c r="A499" s="1" t="n">
        <v>497</v>
      </c>
      <c r="B499">
        <f>HYPERLINK("https://eproc.rajasthan.gov.in/nicgep/app?component=%24DirectLink&amp;page=FrontEndViewTender&amp;service=direct&amp;session=T&amp;sp=SguFBkViEJykwQic4ApeeTg%3D%3D", "CLEANING WORK IN ZONE 15 NAGAR PARISHAD KOTPUTLI")</f>
        <v/>
      </c>
      <c r="C499" t="inlineStr">
        <is>
          <t>DLB||Dy.DR-Jaipur||EO-Kotputli</t>
        </is>
      </c>
      <c r="D499" t="inlineStr">
        <is>
          <t>22-May-2025 06:00 PM</t>
        </is>
      </c>
      <c r="E499" t="inlineStr">
        <is>
          <t>26,31,408</t>
        </is>
      </c>
      <c r="F499" t="inlineStr">
        <is>
          <t>CLEANING WORK IN ZONE 15 NAGAR PARISHAD KOTPUTLI</t>
        </is>
      </c>
      <c r="G499" t="inlineStr">
        <is>
          <t>KOTPUTLI</t>
        </is>
      </c>
    </row>
    <row r="500">
      <c r="A500" s="1" t="n">
        <v>498</v>
      </c>
      <c r="B500">
        <f>HYPERLINK("https://eproc.rajasthan.gov.in/nicgep/app?component=%24DirectLink&amp;page=FrontEndViewTender&amp;service=direct&amp;session=T&amp;sp=STaMKDPYmI%2F5XGkF%2BCT%2FodQ%3D%3D", "CLEANING WORK IN ZONE 11 NAGAR PARISHAD KOTPUTLI")</f>
        <v/>
      </c>
      <c r="C500" t="inlineStr">
        <is>
          <t>DLB||Dy.DR-Jaipur||EO-Kotputli</t>
        </is>
      </c>
      <c r="D500" t="inlineStr">
        <is>
          <t>22-May-2025 06:00 PM</t>
        </is>
      </c>
      <c r="E500" t="inlineStr">
        <is>
          <t>24,24,864</t>
        </is>
      </c>
      <c r="F500" t="inlineStr">
        <is>
          <t>CLEANING WORK IN ZONE 11 NAGAR PARISHAD KOTPUTLI</t>
        </is>
      </c>
      <c r="G500" t="inlineStr">
        <is>
          <t>KOTPUTLI</t>
        </is>
      </c>
    </row>
    <row r="501">
      <c r="A501" s="1" t="n">
        <v>499</v>
      </c>
      <c r="B501">
        <f>HYPERLINK("https://eproc.rajasthan.gov.in/nicgep/app?component=%24DirectLink&amp;page=FrontEndViewTender&amp;service=direct&amp;session=T&amp;sp=S8ORhP63HQtrwUI2Ap6XoLw%3D%3D", "2. Toilet construction work in Gogamedi (Tourism Department)")</f>
        <v/>
      </c>
      <c r="C501" t="inlineStr">
        <is>
          <t>DLB||Dy.DR-Bikaner||EO-Nohar</t>
        </is>
      </c>
      <c r="D501" t="inlineStr">
        <is>
          <t>20-May-2025 05:00 PM</t>
        </is>
      </c>
      <c r="E501" t="inlineStr">
        <is>
          <t>11,76,000</t>
        </is>
      </c>
      <c r="F501" t="inlineStr">
        <is>
          <t>2. Toilet construction work in Gogamedi (Tourism Department)</t>
        </is>
      </c>
      <c r="G501" t="inlineStr">
        <is>
          <t>MB Nohar</t>
        </is>
      </c>
    </row>
    <row r="502">
      <c r="A502" s="1" t="n">
        <v>500</v>
      </c>
      <c r="B502">
        <f>HYPERLINK("https://eproc.rajasthan.gov.in/nicgep/app?component=%24DirectLink&amp;page=FrontEndViewTender&amp;service=direct&amp;session=T&amp;sp=SilBzvs5IlYJaFQgH4TnMhw%3D%3D", "supply of graphic flex and printing as per specification work nagar nigam ktoa osuth")</f>
        <v/>
      </c>
      <c r="C502" t="inlineStr">
        <is>
          <t>DLB||Dy.DR-Kota||CEO-Kota</t>
        </is>
      </c>
      <c r="D502" t="inlineStr">
        <is>
          <t>23-May-2025 02:00 PM</t>
        </is>
      </c>
      <c r="E502" t="inlineStr">
        <is>
          <t>30,00,000</t>
        </is>
      </c>
      <c r="F502" t="inlineStr">
        <is>
          <t>supply of graphic flex and printing as per specification work nagar nigam ktoa osuth</t>
        </is>
      </c>
      <c r="G502" t="inlineStr">
        <is>
          <t>kota</t>
        </is>
      </c>
    </row>
    <row r="503">
      <c r="A503" s="1" t="n">
        <v>501</v>
      </c>
      <c r="B503">
        <f>HYPERLINK("https://eproc.rajasthan.gov.in/nicgep/app?component=%24DirectLink&amp;page=FrontEndViewTender&amp;service=direct&amp;session=T&amp;sp=S6jEU1CsucVv0jiB%2F2G6xIA%3D%3D", "1. Toilet construction work in Gogamedi (Devasthan Department)")</f>
        <v/>
      </c>
      <c r="C503" t="inlineStr">
        <is>
          <t>DLB||Dy.DR-Bikaner||EO-Nohar</t>
        </is>
      </c>
      <c r="D503" t="inlineStr">
        <is>
          <t>20-May-2025 05:00 PM</t>
        </is>
      </c>
      <c r="E503" t="inlineStr">
        <is>
          <t>8,00,000</t>
        </is>
      </c>
      <c r="F503" t="inlineStr">
        <is>
          <t>1. Toilet construction work in Gogamedi (Devasthan Department)</t>
        </is>
      </c>
      <c r="G503" t="inlineStr">
        <is>
          <t>MB Nohar</t>
        </is>
      </c>
    </row>
    <row r="504">
      <c r="A504" s="1" t="n">
        <v>502</v>
      </c>
      <c r="B504">
        <f>HYPERLINK("https://eproc.rajasthan.gov.in/nicgep/app?component=%24DirectLink&amp;page=FrontEndViewTender&amp;service=direct&amp;session=T&amp;sp=SOKHfN2qA9DPR%2BuxVz7Bz%2BQ%3D%3D", "Beautification work of welcome gate at Police thane ke aage Ladnun")</f>
        <v/>
      </c>
      <c r="C504" t="inlineStr">
        <is>
          <t>DLB||Dy.DR-Ajmer||EO-Ladnu</t>
        </is>
      </c>
      <c r="D504" t="inlineStr">
        <is>
          <t>23-May-2025 01:00 PM</t>
        </is>
      </c>
      <c r="E504" t="inlineStr">
        <is>
          <t>13,62,000</t>
        </is>
      </c>
      <c r="F504" t="inlineStr">
        <is>
          <t>Beautification work of welcome gate at Police thane ke aage Ladnun</t>
        </is>
      </c>
      <c r="G504" t="inlineStr">
        <is>
          <t>Ladnu</t>
        </is>
      </c>
    </row>
    <row r="505">
      <c r="A505" s="1" t="n">
        <v>503</v>
      </c>
      <c r="B505">
        <f>HYPERLINK("https://eproc.rajasthan.gov.in/nicgep/app?component=%24DirectLink&amp;page=FrontEndViewTender&amp;service=direct&amp;session=T&amp;sp=S5avbjLL%2BGggGmwMmGIBvUw%3D%3D", "Beautification work of welcome gate at Nimbi road Ladnun")</f>
        <v/>
      </c>
      <c r="C505" t="inlineStr">
        <is>
          <t>DLB||Dy.DR-Ajmer||EO-Ladnu</t>
        </is>
      </c>
      <c r="D505" t="inlineStr">
        <is>
          <t>23-May-2025 01:00 PM</t>
        </is>
      </c>
      <c r="E505" t="inlineStr">
        <is>
          <t>13,62,000</t>
        </is>
      </c>
      <c r="F505" t="inlineStr">
        <is>
          <t>Beautification work of welcome gate at Nimbi road Ladnun</t>
        </is>
      </c>
      <c r="G505" t="inlineStr">
        <is>
          <t>Ladnu</t>
        </is>
      </c>
    </row>
    <row r="506">
      <c r="A506" s="1" t="n">
        <v>504</v>
      </c>
      <c r="B506">
        <f>HYPERLINK("https://eproc.rajasthan.gov.in/nicgep/app?component=%24DirectLink&amp;page=FrontEndViewTender&amp;service=direct&amp;session=T&amp;sp=S7o4ygKYVdz%2FmT1yr4uXCcw%3D%3D", "Beautification work of welcome gate at Didwana puliya ke pass Ladnun")</f>
        <v/>
      </c>
      <c r="C506" t="inlineStr">
        <is>
          <t>DLB||Dy.DR-Ajmer||EO-Ladnu</t>
        </is>
      </c>
      <c r="D506" t="inlineStr">
        <is>
          <t>23-May-2025 01:00 PM</t>
        </is>
      </c>
      <c r="E506" t="inlineStr">
        <is>
          <t>13,62,000</t>
        </is>
      </c>
      <c r="F506" t="inlineStr">
        <is>
          <t>Beautification work of welcome gate at Didwana puliya ke pass Ladnun</t>
        </is>
      </c>
      <c r="G506" t="inlineStr">
        <is>
          <t>Ladnu</t>
        </is>
      </c>
    </row>
    <row r="507">
      <c r="A507" s="1" t="n">
        <v>505</v>
      </c>
      <c r="B507">
        <f>HYPERLINK("https://eproc.rajasthan.gov.in/nicgep/app?component=%24DirectLink&amp;page=FrontEndViewTender&amp;service=direct&amp;session=T&amp;sp=Sf0j%2FhhvfjRN89dGTKEpnRA%3D%3D", "Providing and Fixing Phase Wire and PCC Pole in Ward No. 01 to 60 Municipal Area Tonk")</f>
        <v/>
      </c>
      <c r="C507" t="inlineStr">
        <is>
          <t>DLB||Dy.DR-Ajmer||Commissioner-Tonk</t>
        </is>
      </c>
      <c r="D507" t="inlineStr">
        <is>
          <t>22-May-2025 06:00 PM</t>
        </is>
      </c>
      <c r="E507" t="inlineStr">
        <is>
          <t>31,00,000</t>
        </is>
      </c>
      <c r="F507" t="inlineStr">
        <is>
          <t>Providing and Fixing Phase Wire and PCC Pole in Ward No. 01 to 60 Municipal Area Tonk</t>
        </is>
      </c>
      <c r="G507" t="inlineStr">
        <is>
          <t>Tonk</t>
        </is>
      </c>
    </row>
    <row r="508">
      <c r="A508" s="1" t="n">
        <v>506</v>
      </c>
      <c r="B508">
        <f>HYPERLINK("https://eproc.rajasthan.gov.in/nicgep/app?component=%24DirectLink&amp;page=FrontEndViewTender&amp;service=direct&amp;session=T&amp;sp=SlVD8ShOjIXJGdaUg3pSUPQ%3D%3D", "Work of installing water coolers in the municipal council area.")</f>
        <v/>
      </c>
      <c r="C508" t="inlineStr">
        <is>
          <t>DLB||Dy.DR-Kota||EO-Chhabra</t>
        </is>
      </c>
      <c r="D508" t="inlineStr">
        <is>
          <t>21-May-2025 10:00 AM</t>
        </is>
      </c>
      <c r="E508" t="inlineStr">
        <is>
          <t>50,00,000</t>
        </is>
      </c>
      <c r="F508" t="inlineStr">
        <is>
          <t>Work of installing water coolers in the municipal council area.</t>
        </is>
      </c>
      <c r="G508" t="inlineStr">
        <is>
          <t>Municipal Council Nimbahera</t>
        </is>
      </c>
    </row>
    <row r="509">
      <c r="A509" s="1" t="n">
        <v>507</v>
      </c>
      <c r="B509">
        <f>HYPERLINK("https://eproc.rajasthan.gov.in/nicgep/app?component=%24DirectLink&amp;page=FrontEndViewTender&amp;service=direct&amp;session=T&amp;sp=SFthSjssYVzQyCkgymrlhhg%3D%3D", "Providing and Fixing LED Lights in Ward No. 01 to 60 Municipal Area Tonk")</f>
        <v/>
      </c>
      <c r="C509" t="inlineStr">
        <is>
          <t>DLB||Dy.DR-Ajmer||Commissioner-Tonk</t>
        </is>
      </c>
      <c r="D509" t="inlineStr">
        <is>
          <t>22-May-2025 06:00 PM</t>
        </is>
      </c>
      <c r="E509" t="inlineStr">
        <is>
          <t>44,50,000</t>
        </is>
      </c>
      <c r="F509" t="inlineStr">
        <is>
          <t>Providing and Fixing LED Lights in Ward No. 01 to 60 Municipal Area Tonk</t>
        </is>
      </c>
      <c r="G509" t="inlineStr">
        <is>
          <t>Tonk</t>
        </is>
      </c>
    </row>
    <row r="510">
      <c r="A510" s="1" t="n">
        <v>508</v>
      </c>
      <c r="B510">
        <f>HYPERLINK("https://eproc.rajasthan.gov.in/nicgep/app?component=%24DirectLink&amp;page=FrontEndViewTender&amp;service=direct&amp;session=T&amp;sp=StjiPEc6eWg1Ye%2Fvsl4ULQQ%3D%3D", "Providing and fixing of Street Light Timer and Tubular pole in Municipal Area Tonk")</f>
        <v/>
      </c>
      <c r="C510" t="inlineStr">
        <is>
          <t>DLB||Dy.DR-Ajmer||Commissioner-Tonk</t>
        </is>
      </c>
      <c r="D510" t="inlineStr">
        <is>
          <t>22-May-2025 06:00 PM</t>
        </is>
      </c>
      <c r="E510" t="inlineStr">
        <is>
          <t>48,00,000</t>
        </is>
      </c>
      <c r="F510" t="inlineStr">
        <is>
          <t>Providing and fixing of Street Light Timer and Tubular pole in Municipal Area Tonk</t>
        </is>
      </c>
      <c r="G510" t="inlineStr">
        <is>
          <t>Tonk</t>
        </is>
      </c>
    </row>
    <row r="511">
      <c r="A511" s="1" t="n">
        <v>509</v>
      </c>
      <c r="B511">
        <f>HYPERLINK("https://eproc.rajasthan.gov.in/nicgep/app?component=%24DirectLink&amp;page=FrontEndViewTender&amp;service=direct&amp;session=T&amp;sp=SaItTRLJq8mnDQloLM8PX%2Fw%3D%3D", "CIVIL WORK")</f>
        <v/>
      </c>
      <c r="C511" t="inlineStr">
        <is>
          <t>DLB||Dy.DR-Jodhpur||EO-Shivganj</t>
        </is>
      </c>
      <c r="D511" t="inlineStr">
        <is>
          <t>19-May-2025 06:00 PM</t>
        </is>
      </c>
      <c r="E511" t="inlineStr">
        <is>
          <t>11,39,000</t>
        </is>
      </c>
      <c r="F511" t="inlineStr">
        <is>
          <t>CIVIL WORK</t>
        </is>
      </c>
      <c r="G511" t="inlineStr">
        <is>
          <t>SADRI</t>
        </is>
      </c>
    </row>
    <row r="512">
      <c r="A512" s="1" t="n">
        <v>510</v>
      </c>
      <c r="B512">
        <f>HYPERLINK("https://eproc.rajasthan.gov.in/nicgep/app?component=%24DirectLink&amp;page=FrontEndViewTender&amp;service=direct&amp;session=T&amp;sp=SpBfMHfLuB3zNcUpPDfaK5g%3D%3D", "Construction work of C.C. road in Yagya Maharaj Ki Dhani, Brahmano Ki Dhani situated in ward number 05")</f>
        <v/>
      </c>
      <c r="C512" t="inlineStr">
        <is>
          <t>DLB||Dy.DR-Jaipur||CEO-Jaipur</t>
        </is>
      </c>
      <c r="D512" t="inlineStr">
        <is>
          <t>20-May-2025 06:00 PM</t>
        </is>
      </c>
      <c r="E512" t="inlineStr">
        <is>
          <t>4,06,000</t>
        </is>
      </c>
      <c r="F512" t="inlineStr">
        <is>
          <t>Construction work of C.C. road in Yagya Maharaj Ki Dhani, Brahmano Ki Dhani situated in ward number 05</t>
        </is>
      </c>
      <c r="G512" t="inlineStr">
        <is>
          <t>JAIPUR</t>
        </is>
      </c>
    </row>
    <row r="513">
      <c r="A513" s="1" t="n">
        <v>511</v>
      </c>
      <c r="B513">
        <f>HYPERLINK("https://eproc.rajasthan.gov.in/nicgep/app?component=%24DirectLink&amp;page=FrontEndViewTender&amp;service=direct&amp;session=T&amp;sp=ScF3%2BpIk7wM25B6nVoA4PDA%3D%3D", "SUPPLY WORK OF TEMPORARY VEHICLES DRIVER FOR FIRE VEHICLES OF MUNICIPAL CORPORATION JAIPUR HERITAGE")</f>
        <v/>
      </c>
      <c r="C513" t="inlineStr">
        <is>
          <t>DLB||Dy.DR-Jaipur||CEO-Jaipur</t>
        </is>
      </c>
      <c r="D513" t="inlineStr">
        <is>
          <t>30-May-2025 04:00 PM</t>
        </is>
      </c>
      <c r="E513" t="inlineStr">
        <is>
          <t>2,00,00,000</t>
        </is>
      </c>
      <c r="F513" t="inlineStr">
        <is>
          <t>SUPPLY WORK OF TEMPORARY VEHICLES DRIVER FOR FIRE VEHICLES OF MUNICIPAL CORPORATION JAIPUR HERITAGE</t>
        </is>
      </c>
      <c r="G513" t="inlineStr">
        <is>
          <t>JAIPUR</t>
        </is>
      </c>
    </row>
    <row r="514">
      <c r="A514" s="1" t="n">
        <v>512</v>
      </c>
      <c r="B514">
        <f>HYPERLINK("https://eproc.rajasthan.gov.in/nicgep/app?component=%24DirectLink&amp;page=FrontEndViewTender&amp;service=direct&amp;session=T&amp;sp=SyAOyYAfe%2BJtJaVazEzOOBA%3D%3D", "Ward No. 25 Laxmipura Me Tejaji Ke Sthan ke pass Samudayk Bhwan Nirman Kary")</f>
        <v/>
      </c>
      <c r="C514" t="inlineStr">
        <is>
          <t>DLB||Dy.DR-Ajmer||EO-Jahajpur</t>
        </is>
      </c>
      <c r="D514" t="inlineStr">
        <is>
          <t>23-May-2025 06:00 PM</t>
        </is>
      </c>
      <c r="E514" t="inlineStr">
        <is>
          <t>7,76,000</t>
        </is>
      </c>
      <c r="F514" t="inlineStr">
        <is>
          <t>Ward No. 25 Laxmipura Me Tejaji Ke Sthan ke pass Samudayk Bhwan Nirman Kary</t>
        </is>
      </c>
      <c r="G514" t="inlineStr">
        <is>
          <t>Jahazpur</t>
        </is>
      </c>
    </row>
    <row r="515">
      <c r="A515" s="1" t="n">
        <v>513</v>
      </c>
      <c r="B515">
        <f>HYPERLINK("https://eproc.rajasthan.gov.in/nicgep/app?component=%24DirectLink&amp;page=FrontEndViewTender&amp;service=direct&amp;session=T&amp;sp=SnY0C39RQjE55ttvlPcw%2FEg%3D%3D", "MCB VIKAS ENIT01/2025-2026 SR NO.05")</f>
        <v/>
      </c>
      <c r="C515" t="inlineStr">
        <is>
          <t>DLB||Dy.DR-Jodhpur||Commissioner-Barmer</t>
        </is>
      </c>
      <c r="D515" t="inlineStr">
        <is>
          <t>19-May-2025 06:00 PM</t>
        </is>
      </c>
      <c r="E515" t="inlineStr">
        <is>
          <t>9,90,000</t>
        </is>
      </c>
      <c r="F515" t="inlineStr">
        <is>
          <t>MCB VIKAS ENIT01/2025-2026 SR NO.05</t>
        </is>
      </c>
      <c r="G515" t="inlineStr">
        <is>
          <t>BARMER</t>
        </is>
      </c>
    </row>
    <row r="516">
      <c r="A516" s="1" t="n">
        <v>514</v>
      </c>
      <c r="B516">
        <f>HYPERLINK("https://eproc.rajasthan.gov.in/nicgep/app?component=%24DirectLink&amp;page=FrontEndViewTender&amp;service=direct&amp;session=T&amp;sp=SzRsBGnYt9Q%2BHU%2BU9dDo7oQ%3D%3D", "Ward No. 19 Barah Devra me Nal Per Puliya avm Protection Divwar Nirman kary")</f>
        <v/>
      </c>
      <c r="C516" t="inlineStr">
        <is>
          <t>DLB||Dy.DR-Ajmer||EO-Jahajpur</t>
        </is>
      </c>
      <c r="D516" t="inlineStr">
        <is>
          <t>23-May-2025 06:00 PM</t>
        </is>
      </c>
      <c r="E516" t="inlineStr">
        <is>
          <t>23,96,000</t>
        </is>
      </c>
      <c r="F516" t="inlineStr">
        <is>
          <t>Ward No. 19 Barah Devra me Nal Per Puliya avm Protection Divwar Nirman kary</t>
        </is>
      </c>
      <c r="G516" t="inlineStr">
        <is>
          <t>Jahazpur</t>
        </is>
      </c>
    </row>
    <row r="517">
      <c r="A517" s="1" t="n">
        <v>515</v>
      </c>
      <c r="B517">
        <f>HYPERLINK("https://eproc.rajasthan.gov.in/nicgep/app?component=%24DirectLink&amp;page=FrontEndViewTender&amp;service=direct&amp;session=T&amp;sp=SBXFtWdqR%2FHh8GNARb%2FrZuA%3D%3D", "MCB VIKAS ENIT01/2025-2026 SR NO.04")</f>
        <v/>
      </c>
      <c r="C517" t="inlineStr">
        <is>
          <t>DLB||Dy.DR-Jodhpur||Commissioner-Barmer</t>
        </is>
      </c>
      <c r="D517" t="inlineStr">
        <is>
          <t>19-May-2025 06:00 PM</t>
        </is>
      </c>
      <c r="E517" t="inlineStr">
        <is>
          <t>5,39,000</t>
        </is>
      </c>
      <c r="F517" t="inlineStr">
        <is>
          <t>MCB VIKAS ENIT01/2025-2026 SR NO.04</t>
        </is>
      </c>
      <c r="G517" t="inlineStr">
        <is>
          <t>BARMER</t>
        </is>
      </c>
    </row>
    <row r="518">
      <c r="A518" s="1" t="n">
        <v>516</v>
      </c>
      <c r="B518">
        <f>HYPERLINK("https://eproc.rajasthan.gov.in/nicgep/app?component=%24DirectLink&amp;page=FrontEndViewTender&amp;service=direct&amp;session=T&amp;sp=Syac3FLpk%2Btflq5qU5Hbu5g%3D%3D", "MCB VIKAS ENIT01/2025-2026 SR NO.03")</f>
        <v/>
      </c>
      <c r="C518" t="inlineStr">
        <is>
          <t>DLB||Dy.DR-Jodhpur||Commissioner-Barmer</t>
        </is>
      </c>
      <c r="D518" t="inlineStr">
        <is>
          <t>19-May-2025 06:00 PM</t>
        </is>
      </c>
      <c r="E518" t="inlineStr">
        <is>
          <t>17,41,000</t>
        </is>
      </c>
      <c r="F518" t="inlineStr">
        <is>
          <t>MCB VIKAS ENIT01/2025-2026 SR NO.03</t>
        </is>
      </c>
      <c r="G518" t="inlineStr">
        <is>
          <t>BARMER</t>
        </is>
      </c>
    </row>
    <row r="519">
      <c r="A519" s="1" t="n">
        <v>517</v>
      </c>
      <c r="B519">
        <f>HYPERLINK("https://eproc.rajasthan.gov.in/nicgep/app?component=%24DirectLink&amp;page=FrontEndViewTender&amp;service=direct&amp;session=T&amp;sp=SenheUux6GP14NmEtHO5o6Q%3D%3D", "Nau Chok me Ramduwara Ke pass samudhaayk Bhwan Nirman kary")</f>
        <v/>
      </c>
      <c r="C519" t="inlineStr">
        <is>
          <t>DLB||Dy.DR-Ajmer||EO-Jahajpur</t>
        </is>
      </c>
      <c r="D519" t="inlineStr">
        <is>
          <t>23-May-2025 06:00 PM</t>
        </is>
      </c>
      <c r="E519" t="inlineStr">
        <is>
          <t>14,58,000</t>
        </is>
      </c>
      <c r="F519" t="inlineStr">
        <is>
          <t>Nau Chok me Ramduwara Ke pass samudhaayk Bhwan Nirman kary</t>
        </is>
      </c>
      <c r="G519" t="inlineStr">
        <is>
          <t>Jahazpur</t>
        </is>
      </c>
    </row>
    <row r="520">
      <c r="A520" s="1" t="n">
        <v>518</v>
      </c>
      <c r="B520">
        <f>HYPERLINK("https://eproc.rajasthan.gov.in/nicgep/app?component=%24DirectLink&amp;page=FrontEndViewTender&amp;service=direct&amp;session=T&amp;sp=SRvlUjN0wg7ASnpYl8jFdZw%3D%3D", "Ward No. 25 Ghati Ka Bada Me Mota Baba Ke sthan Ke pass Samudhayak Bahwan Nirman kary")</f>
        <v/>
      </c>
      <c r="C520" t="inlineStr">
        <is>
          <t>DLB||Dy.DR-Ajmer||EO-Jahajpur</t>
        </is>
      </c>
      <c r="D520" t="inlineStr">
        <is>
          <t>23-May-2025 06:00 PM</t>
        </is>
      </c>
      <c r="E520" t="inlineStr">
        <is>
          <t>7,76,000</t>
        </is>
      </c>
      <c r="F520" t="inlineStr">
        <is>
          <t>Ward No. 25 Ghati Ka Bada Me Mota Baba Ke sthan Ke pass Samudhayak Bahwan Nirman kary</t>
        </is>
      </c>
      <c r="G520" t="inlineStr">
        <is>
          <t>Jahazpur</t>
        </is>
      </c>
    </row>
    <row r="521">
      <c r="A521" s="1" t="n">
        <v>519</v>
      </c>
      <c r="B521">
        <f>HYPERLINK("https://eproc.rajasthan.gov.in/nicgep/app?component=%24DirectLink&amp;page=FrontEndViewTender&amp;service=direct&amp;session=T&amp;sp=SbEz4mGV1nGo68OkYws2b1A%3D%3D", "Bhawar Kalan talab ki pal per open Gym Pletform avm tinshed Nirman Kary")</f>
        <v/>
      </c>
      <c r="C521" t="inlineStr">
        <is>
          <t>DLB||Dy.DR-Ajmer||EO-Jahajpur</t>
        </is>
      </c>
      <c r="D521" t="inlineStr">
        <is>
          <t>23-May-2025 06:00 PM</t>
        </is>
      </c>
      <c r="E521" t="inlineStr">
        <is>
          <t>15,46,000</t>
        </is>
      </c>
      <c r="F521" t="inlineStr">
        <is>
          <t>Bhawar Kalan talab ki pal per open Gym Pletform avm tinshed Nirman Kary</t>
        </is>
      </c>
      <c r="G521" t="inlineStr">
        <is>
          <t>Jahazpur</t>
        </is>
      </c>
    </row>
    <row r="522">
      <c r="A522" s="1" t="n">
        <v>520</v>
      </c>
      <c r="B522">
        <f>HYPERLINK("https://eproc.rajasthan.gov.in/nicgep/app?component=%24DirectLink&amp;page=FrontEndViewTender&amp;service=direct&amp;session=T&amp;sp=SlZtZINz5hOWVv13Ro4pC3A%3D%3D", "Work of providing auto-tipper and e-rickshaw driver for door-to-door garbage collection vehicle.")</f>
        <v/>
      </c>
      <c r="C522" t="inlineStr">
        <is>
          <t>DLB||Dy.DR-Kota||Commissioner-Baran</t>
        </is>
      </c>
      <c r="D522" t="inlineStr">
        <is>
          <t>20-May-2025 06:00 PM</t>
        </is>
      </c>
      <c r="E522" t="inlineStr">
        <is>
          <t>49,50,000</t>
        </is>
      </c>
      <c r="F522" t="inlineStr">
        <is>
          <t>Work of providing auto-tipper and e-rickshaw driver for door-to-door garbage collection vehicle.</t>
        </is>
      </c>
      <c r="G522" t="inlineStr">
        <is>
          <t>Baran</t>
        </is>
      </c>
    </row>
    <row r="523">
      <c r="A523" s="1" t="n">
        <v>521</v>
      </c>
      <c r="B523">
        <f>HYPERLINK("https://eproc.rajasthan.gov.in/nicgep/app?component=%24DirectLink&amp;page=FrontEndViewTender&amp;service=direct&amp;session=T&amp;sp=SUedhikngAQfLjK5Rf%2FrqYw%3D%3D", "MCB VIKAS ENIT01/2025-2026 SR NO.02")</f>
        <v/>
      </c>
      <c r="C523" t="inlineStr">
        <is>
          <t>DLB||Dy.DR-Jodhpur||Commissioner-Barmer</t>
        </is>
      </c>
      <c r="D523" t="inlineStr">
        <is>
          <t>19-May-2025 06:00 PM</t>
        </is>
      </c>
      <c r="E523" t="inlineStr">
        <is>
          <t>17,04,000</t>
        </is>
      </c>
      <c r="F523" t="inlineStr">
        <is>
          <t>MCB VIKAS ENIT01/2025-2026 SR NO.02</t>
        </is>
      </c>
      <c r="G523" t="inlineStr">
        <is>
          <t>BARMER</t>
        </is>
      </c>
    </row>
    <row r="524">
      <c r="A524" s="1" t="n">
        <v>522</v>
      </c>
      <c r="B524">
        <f>HYPERLINK("https://eproc.rajasthan.gov.in/nicgep/app?component=%24DirectLink&amp;page=FrontEndViewTender&amp;service=direct&amp;session=T&amp;sp=SkxcA2OvSEyBM8TwbpHa6cQ%3D%3D", "MCB VIKAS ENIT01/2025-2026 SR NO.01")</f>
        <v/>
      </c>
      <c r="C524" t="inlineStr">
        <is>
          <t>DLB||Dy.DR-Jodhpur||Commissioner-Barmer</t>
        </is>
      </c>
      <c r="D524" t="inlineStr">
        <is>
          <t>19-May-2025 06:00 PM</t>
        </is>
      </c>
      <c r="E524" t="inlineStr">
        <is>
          <t>12,01,000</t>
        </is>
      </c>
      <c r="F524" t="inlineStr">
        <is>
          <t>MCB VIKAS ENIT01/2025-2026 SR NO.01</t>
        </is>
      </c>
      <c r="G524" t="inlineStr">
        <is>
          <t>BARMER</t>
        </is>
      </c>
    </row>
    <row r="525">
      <c r="A525" s="1" t="n">
        <v>523</v>
      </c>
      <c r="B525">
        <f>HYPERLINK("https://eproc.rajasthan.gov.in/nicgep/app?component=%24DirectLink&amp;page=FrontEndViewTender&amp;service=direct&amp;session=T&amp;sp=SGIPvwaBZKlC1S%2Fmb3QrK2A%3D%3D", "Repair of Greater Nangal jesa Bohra sub-health center in ward number 13 and construction of Hanuman Vatika park.")</f>
        <v/>
      </c>
      <c r="C525" t="inlineStr">
        <is>
          <t>DLB||Dy.DR-Jaipur||CEO-Jaipur</t>
        </is>
      </c>
      <c r="D525" t="inlineStr">
        <is>
          <t>20-May-2025 06:00 PM</t>
        </is>
      </c>
      <c r="E525" t="inlineStr">
        <is>
          <t>8,00,000</t>
        </is>
      </c>
      <c r="F525" t="inlineStr">
        <is>
          <t>Repair of Greater Nangal jesa Bohra sub-health center in ward number 13 and construction of Hanuman Vatika park.</t>
        </is>
      </c>
      <c r="G525" t="inlineStr">
        <is>
          <t>JAIPUR</t>
        </is>
      </c>
    </row>
    <row r="526">
      <c r="A526" s="1" t="n">
        <v>524</v>
      </c>
      <c r="B526">
        <f>HYPERLINK("https://eproc.rajasthan.gov.in/nicgep/app?component=%24DirectLink&amp;page=FrontEndViewTender&amp;service=direct&amp;session=T&amp;sp=ShPTUEqNryCz%2BdZ7QqPghfw%3D%3D", "Boundary wall repair work in Ganesh Nagar Park Ward No. 11")</f>
        <v/>
      </c>
      <c r="C526" t="inlineStr">
        <is>
          <t>DLB||Dy.DR-Jaipur||CEO-Jaipur</t>
        </is>
      </c>
      <c r="D526" t="inlineStr">
        <is>
          <t>20-May-2025 06:00 PM</t>
        </is>
      </c>
      <c r="E526" t="inlineStr">
        <is>
          <t>3,44,000</t>
        </is>
      </c>
      <c r="F526" t="inlineStr">
        <is>
          <t>Boundary wall repair work in Ganesh Nagar Park Ward No. 11</t>
        </is>
      </c>
      <c r="G526" t="inlineStr">
        <is>
          <t>JAIPUR</t>
        </is>
      </c>
    </row>
    <row r="527">
      <c r="A527" s="1" t="n">
        <v>525</v>
      </c>
      <c r="B527">
        <f>HYPERLINK("https://eproc.rajasthan.gov.in/nicgep/app?component=%24DirectLink&amp;page=FrontEndViewTender&amp;service=direct&amp;session=T&amp;sp=SaWfvv3JM6wkXr5utn6dM%2FQ%3D%3D", "Interlocking tiles construction work in Shiva Nagar 4, 5 located in Ward No. 06.")</f>
        <v/>
      </c>
      <c r="C527" t="inlineStr">
        <is>
          <t>DLB||Dy.DR-Jaipur||CEO-Jaipur</t>
        </is>
      </c>
      <c r="D527" t="inlineStr">
        <is>
          <t>20-May-2025 06:00 PM</t>
        </is>
      </c>
      <c r="E527" t="inlineStr">
        <is>
          <t>4,50,000</t>
        </is>
      </c>
      <c r="F527" t="inlineStr">
        <is>
          <t>Interlocking tiles construction work in Shiva Nagar 4, 5 located in Ward No. 06.</t>
        </is>
      </c>
      <c r="G527" t="inlineStr">
        <is>
          <t>JAIPUR</t>
        </is>
      </c>
    </row>
    <row r="528">
      <c r="A528" s="1" t="n">
        <v>526</v>
      </c>
      <c r="B528">
        <f>HYPERLINK("https://eproc.rajasthan.gov.in/nicgep/app?component=%24DirectLink&amp;page=FrontEndViewTender&amp;service=direct&amp;session=T&amp;sp=StNEWbrsmZTnI8OTWc6SJ7Q%3D%3D", "Work of interlocking tiles in Tejaji temple Badarana situated in ward no. 05")</f>
        <v/>
      </c>
      <c r="C528" t="inlineStr">
        <is>
          <t>DLB||Dy.DR-Jaipur||CEO-Jaipur</t>
        </is>
      </c>
      <c r="D528" t="inlineStr">
        <is>
          <t>20-May-2025 06:00 PM</t>
        </is>
      </c>
      <c r="E528" t="inlineStr">
        <is>
          <t>2,59,000</t>
        </is>
      </c>
      <c r="F528" t="inlineStr">
        <is>
          <t>Work of interlocking tiles in Tejaji temple Badarana situated in ward no. 05</t>
        </is>
      </c>
      <c r="G528" t="inlineStr">
        <is>
          <t>JAIPUR</t>
        </is>
      </c>
    </row>
    <row r="529">
      <c r="A529" s="1" t="n">
        <v>527</v>
      </c>
      <c r="B529">
        <f>HYPERLINK("https://eproc.rajasthan.gov.in/nicgep/app?component=%24DirectLink&amp;page=FrontEndViewTender&amp;service=direct&amp;session=T&amp;sp=SCh4R7BtNhkVQ80rNNPfZpw%3D%3D", "CONSTRUCTION WORK OF ABOUT 500 METERS NEW BIG SEWER LINE IN SHARMA VATIKA COLONY BRAHMANO KI DHANI IN WARD NO. 09.")</f>
        <v/>
      </c>
      <c r="C529" t="inlineStr">
        <is>
          <t>DLB||Dy.DR-Jaipur||CEO-Jaipur</t>
        </is>
      </c>
      <c r="D529" t="inlineStr">
        <is>
          <t>20-May-2025 06:00 PM</t>
        </is>
      </c>
      <c r="E529" t="inlineStr">
        <is>
          <t>11,00,000</t>
        </is>
      </c>
      <c r="F529" t="inlineStr">
        <is>
          <t>CONSTRUCTION WORK OF ABOUT 500 METERS NEW BIG SEWER LINE IN SHARMA VATIKA COLONY BRAHMANO KI DHANI IN WARD NO. 09.</t>
        </is>
      </c>
      <c r="G529" t="inlineStr">
        <is>
          <t>JAIPUR</t>
        </is>
      </c>
    </row>
    <row r="530">
      <c r="A530" s="1" t="n">
        <v>528</v>
      </c>
      <c r="B530">
        <f>HYPERLINK("https://eproc.rajasthan.gov.in/nicgep/app?component=%24DirectLink&amp;page=FrontEndViewTender&amp;service=direct&amp;session=T&amp;sp=S3y83FpZrd2wv5hfOAChc2g%3D%3D", "SUPPLY WORK OF TEMPORARY FIREMAN FOR FIRE VEHICLES OF MUNICIPAL CORPORATION JAIPUR HERITAGE")</f>
        <v/>
      </c>
      <c r="C530" t="inlineStr">
        <is>
          <t>DLB||Dy.DR-Jaipur||CEO-Jaipur</t>
        </is>
      </c>
      <c r="D530" t="inlineStr">
        <is>
          <t>30-May-2025 04:00 PM</t>
        </is>
      </c>
      <c r="E530" t="inlineStr">
        <is>
          <t>3,00,00,000</t>
        </is>
      </c>
      <c r="F530" t="inlineStr">
        <is>
          <t>SUPPLY WORK OF TEMPORARY FIREMAN FOR FIRE VEHICLES OF MUNICIPAL CORPORATION JAIPUR HERITAGE</t>
        </is>
      </c>
      <c r="G530" t="inlineStr">
        <is>
          <t>JAIPUR</t>
        </is>
      </c>
    </row>
    <row r="531">
      <c r="A531" s="1" t="n">
        <v>529</v>
      </c>
      <c r="B531">
        <f>HYPERLINK("https://eproc.rajasthan.gov.in/nicgep/app?component=%24DirectLink&amp;page=FrontEndViewTender&amp;service=direct&amp;session=T&amp;sp=SduEOUezbRhl5WtfR3X%2BtrA%3D%3D", "Ward NO. 19 Me mor ki Kotri per Surksha Divwar avm Purana Jalday Karyaly ke samne Nala or CC Sadak Nirman Kary")</f>
        <v/>
      </c>
      <c r="C531" t="inlineStr">
        <is>
          <t>DLB||Dy.DR-Ajmer||EO-Jahajpur</t>
        </is>
      </c>
      <c r="D531" t="inlineStr">
        <is>
          <t>23-May-2025 06:00 PM</t>
        </is>
      </c>
      <c r="E531" t="inlineStr">
        <is>
          <t>12,29,000</t>
        </is>
      </c>
      <c r="F531" t="inlineStr">
        <is>
          <t>Ward NO. 19 Me mor ki Kotri per Surksha Divwar avm Purana Jalday Karyaly ke samne Nala or CC Sadak Nirman Kary</t>
        </is>
      </c>
      <c r="G531" t="inlineStr">
        <is>
          <t>Jahazpur</t>
        </is>
      </c>
    </row>
    <row r="532">
      <c r="A532" s="1" t="n">
        <v>530</v>
      </c>
      <c r="B532">
        <f>HYPERLINK("https://eproc.rajasthan.gov.in/nicgep/app?component=%24DirectLink&amp;page=FrontEndViewTender&amp;service=direct&amp;session=T&amp;sp=S6X7YivYsPOugouovIb3%2F%2BQ%3D%3D", "The work of catching stray animals and releasing them in government subsidized cowsheds and other deserted places where sufficient fodder and water is available. (All resources including labour)")</f>
        <v/>
      </c>
      <c r="C532" t="inlineStr">
        <is>
          <t>DLB||Dy.DR-Kota||Commissioner-Baran</t>
        </is>
      </c>
      <c r="D532" t="inlineStr">
        <is>
          <t>19-May-2025 06:00 PM</t>
        </is>
      </c>
      <c r="E532" t="inlineStr">
        <is>
          <t>9,90,000</t>
        </is>
      </c>
      <c r="F532" t="inlineStr">
        <is>
          <t>The work of catching stray animals and releasing them in government subsidized cowsheds and other deserted places where sufficient fodder and water is available. (All resources including labour)</t>
        </is>
      </c>
      <c r="G532" t="inlineStr">
        <is>
          <t>Baran</t>
        </is>
      </c>
    </row>
    <row r="533">
      <c r="A533" s="1" t="n">
        <v>531</v>
      </c>
      <c r="B533">
        <f>HYPERLINK("https://eproc.rajasthan.gov.in/nicgep/app?component=%24DirectLink&amp;page=FrontEndViewTender&amp;service=direct&amp;session=T&amp;sp=SjNqx73ZfWVEdq5mazAyXvg%3D%3D", "C.C. Road construction work from Ashok Parik house to Ram Gopal house in Udyog Vihar located in Ward No. 05")</f>
        <v/>
      </c>
      <c r="C533" t="inlineStr">
        <is>
          <t>DLB||Dy.DR-Jaipur||CEO-Jaipur</t>
        </is>
      </c>
      <c r="D533" t="inlineStr">
        <is>
          <t>20-May-2025 06:00 PM</t>
        </is>
      </c>
      <c r="E533" t="inlineStr">
        <is>
          <t>4,33,000</t>
        </is>
      </c>
      <c r="F533" t="inlineStr">
        <is>
          <t>C.C. Road construction work from Ashok Parik house to Ram Gopal house in Udyog Vihar located in Ward No. 05</t>
        </is>
      </c>
      <c r="G533" t="inlineStr">
        <is>
          <t>JAIPUR</t>
        </is>
      </c>
    </row>
    <row r="534">
      <c r="A534" s="1" t="n">
        <v>532</v>
      </c>
      <c r="B534">
        <f>HYPERLINK("https://eproc.rajasthan.gov.in/nicgep/app?component=%24DirectLink&amp;page=FrontEndViewTender&amp;service=direct&amp;session=T&amp;sp=SnpiHAA%2F%2F4EDU9lWcLI9L7g%3D%3D", "INTERLOCKING TILES WORK IN KARNI COLONY AND MAHARAJA COLONY FROM PLOT NO. 3/46 TO WATER TANK PARASRAM NAGAR SIKAR ROAD LOCATED IN WARD NO. 25")</f>
        <v/>
      </c>
      <c r="C534" t="inlineStr">
        <is>
          <t>DLB||Dy.DR-Jaipur||CEO-Jaipur</t>
        </is>
      </c>
      <c r="D534" t="inlineStr">
        <is>
          <t>20-May-2025 06:00 PM</t>
        </is>
      </c>
      <c r="E534" t="inlineStr">
        <is>
          <t>27,87,000</t>
        </is>
      </c>
      <c r="F534" t="inlineStr">
        <is>
          <t>INTERLOCKING TILES WORK IN KARNI COLONY AND MAHARAJA COLONY FROM PLOT NO. 3/46 TO WATER TANK PARASRAM NAGAR SIKAR ROAD LOCATED IN WARD NO. 25</t>
        </is>
      </c>
      <c r="G534" t="inlineStr">
        <is>
          <t>JAIPUR</t>
        </is>
      </c>
    </row>
    <row r="535">
      <c r="A535" s="1" t="n">
        <v>533</v>
      </c>
      <c r="B535">
        <f>HYPERLINK("https://eproc.rajasthan.gov.in/nicgep/app?component=%24DirectLink&amp;page=FrontEndViewTender&amp;service=direct&amp;session=T&amp;sp=SJX8BeFQlFgweuCaO5R78xg%3D%3D", "Street light operation and maintenance work")</f>
        <v/>
      </c>
      <c r="C535" t="inlineStr">
        <is>
          <t>DLB||Dy.DR-Bikaner||EO-Ratangarh</t>
        </is>
      </c>
      <c r="D535" t="inlineStr">
        <is>
          <t>20-May-2025 06:00 PM</t>
        </is>
      </c>
      <c r="E535" t="inlineStr">
        <is>
          <t>12,00,000</t>
        </is>
      </c>
      <c r="F535" t="inlineStr">
        <is>
          <t>Street light operation and maintenance work</t>
        </is>
      </c>
      <c r="G535" t="inlineStr">
        <is>
          <t>Ratannagar</t>
        </is>
      </c>
    </row>
    <row r="536">
      <c r="A536" s="1" t="n">
        <v>534</v>
      </c>
      <c r="B536">
        <f>HYPERLINK("https://eproc.rajasthan.gov.in/nicgep/app?component=%24DirectLink&amp;page=FrontEndViewTender&amp;service=direct&amp;session=T&amp;sp=SmhywRRVokvxmwd6kDFP3%2FQ%3D%3D", "To provide heavy vehicle drivers cum operators on vehicles like JCB, Road Sweeper, Sky Lift, Dumper, Compactor, Sewerage Jetting Machine etc.")</f>
        <v/>
      </c>
      <c r="C536" t="inlineStr">
        <is>
          <t>DLB||Dy.DR-Kota||Commissioner-Baran</t>
        </is>
      </c>
      <c r="D536" t="inlineStr">
        <is>
          <t>20-May-2025 06:00 PM</t>
        </is>
      </c>
      <c r="E536" t="inlineStr">
        <is>
          <t>49,50,000</t>
        </is>
      </c>
      <c r="F536" t="inlineStr">
        <is>
          <t>To provide heavy vehicle drivers cum operators on vehicles like JCB, Road Sweeper, Sky Lift, Dumper, Compactor, Sewerage Jetting Machine etc.</t>
        </is>
      </c>
      <c r="G536" t="inlineStr">
        <is>
          <t>Baran</t>
        </is>
      </c>
    </row>
    <row r="537">
      <c r="A537" s="1" t="n">
        <v>535</v>
      </c>
      <c r="B537">
        <f>HYPERLINK("https://eproc.rajasthan.gov.in/nicgep/app?component=%24DirectLink&amp;page=FrontEndViewTender&amp;service=direct&amp;session=T&amp;sp=SOnIb86e%2BtyZyrDEJ5iA%2B%2Bg%3D%3D", "DOOR TO DOOR COLLECTION AND TRANSPORTATION WORK FOR CLUSTER NO. 05 (WARD NO. 23 TO 26)")</f>
        <v/>
      </c>
      <c r="C537" t="inlineStr">
        <is>
          <t>DLB||Dy.DR-Jodhpur||CEO-Jodhpur</t>
        </is>
      </c>
      <c r="D537" t="inlineStr">
        <is>
          <t>30-May-2025 03:00 PM</t>
        </is>
      </c>
      <c r="E537" t="inlineStr">
        <is>
          <t>81,98,000</t>
        </is>
      </c>
      <c r="F537" t="inlineStr">
        <is>
          <t>DOOR TO DOOR COLLECTION AND TRANSPORTATION WORK FOR CLUSTER NO. 05 (WARD NO. 23 TO 26)</t>
        </is>
      </c>
      <c r="G537" t="inlineStr">
        <is>
          <t>jodhpur</t>
        </is>
      </c>
    </row>
    <row r="538">
      <c r="A538" s="1" t="n">
        <v>536</v>
      </c>
      <c r="B538">
        <f>HYPERLINK("https://eproc.rajasthan.gov.in/nicgep/app?component=%24DirectLink&amp;page=FrontEndViewTender&amp;service=direct&amp;session=T&amp;sp=SRwh%2FQGjpT4pxBgRmWoBAvw%3D%3D", "DOOR TO DOOR COLLECTION AND TRANSPORTATION WORK FOR CLUSTER NO. 01 (WARD NO. 01 TO 04)")</f>
        <v/>
      </c>
      <c r="C538" t="inlineStr">
        <is>
          <t>DLB||Dy.DR-Jodhpur||CEO-Jodhpur</t>
        </is>
      </c>
      <c r="D538" t="inlineStr">
        <is>
          <t>30-May-2025 03:00 PM</t>
        </is>
      </c>
      <c r="E538" t="inlineStr">
        <is>
          <t>54,01,000</t>
        </is>
      </c>
      <c r="F538" t="inlineStr">
        <is>
          <t>DOOR TO DOOR COLLECTION AND TRANSPORTATION WORK FOR CLUSTER NO. 01 (WARD NO. 01 TO 04)</t>
        </is>
      </c>
      <c r="G538" t="inlineStr">
        <is>
          <t>jodhpur</t>
        </is>
      </c>
    </row>
    <row r="539">
      <c r="A539" s="1" t="n">
        <v>537</v>
      </c>
      <c r="B539">
        <f>HYPERLINK("https://eproc.rajasthan.gov.in/nicgep/app?component=%24DirectLink&amp;page=FrontEndViewTender&amp;service=direct&amp;session=T&amp;sp=SESzZXYt7Nk6VCsDM%2F%2BUtWQ%3D%3D", "DOOR TO DOOR COLLECTION AND TRANSPORTATION WORK FOR CLUSTER NO. 06 (WARD NO. 27 TO 31)")</f>
        <v/>
      </c>
      <c r="C539" t="inlineStr">
        <is>
          <t>DLB||Dy.DR-Jodhpur||CEO-Jodhpur</t>
        </is>
      </c>
      <c r="D539" t="inlineStr">
        <is>
          <t>30-May-2025 03:00 PM</t>
        </is>
      </c>
      <c r="E539" t="inlineStr">
        <is>
          <t>1,11,45,000</t>
        </is>
      </c>
      <c r="F539" t="inlineStr">
        <is>
          <t>DOOR TO DOOR COLLECTION AND TRANSPORTATION WORK FOR CLUSTER NO. 06 (WARD NO. 27 TO 31)</t>
        </is>
      </c>
      <c r="G539" t="inlineStr">
        <is>
          <t>jodhpur</t>
        </is>
      </c>
    </row>
    <row r="540">
      <c r="A540" s="1" t="n">
        <v>538</v>
      </c>
      <c r="B540">
        <f>HYPERLINK("https://eproc.rajasthan.gov.in/nicgep/app?component=%24DirectLink&amp;page=FrontEndViewTender&amp;service=direct&amp;session=T&amp;sp=Sf1SwyijIltv1zjUI5VuD9A%3D%3D", "OPERATION AND MAINTENANCE OF 01 NO S TRUCK MOUNTED ROAD SWEEPER MACHINE")</f>
        <v/>
      </c>
      <c r="C540" t="inlineStr">
        <is>
          <t>DLB||Dy.DR-Jaipur||CEO-Jaipur</t>
        </is>
      </c>
      <c r="D540" t="inlineStr">
        <is>
          <t>30-May-2025 04:00 PM</t>
        </is>
      </c>
      <c r="E540" t="inlineStr">
        <is>
          <t>1,52,00,000</t>
        </is>
      </c>
      <c r="F540" t="inlineStr">
        <is>
          <t>OPERATION AND MAINTENANCE OF 01 NO S TRUCK MOUNTED ROAD SWEEPER MACHINE</t>
        </is>
      </c>
      <c r="G540" t="inlineStr">
        <is>
          <t>JAIPUR</t>
        </is>
      </c>
    </row>
    <row r="541">
      <c r="A541" s="1" t="n">
        <v>539</v>
      </c>
      <c r="B541">
        <f>HYPERLINK("https://eproc.rajasthan.gov.in/nicgep/app?component=%24DirectLink&amp;page=FrontEndViewTender&amp;service=direct&amp;session=T&amp;sp=SLjlUUQSe1benI3RV7%2FDFzA%3D%3D", "Nallah Sludge cleaning at various places")</f>
        <v/>
      </c>
      <c r="C541" t="inlineStr">
        <is>
          <t>DLB||Dy.DR-Jaipur||EO-Bagru</t>
        </is>
      </c>
      <c r="D541" t="inlineStr">
        <is>
          <t>19-May-2025 11:00 AM</t>
        </is>
      </c>
      <c r="E541" t="inlineStr">
        <is>
          <t>23,00,000</t>
        </is>
      </c>
      <c r="F541" t="inlineStr">
        <is>
          <t>Nallah Sludge cleaning at various places</t>
        </is>
      </c>
      <c r="G541" t="inlineStr">
        <is>
          <t>municipal board jobner</t>
        </is>
      </c>
    </row>
    <row r="542">
      <c r="A542" s="1" t="n">
        <v>540</v>
      </c>
      <c r="B542">
        <f>HYPERLINK("https://eproc.rajasthan.gov.in/nicgep/app?component=%24DirectLink&amp;page=FrontEndViewTender&amp;service=direct&amp;session=T&amp;sp=SKHcYa9AM3o4ZaOeD3tj0gg%3D%3D", "WORK OF TEMPORARY LIGHTING ARRANGEMENTS ON VARIOUS STATE FESTIVALS, FESTIVALS AND EMERGENCY WORK IN MURLIPURA, JHOTWARA, VIDYADHAR NAGAR ZONE AND HEADQUARTERS BUILDING. ANNUAL RATE CONTRACT YEAR 2025-26")</f>
        <v/>
      </c>
      <c r="C542" t="inlineStr">
        <is>
          <t>DLB||Dy.DR-Jaipur||CEO-Jaipur</t>
        </is>
      </c>
      <c r="D542" t="inlineStr">
        <is>
          <t>29-May-2025 06:00 PM</t>
        </is>
      </c>
      <c r="E542" t="inlineStr">
        <is>
          <t>1,49,94,342</t>
        </is>
      </c>
      <c r="F542" t="inlineStr">
        <is>
          <t>WORK OF TEMPORARY LIGHTING ARRANGEMENTS ON VARIOUS STATE FESTIVALS, FESTIVALS AND EMERGENCY WORK IN MURLIPURA, JHOTWARA, VIDYADHAR NAGAR ZONE AND HEADQUARTERS BUILDING. ANNUAL RATE CONTRACT YEAR 2025-26</t>
        </is>
      </c>
      <c r="G542" t="inlineStr">
        <is>
          <t>JAIPUR</t>
        </is>
      </c>
    </row>
    <row r="543">
      <c r="A543" s="1" t="n">
        <v>541</v>
      </c>
      <c r="B543">
        <f>HYPERLINK("https://eproc.rajasthan.gov.in/nicgep/app?component=%24DirectLink&amp;page=FrontEndViewTender&amp;service=direct&amp;session=T&amp;sp=SN54M1YD6F97AjOUOuzD30g%3D%3D", "TEMPORARY LIGHTING WORK ON VARIOUS GOVERMENT FESTIVALS AND EMERGENCY FUNCTIONS IN JAGATPURA, MALVIYA NAGAR, MANSAROVAR AND SANGANER ZONES ANNUAL RATE CONTRACT YEAR 2025-26")</f>
        <v/>
      </c>
      <c r="C543" t="inlineStr">
        <is>
          <t>DLB||Dy.DR-Jaipur||CEO-Jaipur</t>
        </is>
      </c>
      <c r="D543" t="inlineStr">
        <is>
          <t>29-May-2025 06:00 PM</t>
        </is>
      </c>
      <c r="E543" t="inlineStr">
        <is>
          <t>1,49,96,042</t>
        </is>
      </c>
      <c r="F543" t="inlineStr">
        <is>
          <t>TEMPORARY LIGHTING WORK ON VARIOUS GOVERMENT FESTIVALS AND EMERGENCY FUNCTIONS IN JAGATPURA, MALVIYA NAGAR, MANSAROVAR AND SANGANER ZONES ANNUAL RATE CONTRACT YEAR 2025-26</t>
        </is>
      </c>
      <c r="G543" t="inlineStr">
        <is>
          <t>JAIPUR</t>
        </is>
      </c>
    </row>
    <row r="544">
      <c r="A544" s="1" t="n">
        <v>542</v>
      </c>
      <c r="B544">
        <f>HYPERLINK("https://eproc.rajasthan.gov.in/nicgep/app?component=%24DirectLink&amp;page=FrontEndViewTender&amp;service=direct&amp;session=T&amp;sp=ShmhlHSOfuiqMbheBA6P2Xw%3D%3D", "SITC of Street light panels at various places of UMC Area (e_02 / Light_02)")</f>
        <v/>
      </c>
      <c r="C544" t="inlineStr">
        <is>
          <t>DLB||Dy.DR-Udaipur||Commissioner-Udaipur</t>
        </is>
      </c>
      <c r="D544" t="inlineStr">
        <is>
          <t>19-May-2025 06:55 PM</t>
        </is>
      </c>
      <c r="E544" t="inlineStr">
        <is>
          <t>50,00,000</t>
        </is>
      </c>
      <c r="F544" t="inlineStr">
        <is>
          <t>SITC of Street light panels at various places of UMC Area (e_02 / Light_02)</t>
        </is>
      </c>
      <c r="G544" t="inlineStr">
        <is>
          <t>udaipur</t>
        </is>
      </c>
    </row>
    <row r="545">
      <c r="A545" s="1" t="n">
        <v>543</v>
      </c>
      <c r="B545">
        <f>HYPERLINK("https://eproc.rajasthan.gov.in/nicgep/app?component=%24DirectLink&amp;page=FrontEndViewTender&amp;service=direct&amp;session=T&amp;sp=SANxZdKdDhALwDVH4UpRMvw%3D%3D", "Conversion of Overhead to Underground HT and LT line at Ropeway road, Dudh Talai. (e_02 / Light_03)")</f>
        <v/>
      </c>
      <c r="C545" t="inlineStr">
        <is>
          <t>DLB||Dy.DR-Udaipur||Commissioner-Udaipur</t>
        </is>
      </c>
      <c r="D545" t="inlineStr">
        <is>
          <t>19-May-2025 06:55 PM</t>
        </is>
      </c>
      <c r="E545" t="inlineStr">
        <is>
          <t>25,24,000</t>
        </is>
      </c>
      <c r="F545" t="inlineStr">
        <is>
          <t>Conversion of Overhead to Underground HT and LT line at Ropeway road, Dudh Talai. (e_02 / Light_03)</t>
        </is>
      </c>
      <c r="G545" t="inlineStr">
        <is>
          <t>udaipur</t>
        </is>
      </c>
    </row>
    <row r="546">
      <c r="A546" s="1" t="n">
        <v>544</v>
      </c>
      <c r="B546">
        <f>HYPERLINK("https://eproc.rajasthan.gov.in/nicgep/app?component=%24DirectLink&amp;page=FrontEndViewTender&amp;service=direct&amp;session=T&amp;sp=SW28%2FkKgOeUOhhUakGUmqrQ%3D%3D", "Hire Charges for P and F of PA system andTemperory Lighting of various Programmes and Festivals Organized by Nagar Nigam, Udaipur. (e_02 / Light_01)")</f>
        <v/>
      </c>
      <c r="C546" t="inlineStr">
        <is>
          <t>DLB||Dy.DR-Udaipur||Commissioner-Udaipur</t>
        </is>
      </c>
      <c r="D546" t="inlineStr">
        <is>
          <t>19-May-2025 06:55 PM</t>
        </is>
      </c>
      <c r="E546" t="inlineStr">
        <is>
          <t>50,00,000</t>
        </is>
      </c>
      <c r="F546" t="inlineStr">
        <is>
          <t>Hire Charges for P and F of PA system andTemperory Lighting of various Programmes and Festivals Organized by Nagar Nigam, Udaipur. (e_02 / Light_01)</t>
        </is>
      </c>
      <c r="G546" t="inlineStr">
        <is>
          <t>udaipur</t>
        </is>
      </c>
    </row>
    <row r="547">
      <c r="A547" s="1" t="n">
        <v>545</v>
      </c>
      <c r="B547">
        <f>HYPERLINK("https://eproc.rajasthan.gov.in/nicgep/app?component=%24DirectLink&amp;page=FrontEndViewTender&amp;service=direct&amp;session=T&amp;sp=Ssvg3eNsgpd75BePZYPuTPQ%3D%3D", "Nagar Palika Suket me Manpower Supply kary")</f>
        <v/>
      </c>
      <c r="C547" t="inlineStr">
        <is>
          <t>DLB||Dy.DR-Kota||EO-Ramganj Mandi</t>
        </is>
      </c>
      <c r="D547" t="inlineStr">
        <is>
          <t>21-May-2025 06:00 PM</t>
        </is>
      </c>
      <c r="E547" t="inlineStr">
        <is>
          <t>1,33,28,000</t>
        </is>
      </c>
      <c r="F547" t="inlineStr">
        <is>
          <t>Nagar Palika Suket me Manpower Supply kary</t>
        </is>
      </c>
      <c r="G547" t="inlineStr">
        <is>
          <t>Suket</t>
        </is>
      </c>
    </row>
    <row r="548">
      <c r="A548" s="1" t="n">
        <v>546</v>
      </c>
      <c r="B548">
        <f>HYPERLINK("https://eproc.rajasthan.gov.in/nicgep/app?component=%24DirectLink&amp;page=FrontEndViewTender&amp;service=direct&amp;session=T&amp;sp=SZBDXrOv0crocQs5Oirv5cw%3D%3D", "Churu Shahar me Vibhinn sthano par gati Avrodhak (Speed Braker) Lagane ka karya Churu")</f>
        <v/>
      </c>
      <c r="C548" t="inlineStr">
        <is>
          <t>DLB||Dy.DR-Bikaner||Commissioner-Churu</t>
        </is>
      </c>
      <c r="D548" t="inlineStr">
        <is>
          <t>19-May-2025 11:00 AM</t>
        </is>
      </c>
      <c r="E548" t="inlineStr">
        <is>
          <t>10,00,000</t>
        </is>
      </c>
      <c r="F548" t="inlineStr">
        <is>
          <t>Churu Shahar me Vibhinn sthano par gati Avrodhak (Speed Braker) Lagane ka karya Churu</t>
        </is>
      </c>
      <c r="G548" t="inlineStr">
        <is>
          <t>CHURU</t>
        </is>
      </c>
    </row>
    <row r="549">
      <c r="A549" s="1" t="n">
        <v>547</v>
      </c>
      <c r="B549">
        <f>HYPERLINK("https://eproc.rajasthan.gov.in/nicgep/app?component=%24DirectLink&amp;page=FrontEndViewTender&amp;service=direct&amp;session=T&amp;sp=SlRyOmyZVxH9K1saZd%2BzA6w%3D%3D", "Nagarparishad shimakshetra me vibbhin sthano par dali gai PVC HDPE Pipe line ke likege nikalne ka karya")</f>
        <v/>
      </c>
      <c r="C549" t="inlineStr">
        <is>
          <t>DLB||Dy.DR-Bikaner||Commissioner-Churu</t>
        </is>
      </c>
      <c r="D549" t="inlineStr">
        <is>
          <t>19-May-2025 11:00 AM</t>
        </is>
      </c>
      <c r="E549" t="inlineStr">
        <is>
          <t>5,00,000</t>
        </is>
      </c>
      <c r="F549" t="inlineStr">
        <is>
          <t>Nagarparishad shimakshetra me vibbhin sthano par dali gai PVC HDPE Pipe line ke likege nikalne ka karya</t>
        </is>
      </c>
      <c r="G549" t="inlineStr">
        <is>
          <t>CHURU</t>
        </is>
      </c>
    </row>
    <row r="550">
      <c r="A550" s="1" t="n">
        <v>548</v>
      </c>
      <c r="B550">
        <f>HYPERLINK("https://eproc.rajasthan.gov.in/nicgep/app?component=%24DirectLink&amp;page=FrontEndViewTender&amp;service=direct&amp;session=T&amp;sp=SrBbIElQKXG5Vy95I2Lncjg%3D%3D", "Churu shahar me Drainage ki GRP Pipe line ke likege nikalne ka krya")</f>
        <v/>
      </c>
      <c r="C550" t="inlineStr">
        <is>
          <t>DLB||Dy.DR-Bikaner||Commissioner-Churu</t>
        </is>
      </c>
      <c r="D550" t="inlineStr">
        <is>
          <t>19-May-2025 11:00 AM</t>
        </is>
      </c>
      <c r="E550" t="inlineStr">
        <is>
          <t>15,00,000</t>
        </is>
      </c>
      <c r="F550" t="inlineStr">
        <is>
          <t>Churu shahar me Drainage ki GRP Pipe line ke likege nikalne ka krya</t>
        </is>
      </c>
      <c r="G550" t="inlineStr">
        <is>
          <t>CHURU</t>
        </is>
      </c>
    </row>
    <row r="551">
      <c r="A551" s="1" t="n">
        <v>549</v>
      </c>
      <c r="B551">
        <f>HYPERLINK("https://eproc.rajasthan.gov.in/nicgep/app?component=%24DirectLink&amp;page=FrontEndViewTender&amp;service=direct&amp;session=T&amp;sp=SFSMP4SwwZzk8dtxK9Lk6yg%3D%3D", "Installation of water Coolar in Different Different Palace in Nagar Palika Mahwa")</f>
        <v/>
      </c>
      <c r="C551" t="inlineStr">
        <is>
          <t>DLB||Dy.DR- Bharatpur||EO- Mahuwa</t>
        </is>
      </c>
      <c r="D551" t="inlineStr">
        <is>
          <t>20-May-2025 12:00 PM</t>
        </is>
      </c>
      <c r="E551" t="inlineStr">
        <is>
          <t>11,98,000</t>
        </is>
      </c>
      <c r="F551" t="inlineStr">
        <is>
          <t>Installation of water Coolar in Different Different Palace in Nagar Palika Mahwa</t>
        </is>
      </c>
      <c r="G551" t="inlineStr">
        <is>
          <t>work</t>
        </is>
      </c>
    </row>
    <row r="552">
      <c r="A552" s="1" t="n">
        <v>550</v>
      </c>
      <c r="B552">
        <f>HYPERLINK("https://eproc.rajasthan.gov.in/nicgep/app?component=%24DirectLink&amp;page=FrontEndViewTender&amp;service=direct&amp;session=T&amp;sp=SHIGcvujFrCtnJDGtr0ZlRQ%3D%3D", "NALA REPARING WORK AND SAFAI WORK AT HINDON TIRAHA TO INFROUT OF MIDWAY")</f>
        <v/>
      </c>
      <c r="C552" t="inlineStr">
        <is>
          <t>DLB||Dy.DR- Bharatpur||EO- Mahuwa</t>
        </is>
      </c>
      <c r="D552" t="inlineStr">
        <is>
          <t>20-May-2025 12:00 PM</t>
        </is>
      </c>
      <c r="E552" t="inlineStr">
        <is>
          <t>24,74,000</t>
        </is>
      </c>
      <c r="F552" t="inlineStr">
        <is>
          <t>NALA REPARING WORK AND SAFAI WORK AT HINDON TIRAHA TO INFROUT OF MIDWAY</t>
        </is>
      </c>
      <c r="G552" t="inlineStr">
        <is>
          <t>WORK</t>
        </is>
      </c>
    </row>
    <row r="553">
      <c r="A553" s="1" t="n">
        <v>551</v>
      </c>
      <c r="B553">
        <f>HYPERLINK("https://eproc.rajasthan.gov.in/nicgep/app?component=%24DirectLink&amp;page=FrontEndViewTender&amp;service=direct&amp;session=T&amp;sp=SAB5dOWp3lFHG1FhW5POtqQ%3D%3D", "Construction Of Hall on Jangid Chhatravas Mahwa")</f>
        <v/>
      </c>
      <c r="C553" t="inlineStr">
        <is>
          <t>DLB||Dy.DR- Bharatpur||EO- Mahuwa</t>
        </is>
      </c>
      <c r="D553" t="inlineStr">
        <is>
          <t>20-May-2025 12:00 PM</t>
        </is>
      </c>
      <c r="E553" t="inlineStr">
        <is>
          <t>25,00,000</t>
        </is>
      </c>
      <c r="F553" t="inlineStr">
        <is>
          <t>Construction Of Hall on Jangid Chhatravas Mahwa</t>
        </is>
      </c>
      <c r="G553" t="inlineStr">
        <is>
          <t>WORK</t>
        </is>
      </c>
    </row>
    <row r="554">
      <c r="A554" s="1" t="n">
        <v>552</v>
      </c>
      <c r="B554">
        <f>HYPERLINK("https://eproc.rajasthan.gov.in/nicgep/app?component=%24DirectLink&amp;page=FrontEndViewTender&amp;service=direct&amp;session=T&amp;sp=SnyAGAA5Bmq87aFEGwAyK0g%3D%3D", "Public Toliet Reparing Work In Nagar Palika Area")</f>
        <v/>
      </c>
      <c r="C554" t="inlineStr">
        <is>
          <t>DLB||Dy.DR- Bharatpur||EO- Mahuwa</t>
        </is>
      </c>
      <c r="D554" t="inlineStr">
        <is>
          <t>20-May-2025 12:00 PM</t>
        </is>
      </c>
      <c r="E554" t="inlineStr">
        <is>
          <t>9,15,000</t>
        </is>
      </c>
      <c r="F554" t="inlineStr">
        <is>
          <t>Public Toliet Reparing Work In Nagar Palika Area</t>
        </is>
      </c>
      <c r="G554" t="inlineStr">
        <is>
          <t>WORK</t>
        </is>
      </c>
    </row>
    <row r="555">
      <c r="A555" s="1" t="n">
        <v>553</v>
      </c>
      <c r="B555">
        <f>HYPERLINK("https://eproc.rajasthan.gov.in/nicgep/app?component=%24DirectLink&amp;page=FrontEndViewTender&amp;service=direct&amp;session=T&amp;sp=S%2FrqsvOJ1Ps61hsYPhu6yZw%3D%3D", "NALA SAFAI AND REPAIRING KARYA NANNE LOHAR SHOP SE VIA SURKUND TO BHARATPUR ROAD MAHWA")</f>
        <v/>
      </c>
      <c r="C555" t="inlineStr">
        <is>
          <t>DLB||Dy.DR- Bharatpur||EO- Mahuwa</t>
        </is>
      </c>
      <c r="D555" t="inlineStr">
        <is>
          <t>20-May-2025 12:00 PM</t>
        </is>
      </c>
      <c r="E555" t="inlineStr">
        <is>
          <t>21,03,000</t>
        </is>
      </c>
      <c r="F555" t="inlineStr">
        <is>
          <t>NALA SAFAI AND REPAIRING KARYA NANNE LOHAR SHOP SE VIA SURKUND TO BHARATPUR ROAD MAHWA</t>
        </is>
      </c>
      <c r="G555" t="inlineStr">
        <is>
          <t>WORK</t>
        </is>
      </c>
    </row>
    <row r="556">
      <c r="A556" s="1" t="n">
        <v>554</v>
      </c>
      <c r="B556">
        <f>HYPERLINK("https://eproc.rajasthan.gov.in/nicgep/app?component=%24DirectLink&amp;page=FrontEndViewTender&amp;service=direct&amp;session=T&amp;sp=SkZnZAQDX5QqIylXH%2BRdd1Q%3D%3D", "Drain Reparing and Construction Work from Choukidaar Meena Katla wali Gali To Hindaun Tiraha")</f>
        <v/>
      </c>
      <c r="C556" t="inlineStr">
        <is>
          <t>DLB||Dy.DR- Bharatpur||EO- Mahuwa</t>
        </is>
      </c>
      <c r="D556" t="inlineStr">
        <is>
          <t>20-May-2025 12:00 PM</t>
        </is>
      </c>
      <c r="E556" t="inlineStr">
        <is>
          <t>8,04,000</t>
        </is>
      </c>
      <c r="F556" t="inlineStr">
        <is>
          <t>Drain Reparing and Construction Work from Choukidaar Meena Katla wali Gali To Hindaun Tiraha</t>
        </is>
      </c>
      <c r="G556" t="inlineStr">
        <is>
          <t>work</t>
        </is>
      </c>
    </row>
    <row r="557">
      <c r="A557" s="1" t="n">
        <v>555</v>
      </c>
      <c r="B557">
        <f>HYPERLINK("https://eproc.rajasthan.gov.in/nicgep/app?component=%24DirectLink&amp;page=FrontEndViewTender&amp;service=direct&amp;session=T&amp;sp=SrJk85I8liaJyYUt2JhDpEg%3D%3D", "Nala Safai Work Pali Gate Holi Angels School Mahwa")</f>
        <v/>
      </c>
      <c r="C557" t="inlineStr">
        <is>
          <t>DLB||Dy.DR- Bharatpur||EO- Mahuwa</t>
        </is>
      </c>
      <c r="D557" t="inlineStr">
        <is>
          <t>20-May-2025 12:00 PM</t>
        </is>
      </c>
      <c r="E557" t="inlineStr">
        <is>
          <t>24,99,000</t>
        </is>
      </c>
      <c r="F557" t="inlineStr">
        <is>
          <t>Nala Safai Work Pali Gate Holi Angels School Mahwa</t>
        </is>
      </c>
      <c r="G557" t="inlineStr">
        <is>
          <t>work</t>
        </is>
      </c>
    </row>
    <row r="558">
      <c r="A558" s="1" t="n">
        <v>556</v>
      </c>
      <c r="B558">
        <f>HYPERLINK("https://eproc.rajasthan.gov.in/nicgep/app?component=%24DirectLink&amp;page=FrontEndViewTender&amp;service=direct&amp;session=T&amp;sp=SFvMk7ZuCIwMay5w9cfsHew%3D%3D", "Construction Of Community Hall on Saini Dharmshala Mahwa")</f>
        <v/>
      </c>
      <c r="C558" t="inlineStr">
        <is>
          <t>DLB||Dy.DR- Bharatpur||EO- Mahuwa</t>
        </is>
      </c>
      <c r="D558" t="inlineStr">
        <is>
          <t>20-May-2025 12:00 PM</t>
        </is>
      </c>
      <c r="E558" t="inlineStr">
        <is>
          <t>25,00,000</t>
        </is>
      </c>
      <c r="F558" t="inlineStr">
        <is>
          <t>Construction Of Community Hall on Saini Dharmshala Mahwa</t>
        </is>
      </c>
      <c r="G558" t="inlineStr">
        <is>
          <t>WORK</t>
        </is>
      </c>
    </row>
    <row r="559">
      <c r="A559" s="1" t="n">
        <v>557</v>
      </c>
      <c r="B559">
        <f>HYPERLINK("https://eproc.rajasthan.gov.in/nicgep/app?component=%24DirectLink&amp;page=FrontEndViewTender&amp;service=direct&amp;session=T&amp;sp=SuUVdvgGu%2FQs1cBRxikwBKw%3D%3D", "Door to Door waste collection and transportation work in Nagar Parishad Beawa")</f>
        <v/>
      </c>
      <c r="C559" t="inlineStr">
        <is>
          <t>DLB||Dy.DR-Ajmer||Commissioner-Beawar</t>
        </is>
      </c>
      <c r="D559" t="inlineStr">
        <is>
          <t>09-Jun-2025 11:00 AM</t>
        </is>
      </c>
      <c r="E559" t="inlineStr">
        <is>
          <t>4,92,00,000</t>
        </is>
      </c>
      <c r="F559" t="inlineStr">
        <is>
          <t>Door to Door waste collection and transportation work in Nagar Parishad Beawar</t>
        </is>
      </c>
      <c r="G559" t="inlineStr">
        <is>
          <t>nbbeawar</t>
        </is>
      </c>
    </row>
    <row r="560">
      <c r="A560" s="1" t="n">
        <v>558</v>
      </c>
      <c r="B560">
        <f>HYPERLINK("https://eproc.rajasthan.gov.in/nicgep/app?component=%24DirectLink&amp;page=FrontEndViewTender&amp;service=direct&amp;session=T&amp;sp=Sg2yflWjQoGXLPnEB8Dk0NQ%3D%3D", "KOTHI JHETRA ME NALA SAFAI KARYA ZONE 2")</f>
        <v/>
      </c>
      <c r="C560" t="inlineStr">
        <is>
          <t>DLB||Dy.DR-Jaipur||Commissioner-Dholpur</t>
        </is>
      </c>
      <c r="D560" t="inlineStr">
        <is>
          <t>19-May-2025 06:00 PM</t>
        </is>
      </c>
      <c r="E560" t="inlineStr">
        <is>
          <t>23,89,000</t>
        </is>
      </c>
      <c r="F560" t="inlineStr">
        <is>
          <t>KOTHI JHETRA ME NALA SAFAI KARYA ZONE 2</t>
        </is>
      </c>
      <c r="G560" t="inlineStr">
        <is>
          <t>DHOLPUR</t>
        </is>
      </c>
    </row>
    <row r="561">
      <c r="A561" s="1" t="n">
        <v>559</v>
      </c>
      <c r="B561">
        <f>HYPERLINK("https://eproc.rajasthan.gov.in/nicgep/app?component=%24DirectLink&amp;page=FrontEndViewTender&amp;service=direct&amp;session=T&amp;sp=SRTOfUMiZ%2BlOt6%2BgXzqf7ig%3D%3D", "Construction of Two Panghats in Prabhat nagar and Banjara basti in Ward 28, MCU area. (e_03 / Nirman_01)")</f>
        <v/>
      </c>
      <c r="C561" t="inlineStr">
        <is>
          <t>DLB||Dy.DR-Udaipur||Commissioner-Udaipur</t>
        </is>
      </c>
      <c r="D561" t="inlineStr">
        <is>
          <t>19-May-2025 06:55 PM</t>
        </is>
      </c>
      <c r="E561" t="inlineStr">
        <is>
          <t>6,98,000</t>
        </is>
      </c>
      <c r="F561" t="inlineStr">
        <is>
          <t>Construction of Two Panghats in Prabhat nagar and Banjara basti in Ward 28, MCU area. (e_03 / Nirman_01)</t>
        </is>
      </c>
      <c r="G561" t="inlineStr">
        <is>
          <t>udaipur</t>
        </is>
      </c>
    </row>
    <row r="562">
      <c r="A562" s="1" t="n">
        <v>560</v>
      </c>
      <c r="B562">
        <f>HYPERLINK("https://eproc.rajasthan.gov.in/nicgep/app?component=%24DirectLink&amp;page=FrontEndViewTender&amp;service=direct&amp;session=T&amp;sp=SqBgNvLBTnjCh2BX64cmVeQ%3D%3D", "Rising Of Manhole Frame at ward 28,36,45,46,66,67 and 68 Roads (e_03 / Nirman_02)")</f>
        <v/>
      </c>
      <c r="C562" t="inlineStr">
        <is>
          <t>DLB||Dy.DR-Udaipur||Commissioner-Udaipur</t>
        </is>
      </c>
      <c r="D562" t="inlineStr">
        <is>
          <t>19-May-2025 06:55 PM</t>
        </is>
      </c>
      <c r="E562" t="inlineStr">
        <is>
          <t>15,00,000</t>
        </is>
      </c>
      <c r="F562" t="inlineStr">
        <is>
          <t>Rising Of Manhole Frame at ward 28,36,45,46,66,67 and 68 Roads (e_03 / Nirman_02)</t>
        </is>
      </c>
      <c r="G562" t="inlineStr">
        <is>
          <t>udaipur</t>
        </is>
      </c>
    </row>
    <row r="563">
      <c r="A563" s="1" t="n">
        <v>561</v>
      </c>
      <c r="B563">
        <f>HYPERLINK("https://eproc.rajasthan.gov.in/nicgep/app?component=%24DirectLink&amp;page=FrontEndViewTender&amp;service=direct&amp;session=T&amp;sp=SV5S38LMc4AZ92EGdnpgF%2Bg%3D%3D", "KOTHI JHETRA ME NALA SAFAI KARYA ZONE 1")</f>
        <v/>
      </c>
      <c r="C563" t="inlineStr">
        <is>
          <t>DLB||Dy.DR-Jaipur||Commissioner-Dholpur</t>
        </is>
      </c>
      <c r="D563" t="inlineStr">
        <is>
          <t>19-May-2025 06:00 PM</t>
        </is>
      </c>
      <c r="E563" t="inlineStr">
        <is>
          <t>16,14,000</t>
        </is>
      </c>
      <c r="F563" t="inlineStr">
        <is>
          <t>KOTHI JHETRA ME NALA SAFAI KARYA ZONE 1</t>
        </is>
      </c>
      <c r="G563" t="inlineStr">
        <is>
          <t>DHOLPUR</t>
        </is>
      </c>
    </row>
    <row r="564">
      <c r="A564" s="1" t="n">
        <v>562</v>
      </c>
      <c r="B564">
        <f>HYPERLINK("https://eproc.rajasthan.gov.in/nicgep/app?component=%24DirectLink&amp;page=FrontEndViewTender&amp;service=direct&amp;session=T&amp;sp=SjWZONsgxAL0Tn%2BHPfdJImA%3D%3D", "Intensive Tree plantation work using Miyawaki method in Manikya Lal Verma Park (e_01 / Garden_01)")</f>
        <v/>
      </c>
      <c r="C564" t="inlineStr">
        <is>
          <t>DLB||Dy.DR-Udaipur||Commissioner-Udaipur</t>
        </is>
      </c>
      <c r="D564" t="inlineStr">
        <is>
          <t>19-May-2025 06:55 PM</t>
        </is>
      </c>
      <c r="E564" t="inlineStr">
        <is>
          <t>53,25,000</t>
        </is>
      </c>
      <c r="F564" t="inlineStr">
        <is>
          <t>Intensive Tree plantation work using Miyawaki method in Manikya Lal Verma Park (e_01 / Garden_01)</t>
        </is>
      </c>
      <c r="G564" t="inlineStr">
        <is>
          <t>udaipur</t>
        </is>
      </c>
    </row>
    <row r="565">
      <c r="A565" s="1" t="n">
        <v>563</v>
      </c>
      <c r="B565">
        <f>HYPERLINK("https://eproc.rajasthan.gov.in/nicgep/app?component=%24DirectLink&amp;page=FrontEndViewTender&amp;service=direct&amp;session=T&amp;sp=SXRvAJxi%2Bs%2FdT9ILqiqyTbQ%3D%3D", "Supply of 10 Nos. 25 HP Diesel Engine Self Priming mud, Pump 2 wheel trolly mounted complete set")</f>
        <v/>
      </c>
      <c r="C565" t="inlineStr">
        <is>
          <t>DLB||Dy.DR-Jaipur||Commissioner-Bhartpur</t>
        </is>
      </c>
      <c r="D565" t="inlineStr">
        <is>
          <t>18-May-2025 06:00 PM</t>
        </is>
      </c>
      <c r="E565" t="inlineStr">
        <is>
          <t>29,00,000</t>
        </is>
      </c>
      <c r="F565" t="inlineStr">
        <is>
          <t>Supply of 10 Nos. 25 HP Diesel Engine Self Priming mud, Pump 2 wheel trolly mounted complete set</t>
        </is>
      </c>
      <c r="G565" t="inlineStr">
        <is>
          <t>Municipal Corporation, Bharatpur</t>
        </is>
      </c>
    </row>
    <row r="566">
      <c r="A566" s="1" t="n">
        <v>564</v>
      </c>
      <c r="B566">
        <f>HYPERLINK("https://eproc.rajasthan.gov.in/nicgep/app?component=%24DirectLink&amp;page=FrontEndViewTender&amp;service=direct&amp;session=T&amp;sp=SZ8hIfxKshY83EVILgyNfaQ%3D%3D", "JCB With Operator and Desil Supply kary")</f>
        <v/>
      </c>
      <c r="C566" t="inlineStr">
        <is>
          <t>DLB||Dy.DR-Kota||EO-Hindauncity</t>
        </is>
      </c>
      <c r="D566" t="inlineStr">
        <is>
          <t>19-May-2025 06:00 PM</t>
        </is>
      </c>
      <c r="E566" t="inlineStr">
        <is>
          <t>8,00,000</t>
        </is>
      </c>
      <c r="F566" t="inlineStr">
        <is>
          <t>JCB With Operator and Desil Supply kary</t>
        </is>
      </c>
      <c r="G566" t="inlineStr">
        <is>
          <t>MUNICIPAL BOARD, NAGAR</t>
        </is>
      </c>
    </row>
    <row r="567">
      <c r="A567" s="1" t="n">
        <v>565</v>
      </c>
      <c r="B567">
        <f>HYPERLINK("https://eproc.rajasthan.gov.in/nicgep/app?component=%24DirectLink&amp;page=FrontEndViewTender&amp;service=direct&amp;session=T&amp;sp=SfVe3BvP4b9mJMQpAM%2BJYUQ%3D%3D", "Ground floor construction work in boarding house")</f>
        <v/>
      </c>
      <c r="C567" t="inlineStr">
        <is>
          <t>DLB||Dy.DR-Kota||EO-Hindauncity</t>
        </is>
      </c>
      <c r="D567" t="inlineStr">
        <is>
          <t>02-Jun-2025 06:00 PM</t>
        </is>
      </c>
      <c r="E567" t="inlineStr">
        <is>
          <t>95,00,000</t>
        </is>
      </c>
      <c r="F567" t="inlineStr">
        <is>
          <t>Ground floor construction work in boarding house</t>
        </is>
      </c>
      <c r="G567" t="inlineStr">
        <is>
          <t>MUNICIPAL BOARD, NAGAR,</t>
        </is>
      </c>
    </row>
    <row r="568">
      <c r="A568" s="1" t="n">
        <v>566</v>
      </c>
      <c r="B568">
        <f>HYPERLINK("https://eproc.rajasthan.gov.in/nicgep/app?component=%24DirectLink&amp;page=FrontEndViewTender&amp;service=direct&amp;session=T&amp;sp=SqG6CGwG01Vlv4FHfBeCunQ%3D%3D", "Annual rate contract for repairing work of Tubewell, and water supply Pipe line in MCB Area.")</f>
        <v/>
      </c>
      <c r="C568" t="inlineStr">
        <is>
          <t>DLB||Dy.DR-Jaipur||EO-Bhiwadi</t>
        </is>
      </c>
      <c r="D568" t="inlineStr">
        <is>
          <t>19-May-2025 06:00 PM</t>
        </is>
      </c>
      <c r="E568" t="inlineStr">
        <is>
          <t>20,00,000</t>
        </is>
      </c>
      <c r="F568" t="inlineStr">
        <is>
          <t>Annual rate contract for repairing work of Tubewell, and water supply Pipe line in MCB Area.</t>
        </is>
      </c>
      <c r="G568" t="inlineStr">
        <is>
          <t>Bhiwadi</t>
        </is>
      </c>
    </row>
    <row r="569">
      <c r="A569" s="1" t="n">
        <v>567</v>
      </c>
      <c r="B569">
        <f>HYPERLINK("https://eproc.rajasthan.gov.in/nicgep/app?component=%24DirectLink&amp;page=FrontEndViewTender&amp;service=direct&amp;session=T&amp;sp=SFyhFPVjvpPuQRpRwiQBQmQ%3D%3D", "Annual rate contract for Construction and repairing work of Drain in ward no 1 to 15")</f>
        <v/>
      </c>
      <c r="C569" t="inlineStr">
        <is>
          <t>DLB||Dy.DR-Jaipur||EO-Bhiwadi</t>
        </is>
      </c>
      <c r="D569" t="inlineStr">
        <is>
          <t>19-May-2025 06:00 PM</t>
        </is>
      </c>
      <c r="E569" t="inlineStr">
        <is>
          <t>25,00,000</t>
        </is>
      </c>
      <c r="F569" t="inlineStr">
        <is>
          <t>Annual rate contract for Construction and repairing work of Drain in ward no 1 to 15</t>
        </is>
      </c>
      <c r="G569" t="inlineStr">
        <is>
          <t>Bhiwadi</t>
        </is>
      </c>
    </row>
    <row r="570">
      <c r="A570" s="1" t="n">
        <v>568</v>
      </c>
      <c r="B570">
        <f>HYPERLINK("https://eproc.rajasthan.gov.in/nicgep/app?component=%24DirectLink&amp;page=FrontEndViewTender&amp;service=direct&amp;session=T&amp;sp=SrF6%2BXsUPhzFb%2FMXPWEqZDA%3D%3D", "CONSTRUCTION AND RENOVATION OF MODEL ROAD (PATEL MARG) SITUATED IN MANSAROVAR ZONE")</f>
        <v/>
      </c>
      <c r="C570" t="inlineStr">
        <is>
          <t>DLB||Dy.DR-Jaipur||CEO-Jaipur</t>
        </is>
      </c>
      <c r="D570" t="inlineStr">
        <is>
          <t>29-May-2025 06:00 PM</t>
        </is>
      </c>
      <c r="E570" t="inlineStr">
        <is>
          <t>8,04,25,000</t>
        </is>
      </c>
      <c r="F570" t="inlineStr">
        <is>
          <t>CONSTRUCTION AND RENOVATION OF MODEL ROAD (PATEL MARG) SITUATED IN MANSAROVAR ZONE</t>
        </is>
      </c>
      <c r="G570" t="inlineStr">
        <is>
          <t>JAIPUR</t>
        </is>
      </c>
    </row>
    <row r="571">
      <c r="A571" s="1" t="n">
        <v>569</v>
      </c>
      <c r="B571">
        <f>HYPERLINK("https://eproc.rajasthan.gov.in/nicgep/app?component=%24DirectLink&amp;page=FrontEndViewTender&amp;service=direct&amp;session=T&amp;sp=SGfDMWfJdfV0ofsh%2BXJPOyw%3D%3D", "Annual rate contract for Construction and repairing work of Drain in ward no 46 to 60")</f>
        <v/>
      </c>
      <c r="C571" t="inlineStr">
        <is>
          <t>DLB||Dy.DR-Jaipur||EO-Bhiwadi</t>
        </is>
      </c>
      <c r="D571" t="inlineStr">
        <is>
          <t>19-May-2025 06:00 PM</t>
        </is>
      </c>
      <c r="E571" t="inlineStr">
        <is>
          <t>25,00,000</t>
        </is>
      </c>
      <c r="F571" t="inlineStr">
        <is>
          <t>Annual rate contract for Construction and repairing work of Drain in ward no 46 to 60</t>
        </is>
      </c>
      <c r="G571" t="inlineStr">
        <is>
          <t>Bhiwadi</t>
        </is>
      </c>
    </row>
    <row r="572">
      <c r="A572" s="1" t="n">
        <v>570</v>
      </c>
      <c r="B572">
        <f>HYPERLINK("https://eproc.rajasthan.gov.in/nicgep/app?component=%24DirectLink&amp;page=FrontEndViewTender&amp;service=direct&amp;session=T&amp;sp=SOY2n6lgJ99u94ChtGfUqjQ%3D%3D", "Annual rate contract for Construction and repairing work of Drain in ward no 31 to 45")</f>
        <v/>
      </c>
      <c r="C572" t="inlineStr">
        <is>
          <t>DLB||Dy.DR-Jaipur||EO-Bhiwadi</t>
        </is>
      </c>
      <c r="D572" t="inlineStr">
        <is>
          <t>19-May-2025 06:00 PM</t>
        </is>
      </c>
      <c r="E572" t="inlineStr">
        <is>
          <t>25,00,000</t>
        </is>
      </c>
      <c r="F572" t="inlineStr">
        <is>
          <t>Annual rate contract for Construction and repairing work of Drain in ward no 31 to 45</t>
        </is>
      </c>
      <c r="G572" t="inlineStr">
        <is>
          <t>Bhiwadi</t>
        </is>
      </c>
    </row>
    <row r="573">
      <c r="A573" s="1" t="n">
        <v>571</v>
      </c>
      <c r="B573">
        <f>HYPERLINK("https://eproc.rajasthan.gov.in/nicgep/app?component=%24DirectLink&amp;page=FrontEndViewTender&amp;service=direct&amp;session=T&amp;sp=S%2FmlcT9wzdic0Hd1yIMLMZw%3D%3D", "RO Water Supply as Drinking Water.")</f>
        <v/>
      </c>
      <c r="C573" t="inlineStr">
        <is>
          <t>DLB||Dy.DR-Ajmer||CEO-Ajmer</t>
        </is>
      </c>
      <c r="D573" t="inlineStr">
        <is>
          <t>19-May-2025 01:00 PM</t>
        </is>
      </c>
      <c r="E573" t="inlineStr">
        <is>
          <t>10,00,000</t>
        </is>
      </c>
      <c r="F573" t="inlineStr">
        <is>
          <t>RO Water Supply as Drinking Water.</t>
        </is>
      </c>
      <c r="G573" t="inlineStr">
        <is>
          <t>nagar nigam, ajmer</t>
        </is>
      </c>
    </row>
    <row r="574">
      <c r="A574" s="1" t="n">
        <v>572</v>
      </c>
      <c r="B574">
        <f>HYPERLINK("https://eproc.rajasthan.gov.in/nicgep/app?component=%24DirectLink&amp;page=FrontEndViewTender&amp;service=direct&amp;session=T&amp;sp=Soe6zu1xbL6QRsTUO0IqoYA%3D%3D", "Preperation of DPR for the sewerage Network in Municipal area, Newai.")</f>
        <v/>
      </c>
      <c r="C574" t="inlineStr">
        <is>
          <t>DLB||Dy.DR-Ajmer||EO-Niwai</t>
        </is>
      </c>
      <c r="D574" t="inlineStr">
        <is>
          <t>19-May-2025 06:00 PM</t>
        </is>
      </c>
      <c r="E574" t="inlineStr">
        <is>
          <t>24,90,000</t>
        </is>
      </c>
      <c r="F574" t="inlineStr">
        <is>
          <t>Preperation of DPR for the sewerage Network in Municipal area, Newai.</t>
        </is>
      </c>
      <c r="G574" t="inlineStr">
        <is>
          <t>NEWAI</t>
        </is>
      </c>
    </row>
    <row r="575">
      <c r="A575" s="1" t="n">
        <v>573</v>
      </c>
      <c r="B575">
        <f>HYPERLINK("https://eproc.rajasthan.gov.in/nicgep/app?component=%24DirectLink&amp;page=FrontEndViewTender&amp;service=direct&amp;session=T&amp;sp=SSSYF9Kf1%2F0oH1feum0Xomg%3D%3D", "Annual rate contract for Construction and repairing work of Drain in ward no 16 to 30")</f>
        <v/>
      </c>
      <c r="C575" t="inlineStr">
        <is>
          <t>DLB||Dy.DR-Jaipur||EO-Bhiwadi</t>
        </is>
      </c>
      <c r="D575" t="inlineStr">
        <is>
          <t>19-May-2025 06:00 PM</t>
        </is>
      </c>
      <c r="E575" t="inlineStr">
        <is>
          <t>25,00,000</t>
        </is>
      </c>
      <c r="F575" t="inlineStr">
        <is>
          <t>Annual rate contract for Construction and repairing work of Drain in ward no 16 to 30</t>
        </is>
      </c>
      <c r="G575" t="inlineStr">
        <is>
          <t>Bhiwadi</t>
        </is>
      </c>
    </row>
    <row r="576">
      <c r="A576" s="1" t="n">
        <v>574</v>
      </c>
      <c r="B576">
        <f>HYPERLINK("https://eproc.rajasthan.gov.in/nicgep/app?component=%24DirectLink&amp;page=FrontEndViewTender&amp;service=direct&amp;session=T&amp;sp=SKPVB9A2AapbrgbzL8TSmeA%3D%3D", "Mechanized Desalting of sewer lines in RHB Sector 1,2 and 3")</f>
        <v/>
      </c>
      <c r="C576" t="inlineStr">
        <is>
          <t>DLB||Dy.DR-Jaipur||EO-Bhiwadi</t>
        </is>
      </c>
      <c r="D576" t="inlineStr">
        <is>
          <t>19-May-2025 06:00 PM</t>
        </is>
      </c>
      <c r="E576" t="inlineStr">
        <is>
          <t>47,07,000</t>
        </is>
      </c>
      <c r="F576" t="inlineStr">
        <is>
          <t>Mechanized Desalting of sewer lines in RHB Sector 1,2 and 3</t>
        </is>
      </c>
      <c r="G576" t="inlineStr">
        <is>
          <t>Bhiwadi</t>
        </is>
      </c>
    </row>
    <row r="577">
      <c r="A577" s="1" t="n">
        <v>575</v>
      </c>
      <c r="B577">
        <f>HYPERLINK("https://eproc.rajasthan.gov.in/nicgep/app?component=%24DirectLink&amp;page=FrontEndViewTender&amp;service=direct&amp;session=T&amp;sp=SFunJKNswe3oydjOUz3iI5A%3D%3D", "Annual rate of contract for Replacement of sewer line and Manhole, treated water disposal line, providing and raising of Manhole cover in alampur, milakpur, khijuriwas, nangalia, bhiwari gaon, RHB sec. 1, 2, 3, 4, 7, UIT sector 5, GH 6 and Near Exis")</f>
        <v/>
      </c>
      <c r="C577" t="inlineStr">
        <is>
          <t>DLB||Dy.DR-Jaipur||EO-Bhiwadi</t>
        </is>
      </c>
      <c r="D577" t="inlineStr">
        <is>
          <t>19-May-2025 06:00 PM</t>
        </is>
      </c>
      <c r="E577" t="inlineStr">
        <is>
          <t>50,00,000</t>
        </is>
      </c>
      <c r="F577" t="inlineStr">
        <is>
          <t>Annual rate of contract for Replacement of sewer line and Manhole, treated water disposal line, providing and raising of Manhole cover in alampur, milakpur, khijuriwas, nangalia, bhiwari gaon, RHB sec. 1, 2, 3, 4, 7, UIT sector 5, GH 6 and Near Exis</t>
        </is>
      </c>
      <c r="G577" t="inlineStr">
        <is>
          <t>Bhiwadi</t>
        </is>
      </c>
    </row>
    <row r="578">
      <c r="A578" s="1" t="n">
        <v>576</v>
      </c>
      <c r="B578">
        <f>HYPERLINK("https://eproc.rajasthan.gov.in/nicgep/app?component=%24DirectLink&amp;page=FrontEndViewTender&amp;service=direct&amp;session=T&amp;sp=S9rbATpGR2pyKkw5Fuh18oQ%3D%3D", "light mantinance")</f>
        <v/>
      </c>
      <c r="C578" t="inlineStr">
        <is>
          <t>DLB||Dy.DR-Jaipur||EO-Mandawa</t>
        </is>
      </c>
      <c r="D578" t="inlineStr">
        <is>
          <t>19-May-2025 09:00 AM</t>
        </is>
      </c>
      <c r="E578" t="inlineStr">
        <is>
          <t>10,41,000</t>
        </is>
      </c>
      <c r="F578" t="inlineStr">
        <is>
          <t>street light mantinance</t>
        </is>
      </c>
      <c r="G578" t="inlineStr">
        <is>
          <t>Municipal board Mukundgarh</t>
        </is>
      </c>
    </row>
    <row r="579">
      <c r="A579" s="1" t="n">
        <v>577</v>
      </c>
      <c r="B579">
        <f>HYPERLINK("https://eproc.rajasthan.gov.in/nicgep/app?component=%24DirectLink&amp;page=FrontEndViewTender&amp;service=direct&amp;session=T&amp;sp=SskyREUa998iDWTFWf9d8fA%3D%3D", "Tin shade work in Saraswati school, Niwai.")</f>
        <v/>
      </c>
      <c r="C579" t="inlineStr">
        <is>
          <t>DLB||Dy.DR-Ajmer||EO-Niwai</t>
        </is>
      </c>
      <c r="D579" t="inlineStr">
        <is>
          <t>19-May-2025 06:00 PM</t>
        </is>
      </c>
      <c r="E579" t="inlineStr">
        <is>
          <t>10,00,000</t>
        </is>
      </c>
      <c r="F579" t="inlineStr">
        <is>
          <t>Tin shade work in Saraswati school, Niwai.</t>
        </is>
      </c>
      <c r="G579" t="inlineStr">
        <is>
          <t>NEWAI</t>
        </is>
      </c>
    </row>
    <row r="580">
      <c r="A580" s="1" t="n">
        <v>578</v>
      </c>
      <c r="B580">
        <f>HYPERLINK("https://eproc.rajasthan.gov.in/nicgep/app?component=%24DirectLink&amp;page=FrontEndViewTender&amp;service=direct&amp;session=T&amp;sp=SMXb%2F78Nh9rIy7h9X6cr1DQ%3D%3D", "shree karni charan seva samiti bap me chhatravas me pustkalay room ka nirman karya")</f>
        <v/>
      </c>
      <c r="C580" t="inlineStr">
        <is>
          <t>DLB||Dy.DR-Jodhpur||EO-Falodi</t>
        </is>
      </c>
      <c r="D580" t="inlineStr">
        <is>
          <t>19-May-2025 03:00 PM</t>
        </is>
      </c>
      <c r="E580" t="inlineStr">
        <is>
          <t>7,00,000</t>
        </is>
      </c>
      <c r="F580" t="inlineStr">
        <is>
          <t>shree karni charan seva samiti bap me chhatravas me pustkalay room ka nirman karya</t>
        </is>
      </c>
      <c r="G580" t="inlineStr">
        <is>
          <t>BAP</t>
        </is>
      </c>
    </row>
    <row r="581">
      <c r="A581" s="1" t="n">
        <v>579</v>
      </c>
      <c r="B581">
        <f>HYPERLINK("https://eproc.rajasthan.gov.in/nicgep/app?component=%24DirectLink&amp;page=FrontEndViewTender&amp;service=direct&amp;session=T&amp;sp=SAMqhF3zV0hrQF0NN0%2FTHcA%3D%3D", "Annual rate contract for Repairing and iron work on open well at nagar parishad bhiwadi")</f>
        <v/>
      </c>
      <c r="C581" t="inlineStr">
        <is>
          <t>DLB||Dy.DR-Jaipur||EO-Bhiwadi</t>
        </is>
      </c>
      <c r="D581" t="inlineStr">
        <is>
          <t>19-May-2025 06:00 PM</t>
        </is>
      </c>
      <c r="E581" t="inlineStr">
        <is>
          <t>25,00,000</t>
        </is>
      </c>
      <c r="F581" t="inlineStr">
        <is>
          <t>Annual rate contract for Repairing and iron work on open well at nagar parishad bhiwadi</t>
        </is>
      </c>
      <c r="G581" t="inlineStr">
        <is>
          <t>Bhiwadi</t>
        </is>
      </c>
    </row>
    <row r="582">
      <c r="A582" s="1" t="n">
        <v>580</v>
      </c>
      <c r="B582">
        <f>HYPERLINK("https://eproc.rajasthan.gov.in/nicgep/app?component=%24DirectLink&amp;page=FrontEndViewTender&amp;service=direct&amp;session=T&amp;sp=SnrOgm2y%2FIjSsBU5k73YBkw%3D%3D", "Cleaning of drains in Nagar Parishad Bhiwadi area")</f>
        <v/>
      </c>
      <c r="C582" t="inlineStr">
        <is>
          <t>DLB||Dy.DR-Jaipur||EO-Bhiwadi</t>
        </is>
      </c>
      <c r="D582" t="inlineStr">
        <is>
          <t>19-May-2025 06:00 PM</t>
        </is>
      </c>
      <c r="E582" t="inlineStr">
        <is>
          <t>25,00,000</t>
        </is>
      </c>
      <c r="F582" t="inlineStr">
        <is>
          <t>Cleaning of drains in Nagar Parishad Bhiwadi area</t>
        </is>
      </c>
      <c r="G582" t="inlineStr">
        <is>
          <t>Bhiwadi</t>
        </is>
      </c>
    </row>
    <row r="583">
      <c r="A583" s="1" t="n">
        <v>581</v>
      </c>
      <c r="B583">
        <f>HYPERLINK("https://eproc.rajasthan.gov.in/nicgep/app?component=%24DirectLink&amp;page=FrontEndViewTender&amp;service=direct&amp;session=T&amp;sp=SZNflcrgCtOEl8tyBwLxEOw%3D%3D", "W2")</f>
        <v/>
      </c>
      <c r="C583" t="inlineStr">
        <is>
          <t>DLB||Dy.DR-Bikaner||EO-Sujangarh</t>
        </is>
      </c>
      <c r="D583" t="inlineStr">
        <is>
          <t>21-May-2025 12:00 PM</t>
        </is>
      </c>
      <c r="E583" t="inlineStr">
        <is>
          <t>12,00,000</t>
        </is>
      </c>
      <c r="F583" t="inlineStr">
        <is>
          <t>Ganda Pani pipe line leakage removing work</t>
        </is>
      </c>
      <c r="G583" t="inlineStr">
        <is>
          <t>Sujangarh</t>
        </is>
      </c>
    </row>
    <row r="584">
      <c r="A584" s="1" t="n">
        <v>582</v>
      </c>
      <c r="B584">
        <f>HYPERLINK("https://eproc.rajasthan.gov.in/nicgep/app?component=%24DirectLink&amp;page=FrontEndViewTender&amp;service=direct&amp;session=T&amp;sp=SsgcTZiQd4HJ1cRlvtig1AQ%3D%3D", "W1")</f>
        <v/>
      </c>
      <c r="C584" t="inlineStr">
        <is>
          <t>DLB||Dy.DR-Bikaner||EO-Sujangarh</t>
        </is>
      </c>
      <c r="D584" t="inlineStr">
        <is>
          <t>21-May-2025 12:00 PM</t>
        </is>
      </c>
      <c r="E584" t="inlineStr">
        <is>
          <t>15,00,000</t>
        </is>
      </c>
      <c r="F584" t="inlineStr">
        <is>
          <t>Mobile diesel pump, electric pump and PTO operation and maintenance</t>
        </is>
      </c>
      <c r="G584" t="inlineStr">
        <is>
          <t>Sujangarh</t>
        </is>
      </c>
    </row>
    <row r="585">
      <c r="A585" s="1" t="n">
        <v>583</v>
      </c>
      <c r="B585">
        <f>HYPERLINK("https://eproc.rajasthan.gov.in/nicgep/app?component=%24DirectLink&amp;page=FrontEndViewTender&amp;service=direct&amp;session=T&amp;sp=S%2Bwh9jSRqnTgr1FpO0ho0dg%3D%3D", "Construction of C1D Drain from Stadium to Anah Gate (CFCD) and C2D drain from Jaswant Pradrashni T-Junction to Anah Gate (CFCD), Nagar Nigam Bharatpur.")</f>
        <v/>
      </c>
      <c r="C585" t="inlineStr">
        <is>
          <t>DLB||Dy.DR-Jaipur||Commissioner-Bhartpur</t>
        </is>
      </c>
      <c r="D585" t="inlineStr">
        <is>
          <t>26-May-2025 06:00 PM</t>
        </is>
      </c>
      <c r="E585" t="inlineStr">
        <is>
          <t>14,38,23,000</t>
        </is>
      </c>
      <c r="F585" t="inlineStr">
        <is>
          <t>Construction of C1D Drain from Stadium to Anah Gate (CFCD) and C2D drain from Jaswant Pradrashni T-Junction to Anah Gate (CFCD), Nagar Nigam Bharatpur.</t>
        </is>
      </c>
      <c r="G585" t="inlineStr">
        <is>
          <t>Municipal Corporation, Bharatpur</t>
        </is>
      </c>
    </row>
    <row r="586">
      <c r="A586" s="1" t="n">
        <v>584</v>
      </c>
      <c r="B586">
        <f>HYPERLINK("https://eproc.rajasthan.gov.in/nicgep/app?component=%24DirectLink&amp;page=FrontEndViewTender&amp;service=direct&amp;session=T&amp;sp=SqIT5530%2BGhwU1gGRfbfVug%3D%3D", "Jawar Kuti supply Work in Kanji House.")</f>
        <v/>
      </c>
      <c r="C586" t="inlineStr">
        <is>
          <t>DLB||Dy.DR-Ajmer||Commissioner-Kishangarh</t>
        </is>
      </c>
      <c r="D586" t="inlineStr">
        <is>
          <t>19-May-2025 06:00 PM</t>
        </is>
      </c>
      <c r="E586" t="inlineStr">
        <is>
          <t>20,00,000</t>
        </is>
      </c>
      <c r="F586" t="inlineStr">
        <is>
          <t>Jawar Kuti supply Work in Kanji House.</t>
        </is>
      </c>
      <c r="G586" t="inlineStr">
        <is>
          <t>kishangarh</t>
        </is>
      </c>
    </row>
    <row r="587">
      <c r="A587" s="1" t="n">
        <v>585</v>
      </c>
      <c r="B587">
        <f>HYPERLINK("https://eproc.rajasthan.gov.in/nicgep/app?component=%24DirectLink&amp;page=FrontEndViewTender&amp;service=direct&amp;session=T&amp;sp=SY7aGrW6HJxS%2FvJuzXIfl9g%3D%3D", "construction of reading room in karni charan seva samiti in municipal board bap")</f>
        <v/>
      </c>
      <c r="C587" t="inlineStr">
        <is>
          <t>DLB||Dy.DR-Jodhpur||EO-Falodi</t>
        </is>
      </c>
      <c r="D587" t="inlineStr">
        <is>
          <t>19-May-2025 03:00 PM</t>
        </is>
      </c>
      <c r="E587" t="inlineStr">
        <is>
          <t>10,00,000</t>
        </is>
      </c>
      <c r="F587" t="inlineStr">
        <is>
          <t>construction of reading room in karni charan seva samiti in municipal board bap</t>
        </is>
      </c>
      <c r="G587" t="inlineStr">
        <is>
          <t>BAP</t>
        </is>
      </c>
    </row>
    <row r="588">
      <c r="A588" s="1" t="n">
        <v>586</v>
      </c>
      <c r="B588">
        <f>HYPERLINK("https://eproc.rajasthan.gov.in/nicgep/app?component=%24DirectLink&amp;page=FrontEndViewTender&amp;service=direct&amp;session=T&amp;sp=SGrzcbZPTKd4O35%2FwQtdsuw%3D%3D", "P and F Switch wire work on electric poles at various site in Municipal area Ladunu")</f>
        <v/>
      </c>
      <c r="C588" t="inlineStr">
        <is>
          <t>DLB||Dy.DR-Ajmer||EO-Ladnu</t>
        </is>
      </c>
      <c r="D588" t="inlineStr">
        <is>
          <t>19-May-2025 01:00 PM</t>
        </is>
      </c>
      <c r="E588" t="inlineStr">
        <is>
          <t>5,00,000</t>
        </is>
      </c>
      <c r="F588" t="inlineStr">
        <is>
          <t>P and F Switch wire work on electric poles at various site in Municipal area Ladunu</t>
        </is>
      </c>
      <c r="G588" t="inlineStr">
        <is>
          <t>Ladnun</t>
        </is>
      </c>
    </row>
    <row r="589">
      <c r="A589" s="1" t="n">
        <v>587</v>
      </c>
      <c r="B589">
        <f>HYPERLINK("https://eproc.rajasthan.gov.in/nicgep/app?component=%24DirectLink&amp;page=FrontEndViewTender&amp;service=direct&amp;session=T&amp;sp=SbsNzxyNsiJYFttuGvtw3gA%3D%3D", "Construction Of Divider In Front Of SDM Office Ladnun")</f>
        <v/>
      </c>
      <c r="C589" t="inlineStr">
        <is>
          <t>DLB||Dy.DR-Ajmer||EO-Ladnu</t>
        </is>
      </c>
      <c r="D589" t="inlineStr">
        <is>
          <t>19-May-2025 01:00 PM</t>
        </is>
      </c>
      <c r="E589" t="inlineStr">
        <is>
          <t>7,26,000</t>
        </is>
      </c>
      <c r="F589" t="inlineStr">
        <is>
          <t>Construction Of Divider In Front Of SDM Office Ladnun</t>
        </is>
      </c>
      <c r="G589" t="inlineStr">
        <is>
          <t>Ladnun</t>
        </is>
      </c>
    </row>
    <row r="590">
      <c r="A590" s="1" t="n">
        <v>588</v>
      </c>
      <c r="B590">
        <f>HYPERLINK("https://eproc.rajasthan.gov.in/nicgep/app?component=%24DirectLink&amp;page=FrontEndViewTender&amp;service=direct&amp;session=T&amp;sp=S8W98i6YOnRyrtMYpe5zeSw%3D%3D", "w1")</f>
        <v/>
      </c>
      <c r="C590" t="inlineStr">
        <is>
          <t>DLB||Dy.DR-Bikaner||EO-Sujangarh</t>
        </is>
      </c>
      <c r="D590" t="inlineStr">
        <is>
          <t>19-May-2025 12:00 PM</t>
        </is>
      </c>
      <c r="E590" t="inlineStr">
        <is>
          <t>19,48,000</t>
        </is>
      </c>
      <c r="F590" t="inlineStr">
        <is>
          <t>khanpur pump house nala and chand bas nala repairing</t>
        </is>
      </c>
      <c r="G590" t="inlineStr">
        <is>
          <t>Sujangarh</t>
        </is>
      </c>
    </row>
    <row r="591">
      <c r="A591" s="1" t="n">
        <v>589</v>
      </c>
      <c r="B591">
        <f>HYPERLINK("https://eproc.rajasthan.gov.in/nicgep/app?component=%24DirectLink&amp;page=FrontEndViewTender&amp;service=direct&amp;session=T&amp;sp=Sw9EmW9ViwRJc1JM%2B%2BoCaYA%3D%3D", "w2")</f>
        <v/>
      </c>
      <c r="C591" t="inlineStr">
        <is>
          <t>DLB||Dy.DR-Bikaner||EO-Sujangarh</t>
        </is>
      </c>
      <c r="D591" t="inlineStr">
        <is>
          <t>19-May-2025 12:00 PM</t>
        </is>
      </c>
      <c r="E591" t="inlineStr">
        <is>
          <t>10,76,000</t>
        </is>
      </c>
      <c r="F591" t="inlineStr">
        <is>
          <t>cc road and nala reapiring work near genani</t>
        </is>
      </c>
      <c r="G591" t="inlineStr">
        <is>
          <t>sujangarh</t>
        </is>
      </c>
    </row>
    <row r="592">
      <c r="A592" s="1" t="n">
        <v>590</v>
      </c>
      <c r="B592">
        <f>HYPERLINK("https://eproc.rajasthan.gov.in/nicgep/app?component=%24DirectLink&amp;page=FrontEndViewTender&amp;service=direct&amp;session=T&amp;sp=SJMbKTtnZO%2BJEAPtFahZnwA%3D%3D", "Supply and Installation work of Flex, Banner and Hoarding in Jodhpur Municipal Corporation North for 2 years")</f>
        <v/>
      </c>
      <c r="C592" t="inlineStr">
        <is>
          <t>DLB||Dy.DR-Jodhpur||CEO-Jodhpur</t>
        </is>
      </c>
      <c r="D592" t="inlineStr">
        <is>
          <t>19-May-2025 02:00 PM</t>
        </is>
      </c>
      <c r="E592" t="inlineStr">
        <is>
          <t>25,00,000</t>
        </is>
      </c>
      <c r="F592" t="inlineStr">
        <is>
          <t>Supply and Installation work of Flex, Banner and Hoarding in Jodhpur Municipal Corporation North for 2 years</t>
        </is>
      </c>
      <c r="G592" t="inlineStr">
        <is>
          <t>jodhpur</t>
        </is>
      </c>
    </row>
    <row r="593">
      <c r="A593" s="1" t="n">
        <v>591</v>
      </c>
      <c r="B593">
        <f>HYPERLINK("https://eproc.rajasthan.gov.in/nicgep/app?component=%24DirectLink&amp;page=FrontEndViewTender&amp;service=direct&amp;session=T&amp;sp=SAyT%2F2Vt2jncaO%2F%2FzKQq4Dw%3D%3D", "ward number 5 Mein Padam Singh ji bhomiya ji Ke than ke paas sarvajanik peyajal graha bhavan ke aage interlocking sadak Nirman Karya")</f>
        <v/>
      </c>
      <c r="C593" t="inlineStr">
        <is>
          <t>DLB||Dy.DR-Jodhpur||EO-Falodi</t>
        </is>
      </c>
      <c r="D593" t="inlineStr">
        <is>
          <t>19-May-2025 03:00 PM</t>
        </is>
      </c>
      <c r="E593" t="inlineStr">
        <is>
          <t>4,92,000</t>
        </is>
      </c>
      <c r="F593" t="inlineStr">
        <is>
          <t>ward number 5 Mein Padam Singh ji bhomiya ji Ke than ke paas sarvajanik peyajal graha bhavan ke aage interlocking sadak Nirman Karya</t>
        </is>
      </c>
      <c r="G593" t="inlineStr">
        <is>
          <t>BAP</t>
        </is>
      </c>
    </row>
    <row r="594">
      <c r="A594" s="1" t="n">
        <v>592</v>
      </c>
      <c r="B594">
        <f>HYPERLINK("https://eproc.rajasthan.gov.in/nicgep/app?component=%24DirectLink&amp;page=FrontEndViewTender&amp;service=direct&amp;session=T&amp;sp=S9j4IOGruiMSObrLxEAVngw%3D%3D", "04/2025-26/NPV")</f>
        <v/>
      </c>
      <c r="C594" t="inlineStr">
        <is>
          <t>DLB||Dy.DR-Jaipur||EO-Kotputli</t>
        </is>
      </c>
      <c r="D594" t="inlineStr">
        <is>
          <t>26-May-2025 10:00 AM</t>
        </is>
      </c>
      <c r="E594" t="inlineStr">
        <is>
          <t>NA</t>
        </is>
      </c>
      <c r="F594" t="inlineStr">
        <is>
          <t>IOT BASED DOOR TO DOOR COLLECTION IN VIRATNAGAR</t>
        </is>
      </c>
      <c r="G594" t="inlineStr">
        <is>
          <t>VIRATNAGAR</t>
        </is>
      </c>
    </row>
    <row r="595">
      <c r="A595" s="1" t="n">
        <v>593</v>
      </c>
      <c r="B595">
        <f>HYPERLINK("https://eproc.rajasthan.gov.in/nicgep/app?component=%24DirectLink&amp;page=FrontEndViewTender&amp;service=direct&amp;session=T&amp;sp=SKMndTpR9oy2KWQUmgBrSFg%3D%3D", "jagdish kumawat or biharilal joshi ke ghar ke samne interloking sadak nirman karya")</f>
        <v/>
      </c>
      <c r="C595" t="inlineStr">
        <is>
          <t>DLB||Dy.DR-Jodhpur||EO-Falodi</t>
        </is>
      </c>
      <c r="D595" t="inlineStr">
        <is>
          <t>19-May-2025 03:00 PM</t>
        </is>
      </c>
      <c r="E595" t="inlineStr">
        <is>
          <t>19,66,000</t>
        </is>
      </c>
      <c r="F595" t="inlineStr">
        <is>
          <t>jagdish kumawat or biharilal joshi ke ghar ke samne interloking sadak nirman karya</t>
        </is>
      </c>
      <c r="G595" t="inlineStr">
        <is>
          <t>BAP</t>
        </is>
      </c>
    </row>
    <row r="596">
      <c r="A596" s="1" t="n">
        <v>594</v>
      </c>
      <c r="B596">
        <f>HYPERLINK("https://eproc.rajasthan.gov.in/nicgep/app?component=%24DirectLink&amp;page=FrontEndViewTender&amp;service=direct&amp;session=T&amp;sp=Sm4zs4Et5ppVGnUlDgpg8ew%3D%3D", "manoj khatik ke ghar se gopal suthar ke ghar tak va gita walmiki ke ghar ke samne intarloking sadak nirman karya ward no 07")</f>
        <v/>
      </c>
      <c r="C596" t="inlineStr">
        <is>
          <t>DLB||Dy.DR-Jodhpur||EO-Falodi</t>
        </is>
      </c>
      <c r="D596" t="inlineStr">
        <is>
          <t>19-May-2025 03:00 PM</t>
        </is>
      </c>
      <c r="E596" t="inlineStr">
        <is>
          <t>8,34,000</t>
        </is>
      </c>
      <c r="F596" t="inlineStr">
        <is>
          <t>manoj khatik ke ghar se gopal suthar ke ghar tak va gita walmiki ke ghar ke samne intarloking sadak nirman karya ward no 07</t>
        </is>
      </c>
      <c r="G596" t="inlineStr">
        <is>
          <t>BAP</t>
        </is>
      </c>
    </row>
    <row r="597">
      <c r="A597" s="1" t="n">
        <v>595</v>
      </c>
      <c r="B597">
        <f>HYPERLINK("https://eproc.rajasthan.gov.in/nicgep/app?component=%24DirectLink&amp;page=FrontEndViewTender&amp;service=direct&amp;session=T&amp;sp=Sbo1Acgw%2F5CPARmTujcL%2BGA%3D%3D", "ward no 07 shahid bhanwar singh murti smarak sthal ke pas se intarloking sadak nirman karya")</f>
        <v/>
      </c>
      <c r="C597" t="inlineStr">
        <is>
          <t>DLB||Dy.DR-Jodhpur||EO-Falodi</t>
        </is>
      </c>
      <c r="D597" t="inlineStr">
        <is>
          <t>19-May-2025 03:00 PM</t>
        </is>
      </c>
      <c r="E597" t="inlineStr">
        <is>
          <t>10,09,000</t>
        </is>
      </c>
      <c r="F597" t="inlineStr">
        <is>
          <t>ward no 07 shahid bhanwar singh murti smarak sthal ke pas se intarloking sadak nirman karya</t>
        </is>
      </c>
      <c r="G597" t="inlineStr">
        <is>
          <t>BAP</t>
        </is>
      </c>
    </row>
    <row r="598">
      <c r="A598" s="1" t="n">
        <v>596</v>
      </c>
      <c r="B598">
        <f>HYPERLINK("https://eproc.rajasthan.gov.in/nicgep/app?component=%24DirectLink&amp;page=FrontEndViewTender&amp;service=direct&amp;session=T&amp;sp=SDwO5xoJ9%2BvKYilRkMjLF%2Fw%3D%3D", "ward number 16 Mein paliwal samaj bhawan se gopilal mraj ke mkan tak intrloking sadak nirman karya")</f>
        <v/>
      </c>
      <c r="C598" t="inlineStr">
        <is>
          <t>DLB||Dy.DR-Jodhpur||EO-Falodi</t>
        </is>
      </c>
      <c r="D598" t="inlineStr">
        <is>
          <t>19-May-2025 03:00 PM</t>
        </is>
      </c>
      <c r="E598" t="inlineStr">
        <is>
          <t>17,07,000</t>
        </is>
      </c>
      <c r="F598" t="inlineStr">
        <is>
          <t>ward number 16 Mein paliwal samaj bhawan se gopilal mraj ke mkan tak intrloking sadak nirman karya</t>
        </is>
      </c>
      <c r="G598" t="inlineStr">
        <is>
          <t>BAP</t>
        </is>
      </c>
    </row>
    <row r="599">
      <c r="A599" s="1" t="n">
        <v>597</v>
      </c>
      <c r="B599">
        <f>HYPERLINK("https://eproc.rajasthan.gov.in/nicgep/app?component=%24DirectLink&amp;page=FrontEndViewTender&amp;service=direct&amp;session=T&amp;sp=SyiBtEVOOfRgDrwO1NPx3zQ%3D%3D", "ward number 9 nh11 service road se Devi Mandir mliyo ka bas tak interlocking Sadak Nirman Karya")</f>
        <v/>
      </c>
      <c r="C599" t="inlineStr">
        <is>
          <t>DLB||Dy.DR-Jodhpur||EO-Falodi</t>
        </is>
      </c>
      <c r="D599" t="inlineStr">
        <is>
          <t>19-May-2025 03:00 PM</t>
        </is>
      </c>
      <c r="E599" t="inlineStr">
        <is>
          <t>13,05,000</t>
        </is>
      </c>
      <c r="F599" t="inlineStr">
        <is>
          <t>ward number 9 nh11 service road se Devi Mandir mliyo ka bas tak interlocking Sadak Nirman Karya</t>
        </is>
      </c>
      <c r="G599" t="inlineStr">
        <is>
          <t>BAP</t>
        </is>
      </c>
    </row>
    <row r="600">
      <c r="A600" s="1" t="n">
        <v>598</v>
      </c>
      <c r="B600">
        <f>HYPERLINK("https://eproc.rajasthan.gov.in/nicgep/app?component=%24DirectLink&amp;page=FrontEndViewTender&amp;service=direct&amp;session=T&amp;sp=S43NJANYwBCvFHEdD3DynOA%3D%3D", "ward no 16 me new bus stand to nokha sadak tak damar sadak nirman karya")</f>
        <v/>
      </c>
      <c r="C600" t="inlineStr">
        <is>
          <t>DLB||Dy.DR-Jodhpur||EO-Falodi</t>
        </is>
      </c>
      <c r="D600" t="inlineStr">
        <is>
          <t>19-May-2025 03:00 PM</t>
        </is>
      </c>
      <c r="E600" t="inlineStr">
        <is>
          <t>24,36,000</t>
        </is>
      </c>
      <c r="F600" t="inlineStr">
        <is>
          <t>ward no 16 me new bus stand to nokha sadak tak damar sadak nirman karya</t>
        </is>
      </c>
      <c r="G600" t="inlineStr">
        <is>
          <t>BAP</t>
        </is>
      </c>
    </row>
    <row r="601">
      <c r="A601" s="1" t="n">
        <v>599</v>
      </c>
      <c r="B601">
        <f>HYPERLINK("https://eproc.rajasthan.gov.in/nicgep/app?component=%24DirectLink&amp;page=FrontEndViewTender&amp;service=direct&amp;session=T&amp;sp=SH9%2BIw4GtP2%2BJM4E%2BlXnJyA%3D%3D", "ward no 14 20 me revant nai ke makan se sikandar chhipa mangilal darji ke makan se hote hue naye bus stand tak cc or damar sadak ka nirman karya")</f>
        <v/>
      </c>
      <c r="C601" t="inlineStr">
        <is>
          <t>DLB||Dy.DR-Jodhpur||EO-Falodi</t>
        </is>
      </c>
      <c r="D601" t="inlineStr">
        <is>
          <t>19-May-2025 03:00 PM</t>
        </is>
      </c>
      <c r="E601" t="inlineStr">
        <is>
          <t>36,79,000</t>
        </is>
      </c>
      <c r="F601" t="inlineStr">
        <is>
          <t>ward no 14 20 me revant nai ke makan se sikandar chhipa mangilal darji ke makan se hote hue naye bus stand tak cc or damar sadak ka nirman karya</t>
        </is>
      </c>
      <c r="G601" t="inlineStr">
        <is>
          <t>BAP</t>
        </is>
      </c>
    </row>
    <row r="602">
      <c r="A602" s="1" t="n">
        <v>600</v>
      </c>
      <c r="B602">
        <f>HYPERLINK("https://eproc.rajasthan.gov.in/nicgep/app?component=%24DirectLink&amp;page=FrontEndViewTender&amp;service=direct&amp;session=T&amp;sp=Sl0WQ1Kn%2FA0yvQ7Ib0me74g%3D%3D", "ward no 20 me paliwal samaj bhawan sadak se liladhar ji paliwal advocate ke makan se hote hue nokh sadak tak damar sadak nirman karya")</f>
        <v/>
      </c>
      <c r="C602" t="inlineStr">
        <is>
          <t>DLB||Dy.DR-Jodhpur||EO-Falodi</t>
        </is>
      </c>
      <c r="D602" t="inlineStr">
        <is>
          <t>19-May-2025 03:00 PM</t>
        </is>
      </c>
      <c r="E602" t="inlineStr">
        <is>
          <t>22,66,000</t>
        </is>
      </c>
      <c r="F602" t="inlineStr">
        <is>
          <t>ward no 20 me paliwal samaj bhawan sadak se liladhar ji paliwal advocate ke makan se hote hue nokh sadak tak damar sadak nirman karya</t>
        </is>
      </c>
      <c r="G602" t="inlineStr">
        <is>
          <t>BAP</t>
        </is>
      </c>
    </row>
    <row r="603">
      <c r="A603" s="1" t="n">
        <v>601</v>
      </c>
      <c r="B603">
        <f>HYPERLINK("https://eproc.rajasthan.gov.in/nicgep/app?component=%24DirectLink&amp;page=FrontEndViewTender&amp;service=direct&amp;session=T&amp;sp=S%2FMk%2BsxviXFKxAymhVH29CA%3D%3D", "ward number 7 me aspataal road se Gaushala road tak intrloking Sadak Nirman Karya")</f>
        <v/>
      </c>
      <c r="C603" t="inlineStr">
        <is>
          <t>DLB||Dy.DR-Jodhpur||EO-Falodi</t>
        </is>
      </c>
      <c r="D603" t="inlineStr">
        <is>
          <t>19-May-2025 03:00 PM</t>
        </is>
      </c>
      <c r="E603" t="inlineStr">
        <is>
          <t>19,46,000</t>
        </is>
      </c>
      <c r="F603" t="inlineStr">
        <is>
          <t>ward number 7 me aspataal road se Gaushala road tak intrloking Sadak Nirman Karya</t>
        </is>
      </c>
      <c r="G603" t="inlineStr">
        <is>
          <t>BAP</t>
        </is>
      </c>
    </row>
    <row r="604">
      <c r="A604" s="1" t="n">
        <v>602</v>
      </c>
      <c r="B604">
        <f>HYPERLINK("https://eproc.rajasthan.gov.in/nicgep/app?component=%24DirectLink&amp;page=FrontEndViewTender&amp;service=direct&amp;session=T&amp;sp=Sug%2BU7kA0wlrxDtdpOaNEwg%3D%3D", "ward number 19 Mein rin road se Hanuman ji ke mandir Tak interlocking sadak Nirman Karya")</f>
        <v/>
      </c>
      <c r="C604" t="inlineStr">
        <is>
          <t>DLB||Dy.DR-Jodhpur||EO-Falodi</t>
        </is>
      </c>
      <c r="D604" t="inlineStr">
        <is>
          <t>19-May-2025 03:00 PM</t>
        </is>
      </c>
      <c r="E604" t="inlineStr">
        <is>
          <t>10,91,000</t>
        </is>
      </c>
      <c r="F604" t="inlineStr">
        <is>
          <t>ward number 19 Mein rin road se Hanuman ji ke mandir Tak interlocking sadak Nirman Karya</t>
        </is>
      </c>
      <c r="G604" t="inlineStr">
        <is>
          <t>BAP</t>
        </is>
      </c>
    </row>
    <row r="605">
      <c r="A605" s="1" t="n">
        <v>603</v>
      </c>
      <c r="B605">
        <f>HYPERLINK("https://eproc.rajasthan.gov.in/nicgep/app?component=%24DirectLink&amp;page=FrontEndViewTender&amp;service=direct&amp;session=T&amp;sp=SDQNOiPlHRjx38lw6B4cujw%3D%3D", "ward no 20 Mein NH 11 service road se Guru Colony Abadi Tak interlocking Sadak Nirman Karya")</f>
        <v/>
      </c>
      <c r="C605" t="inlineStr">
        <is>
          <t>DLB||Dy.DR-Jodhpur||EO-Falodi</t>
        </is>
      </c>
      <c r="D605" t="inlineStr">
        <is>
          <t>19-May-2025 03:00 PM</t>
        </is>
      </c>
      <c r="E605" t="inlineStr">
        <is>
          <t>18,60,000</t>
        </is>
      </c>
      <c r="F605" t="inlineStr">
        <is>
          <t>ward no 20 Mein NH 11 service road se Guru Colony Abadi Tak interlocking Sadak Nirman Karya</t>
        </is>
      </c>
      <c r="G605" t="inlineStr">
        <is>
          <t>BAP</t>
        </is>
      </c>
    </row>
    <row r="606">
      <c r="A606" s="1" t="n">
        <v>604</v>
      </c>
      <c r="B606">
        <f>HYPERLINK("https://eproc.rajasthan.gov.in/nicgep/app?component=%24DirectLink&amp;page=FrontEndViewTender&amp;service=direct&amp;session=T&amp;sp=SbprENuUBqjCc65mklz%2BZxQ%3D%3D", "ward no 01 me nh 11 service road Devi Mata Mandir meghvalon ka bas Hote Hue Link Road Tak interlocking Sadak nirman karya")</f>
        <v/>
      </c>
      <c r="C606" t="inlineStr">
        <is>
          <t>DLB||Dy.DR-Jodhpur||EO-Falodi</t>
        </is>
      </c>
      <c r="D606" t="inlineStr">
        <is>
          <t>19-May-2025 03:00 PM</t>
        </is>
      </c>
      <c r="E606" t="inlineStr">
        <is>
          <t>5,16,000</t>
        </is>
      </c>
      <c r="F606" t="inlineStr">
        <is>
          <t>ward no 01 me nh 11 service road Devi Mata Mandir meghvalon ka bas Hote Hue Link Road Tak interlocking Sadak nirman karya</t>
        </is>
      </c>
      <c r="G606" t="inlineStr">
        <is>
          <t>BAP</t>
        </is>
      </c>
    </row>
    <row r="607">
      <c r="A607" s="1" t="n">
        <v>605</v>
      </c>
      <c r="B607">
        <f>HYPERLINK("https://eproc.rajasthan.gov.in/nicgep/app?component=%24DirectLink&amp;page=FrontEndViewTender&amp;service=direct&amp;session=T&amp;sp=SycAcR9xdF5iFu4PYOFy7Ug%3D%3D", "ward number 09 mein khetulal mali ke makan se gorishankar mali ke nkam tak interlocking sadak nirman karya")</f>
        <v/>
      </c>
      <c r="C607" t="inlineStr">
        <is>
          <t>DLB||Dy.DR-Jodhpur||EO-Falodi</t>
        </is>
      </c>
      <c r="D607" t="inlineStr">
        <is>
          <t>19-May-2025 03:00 PM</t>
        </is>
      </c>
      <c r="E607" t="inlineStr">
        <is>
          <t>2,25,000</t>
        </is>
      </c>
      <c r="F607" t="inlineStr">
        <is>
          <t>ward number 09 mein khetulal mali ke makan se gorishankar mali ke nkam tak interlocking sadak nirman karya</t>
        </is>
      </c>
      <c r="G607" t="inlineStr">
        <is>
          <t>BAP</t>
        </is>
      </c>
    </row>
    <row r="608">
      <c r="A608" s="1" t="n">
        <v>606</v>
      </c>
      <c r="B608">
        <f>HYPERLINK("https://eproc.rajasthan.gov.in/nicgep/app?component=%24DirectLink&amp;page=FrontEndViewTender&amp;service=direct&amp;session=T&amp;sp=Sd5ZFvZ8sYLrL2q%2B5OiG4zg%3D%3D", "ward number 19 Mein Narayan Kumawat ke Makan se gaje Lal Kumawat ke makan tak intrloking sadak nirman karya")</f>
        <v/>
      </c>
      <c r="C608" t="inlineStr">
        <is>
          <t>DLB||Dy.DR-Jodhpur||EO-Falodi</t>
        </is>
      </c>
      <c r="D608" t="inlineStr">
        <is>
          <t>19-May-2025 03:00 PM</t>
        </is>
      </c>
      <c r="E608" t="inlineStr">
        <is>
          <t>4,35,000</t>
        </is>
      </c>
      <c r="F608" t="inlineStr">
        <is>
          <t>ward number 19 Mein Narayan Kumawat ke Makan se gaje Lal Kumawat ke makan tak intrloking sadak nirman karya</t>
        </is>
      </c>
      <c r="G608" t="inlineStr">
        <is>
          <t>BAP</t>
        </is>
      </c>
    </row>
    <row r="609">
      <c r="A609" s="1" t="n">
        <v>607</v>
      </c>
      <c r="B609">
        <f>HYPERLINK("https://eproc.rajasthan.gov.in/nicgep/app?component=%24DirectLink&amp;page=FrontEndViewTender&amp;service=direct&amp;session=T&amp;sp=SEhjijVH6U9BiLLocVZjbGg%3D%3D", "ward number 19 Mein bhanwarlal Bhatar ke plot se Kumawat Samaj ke Bhavan Tak interlocking Sadak Nirman Karya")</f>
        <v/>
      </c>
      <c r="C609" t="inlineStr">
        <is>
          <t>DLB||Dy.DR-Jodhpur||EO-Falodi</t>
        </is>
      </c>
      <c r="D609" t="inlineStr">
        <is>
          <t>19-May-2025 03:00 PM</t>
        </is>
      </c>
      <c r="E609" t="inlineStr">
        <is>
          <t>8,75,000</t>
        </is>
      </c>
      <c r="F609" t="inlineStr">
        <is>
          <t>ward number 19 Mein bhanwarlal Bhatar ke plot se Kumawat Samaj ke Bhavan Tak interlocking Sadak Nirman Karya</t>
        </is>
      </c>
      <c r="G609" t="inlineStr">
        <is>
          <t>BAP</t>
        </is>
      </c>
    </row>
    <row r="610">
      <c r="A610" s="1" t="n">
        <v>608</v>
      </c>
      <c r="B610">
        <f>HYPERLINK("https://eproc.rajasthan.gov.in/nicgep/app?component=%24DirectLink&amp;page=FrontEndViewTender&amp;service=direct&amp;session=T&amp;sp=SEinA7zHesYDjeSpW%2FfbHlQ%3D%3D", "ward number 19 Mein Dharmendra ji Darji ke Makan se Joshi ji ke plot Tak interlocking Sadak Nirman Karya")</f>
        <v/>
      </c>
      <c r="C610" t="inlineStr">
        <is>
          <t>DLB||Dy.DR-Jodhpur||EO-Falodi</t>
        </is>
      </c>
      <c r="D610" t="inlineStr">
        <is>
          <t>19-May-2025 03:00 PM</t>
        </is>
      </c>
      <c r="E610" t="inlineStr">
        <is>
          <t>4,93,000</t>
        </is>
      </c>
      <c r="F610" t="inlineStr">
        <is>
          <t>ward number 19 Mein Dharmendra ji Darji ke Makan se Joshi ji ke plot Tak interlocking Sadak Nirman Karya</t>
        </is>
      </c>
      <c r="G610" t="inlineStr">
        <is>
          <t>BAP</t>
        </is>
      </c>
    </row>
    <row r="611">
      <c r="A611" s="1" t="n">
        <v>609</v>
      </c>
      <c r="B611">
        <f>HYPERLINK("https://eproc.rajasthan.gov.in/nicgep/app?component=%24DirectLink&amp;page=FrontEndViewTender&amp;service=direct&amp;session=T&amp;sp=SsIe0BT5Sm3qfwHgszi9%2BbA%3D%3D", "ward number 18 Mein Bhati Bhaa ke Makan se Kishor Purohit ke Makan tak intrloking sadak nirman karya")</f>
        <v/>
      </c>
      <c r="C611" t="inlineStr">
        <is>
          <t>DLB||Dy.DR-Jodhpur||EO-Falodi</t>
        </is>
      </c>
      <c r="D611" t="inlineStr">
        <is>
          <t>19-May-2025 03:00 PM</t>
        </is>
      </c>
      <c r="E611" t="inlineStr">
        <is>
          <t>6,74,000</t>
        </is>
      </c>
      <c r="F611" t="inlineStr">
        <is>
          <t>ward number 18 Mein Bhati Bhaa ke Makan se Kishor Purohit ke Makan tak intrloking sadak nirman karya</t>
        </is>
      </c>
      <c r="G611" t="inlineStr">
        <is>
          <t>BAP</t>
        </is>
      </c>
    </row>
    <row r="612">
      <c r="A612" s="1" t="n">
        <v>610</v>
      </c>
      <c r="B612">
        <f>HYPERLINK("https://eproc.rajasthan.gov.in/nicgep/app?component=%24DirectLink&amp;page=FrontEndViewTender&amp;service=direct&amp;session=T&amp;sp=SIKrmT2Y2jI%2FUqnNtmhhv%2BA%3D%3D", "ward number 7 mein Baap Rin Road se Gaushala Tak interlocking Sadak va Puliya Nirman Karya")</f>
        <v/>
      </c>
      <c r="C612" t="inlineStr">
        <is>
          <t>DLB||Dy.DR-Jodhpur||EO-Falodi</t>
        </is>
      </c>
      <c r="D612" t="inlineStr">
        <is>
          <t>19-May-2025 03:00 PM</t>
        </is>
      </c>
      <c r="E612" t="inlineStr">
        <is>
          <t>33,29,000</t>
        </is>
      </c>
      <c r="F612" t="inlineStr">
        <is>
          <t>ward number 7 mein Baap Rin Road se Gaushala Tak interlocking Sadak va Puliya Nirman Karya</t>
        </is>
      </c>
      <c r="G612" t="inlineStr">
        <is>
          <t>BAP</t>
        </is>
      </c>
    </row>
    <row r="613">
      <c r="A613" s="1" t="n">
        <v>611</v>
      </c>
      <c r="B613">
        <f>HYPERLINK("https://eproc.rajasthan.gov.in/nicgep/app?component=%24DirectLink&amp;page=FrontEndViewTender&amp;service=direct&amp;session=T&amp;sp=Sa843y5dUVofGvBs%2Bbj6ixQ%3D%3D", "ward number 18 Mein Uday Lal Kumawat ke Makan se badriji ke mkan se mukhya Link Road Tak interlocking Sadak Nirman Karya")</f>
        <v/>
      </c>
      <c r="C613" t="inlineStr">
        <is>
          <t>DLB||Dy.DR-Jodhpur||EO-Falodi</t>
        </is>
      </c>
      <c r="D613" t="inlineStr">
        <is>
          <t>19-May-2025 03:00 PM</t>
        </is>
      </c>
      <c r="E613" t="inlineStr">
        <is>
          <t>6,92,000</t>
        </is>
      </c>
      <c r="F613" t="inlineStr">
        <is>
          <t>ward number 18 Mein Uday Lal Kumawat ke Makan se badriji ke mkan se mukhya Link Road Tak interlocking Sadak Nirman Karya</t>
        </is>
      </c>
      <c r="G613" t="inlineStr">
        <is>
          <t>BAP</t>
        </is>
      </c>
    </row>
    <row r="614">
      <c r="A614" s="1" t="n">
        <v>612</v>
      </c>
      <c r="B614">
        <f>HYPERLINK("https://eproc.rajasthan.gov.in/nicgep/app?component=%24DirectLink&amp;page=FrontEndViewTender&amp;service=direct&amp;session=T&amp;sp=Sik6EeZBW4LYSsy39sD3tUA%3D%3D", "ward number 6 Mein Omji battery Paliwal ke Makan se Akhilesh ji ke Makan Ke Piche se Hote Hue Link Road Tak interlocking Sadak Nirman Karya")</f>
        <v/>
      </c>
      <c r="C614" t="inlineStr">
        <is>
          <t>DLB||Dy.DR-Jodhpur||EO-Falodi</t>
        </is>
      </c>
      <c r="D614" t="inlineStr">
        <is>
          <t>19-May-2025 03:00 PM</t>
        </is>
      </c>
      <c r="E614" t="inlineStr">
        <is>
          <t>9,82,000</t>
        </is>
      </c>
      <c r="F614" t="inlineStr">
        <is>
          <t>ward number 6 Mein Omji battery Paliwal ke Makan se Akhilesh ji ke Makan Ke Piche se Hote Hue Link Road Tak interlocking Sadak Nirman Karya</t>
        </is>
      </c>
      <c r="G614" t="inlineStr">
        <is>
          <t>BAP</t>
        </is>
      </c>
    </row>
    <row r="615">
      <c r="A615" s="1" t="n">
        <v>613</v>
      </c>
      <c r="B615">
        <f>HYPERLINK("https://eproc.rajasthan.gov.in/nicgep/app?component=%24DirectLink&amp;page=FrontEndViewTender&amp;service=direct&amp;session=T&amp;sp=SNRG1FoUlwC1jgHpSq2wZ4g%3D%3D", "balika vidhyalay parisar 2 ke aage interloking sadhak nirman karya ward no 19 bap")</f>
        <v/>
      </c>
      <c r="C615" t="inlineStr">
        <is>
          <t>DLB||Dy.DR-Jodhpur||EO-Falodi</t>
        </is>
      </c>
      <c r="D615" t="inlineStr">
        <is>
          <t>19-May-2025 03:00 PM</t>
        </is>
      </c>
      <c r="E615" t="inlineStr">
        <is>
          <t>3,75,000</t>
        </is>
      </c>
      <c r="F615" t="inlineStr">
        <is>
          <t>balika vidhyalay parisar 2 ke aage interloking sadhak nirman karya ward no 19 bap</t>
        </is>
      </c>
      <c r="G615" t="inlineStr">
        <is>
          <t>BAP</t>
        </is>
      </c>
    </row>
    <row r="616">
      <c r="A616" s="1" t="n">
        <v>614</v>
      </c>
      <c r="B616">
        <f>HYPERLINK("https://eproc.rajasthan.gov.in/nicgep/app?component=%24DirectLink&amp;page=FrontEndViewTender&amp;service=direct&amp;session=T&amp;sp=SZf3y%2BtiOlkOOkHwI6Iq2Pg%3D%3D", "ward no 07 aaimata mandir ke aage chok me intrloking nirman karya")</f>
        <v/>
      </c>
      <c r="C616" t="inlineStr">
        <is>
          <t>DLB||Dy.DR-Jodhpur||EO-Falodi</t>
        </is>
      </c>
      <c r="D616" t="inlineStr">
        <is>
          <t>19-May-2025 03:00 PM</t>
        </is>
      </c>
      <c r="E616" t="inlineStr">
        <is>
          <t>2,90,000</t>
        </is>
      </c>
      <c r="F616" t="inlineStr">
        <is>
          <t>ward no 07 aaimata mandir ke aage chok me intrloking nirman karya</t>
        </is>
      </c>
      <c r="G616" t="inlineStr">
        <is>
          <t>BAP</t>
        </is>
      </c>
    </row>
    <row r="617">
      <c r="A617" s="1" t="n">
        <v>615</v>
      </c>
      <c r="B617">
        <f>HYPERLINK("https://eproc.rajasthan.gov.in/nicgep/app?component=%24DirectLink&amp;page=FrontEndViewTender&amp;service=direct&amp;session=T&amp;sp=SOs0%2B6HyYWqswgaR5juJvGQ%3D%3D", "ward no 7 me bap rin sadak se siksha sadan se hote hue bhuralal chhatani amritlal chhatani choliyo ki dhani tak BT or CC road nirman karya")</f>
        <v/>
      </c>
      <c r="C617" t="inlineStr">
        <is>
          <t>DLB||Dy.DR-Jodhpur||EO-Falodi</t>
        </is>
      </c>
      <c r="D617" t="inlineStr">
        <is>
          <t>19-May-2025 03:00 PM</t>
        </is>
      </c>
      <c r="E617" t="inlineStr">
        <is>
          <t>37,20,000</t>
        </is>
      </c>
      <c r="F617" t="inlineStr">
        <is>
          <t>ward no 7 me bap rin sadak se siksha sadan se hote hue bhuralal chhatani amritlal chhatani choliyo ki dhani tak BT or CC road nirman karya</t>
        </is>
      </c>
      <c r="G617" t="inlineStr">
        <is>
          <t>BAP</t>
        </is>
      </c>
    </row>
    <row r="618">
      <c r="A618" s="1" t="n">
        <v>616</v>
      </c>
      <c r="B618">
        <f>HYPERLINK("https://eproc.rajasthan.gov.in/nicgep/app?component=%24DirectLink&amp;page=FrontEndViewTender&amp;service=direct&amp;session=T&amp;sp=SiYywVBv48Uy1eHVm96PdPw%3D%3D", "ward no 16 me NH 11 sevice road se mahendra ji sharma ke makan tak damar sadak nirman karya")</f>
        <v/>
      </c>
      <c r="C618" t="inlineStr">
        <is>
          <t>DLB||Dy.DR-Jodhpur||EO-Falodi</t>
        </is>
      </c>
      <c r="D618" t="inlineStr">
        <is>
          <t>19-May-2025 03:00 PM</t>
        </is>
      </c>
      <c r="E618" t="inlineStr">
        <is>
          <t>14,32,000</t>
        </is>
      </c>
      <c r="F618" t="inlineStr">
        <is>
          <t>ward no 16 me NH 11 sevice road se mahendra ji sharma ke makan tak damar sadak nirman karya</t>
        </is>
      </c>
      <c r="G618" t="inlineStr">
        <is>
          <t>BAP</t>
        </is>
      </c>
    </row>
    <row r="619">
      <c r="A619" s="1" t="n">
        <v>617</v>
      </c>
      <c r="B619">
        <f>HYPERLINK("https://eproc.rajasthan.gov.in/nicgep/app?component=%24DirectLink&amp;page=FrontEndViewTender&amp;service=direct&amp;session=T&amp;sp=ScA03YUmqxTf1oFXxty1jJA%3D%3D", "Design, construction, establishment and development of processing plant and required development work and maintenance of Engineered sanitary landfill site and o and m the 20 years having a minimum adequate capacity for Rajsamand and scalable.........")</f>
        <v/>
      </c>
      <c r="C619" t="inlineStr">
        <is>
          <t>DLB||Dy.DR-Udaipur||Commissioner-Rajsamand</t>
        </is>
      </c>
      <c r="D619" t="inlineStr">
        <is>
          <t>09-Jun-2025 06:00 PM</t>
        </is>
      </c>
      <c r="E619" t="inlineStr">
        <is>
          <t>6,80,00,000</t>
        </is>
      </c>
      <c r="F619" t="inlineStr">
        <is>
          <t>Design, construction, establishment and development of processing plant and required development work and maintenance of Engineered sanitary landfill site and o and m the 20 years having a minimum adequate capacity for Rajsamand and scalable ........</t>
        </is>
      </c>
      <c r="G619" t="inlineStr">
        <is>
          <t>Rajsamand</t>
        </is>
      </c>
    </row>
    <row r="620">
      <c r="A620" s="1" t="n">
        <v>618</v>
      </c>
      <c r="B620">
        <f>HYPERLINK("https://eproc.rajasthan.gov.in/nicgep/app?component=%24DirectLink&amp;page=FrontEndViewTender&amp;service=direct&amp;session=T&amp;sp=SKpbPFhID70DyP6aqwBlaAg%3D%3D", "kota nagar nigam north 75 unkushal watchman supply work")</f>
        <v/>
      </c>
      <c r="C620" t="inlineStr">
        <is>
          <t>DLB||Dy.DR-Kota||CEO-Kota</t>
        </is>
      </c>
      <c r="D620" t="inlineStr">
        <is>
          <t>23-May-2025 05:00 PM</t>
        </is>
      </c>
      <c r="E620" t="inlineStr">
        <is>
          <t>2,00,00,000</t>
        </is>
      </c>
      <c r="F620" t="inlineStr">
        <is>
          <t>kota nagar nigam north 75 unkushal watchman supply work</t>
        </is>
      </c>
      <c r="G620" t="inlineStr">
        <is>
          <t>kota</t>
        </is>
      </c>
    </row>
    <row r="621">
      <c r="A621" s="1" t="n">
        <v>619</v>
      </c>
      <c r="B621">
        <f>HYPERLINK("https://eproc.rajasthan.gov.in/nicgep/app?component=%24DirectLink&amp;page=FrontEndViewTender&amp;service=direct&amp;session=T&amp;sp=SODGuqt6W3bH86z054RMIOA%3D%3D", "Construction of samudayik bhawan in Ashapura Colony in ward no 40 at aburoad")</f>
        <v/>
      </c>
      <c r="C621" t="inlineStr">
        <is>
          <t>DLB||Dy.DR-Jodhpur||EO-Aburoad</t>
        </is>
      </c>
      <c r="D621" t="inlineStr">
        <is>
          <t>19-May-2025 06:00 PM</t>
        </is>
      </c>
      <c r="E621" t="inlineStr">
        <is>
          <t>30,38,000</t>
        </is>
      </c>
      <c r="F621" t="inlineStr">
        <is>
          <t>Construction of samudayik bhawan in Ashapura Colony in ward no 40 at aburoad</t>
        </is>
      </c>
      <c r="G621" t="inlineStr">
        <is>
          <t>ABUROAD</t>
        </is>
      </c>
    </row>
    <row r="622">
      <c r="A622" s="1" t="n">
        <v>620</v>
      </c>
      <c r="B622">
        <f>HYPERLINK("https://eproc.rajasthan.gov.in/nicgep/app?component=%24DirectLink&amp;page=FrontEndViewTender&amp;service=direct&amp;session=T&amp;sp=S8pqBR4nxXfVdwFj4NjLtcQ%3D%3D", "Construction and Repair of Nalla/Drain at Gurunanak Colony and Other Various Places in Ward No. 17")</f>
        <v/>
      </c>
      <c r="C622" t="inlineStr">
        <is>
          <t>DLB||Dy.DR-Jodhpur||EO-Aburoad</t>
        </is>
      </c>
      <c r="D622" t="inlineStr">
        <is>
          <t>19-May-2025 06:00 PM</t>
        </is>
      </c>
      <c r="E622" t="inlineStr">
        <is>
          <t>15,74,000</t>
        </is>
      </c>
      <c r="F622" t="inlineStr">
        <is>
          <t>Construction and Repair of Nalla/Drain at Gurunanak Colony and Other Various Places in Ward No. 17</t>
        </is>
      </c>
      <c r="G622" t="inlineStr">
        <is>
          <t>ABUROAD</t>
        </is>
      </c>
    </row>
    <row r="623">
      <c r="A623" s="1" t="n">
        <v>621</v>
      </c>
      <c r="B623">
        <f>HYPERLINK("https://eproc.rajasthan.gov.in/nicgep/app?component=%24DirectLink&amp;page=FrontEndViewTender&amp;service=direct&amp;session=T&amp;sp=Sc6RfgthbcefHVYVE3cQELQ%3D%3D", "Construction and Repair of Drain/nalla at Various places in ward no. 16")</f>
        <v/>
      </c>
      <c r="C623" t="inlineStr">
        <is>
          <t>DLB||Dy.DR-Jodhpur||EO-Aburoad</t>
        </is>
      </c>
      <c r="D623" t="inlineStr">
        <is>
          <t>19-May-2025 06:00 PM</t>
        </is>
      </c>
      <c r="E623" t="inlineStr">
        <is>
          <t>17,90,000</t>
        </is>
      </c>
      <c r="F623" t="inlineStr">
        <is>
          <t>Construction and Repair of Drain/nalla at Various places in ward no. 16</t>
        </is>
      </c>
      <c r="G623" t="inlineStr">
        <is>
          <t>ABUROAD</t>
        </is>
      </c>
    </row>
    <row r="624">
      <c r="A624" s="1" t="n">
        <v>622</v>
      </c>
      <c r="B624">
        <f>HYPERLINK("https://eproc.rajasthan.gov.in/nicgep/app?component=%24DirectLink&amp;page=FrontEndViewTender&amp;service=direct&amp;session=T&amp;sp=S3SKNlvEdHTNMTdEHKgmqXA%3D%3D", "Construction and Repair of Drain/nalla at Various places in ward no. 38")</f>
        <v/>
      </c>
      <c r="C624" t="inlineStr">
        <is>
          <t>DLB||Dy.DR-Jodhpur||EO-Aburoad</t>
        </is>
      </c>
      <c r="D624" t="inlineStr">
        <is>
          <t>19-May-2025 06:00 PM</t>
        </is>
      </c>
      <c r="E624" t="inlineStr">
        <is>
          <t>19,62,000</t>
        </is>
      </c>
      <c r="F624" t="inlineStr">
        <is>
          <t>Construction and Repair of Drain/nalla at Various places in ward no. 38</t>
        </is>
      </c>
      <c r="G624" t="inlineStr">
        <is>
          <t>ABUROAD</t>
        </is>
      </c>
    </row>
    <row r="625">
      <c r="A625" s="1" t="n">
        <v>623</v>
      </c>
      <c r="B625">
        <f>HYPERLINK("https://eproc.rajasthan.gov.in/nicgep/app?component=%24DirectLink&amp;page=FrontEndViewTender&amp;service=direct&amp;session=T&amp;sp=SN4b8UTmAPzlrNz8tMaR3ug%3D%3D", "Construction of CC Road at Various Places in Ward no. 38")</f>
        <v/>
      </c>
      <c r="C625" t="inlineStr">
        <is>
          <t>DLB||Dy.DR-Jodhpur||EO-Aburoad</t>
        </is>
      </c>
      <c r="D625" t="inlineStr">
        <is>
          <t>19-May-2025 06:00 PM</t>
        </is>
      </c>
      <c r="E625" t="inlineStr">
        <is>
          <t>10,40,000</t>
        </is>
      </c>
      <c r="F625" t="inlineStr">
        <is>
          <t>Construction of CC Road at Various Places in Ward no. 38</t>
        </is>
      </c>
      <c r="G625" t="inlineStr">
        <is>
          <t>ABUROAD</t>
        </is>
      </c>
    </row>
    <row r="626">
      <c r="A626" s="1" t="n">
        <v>624</v>
      </c>
      <c r="B626">
        <f>HYPERLINK("https://eproc.rajasthan.gov.in/nicgep/app?component=%24DirectLink&amp;page=FrontEndViewTender&amp;service=direct&amp;session=T&amp;sp=SG5ji8CskPxPzieXXPeG60Q%3D%3D", "Construction pf Park Boundary Wall at Arasuri colony in Ward No. 40")</f>
        <v/>
      </c>
      <c r="C626" t="inlineStr">
        <is>
          <t>DLB||Dy.DR-Jodhpur||EO-Aburoad</t>
        </is>
      </c>
      <c r="D626" t="inlineStr">
        <is>
          <t>19-May-2025 06:00 PM</t>
        </is>
      </c>
      <c r="E626" t="inlineStr">
        <is>
          <t>7,70,000</t>
        </is>
      </c>
      <c r="F626" t="inlineStr">
        <is>
          <t>Construction pf Park Boundary Wall at Arasuri colony in Ward No. 40</t>
        </is>
      </c>
      <c r="G626" t="inlineStr">
        <is>
          <t>ABUROAD</t>
        </is>
      </c>
    </row>
    <row r="627">
      <c r="A627" s="1" t="n">
        <v>625</v>
      </c>
      <c r="B627">
        <f>HYPERLINK("https://eproc.rajasthan.gov.in/nicgep/app?component=%24DirectLink&amp;page=FrontEndViewTender&amp;service=direct&amp;session=T&amp;sp=Si7bnYy7%2BM4K3tWWUe5n1bQ%3D%3D", "Construction of Nala near check post at aburoad")</f>
        <v/>
      </c>
      <c r="C627" t="inlineStr">
        <is>
          <t>DLB||Dy.DR-Jodhpur||EO-Aburoad</t>
        </is>
      </c>
      <c r="D627" t="inlineStr">
        <is>
          <t>19-May-2025 06:00 PM</t>
        </is>
      </c>
      <c r="E627" t="inlineStr">
        <is>
          <t>27,87,000</t>
        </is>
      </c>
      <c r="F627" t="inlineStr">
        <is>
          <t>Construction of Nala near check post at aburoad</t>
        </is>
      </c>
      <c r="G627" t="inlineStr">
        <is>
          <t>ABUROAD</t>
        </is>
      </c>
    </row>
    <row r="628">
      <c r="A628" s="1" t="n">
        <v>626</v>
      </c>
      <c r="B628">
        <f>HYPERLINK("https://eproc.rajasthan.gov.in/nicgep/app?component=%24DirectLink&amp;page=FrontEndViewTender&amp;service=direct&amp;session=T&amp;sp=SXIHfOy0VnebNfAyBmRYu3A%3D%3D", "Construction of nala in ward no 38 at aburoad")</f>
        <v/>
      </c>
      <c r="C628" t="inlineStr">
        <is>
          <t>DLB||Dy.DR-Jodhpur||EO-Aburoad</t>
        </is>
      </c>
      <c r="D628" t="inlineStr">
        <is>
          <t>19-May-2025 06:00 PM</t>
        </is>
      </c>
      <c r="E628" t="inlineStr">
        <is>
          <t>24,78,000</t>
        </is>
      </c>
      <c r="F628" t="inlineStr">
        <is>
          <t>Construction of nala in ward no 38 at aburoad</t>
        </is>
      </c>
      <c r="G628" t="inlineStr">
        <is>
          <t>ABUROAD</t>
        </is>
      </c>
    </row>
    <row r="629">
      <c r="A629" s="1" t="n">
        <v>627</v>
      </c>
      <c r="B629">
        <f>HYPERLINK("https://eproc.rajasthan.gov.in/nicgep/app?component=%24DirectLink&amp;page=FrontEndViewTender&amp;service=direct&amp;session=T&amp;sp=SZC7450ik%2BP7Jvm091okyAQ%3D%3D", "Construction of road in fron of shreeji colony in ward no 36 at Aburoad")</f>
        <v/>
      </c>
      <c r="C629" t="inlineStr">
        <is>
          <t>DLB||Dy.DR-Jodhpur||EO-Aburoad</t>
        </is>
      </c>
      <c r="D629" t="inlineStr">
        <is>
          <t>19-May-2025 06:00 PM</t>
        </is>
      </c>
      <c r="E629" t="inlineStr">
        <is>
          <t>7,28,000</t>
        </is>
      </c>
      <c r="F629" t="inlineStr">
        <is>
          <t>Construction of road in fron of shreeji colony in ward no 36 at Aburoad</t>
        </is>
      </c>
      <c r="G629" t="inlineStr">
        <is>
          <t>ABUROAD</t>
        </is>
      </c>
    </row>
    <row r="630">
      <c r="A630" s="1" t="n">
        <v>628</v>
      </c>
      <c r="B630">
        <f>HYPERLINK("https://eproc.rajasthan.gov.in/nicgep/app?component=%24DirectLink&amp;page=FrontEndViewTender&amp;service=direct&amp;session=T&amp;sp=STL6H8V1Ui80Bql5YXxOtyg%3D%3D", "Construction of BT Road From Near Railway station to Near Rob at Ward No. 13")</f>
        <v/>
      </c>
      <c r="C630" t="inlineStr">
        <is>
          <t>DLB||Dy.DR-Jodhpur||EO-Aburoad</t>
        </is>
      </c>
      <c r="D630" t="inlineStr">
        <is>
          <t>19-May-2025 06:00 PM</t>
        </is>
      </c>
      <c r="E630" t="inlineStr">
        <is>
          <t>19,02,000</t>
        </is>
      </c>
      <c r="F630" t="inlineStr">
        <is>
          <t>Construction of BT Road From Near Railway station to Near Rob at Ward No. 13</t>
        </is>
      </c>
      <c r="G630" t="inlineStr">
        <is>
          <t>ABUROAD</t>
        </is>
      </c>
    </row>
    <row r="631">
      <c r="A631" s="1" t="n">
        <v>629</v>
      </c>
      <c r="B631">
        <f>HYPERLINK("https://eproc.rajasthan.gov.in/nicgep/app?component=%24DirectLink&amp;page=FrontEndViewTender&amp;service=direct&amp;session=T&amp;sp=Svc4tqjSHdum1Twtug8aKAA%3D%3D", "Laying of Interlocking paver Block Work in Front of CHC and other road Side akhara Bhatta at Ward No. 1")</f>
        <v/>
      </c>
      <c r="C631" t="inlineStr">
        <is>
          <t>DLB||Dy.DR-Jodhpur||EO-Aburoad</t>
        </is>
      </c>
      <c r="D631" t="inlineStr">
        <is>
          <t>19-May-2025 06:00 PM</t>
        </is>
      </c>
      <c r="E631" t="inlineStr">
        <is>
          <t>24,39,000</t>
        </is>
      </c>
      <c r="F631" t="inlineStr">
        <is>
          <t>Laying of Interlocking paver Block Work in Front of CHC and other road Side akhara Bhatta at Ward No. 1</t>
        </is>
      </c>
      <c r="G631" t="inlineStr">
        <is>
          <t>ABUROAD</t>
        </is>
      </c>
    </row>
    <row r="632">
      <c r="A632" s="1" t="n">
        <v>630</v>
      </c>
      <c r="B632">
        <f>HYPERLINK("https://eproc.rajasthan.gov.in/nicgep/app?component=%24DirectLink&amp;page=FrontEndViewTender&amp;service=direct&amp;session=T&amp;sp=SgZAHrqCBj58HdOY3DULnnw%3D%3D", "Construction of CC road at up savathayai kendra akhara Bhatta and other various places in Ward No. 1")</f>
        <v/>
      </c>
      <c r="C632" t="inlineStr">
        <is>
          <t>DLB||Dy.DR-Jodhpur||EO-Aburoad</t>
        </is>
      </c>
      <c r="D632" t="inlineStr">
        <is>
          <t>19-May-2025 06:00 PM</t>
        </is>
      </c>
      <c r="E632" t="inlineStr">
        <is>
          <t>21,80,000</t>
        </is>
      </c>
      <c r="F632" t="inlineStr">
        <is>
          <t>Construction of CC road at up savathayai kendra akhara Bhatta and other various places in Ward No. 1</t>
        </is>
      </c>
      <c r="G632" t="inlineStr">
        <is>
          <t>ABUROAD</t>
        </is>
      </c>
    </row>
    <row r="633">
      <c r="A633" s="1" t="n">
        <v>631</v>
      </c>
      <c r="B633">
        <f>HYPERLINK("https://eproc.rajasthan.gov.in/nicgep/app?component=%24DirectLink&amp;page=FrontEndViewTender&amp;service=direct&amp;session=T&amp;sp=SynzlzcQfP8FGN1zAXSfVaQ%3D%3D", "Construction of Road side Interlocking paver block Work in Housing Board Colony Sector No. 1 akhara Bhatta at ward no. 2")</f>
        <v/>
      </c>
      <c r="C633" t="inlineStr">
        <is>
          <t>DLB||Dy.DR-Jodhpur||EO-Aburoad</t>
        </is>
      </c>
      <c r="D633" t="inlineStr">
        <is>
          <t>19-May-2025 06:00 PM</t>
        </is>
      </c>
      <c r="E633" t="inlineStr">
        <is>
          <t>24,23,000</t>
        </is>
      </c>
      <c r="F633" t="inlineStr">
        <is>
          <t>Construction of Road side Interlocking paver block Work in Housing Board Colony Sector No. 1 akhara Bhatta at ward no. 2</t>
        </is>
      </c>
      <c r="G633" t="inlineStr">
        <is>
          <t>ABUROAD</t>
        </is>
      </c>
    </row>
    <row r="634">
      <c r="A634" s="1" t="n">
        <v>632</v>
      </c>
      <c r="B634">
        <f>HYPERLINK("https://eproc.rajasthan.gov.in/nicgep/app?component=%24DirectLink&amp;page=FrontEndViewTender&amp;service=direct&amp;session=T&amp;sp=SbWgL%2BQRGeXW7P%2BIQ7nkCyg%3D%3D", "Construction of drain/nalla at housing board Colony Near Bhanwar ji JCB House and othere places in ward No. 2")</f>
        <v/>
      </c>
      <c r="C634" t="inlineStr">
        <is>
          <t>DLB||Dy.DR-Jodhpur||EO-Aburoad</t>
        </is>
      </c>
      <c r="D634" t="inlineStr">
        <is>
          <t>19-May-2025 06:00 PM</t>
        </is>
      </c>
      <c r="E634" t="inlineStr">
        <is>
          <t>14,40,000</t>
        </is>
      </c>
      <c r="F634" t="inlineStr">
        <is>
          <t>Construction of drain/nalla at housing board Colony Near Bhanwar ji JCB House and othere places in ward No. 2</t>
        </is>
      </c>
      <c r="G634" t="inlineStr">
        <is>
          <t>ABUROAD</t>
        </is>
      </c>
    </row>
    <row r="635">
      <c r="A635" s="1" t="n">
        <v>633</v>
      </c>
      <c r="B635">
        <f>HYPERLINK("https://eproc.rajasthan.gov.in/nicgep/app?component=%24DirectLink&amp;page=FrontEndViewTender&amp;service=direct&amp;session=T&amp;sp=SLpFToTNfk22qRUHVwXUktQ%3D%3D", "Repairing of CC road at Various Place in Ward no 26 at aburoad")</f>
        <v/>
      </c>
      <c r="C635" t="inlineStr">
        <is>
          <t>DLB||Dy.DR-Jodhpur||EO-Aburoad</t>
        </is>
      </c>
      <c r="D635" t="inlineStr">
        <is>
          <t>19-May-2025 06:00 PM</t>
        </is>
      </c>
      <c r="E635" t="inlineStr">
        <is>
          <t>10,60,000</t>
        </is>
      </c>
      <c r="F635" t="inlineStr">
        <is>
          <t>Repairing of CC road at Various Place in Ward no 26 at aburoad</t>
        </is>
      </c>
      <c r="G635" t="inlineStr">
        <is>
          <t>ABUROAD</t>
        </is>
      </c>
    </row>
    <row r="636">
      <c r="A636" s="1" t="n">
        <v>634</v>
      </c>
      <c r="B636">
        <f>HYPERLINK("https://eproc.rajasthan.gov.in/nicgep/app?component=%24DirectLink&amp;page=FrontEndViewTender&amp;service=direct&amp;session=T&amp;sp=S7kVHn1hRLl2oFWWUkx1xrg%3D%3D", "Construction of road at various place in ward no 24 at aburoad")</f>
        <v/>
      </c>
      <c r="C636" t="inlineStr">
        <is>
          <t>DLB||Dy.DR-Jodhpur||EO-Aburoad</t>
        </is>
      </c>
      <c r="D636" t="inlineStr">
        <is>
          <t>19-May-2025 06:00 PM</t>
        </is>
      </c>
      <c r="E636" t="inlineStr">
        <is>
          <t>9,58,000</t>
        </is>
      </c>
      <c r="F636" t="inlineStr">
        <is>
          <t>Construction of road at various place in ward no 24 at aburoad</t>
        </is>
      </c>
      <c r="G636" t="inlineStr">
        <is>
          <t>ABUROAD</t>
        </is>
      </c>
    </row>
    <row r="637">
      <c r="A637" s="1" t="n">
        <v>635</v>
      </c>
      <c r="B637">
        <f>HYPERLINK("https://eproc.rajasthan.gov.in/nicgep/app?component=%24DirectLink&amp;page=FrontEndViewTender&amp;service=direct&amp;session=T&amp;sp=Sm%2FnuB3kG0md5%2FYwufIR%2FbA%3D%3D", "Construction of vented causeway in ward no 36 at aburoad")</f>
        <v/>
      </c>
      <c r="C637" t="inlineStr">
        <is>
          <t>DLB||Dy.DR-Jodhpur||EO-Aburoad</t>
        </is>
      </c>
      <c r="D637" t="inlineStr">
        <is>
          <t>19-May-2025 06:00 PM</t>
        </is>
      </c>
      <c r="E637" t="inlineStr">
        <is>
          <t>22,90,000</t>
        </is>
      </c>
      <c r="F637" t="inlineStr">
        <is>
          <t>Construction of vented causeway in ward no 36 at aburoad</t>
        </is>
      </c>
      <c r="G637" t="inlineStr">
        <is>
          <t>ABUROAD</t>
        </is>
      </c>
    </row>
    <row r="638">
      <c r="A638" s="1" t="n">
        <v>636</v>
      </c>
      <c r="B638">
        <f>HYPERLINK("https://eproc.rajasthan.gov.in/nicgep/app?component=%24DirectLink&amp;page=FrontEndViewTender&amp;service=direct&amp;session=T&amp;sp=SQ9qmvUQyFTYK78gn8gxJxw%3D%3D", "Renovation Works of old Chungi Naka Room at Near water Works School vagary mohall Road")</f>
        <v/>
      </c>
      <c r="C638" t="inlineStr">
        <is>
          <t>DLB||Dy.DR-Jodhpur||EO-Aburoad</t>
        </is>
      </c>
      <c r="D638" t="inlineStr">
        <is>
          <t>19-May-2025 06:00 PM</t>
        </is>
      </c>
      <c r="E638" t="inlineStr">
        <is>
          <t>4,01,000</t>
        </is>
      </c>
      <c r="F638" t="inlineStr">
        <is>
          <t>Renovation Works of old Chungi Naka Room at Near water Works School vagary mohall Road</t>
        </is>
      </c>
      <c r="G638" t="inlineStr">
        <is>
          <t>ABUROAD</t>
        </is>
      </c>
    </row>
    <row r="639">
      <c r="A639" s="1" t="n">
        <v>637</v>
      </c>
      <c r="B639">
        <f>HYPERLINK("https://eproc.rajasthan.gov.in/nicgep/app?component=%24DirectLink&amp;page=FrontEndViewTender&amp;service=direct&amp;session=T&amp;sp=S1cLTNHCqGP0zbXo%2BV68HYA%3D%3D", "Laying of Interlocking paver block Work in Farista colony at Ward no. 1")</f>
        <v/>
      </c>
      <c r="C639" t="inlineStr">
        <is>
          <t>DLB||Dy.DR-Jodhpur||EO-Aburoad</t>
        </is>
      </c>
      <c r="D639" t="inlineStr">
        <is>
          <t>19-May-2025 06:00 PM</t>
        </is>
      </c>
      <c r="E639" t="inlineStr">
        <is>
          <t>19,17,000</t>
        </is>
      </c>
      <c r="F639" t="inlineStr">
        <is>
          <t>Laying of Interlocking paver block Work in Farista colony at Ward no. 1</t>
        </is>
      </c>
      <c r="G639" t="inlineStr">
        <is>
          <t>ABUROAD</t>
        </is>
      </c>
    </row>
    <row r="640">
      <c r="A640" s="1" t="n">
        <v>638</v>
      </c>
      <c r="B640">
        <f>HYPERLINK("https://eproc.rajasthan.gov.in/nicgep/app?component=%24DirectLink&amp;page=FrontEndViewTender&amp;service=direct&amp;session=T&amp;sp=StYShsMu3pkqVl%2F%2BR1jm8eg%3D%3D", "Construction of Safety Well Near sagara samaj Dharamshalla back side shanti kunj park")</f>
        <v/>
      </c>
      <c r="C640" t="inlineStr">
        <is>
          <t>DLB||Dy.DR-Jodhpur||EO-Aburoad</t>
        </is>
      </c>
      <c r="D640" t="inlineStr">
        <is>
          <t>19-May-2025 06:00 PM</t>
        </is>
      </c>
      <c r="E640" t="inlineStr">
        <is>
          <t>24,26,000</t>
        </is>
      </c>
      <c r="F640" t="inlineStr">
        <is>
          <t>Construction of Safety Well Near sagara samaj Dharamshalla back side shanti kunj park</t>
        </is>
      </c>
      <c r="G640" t="inlineStr">
        <is>
          <t>ABUROAD</t>
        </is>
      </c>
    </row>
    <row r="641">
      <c r="A641" s="1" t="n">
        <v>639</v>
      </c>
      <c r="B641">
        <f>HYPERLINK("https://eproc.rajasthan.gov.in/nicgep/app?component=%24DirectLink&amp;page=FrontEndViewTender&amp;service=direct&amp;session=T&amp;sp=SzfHIYgkoXsJ%2BB7%2BWPAD6gg%3D%3D", "Construction of Park Boundary Wall Near community Center at First sai Vihar colony in ward No. 37")</f>
        <v/>
      </c>
      <c r="C641" t="inlineStr">
        <is>
          <t>DLB||Dy.DR-Jodhpur||EO-Aburoad</t>
        </is>
      </c>
      <c r="D641" t="inlineStr">
        <is>
          <t>19-May-2025 06:00 PM</t>
        </is>
      </c>
      <c r="E641" t="inlineStr">
        <is>
          <t>24,00,000</t>
        </is>
      </c>
      <c r="F641" t="inlineStr">
        <is>
          <t>Construction of Park Boundary Wall Near community Center at First sai Vihar colony in ward No. 37</t>
        </is>
      </c>
      <c r="G641" t="inlineStr">
        <is>
          <t>ABUROAD</t>
        </is>
      </c>
    </row>
    <row r="642">
      <c r="A642" s="1" t="n">
        <v>640</v>
      </c>
      <c r="B642">
        <f>HYPERLINK("https://eproc.rajasthan.gov.in/nicgep/app?component=%24DirectLink&amp;page=FrontEndViewTender&amp;service=direct&amp;session=T&amp;sp=SFMJMl8Jw32dgW%2BwTOjlvcA%3D%3D", "Construction Work of drain at various places in ward no. 1")</f>
        <v/>
      </c>
      <c r="C642" t="inlineStr">
        <is>
          <t>DLB||Dy.DR-Jodhpur||EO-Aburoad</t>
        </is>
      </c>
      <c r="D642" t="inlineStr">
        <is>
          <t>19-May-2025 06:00 PM</t>
        </is>
      </c>
      <c r="E642" t="inlineStr">
        <is>
          <t>15,74,000</t>
        </is>
      </c>
      <c r="F642" t="inlineStr">
        <is>
          <t>Construction Work of drain at various places in ward no. 1</t>
        </is>
      </c>
      <c r="G642" t="inlineStr">
        <is>
          <t>ABUROAD</t>
        </is>
      </c>
    </row>
    <row r="643">
      <c r="A643" s="1" t="n">
        <v>641</v>
      </c>
      <c r="B643">
        <f>HYPERLINK("https://eproc.rajasthan.gov.in/nicgep/app?component=%24DirectLink&amp;page=FrontEndViewTender&amp;service=direct&amp;session=T&amp;sp=SoVzDpQ1O3GowIlvpiyPsTw%3D%3D", "Construction of CC Road From Sunil ji House to rampal ji khet at Ward No. 32")</f>
        <v/>
      </c>
      <c r="C643" t="inlineStr">
        <is>
          <t>DLB||Dy.DR-Jodhpur||EO-Aburoad</t>
        </is>
      </c>
      <c r="D643" t="inlineStr">
        <is>
          <t>19-May-2025 06:00 PM</t>
        </is>
      </c>
      <c r="E643" t="inlineStr">
        <is>
          <t>4,00,000</t>
        </is>
      </c>
      <c r="F643" t="inlineStr">
        <is>
          <t>Construction of CC Road From Sunil ji House to rampal ji khet at Ward No. 32</t>
        </is>
      </c>
      <c r="G643" t="inlineStr">
        <is>
          <t>ABUROAD</t>
        </is>
      </c>
    </row>
    <row r="644">
      <c r="A644" s="1" t="n">
        <v>642</v>
      </c>
      <c r="B644">
        <f>HYPERLINK("https://eproc.rajasthan.gov.in/nicgep/app?component=%24DirectLink&amp;page=FrontEndViewTender&amp;service=direct&amp;session=T&amp;sp=SsP%2FvqazoAz6LBC2CyIAMeA%3D%3D", "Construction of CC road at Various Places in Ward No. 28")</f>
        <v/>
      </c>
      <c r="C644" t="inlineStr">
        <is>
          <t>DLB||Dy.DR-Jodhpur||EO-Aburoad</t>
        </is>
      </c>
      <c r="D644" t="inlineStr">
        <is>
          <t>19-May-2025 06:00 PM</t>
        </is>
      </c>
      <c r="E644" t="inlineStr">
        <is>
          <t>10,25,000</t>
        </is>
      </c>
      <c r="F644" t="inlineStr">
        <is>
          <t>Construction of CC road at Various Places in Ward No. 28</t>
        </is>
      </c>
      <c r="G644" t="inlineStr">
        <is>
          <t>ABUROAD</t>
        </is>
      </c>
    </row>
    <row r="645">
      <c r="A645" s="1" t="n">
        <v>643</v>
      </c>
      <c r="B645">
        <f>HYPERLINK("https://eproc.rajasthan.gov.in/nicgep/app?component=%24DirectLink&amp;page=FrontEndViewTender&amp;service=direct&amp;session=T&amp;sp=Sby%2B8SjhcJe88hsuykUYfqQ%3D%3D", "Fixing of Interlocking Tiles at various place in Ward No 21 at Aburoad")</f>
        <v/>
      </c>
      <c r="C645" t="inlineStr">
        <is>
          <t>DLB||Dy.DR-Jodhpur||EO-Aburoad</t>
        </is>
      </c>
      <c r="D645" t="inlineStr">
        <is>
          <t>19-May-2025 06:00 PM</t>
        </is>
      </c>
      <c r="E645" t="inlineStr">
        <is>
          <t>13,41,000</t>
        </is>
      </c>
      <c r="F645" t="inlineStr">
        <is>
          <t>Fixing of Interlocking Tiles at various place in Ward No 21 at Aburoad</t>
        </is>
      </c>
      <c r="G645" t="inlineStr">
        <is>
          <t>ABUROAD</t>
        </is>
      </c>
    </row>
    <row r="646">
      <c r="A646" s="1" t="n">
        <v>644</v>
      </c>
      <c r="B646">
        <f>HYPERLINK("https://eproc.rajasthan.gov.in/nicgep/app?component=%24DirectLink&amp;page=FrontEndViewTender&amp;service=direct&amp;session=T&amp;sp=Svyr%2BD%2FCTkaGV9F3sUdm96w%3D%3D", "Construction and rapair of drain at various place in ward no 29 at aburoad")</f>
        <v/>
      </c>
      <c r="C646" t="inlineStr">
        <is>
          <t>DLB||Dy.DR-Jodhpur||EO-Aburoad</t>
        </is>
      </c>
      <c r="D646" t="inlineStr">
        <is>
          <t>19-May-2025 06:00 PM</t>
        </is>
      </c>
      <c r="E646" t="inlineStr">
        <is>
          <t>13,48,000</t>
        </is>
      </c>
      <c r="F646" t="inlineStr">
        <is>
          <t>Construction and rapair of drain at various place in ward no 29 at aburoad</t>
        </is>
      </c>
      <c r="G646" t="inlineStr">
        <is>
          <t>ABUROAD</t>
        </is>
      </c>
    </row>
    <row r="647">
      <c r="A647" s="1" t="n">
        <v>645</v>
      </c>
      <c r="B647">
        <f>HYPERLINK("https://eproc.rajasthan.gov.in/nicgep/app?component=%24DirectLink&amp;page=FrontEndViewTender&amp;service=direct&amp;session=T&amp;sp=SX%2BJJD1sVengReISPPoDfSQ%3D%3D", "Fixing of Interlocking tiles at various place in ward no 24 at Aburoad")</f>
        <v/>
      </c>
      <c r="C647" t="inlineStr">
        <is>
          <t>DLB||Dy.DR-Jodhpur||EO-Aburoad</t>
        </is>
      </c>
      <c r="D647" t="inlineStr">
        <is>
          <t>19-May-2025 06:00 PM</t>
        </is>
      </c>
      <c r="E647" t="inlineStr">
        <is>
          <t>12,32,000</t>
        </is>
      </c>
      <c r="F647" t="inlineStr">
        <is>
          <t>Fixing of Interlocking tiles at various place in ward no 24 at Aburoad</t>
        </is>
      </c>
      <c r="G647" t="inlineStr">
        <is>
          <t>ABUROAD</t>
        </is>
      </c>
    </row>
    <row r="648">
      <c r="A648" s="1" t="n">
        <v>646</v>
      </c>
      <c r="B648">
        <f>HYPERLINK("https://eproc.rajasthan.gov.in/nicgep/app?component=%24DirectLink&amp;page=FrontEndViewTender&amp;service=direct&amp;session=T&amp;sp=Si3y5KiVBjhtfLjzoa1Z%2F0w%3D%3D", "Laying of Interlocking paver block Work at Various places in ward no 24")</f>
        <v/>
      </c>
      <c r="C648" t="inlineStr">
        <is>
          <t>DLB||Dy.DR-Jodhpur||EO-Aburoad</t>
        </is>
      </c>
      <c r="D648" t="inlineStr">
        <is>
          <t>19-May-2025 06:00 PM</t>
        </is>
      </c>
      <c r="E648" t="inlineStr">
        <is>
          <t>24,06,000</t>
        </is>
      </c>
      <c r="F648" t="inlineStr">
        <is>
          <t>Laying of Interlocking paver block Work at Various places in ward no 24</t>
        </is>
      </c>
      <c r="G648" t="inlineStr">
        <is>
          <t>ABUROAD</t>
        </is>
      </c>
    </row>
    <row r="649">
      <c r="A649" s="1" t="n">
        <v>647</v>
      </c>
      <c r="B649">
        <f>HYPERLINK("https://eproc.rajasthan.gov.in/nicgep/app?component=%24DirectLink&amp;page=FrontEndViewTender&amp;service=direct&amp;session=T&amp;sp=SsG777P8R%2BgpWFA5kCsomFQ%3D%3D", "Construction and rapair of drain at various place in ward no 24 at aburoad")</f>
        <v/>
      </c>
      <c r="C649" t="inlineStr">
        <is>
          <t>DLB||Dy.DR-Jodhpur||EO-Aburoad</t>
        </is>
      </c>
      <c r="D649" t="inlineStr">
        <is>
          <t>19-May-2025 06:00 PM</t>
        </is>
      </c>
      <c r="E649" t="inlineStr">
        <is>
          <t>10,92,000</t>
        </is>
      </c>
      <c r="F649" t="inlineStr">
        <is>
          <t>Construction and rapair of drain at various place in ward no 24 at aburoad</t>
        </is>
      </c>
      <c r="G649" t="inlineStr">
        <is>
          <t>ABUROAD</t>
        </is>
      </c>
    </row>
    <row r="650">
      <c r="A650" s="1" t="n">
        <v>648</v>
      </c>
      <c r="B650">
        <f>HYPERLINK("https://eproc.rajasthan.gov.in/nicgep/app?component=%24DirectLink&amp;page=FrontEndViewTender&amp;service=direct&amp;session=T&amp;sp=SKhwsqVhOd9RZVaRvpmLEsg%3D%3D", "Construction and rapair of drain at various place in ward no 39")</f>
        <v/>
      </c>
      <c r="C650" t="inlineStr">
        <is>
          <t>DLB||Dy.DR-Jodhpur||EO-Aburoad</t>
        </is>
      </c>
      <c r="D650" t="inlineStr">
        <is>
          <t>19-May-2025 06:00 PM</t>
        </is>
      </c>
      <c r="E650" t="inlineStr">
        <is>
          <t>21,90,000</t>
        </is>
      </c>
      <c r="F650" t="inlineStr">
        <is>
          <t>Construction and rapair of drain at various place in ward no 39</t>
        </is>
      </c>
      <c r="G650" t="inlineStr">
        <is>
          <t>ABUROAD</t>
        </is>
      </c>
    </row>
    <row r="651">
      <c r="A651" s="1" t="n">
        <v>649</v>
      </c>
      <c r="B651">
        <f>HYPERLINK("https://eproc.rajasthan.gov.in/nicgep/app?component=%24DirectLink&amp;page=FrontEndViewTender&amp;service=direct&amp;session=T&amp;sp=S6t2EHk3NujsCkhzovaPZhw%3D%3D", "6-Annual Rate Contract (ARC) for Construction of Tube Well at Sumerpur")</f>
        <v/>
      </c>
      <c r="C651" t="inlineStr">
        <is>
          <t>DLB||Dy.DR-Jodhpur||EO-Sadri</t>
        </is>
      </c>
      <c r="D651" t="inlineStr">
        <is>
          <t>21-May-2025 10:00 AM</t>
        </is>
      </c>
      <c r="E651" t="inlineStr">
        <is>
          <t>30,00,000</t>
        </is>
      </c>
      <c r="F651" t="inlineStr">
        <is>
          <t>civil work</t>
        </is>
      </c>
      <c r="G651" t="inlineStr">
        <is>
          <t>sumerpur</t>
        </is>
      </c>
    </row>
    <row r="652">
      <c r="A652" s="1" t="n">
        <v>650</v>
      </c>
      <c r="B652">
        <f>HYPERLINK("https://eproc.rajasthan.gov.in/nicgep/app?component=%24DirectLink&amp;page=FrontEndViewTender&amp;service=direct&amp;session=T&amp;sp=S1aOSq7HMAN3VcVG%2BkeYsyg%3D%3D", "2-Annual Rate Contract (ARC) for Horticulture work at different park sumerpur")</f>
        <v/>
      </c>
      <c r="C652" t="inlineStr">
        <is>
          <t>DLB||Dy.DR-Jodhpur||EO-Sadri</t>
        </is>
      </c>
      <c r="D652" t="inlineStr">
        <is>
          <t>21-May-2025 10:00 AM</t>
        </is>
      </c>
      <c r="E652" t="inlineStr">
        <is>
          <t>25,00,000</t>
        </is>
      </c>
      <c r="F652" t="inlineStr">
        <is>
          <t>civil work</t>
        </is>
      </c>
      <c r="G652" t="inlineStr">
        <is>
          <t>sumerpur</t>
        </is>
      </c>
    </row>
    <row r="653">
      <c r="A653" s="1" t="n">
        <v>651</v>
      </c>
      <c r="B653">
        <f>HYPERLINK("https://eproc.rajasthan.gov.in/nicgep/app?component=%24DirectLink&amp;page=FrontEndViewTender&amp;service=direct&amp;session=T&amp;sp=SXhcNIe4A1Ysh%2B6d%2FPK%2FPIw%3D%3D", "5-Annual Rate Contract (ARC) for Construction work of nali and cross ward no. 1 to 35 Sumerpur")</f>
        <v/>
      </c>
      <c r="C653" t="inlineStr">
        <is>
          <t>DLB||Dy.DR-Jodhpur||EO-Sadri</t>
        </is>
      </c>
      <c r="D653" t="inlineStr">
        <is>
          <t>21-May-2025 10:00 AM</t>
        </is>
      </c>
      <c r="E653" t="inlineStr">
        <is>
          <t>30,00,000</t>
        </is>
      </c>
      <c r="F653" t="inlineStr">
        <is>
          <t>civil work</t>
        </is>
      </c>
      <c r="G653" t="inlineStr">
        <is>
          <t>sumerpur</t>
        </is>
      </c>
    </row>
    <row r="654">
      <c r="A654" s="1" t="n">
        <v>652</v>
      </c>
      <c r="B654">
        <f>HYPERLINK("https://eproc.rajasthan.gov.in/nicgep/app?component=%24DirectLink&amp;page=FrontEndViewTender&amp;service=direct&amp;session=T&amp;sp=S%2BIvxvW0Mgcc0okfQLvZZ9Q%3D%3D", "1-Annual Rate Contract (ARC) for Electrification work at Various parks in Sumerpur")</f>
        <v/>
      </c>
      <c r="C654" t="inlineStr">
        <is>
          <t>DLB||Dy.DR-Jodhpur||EO-Sadri</t>
        </is>
      </c>
      <c r="D654" t="inlineStr">
        <is>
          <t>21-May-2025 10:00 AM</t>
        </is>
      </c>
      <c r="E654" t="inlineStr">
        <is>
          <t>25,00,000</t>
        </is>
      </c>
      <c r="F654" t="inlineStr">
        <is>
          <t>civil work</t>
        </is>
      </c>
      <c r="G654" t="inlineStr">
        <is>
          <t>sumerpur</t>
        </is>
      </c>
    </row>
    <row r="655">
      <c r="A655" s="1" t="n">
        <v>653</v>
      </c>
      <c r="B655">
        <f>HYPERLINK("https://eproc.rajasthan.gov.in/nicgep/app?component=%24DirectLink&amp;page=FrontEndViewTender&amp;service=direct&amp;session=T&amp;sp=SrbrLM0z0yxBpLmXAMs%2FiJw%3D%3D", "4-Annual Rate Contract (ARC) for Repair of all Community Building Municipal Area Sumerpur")</f>
        <v/>
      </c>
      <c r="C655" t="inlineStr">
        <is>
          <t>DLB||Dy.DR-Jodhpur||EO-Sadri</t>
        </is>
      </c>
      <c r="D655" t="inlineStr">
        <is>
          <t>21-May-2025 10:00 AM</t>
        </is>
      </c>
      <c r="E655" t="inlineStr">
        <is>
          <t>25,00,000</t>
        </is>
      </c>
      <c r="F655" t="inlineStr">
        <is>
          <t>civil work</t>
        </is>
      </c>
      <c r="G655" t="inlineStr">
        <is>
          <t>sumerpur</t>
        </is>
      </c>
    </row>
    <row r="656">
      <c r="A656" s="1" t="n">
        <v>654</v>
      </c>
      <c r="B656">
        <f>HYPERLINK("https://eproc.rajasthan.gov.in/nicgep/app?component=%24DirectLink&amp;page=FrontEndViewTender&amp;service=direct&amp;session=T&amp;sp=Sp9GKBm%2BaIIDIBrIeGW5Hmg%3D%3D", "3-Annual Rate Contract (ARC) for GI chain link fencing work at various land of sumerpur")</f>
        <v/>
      </c>
      <c r="C656" t="inlineStr">
        <is>
          <t>DLB||Dy.DR-Jodhpur||EO-Sadri</t>
        </is>
      </c>
      <c r="D656" t="inlineStr">
        <is>
          <t>21-May-2025 10:00 AM</t>
        </is>
      </c>
      <c r="E656" t="inlineStr">
        <is>
          <t>25,00,000</t>
        </is>
      </c>
      <c r="F656" t="inlineStr">
        <is>
          <t>civil work</t>
        </is>
      </c>
      <c r="G656" t="inlineStr">
        <is>
          <t>sumerpur</t>
        </is>
      </c>
    </row>
    <row r="657">
      <c r="A657" s="1" t="n">
        <v>655</v>
      </c>
      <c r="B657">
        <f>HYPERLINK("https://eproc.rajasthan.gov.in/nicgep/app?component=%24DirectLink&amp;page=FrontEndViewTender&amp;service=direct&amp;session=T&amp;sp=SJ1VX7yCaNoGTH1MAsklrVQ%3D%3D", "nagar nigam jodhpur south ki 3 road sweeper machine ke rakhrakhhav or sanchalan may samast vyay or POL sahit karya")</f>
        <v/>
      </c>
      <c r="C657" t="inlineStr">
        <is>
          <t>DLB||Dy.DR-Jodhpur||CEO-Jodhpur</t>
        </is>
      </c>
      <c r="D657" t="inlineStr">
        <is>
          <t>22-May-2025 01:00 PM</t>
        </is>
      </c>
      <c r="E657" t="inlineStr">
        <is>
          <t>3,25,00,000</t>
        </is>
      </c>
      <c r="F657" t="inlineStr">
        <is>
          <t>nagar nigam jodhpur south ki 3 road sweeper machine ke rakhrakhhav or sanchalan may samast vyay or POL sahit karya</t>
        </is>
      </c>
      <c r="G657" t="inlineStr">
        <is>
          <t>nagar nigam jodhpur south</t>
        </is>
      </c>
    </row>
    <row r="658">
      <c r="A658" s="1" t="n">
        <v>656</v>
      </c>
      <c r="B658">
        <f>HYPERLINK("https://eproc.rajasthan.gov.in/nicgep/app?component=%24DirectLink&amp;page=FrontEndViewTender&amp;service=direct&amp;session=T&amp;sp=SSg5R7A161dtboy0PSeds5A%3D%3D", "nagar nigam kota north area big nala other cleaning work 310 beat unkushal employee supply work")</f>
        <v/>
      </c>
      <c r="C658" t="inlineStr">
        <is>
          <t>DLB||Dy.DR-Kota||CEO-Kota</t>
        </is>
      </c>
      <c r="D658" t="inlineStr">
        <is>
          <t>26-May-2025 05:00 PM</t>
        </is>
      </c>
      <c r="E658" t="inlineStr">
        <is>
          <t>3,35,00,000</t>
        </is>
      </c>
      <c r="F658" t="inlineStr">
        <is>
          <t>nagar nigam kota north area big nala other cleaning work 310 beat unkushal employee supply work</t>
        </is>
      </c>
      <c r="G658" t="inlineStr">
        <is>
          <t>kota</t>
        </is>
      </c>
    </row>
    <row r="659">
      <c r="A659" s="1" t="n">
        <v>657</v>
      </c>
      <c r="B659">
        <f>HYPERLINK("https://eproc.rajasthan.gov.in/nicgep/app?component=%24DirectLink&amp;page=FrontEndViewTender&amp;service=direct&amp;session=T&amp;sp=Sew7PfPKQqDMfHkDcUTKS%2Bg%3D%3D", "LABOURWORK01")</f>
        <v/>
      </c>
      <c r="C659" t="inlineStr">
        <is>
          <t>DLB||Dy.DR-Jaipur||Commissioner-Sikar</t>
        </is>
      </c>
      <c r="D659" t="inlineStr">
        <is>
          <t>22-May-2025 06:00 PM</t>
        </is>
      </c>
      <c r="E659" t="inlineStr">
        <is>
          <t>3,30,00,000</t>
        </is>
      </c>
      <c r="F659" t="inlineStr">
        <is>
          <t>SUPPLY OF LABOUR (UNSKILLED) IN MUNICIPAL COUNCIL SIKAR</t>
        </is>
      </c>
      <c r="G659" t="inlineStr">
        <is>
          <t>MUNICIPAL COUNCIL SIKAR</t>
        </is>
      </c>
    </row>
    <row r="660">
      <c r="A660" s="1" t="n">
        <v>658</v>
      </c>
      <c r="B660">
        <f>HYPERLINK("https://eproc.rajasthan.gov.in/nicgep/app?component=%24DirectLink&amp;page=FrontEndViewTender&amp;service=direct&amp;session=T&amp;sp=SVWSMCdxrjftT%2F5364xMjyw%3D%3D", "Sarvajanik Shochalay nirman karya Rajsamand (4 Sthano Par) (Nagar Parishad Rajsamand)")</f>
        <v/>
      </c>
      <c r="C660" t="inlineStr">
        <is>
          <t>DLB||Dy.DR-Udaipur||Commissioner-Rajsamand</t>
        </is>
      </c>
      <c r="D660" t="inlineStr">
        <is>
          <t>20-May-2025 06:00 PM</t>
        </is>
      </c>
      <c r="E660" t="inlineStr">
        <is>
          <t>80,00,000</t>
        </is>
      </c>
      <c r="F660" t="inlineStr">
        <is>
          <t>Sarvajanik Shochalay nirman karya Rajsamand (4 Sthano Par) (Nagar Parishad Rajsamand)</t>
        </is>
      </c>
      <c r="G660" t="inlineStr">
        <is>
          <t>Rajsamand</t>
        </is>
      </c>
    </row>
    <row r="661">
      <c r="A661" s="1" t="n">
        <v>659</v>
      </c>
      <c r="B661">
        <f>HYPERLINK("https://eproc.rajasthan.gov.in/nicgep/app?component=%24DirectLink&amp;page=FrontEndViewTender&amp;service=direct&amp;session=T&amp;sp=SnyTxe54wGYRZhv5R7MaEaA%3D%3D", "NOTICE INVITING BID (NIB) - FOR PROCUREMENT OF SERVICE FOR OPERATION OF DOOR TO DOOR HOUSEHOLD WASTE COLLECTION, SEGREGATION AND TRANSPORTATION OF COLLECTED HOUSEHOLD WASTE UPTO SECONDARY COLLECTION POINT THROUGH REAL TIME MONITORING USING")</f>
        <v/>
      </c>
      <c r="C661" t="inlineStr">
        <is>
          <t>DLB||Dy.DR-Udaipur||Commissioner-Rajsamand</t>
        </is>
      </c>
      <c r="D661" t="inlineStr">
        <is>
          <t>29-May-2025 03:00 PM</t>
        </is>
      </c>
      <c r="E661" t="inlineStr">
        <is>
          <t>8,28,00,000</t>
        </is>
      </c>
      <c r="F661" t="inlineStr">
        <is>
          <t>NOTICE INVITING BID (NIB) - FOR PROCUREMENT OF SERVICE FOR OPERATION OF DOOR TO DOOR HOUSEHOLD WASTE COLLECTION, SEGREGATION AND TRANSPORTATION OF COLLECTED HOUSEHOLD WASTE UPTO SECONDARY COLLECTION POINT THROUGH REAL TIME MONITORING USING</t>
        </is>
      </c>
      <c r="G661" t="inlineStr">
        <is>
          <t>Rajsamand</t>
        </is>
      </c>
    </row>
    <row r="662">
      <c r="A662" s="1" t="n">
        <v>660</v>
      </c>
      <c r="B662">
        <f>HYPERLINK("https://eproc.rajasthan.gov.in/nicgep/app?component=%24DirectLink&amp;page=FrontEndViewTender&amp;service=direct&amp;session=T&amp;sp=SfC%2Bki396aOkCyxwSH%2B%2Bigw%3D%3D", "Nagar Parishad Rajsamand Ghoshala Ghas Ghar Gauniwas Ghar Tin shade nirma karya (Nagar Parishad Rajsamand)")</f>
        <v/>
      </c>
      <c r="C662" t="inlineStr">
        <is>
          <t>DLB||Dy.DR-Udaipur||Commissioner-Rajsamand</t>
        </is>
      </c>
      <c r="D662" t="inlineStr">
        <is>
          <t>20-May-2025 06:00 PM</t>
        </is>
      </c>
      <c r="E662" t="inlineStr">
        <is>
          <t>20,00,000</t>
        </is>
      </c>
      <c r="F662" t="inlineStr">
        <is>
          <t>Nagar Parishad Rajsamand Ghoshala Ghas Ghar Gauniwas Ghar Tin shade nirma karya (Nagar Parishad Rajsamand)</t>
        </is>
      </c>
      <c r="G662" t="inlineStr">
        <is>
          <t>Rajsamand</t>
        </is>
      </c>
    </row>
    <row r="663">
      <c r="A663" s="1" t="n">
        <v>661</v>
      </c>
      <c r="B663">
        <f>HYPERLINK("https://eproc.rajasthan.gov.in/nicgep/app?component=%24DirectLink&amp;page=FrontEndViewTender&amp;service=direct&amp;session=T&amp;sp=SBVK3Et18TGJryZ7cSBytSQ%3D%3D", "Zile ke ekmatra panchkram chikitsa vishishtata kendra Rajkiya Ayurvaid Aushdhalay Kankroli Ki mukhya Bahari (Front) deevar evam rogiyo ki chikitsa suvidha vistar hetu panchkarm therapy ward/hall 40x30 ka nirman evam aavashyak upkaran uplabdh karwana")</f>
        <v/>
      </c>
      <c r="C663" t="inlineStr">
        <is>
          <t>DLB||Dy.DR-Udaipur||Commissioner-Rajsamand</t>
        </is>
      </c>
      <c r="D663" t="inlineStr">
        <is>
          <t>20-May-2025 06:00 PM</t>
        </is>
      </c>
      <c r="E663" t="inlineStr">
        <is>
          <t>35,00,000</t>
        </is>
      </c>
      <c r="F663" t="inlineStr">
        <is>
          <t>Zile ke ekmatra panchkram chikitsa vishishtata kendra Rajkiya Ayurvaid Aushdhalay Kankroli Ki mukhya Bahari (Front) deevar evam rogiyo ki chikitsa suvidha vistar hetu panchkarm therapy ward/hall 40x30 ka nirman evam aavashyak upkaran uplabdh karwana</t>
        </is>
      </c>
      <c r="G663" t="inlineStr">
        <is>
          <t>Rajsamand</t>
        </is>
      </c>
    </row>
    <row r="664">
      <c r="A664" s="1" t="n">
        <v>662</v>
      </c>
      <c r="B664">
        <f>HYPERLINK("https://eproc.rajasthan.gov.in/nicgep/app?component=%24DirectLink&amp;page=FrontEndViewTender&amp;service=direct&amp;session=T&amp;sp=S%2FkLuMDleWivckLEBmmlaMA%3D%3D", "Dwarikadhish Mandir me sulabh Shochalay nirman karya (Nagar Parishad Rajsamand)")</f>
        <v/>
      </c>
      <c r="C664" t="inlineStr">
        <is>
          <t>DLB||Dy.DR-Udaipur||Commissioner-Rajsamand</t>
        </is>
      </c>
      <c r="D664" t="inlineStr">
        <is>
          <t>20-May-2025 06:00 PM</t>
        </is>
      </c>
      <c r="E664" t="inlineStr">
        <is>
          <t>20,00,000</t>
        </is>
      </c>
      <c r="F664" t="inlineStr">
        <is>
          <t>Dwarikadhish Mandir me sulabh Shochalay nirman karya (Nagar Parishad Rajsamand)</t>
        </is>
      </c>
      <c r="G664" t="inlineStr">
        <is>
          <t>Rajsamand</t>
        </is>
      </c>
    </row>
    <row r="665">
      <c r="A665" s="1" t="n">
        <v>663</v>
      </c>
      <c r="B665">
        <f>HYPERLINK("https://eproc.rajasthan.gov.in/nicgep/app?component=%24DirectLink&amp;page=FrontEndViewTender&amp;service=direct&amp;session=T&amp;sp=SC7bNZzR9dv8RWMWjixHpJg%3D%3D", "NH 8 Stith Transport Nagar ka vibhinna vikas karya (Nagar parishad Rajsamand)")</f>
        <v/>
      </c>
      <c r="C665" t="inlineStr">
        <is>
          <t>DLB||Dy.DR-Udaipur||Commissioner-Rajsamand</t>
        </is>
      </c>
      <c r="D665" t="inlineStr">
        <is>
          <t>20-May-2025 06:00 PM</t>
        </is>
      </c>
      <c r="E665" t="inlineStr">
        <is>
          <t>1,49,99,000</t>
        </is>
      </c>
      <c r="F665" t="inlineStr">
        <is>
          <t>NH 8 Stith Transport Nagar ka vibhinna vikas karya (Nagar parishad Rajsamand)</t>
        </is>
      </c>
      <c r="G665" t="inlineStr">
        <is>
          <t>Rajsamand</t>
        </is>
      </c>
    </row>
    <row r="666">
      <c r="A666" s="1" t="n">
        <v>664</v>
      </c>
      <c r="B666">
        <f>HYPERLINK("https://eproc.rajasthan.gov.in/nicgep/app?component=%24DirectLink&amp;page=FrontEndViewTender&amp;service=direct&amp;session=T&amp;sp=SEs9bIf098d5ZFhmyVjSW4w%3D%3D", "WORK03")</f>
        <v/>
      </c>
      <c r="C666" t="inlineStr">
        <is>
          <t>DLB||Dy.DR-Jaipur||Commissioner-Sikar</t>
        </is>
      </c>
      <c r="D666" t="inlineStr">
        <is>
          <t>20-May-2025 06:00 PM</t>
        </is>
      </c>
      <c r="E666" t="inlineStr">
        <is>
          <t>1,48,88,000</t>
        </is>
      </c>
      <c r="F666" t="inlineStr">
        <is>
          <t>Procurement of service for collection ,Transportation of Solid waste ,door to door waste segregated (dry and wet )at source and non-segregated from dustbin site in Zone-3 (Ward 21,22 , 25-28) and install. of IOT based system for monitoring of MSW...</t>
        </is>
      </c>
      <c r="G666" t="inlineStr">
        <is>
          <t>MUNICIPAL COUNCIL SIKAR</t>
        </is>
      </c>
    </row>
    <row r="667">
      <c r="A667" s="1" t="n">
        <v>665</v>
      </c>
      <c r="B667">
        <f>HYPERLINK("https://eproc.rajasthan.gov.in/nicgep/app?component=%24DirectLink&amp;page=FrontEndViewTender&amp;service=direct&amp;session=T&amp;sp=SsRADUIu84hzYTsSgUpIthA%3D%3D", "WORK09")</f>
        <v/>
      </c>
      <c r="C667" t="inlineStr">
        <is>
          <t>DLB||Dy.DR-Jaipur||Commissioner-Sikar</t>
        </is>
      </c>
      <c r="D667" t="inlineStr">
        <is>
          <t>20-May-2025 06:00 PM</t>
        </is>
      </c>
      <c r="E667" t="inlineStr">
        <is>
          <t>1,46,22,000</t>
        </is>
      </c>
      <c r="F667" t="inlineStr">
        <is>
          <t>Procurement of service for collection ,Transportation of Solid waste ,door to door waste segregated (dry and wet )at source and non-segregated from dustbin site in Zone-9 (Ward 58-65) and install. of IOT based system for monitoring of MSW...</t>
        </is>
      </c>
      <c r="G667" t="inlineStr">
        <is>
          <t>MUNICIPAL COUNCIL SIKAR</t>
        </is>
      </c>
    </row>
    <row r="668">
      <c r="A668" s="1" t="n">
        <v>666</v>
      </c>
      <c r="B668">
        <f>HYPERLINK("https://eproc.rajasthan.gov.in/nicgep/app?component=%24DirectLink&amp;page=FrontEndViewTender&amp;service=direct&amp;session=T&amp;sp=SS97Qp9AvSVvJ1d6GhAU8MA%3D%3D", "WORK08")</f>
        <v/>
      </c>
      <c r="C668" t="inlineStr">
        <is>
          <t>DLB||Dy.DR-Jaipur||Commissioner-Sikar</t>
        </is>
      </c>
      <c r="D668" t="inlineStr">
        <is>
          <t>20-May-2025 06:00 PM</t>
        </is>
      </c>
      <c r="E668" t="inlineStr">
        <is>
          <t>1,17,48,000</t>
        </is>
      </c>
      <c r="F668" t="inlineStr">
        <is>
          <t>Procurement of service for collection ,Transportation of Solid waste ,door to door waste segregated (dry and wet )at source and non-segregated from dustbin site in Zone-8 (Ward 55-57) and install. of IOT based system for monitoring of MSW...</t>
        </is>
      </c>
      <c r="G668" t="inlineStr">
        <is>
          <t>MUNICIPAL COUNCIL SIKAR</t>
        </is>
      </c>
    </row>
    <row r="669">
      <c r="A669" s="1" t="n">
        <v>667</v>
      </c>
      <c r="B669">
        <f>HYPERLINK("https://eproc.rajasthan.gov.in/nicgep/app?component=%24DirectLink&amp;page=FrontEndViewTender&amp;service=direct&amp;session=T&amp;sp=SDkr4gUZMsM7YiqT91JdTUQ%3D%3D", "WORK07")</f>
        <v/>
      </c>
      <c r="C669" t="inlineStr">
        <is>
          <t>DLB||Dy.DR-Jaipur||Commissioner-Sikar</t>
        </is>
      </c>
      <c r="D669" t="inlineStr">
        <is>
          <t>20-May-2025 06:00 PM</t>
        </is>
      </c>
      <c r="E669" t="inlineStr">
        <is>
          <t>1,49,43,000</t>
        </is>
      </c>
      <c r="F669" t="inlineStr">
        <is>
          <t>Procurement of service for collection ,Transportation of Solid waste ,door to door waste segregated (dry and wet )at source and non-segregated from dustbin site in Zone-7 (Ward 49-54) and install. of IOT based system for monitoring of MSW...</t>
        </is>
      </c>
      <c r="G669" t="inlineStr">
        <is>
          <t>MUNICIPAL COUNCIL SIKAR</t>
        </is>
      </c>
    </row>
    <row r="670">
      <c r="A670" s="1" t="n">
        <v>668</v>
      </c>
      <c r="B670">
        <f>HYPERLINK("https://eproc.rajasthan.gov.in/nicgep/app?component=%24DirectLink&amp;page=FrontEndViewTender&amp;service=direct&amp;session=T&amp;sp=SrR0YTacEIgoriPbv6UgKlQ%3D%3D", "WORK06")</f>
        <v/>
      </c>
      <c r="C670" t="inlineStr">
        <is>
          <t>DLB||Dy.DR-Jaipur||Commissioner-Sikar</t>
        </is>
      </c>
      <c r="D670" t="inlineStr">
        <is>
          <t>20-May-2025 06:00 PM</t>
        </is>
      </c>
      <c r="E670" t="inlineStr">
        <is>
          <t>1,35,55,000</t>
        </is>
      </c>
      <c r="F670" t="inlineStr">
        <is>
          <t>Procurement of service for collection ,Transportation of Solid waste ,door to door waste segregated (dry and wet )at source and non-segregated from dustbin site in Zone-6 (Ward 43-48) and install. of IOT based system for monitoring of MSW...</t>
        </is>
      </c>
      <c r="G670" t="inlineStr">
        <is>
          <t>MUNICIPAL COUNCIL SIKAR</t>
        </is>
      </c>
    </row>
    <row r="671">
      <c r="A671" s="1" t="n">
        <v>669</v>
      </c>
      <c r="B671">
        <f>HYPERLINK("https://eproc.rajasthan.gov.in/nicgep/app?component=%24DirectLink&amp;page=FrontEndViewTender&amp;service=direct&amp;session=T&amp;sp=S2vfk4YSL4SyLomdbSfwlyg%3D%3D", "WORK05")</f>
        <v/>
      </c>
      <c r="C671" t="inlineStr">
        <is>
          <t>DLB||Dy.DR-Jaipur||Commissioner-Sikar</t>
        </is>
      </c>
      <c r="D671" t="inlineStr">
        <is>
          <t>20-May-2025 06:00 PM</t>
        </is>
      </c>
      <c r="E671" t="inlineStr">
        <is>
          <t>1,36,38,000</t>
        </is>
      </c>
      <c r="F671" t="inlineStr">
        <is>
          <t>Procurement of service for collection ,Transportation of Solid waste ,door to door waste segregated (dry and wet )at source and non-segregated from dustbin site in Zone-5 (Ward 33-42) and install. of IOT based system for monitoring of MSW...</t>
        </is>
      </c>
      <c r="G671" t="inlineStr">
        <is>
          <t>MUNICIPAL COUNCIL SIKAR</t>
        </is>
      </c>
    </row>
    <row r="672">
      <c r="A672" s="1" t="n">
        <v>670</v>
      </c>
      <c r="B672">
        <f>HYPERLINK("https://eproc.rajasthan.gov.in/nicgep/app?component=%24DirectLink&amp;page=FrontEndViewTender&amp;service=direct&amp;session=T&amp;sp=SLdYWph881HOYvQN%2Fc9QadQ%3D%3D", "WORK04")</f>
        <v/>
      </c>
      <c r="C672" t="inlineStr">
        <is>
          <t>DLB||Dy.DR-Jaipur||Commissioner-Sikar</t>
        </is>
      </c>
      <c r="D672" t="inlineStr">
        <is>
          <t>20-May-2025 06:00 PM</t>
        </is>
      </c>
      <c r="E672" t="inlineStr">
        <is>
          <t>1,46,08,000</t>
        </is>
      </c>
      <c r="F672" t="inlineStr">
        <is>
          <t>Procurement of service for collection ,Transportation of Solid waste ,door to door waste segregated (dry and wet )at source and non-segregated from dustbin site in Zone-4 (Ward 29-32) and install. of IOT based system for monitoring of MSW...</t>
        </is>
      </c>
      <c r="G672" t="inlineStr">
        <is>
          <t>MUNICIPAL COUNCIL SIKAR</t>
        </is>
      </c>
    </row>
    <row r="673">
      <c r="A673" s="1" t="n">
        <v>671</v>
      </c>
      <c r="B673">
        <f>HYPERLINK("https://eproc.rajasthan.gov.in/nicgep/app?component=%24DirectLink&amp;page=FrontEndViewTender&amp;service=direct&amp;session=T&amp;sp=SVj9x6l6N7gvM9VLnSQMwGg%3D%3D", "WORK02")</f>
        <v/>
      </c>
      <c r="C673" t="inlineStr">
        <is>
          <t>DLB||Dy.DR-Jaipur||Commissioner-Sikar</t>
        </is>
      </c>
      <c r="D673" t="inlineStr">
        <is>
          <t>20-May-2025 06:00 PM</t>
        </is>
      </c>
      <c r="E673" t="inlineStr">
        <is>
          <t>1,40,08,000</t>
        </is>
      </c>
      <c r="F673" t="inlineStr">
        <is>
          <t>Procurement of service for collection ,Transportation of Solid waste ,door to door waste segregated (dry and wet )at source and non-segregated from dustbin site in Zone-2 (Ward 9,13-20,23,24) and install. of IOT based system for monitoring of MSW...</t>
        </is>
      </c>
      <c r="G673" t="inlineStr">
        <is>
          <t>MUNICIPAL COUNCIL SIKAR</t>
        </is>
      </c>
    </row>
    <row r="674">
      <c r="A674" s="1" t="n">
        <v>672</v>
      </c>
      <c r="B674">
        <f>HYPERLINK("https://eproc.rajasthan.gov.in/nicgep/app?component=%24DirectLink&amp;page=FrontEndViewTender&amp;service=direct&amp;session=T&amp;sp=Sv4vYhUusnS20ypfrr2S%2FYg%3D%3D", "WORK01")</f>
        <v/>
      </c>
      <c r="C674" t="inlineStr">
        <is>
          <t>DLB||Dy.DR-Jaipur||Commissioner-Sikar</t>
        </is>
      </c>
      <c r="D674" t="inlineStr">
        <is>
          <t>20-May-2025 06:00 PM</t>
        </is>
      </c>
      <c r="E674" t="inlineStr">
        <is>
          <t>1,46,33,000</t>
        </is>
      </c>
      <c r="F674" t="inlineStr">
        <is>
          <t>Procurement of service for collection ,Transportation of Solid waste ,door to door waste segregated (dry and wet )at source and non-segregated from dustbin site in Zone-1 (ward 1-8, 10-12) and installation of IOT based system for monitoring of MSW..</t>
        </is>
      </c>
      <c r="G674" t="inlineStr">
        <is>
          <t>MUNICIPAL COUNCIL SIKAR</t>
        </is>
      </c>
    </row>
    <row r="675">
      <c r="A675" s="1" t="n">
        <v>673</v>
      </c>
      <c r="B675">
        <f>HYPERLINK("https://eproc.rajasthan.gov.in/nicgep/app?component=%24DirectLink&amp;page=FrontEndViewTender&amp;service=direct&amp;session=T&amp;sp=SyMxn58xT6uR10zDTwTAbQw%3D%3D", "Collection and transportation of Solid Waste From Ward No 01 to 20 In Municipal Area at Bhinmal")</f>
        <v/>
      </c>
      <c r="C675" t="inlineStr">
        <is>
          <t>DLB||Dy.DR-Jodhpur||EO-Bhinmal</t>
        </is>
      </c>
      <c r="D675" t="inlineStr">
        <is>
          <t>22-May-2025 06:00 PM</t>
        </is>
      </c>
      <c r="E675" t="inlineStr">
        <is>
          <t>49,99,000</t>
        </is>
      </c>
      <c r="F675" t="inlineStr">
        <is>
          <t>Collection and transportation of Solid Waste From Ward No 01 to 20 In Municipal Area at Bhinmal</t>
        </is>
      </c>
      <c r="G675" t="inlineStr">
        <is>
          <t>Municipal Area Bhinmal</t>
        </is>
      </c>
    </row>
    <row r="676">
      <c r="A676" s="1" t="n">
        <v>674</v>
      </c>
      <c r="B676">
        <f>HYPERLINK("https://eproc.rajasthan.gov.in/nicgep/app?component=%24DirectLink&amp;page=FrontEndViewTender&amp;service=direct&amp;session=T&amp;sp=SoZ57Yf8LcEQb7Yv1lsUAHw%3D%3D", "Renovation of Old Pond Near Shyam Mandir Nohar")</f>
        <v/>
      </c>
      <c r="C676" t="inlineStr">
        <is>
          <t>DLB||Dy.DR-Bikaner||EO-Suratgarh</t>
        </is>
      </c>
      <c r="D676" t="inlineStr">
        <is>
          <t>19-May-2025 03:00 PM</t>
        </is>
      </c>
      <c r="E676" t="inlineStr">
        <is>
          <t>3,96,00,000</t>
        </is>
      </c>
      <c r="F676" t="inlineStr">
        <is>
          <t>Renovation of Old Pond Near Shyam Mandir Nohar</t>
        </is>
      </c>
      <c r="G676" t="inlineStr">
        <is>
          <t>MB Nohar</t>
        </is>
      </c>
    </row>
    <row r="677">
      <c r="A677" s="1" t="n">
        <v>675</v>
      </c>
      <c r="B677">
        <f>HYPERLINK("https://eproc.rajasthan.gov.in/nicgep/app?component=%24DirectLink&amp;page=FrontEndViewTender&amp;service=direct&amp;session=T&amp;sp=SmAvh7DAFVyQNAWp9Wldwrw%3D%3D", "PROVIDING AND OPERATION OF 03 NO TRUCK MOUNTED ROAD SWEEPER MACHINES ON HIRE BASIS AS PER TENDER CONDITIONS")</f>
        <v/>
      </c>
      <c r="C677" t="inlineStr">
        <is>
          <t>DLB||Dy.DR-Jaipur||CEO-Jaipur</t>
        </is>
      </c>
      <c r="D677" t="inlineStr">
        <is>
          <t>19-May-2025 04:00 PM</t>
        </is>
      </c>
      <c r="E677" t="inlineStr">
        <is>
          <t>9,70,00,000</t>
        </is>
      </c>
      <c r="F677" t="inlineStr">
        <is>
          <t>PROVIDING AND OPERATION OF 03 NO TRUCK MOUNTED ROAD SWEEPER MACHINES ON HIRE BASIS AS PER TENDER CONDITIONS</t>
        </is>
      </c>
      <c r="G677" t="inlineStr">
        <is>
          <t>JAIPUR</t>
        </is>
      </c>
    </row>
    <row r="678">
      <c r="A678" s="1" t="n">
        <v>676</v>
      </c>
      <c r="B678">
        <f>HYPERLINK("https://eproc.rajasthan.gov.in/nicgep/app?component=%24DirectLink&amp;page=FrontEndViewTender&amp;service=direct&amp;session=T&amp;sp=S6GhmR2bkw28Zv55Lhp4foA%3D%3D", "tender for desilting of all the major drains and transporting of silt up to nanata tranching ground along with processing of silt using bio remadiation technque and disposal of rejects")</f>
        <v/>
      </c>
      <c r="C678" t="inlineStr">
        <is>
          <t>DLB||Dy.DR-Kota||CEO-Kota</t>
        </is>
      </c>
      <c r="D678" t="inlineStr">
        <is>
          <t>23-May-2025 06:00 PM</t>
        </is>
      </c>
      <c r="E678" t="inlineStr">
        <is>
          <t>2,06,00,000</t>
        </is>
      </c>
      <c r="F678" t="inlineStr">
        <is>
          <t>tender for desilting of all the major drains and transporting of silt up to nanata tranching ground along with processing of silt using bio remadiation technque and disposal of rejects</t>
        </is>
      </c>
      <c r="G678" t="inlineStr">
        <is>
          <t>kota</t>
        </is>
      </c>
    </row>
    <row r="679">
      <c r="A679" s="1" t="n">
        <v>677</v>
      </c>
      <c r="B679">
        <f>HYPERLINK("https://eproc.rajasthan.gov.in/nicgep/app?component=%24DirectLink&amp;page=FrontEndViewTender&amp;service=direct&amp;session=T&amp;sp=SWaUHO9okH0R3pIKVIbe3vw%3D%3D", "PROPOSED OFFICE BUILDING AT RATANGARH")</f>
        <v/>
      </c>
      <c r="C679" t="inlineStr">
        <is>
          <t>DLB||Dy.DR-Bikaner||EO-Ratangarh</t>
        </is>
      </c>
      <c r="D679" t="inlineStr">
        <is>
          <t>19-May-2025 06:00 PM</t>
        </is>
      </c>
      <c r="E679" t="inlineStr">
        <is>
          <t>4,99,91,000</t>
        </is>
      </c>
      <c r="F679" t="inlineStr">
        <is>
          <t>PROPOSED OFFICE BUILDING AT RATANGARH</t>
        </is>
      </c>
      <c r="G679" t="inlineStr">
        <is>
          <t>Nagar Palika Ratangrah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2025-05-17T12:59:46Z</dcterms:created>
  <dcterms:modified xsi:type="dcterms:W3CDTF">2025-05-17T12:59:46Z</dcterms:modified>
</cp:coreProperties>
</file>