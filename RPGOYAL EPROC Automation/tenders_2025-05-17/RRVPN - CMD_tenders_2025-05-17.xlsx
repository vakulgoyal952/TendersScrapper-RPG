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Title</t>
        </is>
      </c>
      <c r="C1" s="1" t="inlineStr">
        <is>
          <t>Organisation Chain</t>
        </is>
      </c>
      <c r="D1" s="1" t="inlineStr">
        <is>
          <t>Closing Date</t>
        </is>
      </c>
      <c r="E1" s="1" t="inlineStr">
        <is>
          <t>Amount</t>
        </is>
      </c>
      <c r="F1" s="1" t="inlineStr">
        <is>
          <t>Work Description</t>
        </is>
      </c>
      <c r="G1" s="1" t="inlineStr">
        <is>
          <t>Location</t>
        </is>
      </c>
    </row>
    <row r="2">
      <c r="A2" s="1" t="n">
        <v>0</v>
      </c>
      <c r="B2">
        <f>HYPERLINK("https://eproc.rajasthan.gov.in/nicgep/app?component=%24DirectLink&amp;page=FrontEndViewTender&amp;service=direct&amp;session=T&amp;sp=SKLEN2jfGP1njBndnUKFNFg%3D%3D", "Installation of 220/132 KV 100 MVA Transformer at 220 KV GSS Bhadra")</f>
        <v/>
      </c>
      <c r="C2" t="inlineStr">
        <is>
          <t>RRVPN - CMD||CE(T and C) Jodhpur||SE(T and C) Hanumangarh</t>
        </is>
      </c>
      <c r="D2" t="inlineStr">
        <is>
          <t>02-Jun-2025 06:00 PM</t>
        </is>
      </c>
      <c r="E2" t="inlineStr">
        <is>
          <t>5,68,011</t>
        </is>
      </c>
      <c r="F2" t="inlineStr">
        <is>
          <t>Installation of 220/132 KV 100 MVA Transformer at 220 KV GSS Bhadra</t>
        </is>
      </c>
      <c r="G2" t="inlineStr">
        <is>
          <t>220 KV GSS Bhadra</t>
        </is>
      </c>
    </row>
    <row r="3">
      <c r="A3" s="1" t="n">
        <v>1</v>
      </c>
      <c r="B3">
        <f>HYPERLINK("https://eproc.rajasthan.gov.in/nicgep/app?component=%24DirectLink&amp;page=FrontEndViewTender&amp;service=direct&amp;session=T&amp;sp=SryyH%2FlYZALiwrrE%2BLdwN1g%3D%3D", "Construction of Parking shed at 220 KV GSS Dausa")</f>
        <v/>
      </c>
      <c r="C3" t="inlineStr">
        <is>
          <t>RRVPN - CMD||CE (Civil) - Jaipur||ACE (Civil) Jaipur||SE (Civil) Jaipur</t>
        </is>
      </c>
      <c r="D3" t="inlineStr">
        <is>
          <t>26-May-2025 11:00 AM</t>
        </is>
      </c>
      <c r="E3" t="inlineStr">
        <is>
          <t>6,25,000</t>
        </is>
      </c>
      <c r="F3" t="inlineStr">
        <is>
          <t>Construction of Parking shed at 220 KV GSS Dausa</t>
        </is>
      </c>
      <c r="G3" t="inlineStr">
        <is>
          <t>220 KV GSS Dausa</t>
        </is>
      </c>
    </row>
    <row r="4">
      <c r="A4" s="1" t="n">
        <v>2</v>
      </c>
      <c r="B4">
        <f>HYPERLINK("https://eproc.rajasthan.gov.in/nicgep/app?component=%24DirectLink&amp;page=FrontEndViewTender&amp;service=direct&amp;session=T&amp;sp=S7kwkZRYq3T1UCM3av1dyaw%3D%3D", "R and M of false ceiling work in control room at 220 KV GSS Dausa")</f>
        <v/>
      </c>
      <c r="C4" t="inlineStr">
        <is>
          <t>RRVPN - CMD||CE (Civil) - Jaipur||ACE (Civil) Jaipur||SE (Civil) Jaipur</t>
        </is>
      </c>
      <c r="D4" t="inlineStr">
        <is>
          <t>26-May-2025 11:00 AM</t>
        </is>
      </c>
      <c r="E4" t="inlineStr">
        <is>
          <t>6,08,000</t>
        </is>
      </c>
      <c r="F4" t="inlineStr">
        <is>
          <t>R and M of false ceiling work in control room at 220 KV GSS Dausa</t>
        </is>
      </c>
      <c r="G4" t="inlineStr">
        <is>
          <t>220 KV GSS Dausa</t>
        </is>
      </c>
    </row>
    <row r="5">
      <c r="A5" s="1" t="n">
        <v>3</v>
      </c>
      <c r="B5">
        <f>HYPERLINK("https://eproc.rajasthan.gov.in/nicgep/app?component=%24DirectLink&amp;page=FrontEndViewTender&amp;service=direct&amp;session=T&amp;sp=SUNqqCVFR2OIsjnxYMupLmg%3D%3D", "Transformer Augmentation work for additional 132 and 33 KV 20 and 25 MVA transformer at 220 KV GSS Chomu")</f>
        <v/>
      </c>
      <c r="C5" t="inlineStr">
        <is>
          <t>RRVPN - CMD||CE (Civil) - Jaipur||ACE (Civil) Jaipur||SE (Civil) Jaipur</t>
        </is>
      </c>
      <c r="D5" t="inlineStr">
        <is>
          <t>26-May-2025 11:00 AM</t>
        </is>
      </c>
      <c r="E5" t="inlineStr">
        <is>
          <t>7,97,000</t>
        </is>
      </c>
      <c r="F5" t="inlineStr">
        <is>
          <t>Transformer Augmentation work for additional 132 and 33 KV 20 and 25 MVA transformer at 220 KV GSS Chomu</t>
        </is>
      </c>
      <c r="G5" t="inlineStr">
        <is>
          <t>Chomu</t>
        </is>
      </c>
    </row>
    <row r="6">
      <c r="A6" s="1" t="n">
        <v>4</v>
      </c>
      <c r="B6">
        <f>HYPERLINK("https://eproc.rajasthan.gov.in/nicgep/app?component=%24DirectLink&amp;page=FrontEndViewTender&amp;service=direct&amp;session=T&amp;sp=SjXCf5meFrN7tyMfXcHtwlw%3D%3D", "Raising of back and colony boundary wall at 132 KV GSS Bandikui")</f>
        <v/>
      </c>
      <c r="C6" t="inlineStr">
        <is>
          <t>RRVPN - CMD||CE (Civil) - Jaipur||ACE (Civil) Jaipur||SE (Civil) Jaipur</t>
        </is>
      </c>
      <c r="D6" t="inlineStr">
        <is>
          <t>26-May-2025 11:00 AM</t>
        </is>
      </c>
      <c r="E6" t="inlineStr">
        <is>
          <t>12,85,000</t>
        </is>
      </c>
      <c r="F6" t="inlineStr">
        <is>
          <t>Raising of back and colony boundary wall at 132 KV GSS Bandikui</t>
        </is>
      </c>
      <c r="G6" t="inlineStr">
        <is>
          <t>132 KV GSS Bandikui</t>
        </is>
      </c>
    </row>
    <row r="7">
      <c r="A7" s="1" t="n">
        <v>5</v>
      </c>
      <c r="B7">
        <f>HYPERLINK("https://eproc.rajasthan.gov.in/nicgep/app?component=%24DirectLink&amp;page=FrontEndViewTender&amp;service=direct&amp;session=T&amp;sp=SvH43zAvNjVgF7bErPv9jtA%3D%3D", "R and M of MM Building RVPN at Jaipur")</f>
        <v/>
      </c>
      <c r="C7" t="inlineStr">
        <is>
          <t>RRVPN - CMD||CE (Civil) - Jaipur||ACE (Civil) Jaipur||SE (Civil) Jaipur</t>
        </is>
      </c>
      <c r="D7" t="inlineStr">
        <is>
          <t>26-May-2025 11:00 AM</t>
        </is>
      </c>
      <c r="E7" t="inlineStr">
        <is>
          <t>12,80,000</t>
        </is>
      </c>
      <c r="F7" t="inlineStr">
        <is>
          <t>R and M of MM Building RVPN at Jaipur</t>
        </is>
      </c>
      <c r="G7" t="inlineStr">
        <is>
          <t>MM BUILDING</t>
        </is>
      </c>
    </row>
    <row r="8">
      <c r="A8" s="1" t="n">
        <v>6</v>
      </c>
      <c r="B8">
        <f>HYPERLINK("https://eproc.rajasthan.gov.in/nicgep/app?component=%24DirectLink&amp;page=FrontEndViewTender&amp;service=direct&amp;session=T&amp;sp=S6vcv0vrzUyp%2FWwNcG2ab%2Bg%3D%3D", "Construction offoundation for 02 Nos. 33 kV O/G bay for Bad Ke Balaji and")</f>
        <v/>
      </c>
      <c r="C8" t="inlineStr">
        <is>
          <t>RRVPN - CMD||CE (Civil) - Jaipur||ACE (Civil) Jaipur||SE (Civil) Jaipur</t>
        </is>
      </c>
      <c r="D8" t="inlineStr">
        <is>
          <t>26-May-2025 11:00 AM</t>
        </is>
      </c>
      <c r="E8" t="inlineStr">
        <is>
          <t>19,33,000</t>
        </is>
      </c>
      <c r="F8" t="inlineStr">
        <is>
          <t>Construction offoundation for 02 Nos. 33 kV O/G bay for Bad Ke Balaji and Heerapura with 33 kV Bus Extension at 132 kV GSS Bhankrota, Jaipur</t>
        </is>
      </c>
      <c r="G8" t="inlineStr">
        <is>
          <t>BHANKROTA</t>
        </is>
      </c>
    </row>
    <row r="9">
      <c r="A9" s="1" t="n">
        <v>7</v>
      </c>
      <c r="B9">
        <f>HYPERLINK("https://eproc.rajasthan.gov.in/nicgep/app?component=%24DirectLink&amp;page=FrontEndViewTender&amp;service=direct&amp;session=T&amp;sp=S0jh774Bn5vC8cnNIvOQhXQ%3D%3D", "Annual Contract for Maintenance of VRF/VRV Air Conditioning System installed at Vidyut Bhawan building Jaipur.")</f>
        <v/>
      </c>
      <c r="C9" t="inlineStr">
        <is>
          <t>RRVPN - CMD||CE (Civil) - Jaipur||ACE (Civil) Jaipur||SE (Civil) Jaipur</t>
        </is>
      </c>
      <c r="D9" t="inlineStr">
        <is>
          <t>26-May-2025 11:00 AM</t>
        </is>
      </c>
      <c r="E9" t="inlineStr">
        <is>
          <t>20,64,000</t>
        </is>
      </c>
      <c r="F9" t="inlineStr">
        <is>
          <t>Annual Contract for Maintenance of VRF/VRV Air Conditioning System installed at Vidyut Bhawan building Jaipur.</t>
        </is>
      </c>
      <c r="G9" t="inlineStr">
        <is>
          <t>vidhyut bhawan</t>
        </is>
      </c>
    </row>
    <row r="10">
      <c r="A10" s="1" t="n">
        <v>8</v>
      </c>
      <c r="B10">
        <f>HYPERLINK("https://eproc.rajasthan.gov.in/nicgep/app?component=%24DirectLink&amp;page=FrontEndViewTender&amp;service=direct&amp;session=T&amp;sp=SgTcI4NP97lPUyVS1NOKJOw%3D%3D", "Construction of Inspection Path at 220 KV GSS Nadbai")</f>
        <v/>
      </c>
      <c r="C10" t="inlineStr">
        <is>
          <t>RRVPN - CMD||CE (Civil) - Jaipur||SE (Civil), Jaipur</t>
        </is>
      </c>
      <c r="D10" t="inlineStr">
        <is>
          <t>26-May-2025 11:00 AM</t>
        </is>
      </c>
      <c r="E10" t="inlineStr">
        <is>
          <t>35,39,000</t>
        </is>
      </c>
      <c r="F10" t="inlineStr">
        <is>
          <t>Construction of Inspection Path at 220 KV GSS Nadbai</t>
        </is>
      </c>
      <c r="G10" t="inlineStr">
        <is>
          <t>220 KV GSS Nadbai</t>
        </is>
      </c>
    </row>
    <row r="11">
      <c r="A11" s="1" t="n">
        <v>9</v>
      </c>
      <c r="B11">
        <f>HYPERLINK("https://eproc.rajasthan.gov.in/nicgep/app?component=%24DirectLink&amp;page=FrontEndViewTender&amp;service=direct&amp;session=T&amp;sp=S6q8abNIMcLHGb0qeswdAsw%3D%3D", "Construction of Boundary wall, Storeshed and Guardhut at 220 KV GSS Bayana")</f>
        <v/>
      </c>
      <c r="C11" t="inlineStr">
        <is>
          <t>RRVPN - CMD||CE (Civil) - Jaipur||SE (Civil), Jaipur</t>
        </is>
      </c>
      <c r="D11" t="inlineStr">
        <is>
          <t>26-May-2025 11:00 AM</t>
        </is>
      </c>
      <c r="E11" t="inlineStr">
        <is>
          <t>93,10,000</t>
        </is>
      </c>
      <c r="F11" t="inlineStr">
        <is>
          <t>Construction of Boundary wall, Storeshed and Guardhut at 220 KV GSS Bayana</t>
        </is>
      </c>
      <c r="G11" t="inlineStr">
        <is>
          <t>220 KV GSS Bayana (Semramafi)</t>
        </is>
      </c>
    </row>
    <row r="12">
      <c r="A12" s="1" t="n">
        <v>10</v>
      </c>
      <c r="B12">
        <f>HYPERLINK("https://eproc.rajasthan.gov.in/nicgep/app?component=%24DirectLink&amp;page=FrontEndViewTender&amp;service=direct&amp;session=T&amp;sp=SSc5ArH%2BJFbOHWtfdxwHa9g%3D%3D", "Const. of Structure foundations (As per revision R-5) at 220 KV GSS Karoli")</f>
        <v/>
      </c>
      <c r="C12" t="inlineStr">
        <is>
          <t>RRVPN - CMD||CE (Civil) - Jaipur||SE (Civil), Jaipur||Ex.En. (Civil-I), Jaipur</t>
        </is>
      </c>
      <c r="D12" t="inlineStr">
        <is>
          <t>21-May-2025 11:00 AM</t>
        </is>
      </c>
      <c r="E12" t="inlineStr">
        <is>
          <t>13,75,000</t>
        </is>
      </c>
      <c r="F12" t="inlineStr">
        <is>
          <t>Const. of Structure foundations (As per revision R-5) at 220 KV GSS Karoli</t>
        </is>
      </c>
      <c r="G12" t="inlineStr">
        <is>
          <t>Karoli</t>
        </is>
      </c>
    </row>
    <row r="13">
      <c r="A13" s="1" t="n">
        <v>11</v>
      </c>
      <c r="B13">
        <f>HYPERLINK("https://eproc.rajasthan.gov.in/nicgep/app?component=%24DirectLink&amp;page=FrontEndViewTender&amp;service=direct&amp;session=T&amp;sp=Ss1Dwjou98j60owXqzbw5JA%3D%3D", "Contour survey of proposed Govt Land (Rundh Gidhawada) for proposed 765 KV GSS Ajarka")</f>
        <v/>
      </c>
      <c r="C13" t="inlineStr">
        <is>
          <t>RRVPN - CMD||CE (Civil) - Jaipur||SE (Civil), Jaipur||Ex.En. (Civil-I), Jaipur</t>
        </is>
      </c>
      <c r="D13" t="inlineStr">
        <is>
          <t>21-May-2025 11:00 AM</t>
        </is>
      </c>
      <c r="E13" t="inlineStr">
        <is>
          <t>6,00,000</t>
        </is>
      </c>
      <c r="F13" t="inlineStr">
        <is>
          <t>Contour survey of proposed Govt Land (Rundh Gidhawada) for proposed 765 KV GSS Ajarka</t>
        </is>
      </c>
      <c r="G13" t="inlineStr">
        <is>
          <t>Rundh Gidhawada, Kishangarh Bas</t>
        </is>
      </c>
    </row>
    <row r="14">
      <c r="A14" s="1" t="n">
        <v>12</v>
      </c>
      <c r="B14">
        <f>HYPERLINK("https://eproc.rajasthan.gov.in/nicgep/app?component=%24DirectLink&amp;page=FrontEndViewTender&amp;service=direct&amp;session=T&amp;sp=SYpdVgMnWmqJN9M0SKQJWpg%3D%3D", "Augmentation work of 40/50 MVA transformer at 132 KV GSS Bharatpur")</f>
        <v/>
      </c>
      <c r="C14" t="inlineStr">
        <is>
          <t>RRVPN - CMD||CE (Civil) - Jaipur||SE (Civil), Jaipur</t>
        </is>
      </c>
      <c r="D14" t="inlineStr">
        <is>
          <t>26-May-2025 11:00 AM</t>
        </is>
      </c>
      <c r="E14" t="inlineStr">
        <is>
          <t>11,10,000</t>
        </is>
      </c>
      <c r="F14" t="inlineStr">
        <is>
          <t>Augmentation work of 40/50 MVA transformer at 132 KV GSS Bharatpur</t>
        </is>
      </c>
      <c r="G14" t="inlineStr">
        <is>
          <t>132 KV GSS Bharatpur</t>
        </is>
      </c>
    </row>
    <row r="15">
      <c r="A15" s="1" t="n">
        <v>13</v>
      </c>
      <c r="B15">
        <f>HYPERLINK("https://eproc.rajasthan.gov.in/nicgep/app?component=%24DirectLink&amp;page=FrontEndViewTender&amp;service=direct&amp;session=T&amp;sp=SfhknCssbwbjthP9TtpmSbw%3D%3D", "Repairing of isolator switch boxes and circuit breaker platforms at 220 KV GSS Behror")</f>
        <v/>
      </c>
      <c r="C15" t="inlineStr">
        <is>
          <t>RRVPN - CMD||CE (Civil) - Jaipur||SE (Civil), Jaipur||Ex.En. (Civil-I), Jaipur</t>
        </is>
      </c>
      <c r="D15" t="inlineStr">
        <is>
          <t>26-May-2025 11:00 AM</t>
        </is>
      </c>
      <c r="E15" t="inlineStr">
        <is>
          <t>7,10,000</t>
        </is>
      </c>
      <c r="F15" t="inlineStr">
        <is>
          <t>Repairing of isolator switch boxes and circuit breaker platforms at 220 KV GSS Behror</t>
        </is>
      </c>
      <c r="G15" t="inlineStr">
        <is>
          <t>220 KV GSS Behror</t>
        </is>
      </c>
    </row>
    <row r="16">
      <c r="A16" s="1" t="n">
        <v>14</v>
      </c>
      <c r="B16">
        <f>HYPERLINK("https://eproc.rajasthan.gov.in/nicgep/app?component=%24DirectLink&amp;page=FrontEndViewTender&amp;service=direct&amp;session=T&amp;sp=SL%2BnJLez5ff7vDYOEtqA%2BiQ%3D%3D", "Overhauling and painting of 220, 132KV, 100MVA, IMP-Make Transformer for rectification of Oil leakage at 220 KV GSS, Kishangarh District - Ajmer on labour contract basis")</f>
        <v/>
      </c>
      <c r="C16" t="inlineStr">
        <is>
          <t>RRVPN - CMD||CE(T and C) Ajmer||SE(T and C) Ajmer</t>
        </is>
      </c>
      <c r="D16" t="inlineStr">
        <is>
          <t>30-May-2025 06:00 PM</t>
        </is>
      </c>
      <c r="E16" t="inlineStr">
        <is>
          <t>8,23,615</t>
        </is>
      </c>
      <c r="F16" t="inlineStr">
        <is>
          <t>Overhauling and painting of 220, 132KV, 100MVA, IMP-Make Transformer for rectification of Oil leakage at 220 KV GSS, Kishangarh District - Ajmer on labour contract basis</t>
        </is>
      </c>
      <c r="G16" t="inlineStr">
        <is>
          <t>KISHANGARH</t>
        </is>
      </c>
    </row>
    <row r="17">
      <c r="A17" s="1" t="n">
        <v>15</v>
      </c>
      <c r="B17">
        <f>HYPERLINK("https://eproc.rajasthan.gov.in/nicgep/app?component=%24DirectLink&amp;page=FrontEndViewTender&amp;service=direct&amp;session=T&amp;sp=SKgDaDmHPkEUNjb6MhW%2Ft2Q%3D%3D", "Const. of Civil works for 1x20/25MVA, 132/33KV Transformer at 132 KV GSS Nahargarh (Baran)")</f>
        <v/>
      </c>
      <c r="C17" t="inlineStr">
        <is>
          <t>RRVPN - CMD||CE (Civil) - Jaipur||ACE (Civil) Jaipur||SE (Civil) Kota</t>
        </is>
      </c>
      <c r="D17" t="inlineStr">
        <is>
          <t>21-May-2025 05:00 PM</t>
        </is>
      </c>
      <c r="E17" t="inlineStr">
        <is>
          <t>11,62,000</t>
        </is>
      </c>
      <c r="F17" t="inlineStr">
        <is>
          <t>Const. of Civil works for 1x20/25MVA, 132/33KV Transformer at 132 KV GSS Nahargarh (Baran)</t>
        </is>
      </c>
      <c r="G17" t="inlineStr">
        <is>
          <t>BARAN</t>
        </is>
      </c>
    </row>
    <row r="18">
      <c r="A18" s="1" t="n">
        <v>16</v>
      </c>
      <c r="B18">
        <f>HYPERLINK("https://eproc.rajasthan.gov.in/nicgep/app?component=%24DirectLink&amp;page=FrontEndViewTender&amp;service=direct&amp;session=T&amp;sp=SiHonK3WxCYn8ZX%2FrXlSB0Q%3D%3D", "Const. of Civil works for 1x31.5, 20/25MVA, 132/33KV Transformer at 132 KV GSS Kishanganj (Baran)")</f>
        <v/>
      </c>
      <c r="C18" t="inlineStr">
        <is>
          <t>RRVPN - CMD||CE (Civil) - Jaipur||ACE (Civil) Jaipur||SE (Civil) Kota</t>
        </is>
      </c>
      <c r="D18" t="inlineStr">
        <is>
          <t>21-May-2025 05:00 PM</t>
        </is>
      </c>
      <c r="E18" t="inlineStr">
        <is>
          <t>6,70,000</t>
        </is>
      </c>
      <c r="F18" t="inlineStr">
        <is>
          <t>Const. of Civil works for 1x31.5, 20/25MVA, 132/33KV Transformer at 132 KV GSS Kishanganj (Baran)</t>
        </is>
      </c>
      <c r="G18" t="inlineStr">
        <is>
          <t>BARAN</t>
        </is>
      </c>
    </row>
    <row r="19">
      <c r="A19" s="1" t="n">
        <v>17</v>
      </c>
      <c r="B19">
        <f>HYPERLINK("https://eproc.rajasthan.gov.in/nicgep/app?component=%24DirectLink&amp;page=FrontEndViewTender&amp;service=direct&amp;session=T&amp;sp=SqPAaXs2P5azrZ4mzU5AHYg%3D%3D", "Augmentation work of 31.5, 20/25 MVA Transformar at 220 KV GSS Modak, Kota")</f>
        <v/>
      </c>
      <c r="C19" t="inlineStr">
        <is>
          <t>RRVPN - CMD||CE (Civil) - Jaipur||ACE (Civil) Jaipur||SE (Civil) Kota</t>
        </is>
      </c>
      <c r="D19" t="inlineStr">
        <is>
          <t>21-May-2025 05:00 PM</t>
        </is>
      </c>
      <c r="E19" t="inlineStr">
        <is>
          <t>9,53,000</t>
        </is>
      </c>
      <c r="F19" t="inlineStr">
        <is>
          <t>Augmentation work of 31.5, 20/25 MVA Transformar at 220 KV GSS Modak, Kota</t>
        </is>
      </c>
      <c r="G19" t="inlineStr">
        <is>
          <t>KOTA</t>
        </is>
      </c>
    </row>
    <row r="20">
      <c r="A20" s="1" t="n">
        <v>18</v>
      </c>
      <c r="B20">
        <f>HYPERLINK("https://eproc.rajasthan.gov.in/nicgep/app?component=%24DirectLink&amp;page=FrontEndViewTender&amp;service=direct&amp;session=T&amp;sp=SB86kW1dQaAJ98BGyQPV23Q%3D%3D", "Construction of civil work for 1x20/25, 10/12.5 mva 132/33 kv Transformer at 132 KV GSS Anta")</f>
        <v/>
      </c>
      <c r="C20" t="inlineStr">
        <is>
          <t>RRVPN - CMD||CE (Civil) - Jaipur||ACE (Civil) Jaipur||SE (Civil) Kota</t>
        </is>
      </c>
      <c r="D20" t="inlineStr">
        <is>
          <t>21-May-2025 05:00 PM</t>
        </is>
      </c>
      <c r="E20" t="inlineStr">
        <is>
          <t>9,72,000</t>
        </is>
      </c>
      <c r="F20" t="inlineStr">
        <is>
          <t>Construction of civil work for 1x20/25, 10/12.5 mva 132/33 kv Transformer at 132 KV GSS Anta</t>
        </is>
      </c>
      <c r="G20" t="inlineStr">
        <is>
          <t>BARAN</t>
        </is>
      </c>
    </row>
    <row r="21">
      <c r="A21" s="1" t="n">
        <v>19</v>
      </c>
      <c r="B21">
        <f>HYPERLINK("https://eproc.rajasthan.gov.in/nicgep/app?component=%24DirectLink&amp;page=FrontEndViewTender&amp;service=direct&amp;session=T&amp;sp=SLQ6V6CVmwaSg%2B8lpSFyYlA%3D%3D", "Augmentation work of 40/50, 20/25 MVA Transformer at 220 KV GSS Modak, Kota")</f>
        <v/>
      </c>
      <c r="C21" t="inlineStr">
        <is>
          <t>RRVPN - CMD||CE (Civil) - Jaipur||ACE (Civil) Jaipur||SE (Civil) Kota</t>
        </is>
      </c>
      <c r="D21" t="inlineStr">
        <is>
          <t>21-May-2025 05:00 PM</t>
        </is>
      </c>
      <c r="E21" t="inlineStr">
        <is>
          <t>9,98,000</t>
        </is>
      </c>
      <c r="F21" t="inlineStr">
        <is>
          <t>Augmentation work of 40/50, 20/25 MVA Transformer at 220 KV GSS Modak, Kota</t>
        </is>
      </c>
      <c r="G21" t="inlineStr">
        <is>
          <t>KOTA</t>
        </is>
      </c>
    </row>
    <row r="22">
      <c r="A22" s="1" t="n">
        <v>20</v>
      </c>
      <c r="B22">
        <f>HYPERLINK("https://eproc.rajasthan.gov.in/nicgep/app?component=%24DirectLink&amp;page=FrontEndViewTender&amp;service=direct&amp;session=T&amp;sp=S7RQIy4Ne%2FoYkP5n7j1I57w%3D%3D", "Construction of new Cable trench for Replacement of 220 KV simplex Control and Relay panel various 220 KV at 220 KV GSS Sakatpura Kota")</f>
        <v/>
      </c>
      <c r="C22" t="inlineStr">
        <is>
          <t>RRVPN - CMD||CE (Civil) - Jaipur||ACE (Civil) Jaipur||SE (Civil) Kota</t>
        </is>
      </c>
      <c r="D22" t="inlineStr">
        <is>
          <t>21-May-2025 05:00 PM</t>
        </is>
      </c>
      <c r="E22" t="inlineStr">
        <is>
          <t>35,67,000</t>
        </is>
      </c>
      <c r="F22" t="inlineStr">
        <is>
          <t>Construction of new Cable trench for Replacement of 220 KV simplex Control and Relay panel various 220 KV at 220 KV GSS Sakatpura Kota</t>
        </is>
      </c>
      <c r="G22" t="inlineStr">
        <is>
          <t>KOTA</t>
        </is>
      </c>
    </row>
    <row r="23">
      <c r="A23" s="1" t="n">
        <v>21</v>
      </c>
      <c r="B23">
        <f>HYPERLINK("https://eproc.rajasthan.gov.in/nicgep/app?component=%24DirectLink&amp;page=FrontEndViewTender&amp;service=direct&amp;session=T&amp;sp=SmyvGMgNwI26LWdd6qsJF%2FQ%3D%3D", "Construction of Boundary wall at 132 KV GSS Chomakot Kota")</f>
        <v/>
      </c>
      <c r="C23" t="inlineStr">
        <is>
          <t>RRVPN - CMD||CE (Civil) - Jaipur||ACE (Civil) Jaipur||SE (Civil) Kota</t>
        </is>
      </c>
      <c r="D23" t="inlineStr">
        <is>
          <t>21-May-2025 05:00 PM</t>
        </is>
      </c>
      <c r="E23" t="inlineStr">
        <is>
          <t>74,46,000</t>
        </is>
      </c>
      <c r="F23" t="inlineStr">
        <is>
          <t>Construction of Boundary wall at 132 KV GSS Chomakot Kota</t>
        </is>
      </c>
      <c r="G23" t="inlineStr">
        <is>
          <t>KOTA</t>
        </is>
      </c>
    </row>
    <row r="24">
      <c r="A24" s="1" t="n">
        <v>22</v>
      </c>
      <c r="B24">
        <f>HYPERLINK("https://eproc.rajasthan.gov.in/nicgep/app?component=%24DirectLink&amp;page=FrontEndViewTender&amp;service=direct&amp;session=T&amp;sp=SJq8t5JBdqYmSp4J3jVtkSw%3D%3D", "Construction of Boundary wall at 132 KV GSS Semli Phatak Baran")</f>
        <v/>
      </c>
      <c r="C24" t="inlineStr">
        <is>
          <t>RRVPN - CMD||CE (Civil) - Jaipur||ACE (Civil) Jaipur||SE (Civil) Kota</t>
        </is>
      </c>
      <c r="D24" t="inlineStr">
        <is>
          <t>21-May-2025 05:00 PM</t>
        </is>
      </c>
      <c r="E24" t="inlineStr">
        <is>
          <t>87,40,000</t>
        </is>
      </c>
      <c r="F24" t="inlineStr">
        <is>
          <t>Construction of Boundary wall at 132 KV GSS Semli Phatak Baran</t>
        </is>
      </c>
      <c r="G24" t="inlineStr">
        <is>
          <t>BARAN</t>
        </is>
      </c>
    </row>
    <row r="25">
      <c r="A25" s="1" t="n">
        <v>23</v>
      </c>
      <c r="B25">
        <f>HYPERLINK("https://eproc.rajasthan.gov.in/nicgep/app?component=%24DirectLink&amp;page=FrontEndViewTender&amp;service=direct&amp;session=T&amp;sp=S0DA1rrdxfTMTWg4%2FMaNZ1g%3D%3D", "Extension of Battery room and PLCC room in Control room at 220 KV GSS Jhalawar")</f>
        <v/>
      </c>
      <c r="C25" t="inlineStr">
        <is>
          <t>RRVPN - CMD||CE (Civil) - Jaipur||ACE (Civil) Jaipur||SE (Civil) Kota</t>
        </is>
      </c>
      <c r="D25" t="inlineStr">
        <is>
          <t>21-May-2025 05:00 PM</t>
        </is>
      </c>
      <c r="E25" t="inlineStr">
        <is>
          <t>10,78,000</t>
        </is>
      </c>
      <c r="F25" t="inlineStr">
        <is>
          <t>Extension of Battery room and PLCC room in Control room at 220 KV GSS Jhalawar</t>
        </is>
      </c>
      <c r="G25" t="inlineStr">
        <is>
          <t>JHALAWAR</t>
        </is>
      </c>
    </row>
    <row r="26">
      <c r="A26" s="1" t="n">
        <v>24</v>
      </c>
      <c r="B26">
        <f>HYPERLINK("https://eproc.rajasthan.gov.in/nicgep/app?component=%24DirectLink&amp;page=FrontEndViewTender&amp;service=direct&amp;session=T&amp;sp=SND2LX6rk3DUkzHCvo0CD%2Fg%3D%3D", "Construction of 1 No. 220 KV Transformer Fire Wall at 220 KV GSS Jhalawar and 1 No. 132 KV Transformer Fire Wall at 132 KV GSS Aklera, 132 KV GSS Dug and 132 KV GSS Hemda (Jhalawar)")</f>
        <v/>
      </c>
      <c r="C26" t="inlineStr">
        <is>
          <t>RRVPN - CMD||CE (Civil) - Jaipur||ACE (Civil) Jaipur||SE (Civil) Kota</t>
        </is>
      </c>
      <c r="D26" t="inlineStr">
        <is>
          <t>21-May-2025 05:00 PM</t>
        </is>
      </c>
      <c r="E26" t="inlineStr">
        <is>
          <t>8,73,000</t>
        </is>
      </c>
      <c r="F26" t="inlineStr">
        <is>
          <t>Construction of 1 No. 220 KV Transformer Fire Wall at 220 KV GSS Jhalawar and 1 No. 132 KV Transformer Fire Wall at 132 KV GSS Aklera, 132 KV GSS Dug and 132 KV GSS Hemda (Jhalawar)</t>
        </is>
      </c>
      <c r="G26" t="inlineStr">
        <is>
          <t>JHALAWAR</t>
        </is>
      </c>
    </row>
    <row r="27">
      <c r="A27" s="1" t="n">
        <v>25</v>
      </c>
      <c r="B27">
        <f>HYPERLINK("https://eproc.rajasthan.gov.in/nicgep/app?component=%24DirectLink&amp;page=FrontEndViewTender&amp;service=direct&amp;session=T&amp;sp=SebLwu4uzD%2BjIkkwC8pBwLw%3D%3D", "Augmentation work of 80 40/50 MVA Transformar at 132 KV GSS Mahaveer Nagar,Kota.")</f>
        <v/>
      </c>
      <c r="C27" t="inlineStr">
        <is>
          <t>RRVPN - CMD||CE (Civil) - Jaipur||ACE (Civil) Jaipur||SE (Civil) Kota</t>
        </is>
      </c>
      <c r="D27" t="inlineStr">
        <is>
          <t>21-May-2025 05:00 PM</t>
        </is>
      </c>
      <c r="E27" t="inlineStr">
        <is>
          <t>9,97,000</t>
        </is>
      </c>
      <c r="F27" t="inlineStr">
        <is>
          <t>Augmentation work of 80 40/50 MVA Transformar at 132 KV GSS Mahaveer Nagar,Kota.</t>
        </is>
      </c>
      <c r="G27" t="inlineStr">
        <is>
          <t>KOTA</t>
        </is>
      </c>
    </row>
    <row r="28">
      <c r="A28" s="1" t="n">
        <v>26</v>
      </c>
      <c r="B28">
        <f>HYPERLINK("https://eproc.rajasthan.gov.in/nicgep/app?component=%24DirectLink&amp;page=FrontEndViewTender&amp;service=direct&amp;session=T&amp;sp=SFos4XLoo77ivK0I%2FuKxm9w%3D%3D", "P and F Air Conditioners at 400 KV GSS Babai Jhunjhunu")</f>
        <v/>
      </c>
      <c r="C28" t="inlineStr">
        <is>
          <t>RRVPN - CMD||CE (Civil) - Jaipur||ACE (Civil) Jaipur||SE (Civil) Jaipur</t>
        </is>
      </c>
      <c r="D28" t="inlineStr">
        <is>
          <t>22-May-2025 04:00 PM</t>
        </is>
      </c>
      <c r="E28" t="inlineStr">
        <is>
          <t>19,93,000</t>
        </is>
      </c>
      <c r="F28" t="inlineStr">
        <is>
          <t>P and F Air Conditioners at 400 KV GSS Babai Jhunjhunu</t>
        </is>
      </c>
      <c r="G28" t="inlineStr">
        <is>
          <t>400 KV GSS Babai</t>
        </is>
      </c>
    </row>
    <row r="29">
      <c r="A29" s="1" t="n">
        <v>27</v>
      </c>
      <c r="B29">
        <f>HYPERLINK("https://eproc.rajasthan.gov.in/nicgep/app?component=%24DirectLink&amp;page=FrontEndViewTender&amp;service=direct&amp;session=T&amp;sp=SE2iGEjTAu9hidekgELZ0zA%3D%3D", "Construction of drainage system in yard at 132 KV GSS Katkad , Karauli")</f>
        <v/>
      </c>
      <c r="C29" t="inlineStr">
        <is>
          <t>RRVPN - CMD||CE (Civil) - Jaipur||ACE (Civil) Jaipur||SE (Civil) Kota</t>
        </is>
      </c>
      <c r="D29" t="inlineStr">
        <is>
          <t>21-May-2025 05:00 PM</t>
        </is>
      </c>
      <c r="E29" t="inlineStr">
        <is>
          <t>22,10,000</t>
        </is>
      </c>
      <c r="F29" t="inlineStr">
        <is>
          <t>Construction of drainage system in yard at 132 KV GSS Katkad , Karauli</t>
        </is>
      </c>
      <c r="G29" t="inlineStr">
        <is>
          <t>132 KV GSS KATKAD</t>
        </is>
      </c>
    </row>
    <row r="30">
      <c r="A30" s="1" t="n">
        <v>28</v>
      </c>
      <c r="B30">
        <f>HYPERLINK("https://eproc.rajasthan.gov.in/nicgep/app?component=%24DirectLink&amp;page=FrontEndViewTender&amp;service=direct&amp;session=T&amp;sp=SGurFERCVW7mfQNdZH1iT%2Bw%3D%3D", "RNM OF Road at 220 KV GSS Dholpur")</f>
        <v/>
      </c>
      <c r="C30" t="inlineStr">
        <is>
          <t>RRVPN - CMD||CE (Civil) - Jaipur||ACE (Civil) Jaipur||SE (Civil) Kota</t>
        </is>
      </c>
      <c r="D30" t="inlineStr">
        <is>
          <t>21-May-2025 05:00 PM</t>
        </is>
      </c>
      <c r="E30" t="inlineStr">
        <is>
          <t>71,67,000</t>
        </is>
      </c>
      <c r="F30" t="inlineStr">
        <is>
          <t>RNM OF Road at 220 KV GSS Dholpur</t>
        </is>
      </c>
      <c r="G30" t="inlineStr">
        <is>
          <t>220 KV GSS DHOLPUR</t>
        </is>
      </c>
    </row>
    <row r="31">
      <c r="A31" s="1" t="n">
        <v>29</v>
      </c>
      <c r="B31">
        <f>HYPERLINK("https://eproc.rajasthan.gov.in/nicgep/app?component=%24DirectLink&amp;page=FrontEndViewTender&amp;service=direct&amp;session=T&amp;sp=SmrVf5R4e9uiUiwdPQ65fVg%3D%3D", "Modification work of 220 KV Bhilwara-Bamantukda line between location no. 199-200on labour contract as per G schedule")</f>
        <v/>
      </c>
      <c r="C31" t="inlineStr">
        <is>
          <t>RRVPN - CMD||CE(T and C) Ajmer||SE(Tand C) Udaipur</t>
        </is>
      </c>
      <c r="D31" t="inlineStr">
        <is>
          <t>30-May-2025 06:00 PM</t>
        </is>
      </c>
      <c r="E31" t="inlineStr">
        <is>
          <t>24,97,087</t>
        </is>
      </c>
      <c r="F31" t="inlineStr">
        <is>
          <t>Modification work of 220 KV Bhilwara-Bamantukda line between location no. 199-200on labour contract as per G schedule</t>
        </is>
      </c>
      <c r="G31" t="inlineStr">
        <is>
          <t>BHILWARA-BAMANTUKDA</t>
        </is>
      </c>
    </row>
    <row r="32">
      <c r="A32" s="1" t="n">
        <v>30</v>
      </c>
      <c r="B32">
        <f>HYPERLINK("https://eproc.rajasthan.gov.in/nicgep/app?component=%24DirectLink&amp;page=FrontEndViewTender&amp;service=direct&amp;session=T&amp;sp=SClaJy06ER8vG7Rxvut%2BZzQ%3D%3D", "NIB-05/2025-26")</f>
        <v/>
      </c>
      <c r="C32" t="inlineStr">
        <is>
          <t>RRVPN - CMD||CE(T and C) Jodhpur||SE(T and C) Jaisalmer</t>
        </is>
      </c>
      <c r="D32" t="inlineStr">
        <is>
          <t>22-May-2025 06:00 PM</t>
        </is>
      </c>
      <c r="E32" t="inlineStr">
        <is>
          <t>17,77,898</t>
        </is>
      </c>
      <c r="F32" t="inlineStr">
        <is>
          <t>Modification work for height raising of 132 KV S/C Dalot-Peepalwa Line (Distt. Banswara) in between Loc. No. 48-49 (Mahi river crossing) for acquiring adequate ground clearance labour contract basisbased on BSR 2017</t>
        </is>
      </c>
      <c r="G32" t="inlineStr">
        <is>
          <t>PEEPALWA (BANSWARA)</t>
        </is>
      </c>
    </row>
    <row r="33">
      <c r="A33" s="1" t="n">
        <v>31</v>
      </c>
      <c r="B33">
        <f>HYPERLINK("https://eproc.rajasthan.gov.in/nicgep/app?component=%24DirectLink&amp;page=FrontEndViewTender&amp;service=direct&amp;session=T&amp;sp=S0ddEgB79jr4YeCT8iMUpBQ%3D%3D", "CONSTRUCTION OF 220KV AND 132KV TRANSMISSION LINES ASSOCIATED WITH 220KV GSS BETINA (DIST JAISALMER) IN RAJ INCL. SURVEY, SUPPLY OF ALL EQUIPMENT/MATERIALS, ERECTION (INCL. CIVIL WORK), TESTING AND COMMISSIONING (TURNKEY PROJECT) BN9019002503")</f>
        <v/>
      </c>
      <c r="C33" t="inlineStr">
        <is>
          <t>RRVPN - CMD||CE (Contracts) Jaipur||SE (Contracts-II) Jaipur</t>
        </is>
      </c>
      <c r="D33" t="inlineStr">
        <is>
          <t>19-Jun-2025 04:00 PM</t>
        </is>
      </c>
      <c r="E33" t="inlineStr">
        <is>
          <t>41,23,30,000</t>
        </is>
      </c>
      <c r="F33" t="inlineStr">
        <is>
          <t>CONSTRUCTION OF 220KV AND 132KV TRANSMISSION LINES ASSOCIATED WITH 220KV GSS BETINA (DIST JAISALMER) IN RAJ INCL. SURVEY, SUPPLY OF ALL EQUIPMENT/MATERIALS, ERECTION (INCL. CIVIL WORK), TESTING AND COMMISSIONING (TURNKEY PROJECT) BN9019002503</t>
        </is>
      </c>
      <c r="G33" t="inlineStr">
        <is>
          <t>Betina (Jaisalmer)</t>
        </is>
      </c>
    </row>
    <row r="34">
      <c r="A34" s="1" t="n">
        <v>32</v>
      </c>
      <c r="B34">
        <f>HYPERLINK("https://eproc.rajasthan.gov.in/nicgep/app?component=%24DirectLink&amp;page=FrontEndViewTender&amp;service=direct&amp;session=T&amp;sp=Sh%2F05Q%2FtjrvkhBesfnfh%2FFA%3D%3D", "Construction of 220/132 kV, 1x160 MVA and 132/33 kV, 1x40/50 MVA GSS Betina Jaisalmer with cap bank bay incl. survey, supply of all equipment/materials, erection (incl civil), testing and commissioning (turnkey project) against RVPN/EHV/BN9019002502")</f>
        <v/>
      </c>
      <c r="C34" t="inlineStr">
        <is>
          <t>RRVPN - CMD||CE (Contracts) Jaipur||SE (Contracts-II) Jaipur</t>
        </is>
      </c>
      <c r="D34" t="inlineStr">
        <is>
          <t>19-Jun-2025 04:00 PM</t>
        </is>
      </c>
      <c r="E34" t="inlineStr">
        <is>
          <t>48,21,89,000</t>
        </is>
      </c>
      <c r="F34" t="inlineStr">
        <is>
          <t>Construction of 220/132 kV, 1x160 MVA and 132/33 kV, 1x40/50 MVA GSS Betina Jaisalmer with cap bank bay incl. survey, supply of all equipment/materials, erection (incl civil), testing and commissioning (turnkey project) against RVPN/EHV/BN9019002502</t>
        </is>
      </c>
      <c r="G34" t="inlineStr">
        <is>
          <t>Betina (Jaisalmer)</t>
        </is>
      </c>
    </row>
    <row r="35">
      <c r="A35" s="1" t="n">
        <v>33</v>
      </c>
      <c r="B35">
        <f>HYPERLINK("https://eproc.rajasthan.gov.in/nicgep/app?component=%24DirectLink&amp;page=FrontEndViewTender&amp;service=direct&amp;session=T&amp;sp=SODeLqf4PDWLesMccJvcBZQ%3D%3D", "Construction of 220 kV S/C Dechu-Tinwari Line with 1X220 kV Bay work at Dechu and Tinwari alongwith stringing of 2nd circuit on existing 132 kV S/C Bhadala-Khetusar Line on D/C towers and 1x132 kV Bay at 132 kV GSS Khetusar on Trunkey basis")</f>
        <v/>
      </c>
      <c r="C35" t="inlineStr">
        <is>
          <t>RRVPN - CMD||CE (Contracts) Jaipur||SE (Contracts-II) Jaipur</t>
        </is>
      </c>
      <c r="D35" t="inlineStr">
        <is>
          <t>05-Jun-2025 04:00 PM</t>
        </is>
      </c>
      <c r="E35" t="inlineStr">
        <is>
          <t>30,30,00,000</t>
        </is>
      </c>
      <c r="F35" t="inlineStr">
        <is>
          <t>Construction of 220 kV S/C Dechu-Tinwari Line with 1X220 kV Bay work at Dechu and Tinwari alongwith stringing of 2nd circuit on existing 132 kV S/C Bhadala-Khetusar Line on D/C towers and 1x132 kV Bay at 132 kV GSS Khetusar on Trunkey basis</t>
        </is>
      </c>
      <c r="G35" t="inlineStr">
        <is>
          <t>all Rajasthan</t>
        </is>
      </c>
    </row>
    <row r="36">
      <c r="A36" s="1" t="n">
        <v>34</v>
      </c>
      <c r="B36">
        <f>HYPERLINK("https://eproc.rajasthan.gov.in/nicgep/app?component=%24DirectLink&amp;page=FrontEndViewTender&amp;service=direct&amp;session=T&amp;sp=ScdglxbSSGHdb6MFui5rR0A%3D%3D", "NIB for Purchase of 245kV SCPI on rate contract for 2 years under BN-9016002502")</f>
        <v/>
      </c>
      <c r="C36" t="inlineStr">
        <is>
          <t>RRVPN - CMD||CE (Procurement) Jaipur||SE (Procurment-II) Jaipur</t>
        </is>
      </c>
      <c r="D36" t="inlineStr">
        <is>
          <t>22-May-2025 06:00 PM</t>
        </is>
      </c>
      <c r="E36" t="inlineStr">
        <is>
          <t>9,49,36,350</t>
        </is>
      </c>
      <c r="F36" t="inlineStr">
        <is>
          <t>NIB for Purchase of 5392 stack of 245kV SCPI on rate contract for 2 years under BN-9016002502</t>
        </is>
      </c>
      <c r="G36" t="inlineStr">
        <is>
          <t>All over Rajasthan</t>
        </is>
      </c>
    </row>
    <row r="37">
      <c r="A37" s="1" t="n">
        <v>35</v>
      </c>
      <c r="B37">
        <f>HYPERLINK("https://eproc.rajasthan.gov.in/nicgep/app?component=%24DirectLink&amp;page=FrontEndViewTender&amp;service=direct&amp;session=T&amp;sp=SNOPuKpSyTTABSi7kQEpJgw%3D%3D", "NIB for Purchase of 145kV, 1250A Motorized Isolator on rate contract for 2 years under BN-9016002503")</f>
        <v/>
      </c>
      <c r="C37" t="inlineStr">
        <is>
          <t>RRVPN - CMD||CE (Procurement) Jaipur||SE (Procurment-II) Jaipur</t>
        </is>
      </c>
      <c r="D37" t="inlineStr">
        <is>
          <t>27-May-2025 06:00 PM</t>
        </is>
      </c>
      <c r="E37" t="inlineStr">
        <is>
          <t>32,90,42,998</t>
        </is>
      </c>
      <c r="F37" t="inlineStr">
        <is>
          <t>NIB for Purchase of 145kV, 1250A Motorized Isolator on rate contract for 2 years under BN-9016002503</t>
        </is>
      </c>
      <c r="G37" t="inlineStr">
        <is>
          <t>All over Rajasthan</t>
        </is>
      </c>
    </row>
    <row r="38">
      <c r="A38" s="1" t="n">
        <v>36</v>
      </c>
      <c r="B38">
        <f>HYPERLINK("https://eproc.rajasthan.gov.in/nicgep/app?component=%24DirectLink&amp;page=FrontEndViewTender&amp;service=direct&amp;session=T&amp;sp=SdsZkdl02Yy%2FKAOf3m5hTEg%3D%3D", "PURCHASE OF 124 NOS. OF 220 kV, 415 NOS. OF 132 kV AND 455 NOS. OF 2X33 kV MARSHALLING")</f>
        <v/>
      </c>
      <c r="C38" t="inlineStr">
        <is>
          <t>RRVPN - CMD||CE (Procurement) Jaipur||SE (Procurment-II) Jaipur</t>
        </is>
      </c>
      <c r="D38" t="inlineStr">
        <is>
          <t>22-May-2025 06:00 PM</t>
        </is>
      </c>
      <c r="E38" t="inlineStr">
        <is>
          <t>2,35,68,000</t>
        </is>
      </c>
      <c r="F38" t="inlineStr">
        <is>
          <t>PURCHASE OF 124 NOS. OF 220 kV, 415 NOS. OF 132 kV AND 455 NOS. OF 2X33 kV MARSHALLING</t>
        </is>
      </c>
      <c r="G38" t="inlineStr">
        <is>
          <t>All over Rajasthan</t>
        </is>
      </c>
    </row>
    <row r="39">
      <c r="A39" s="1" t="n">
        <v>37</v>
      </c>
      <c r="B39">
        <f>HYPERLINK("https://eproc.rajasthan.gov.in/nicgep/app?component=%24DirectLink&amp;page=FrontEndViewTender&amp;service=direct&amp;session=T&amp;sp=SOSOVMaG2asLHlYFEeDHLVA%3D%3D", "INSTALLATION OF CAPACITOR BANK ALONGWITH ASSOCIATED 33KV BAYS AT VARIOUS GSS")</f>
        <v/>
      </c>
      <c r="C39" t="inlineStr">
        <is>
          <t>RRVPN - CMD||CE(T and C) Ajmer||SE(T and C) Chittorgarh</t>
        </is>
      </c>
      <c r="D39" t="inlineStr">
        <is>
          <t>27-May-2025 04:00 PM</t>
        </is>
      </c>
      <c r="E39" t="inlineStr">
        <is>
          <t>7,56,547</t>
        </is>
      </c>
      <c r="F39" t="inlineStr">
        <is>
          <t>INSTALLATION OF CAPACITOR BANK ALONGWITH ASSOCIATED 33KV BAYS AT VARIOUS GSS</t>
        </is>
      </c>
      <c r="G39" t="inlineStr">
        <is>
          <t>work</t>
        </is>
      </c>
    </row>
    <row r="40">
      <c r="A40" s="1" t="n">
        <v>38</v>
      </c>
      <c r="B40">
        <f>HYPERLINK("https://eproc.rajasthan.gov.in/nicgep/app?component=%24DirectLink&amp;page=FrontEndViewTender&amp;service=direct&amp;session=T&amp;sp=SmBeGR1UQ8oP0NHMc0uM4oA%3D%3D", "ESTABLISHMENT OF NEXT GENERATION SECURITY OPERATION CENTRE (SOC) AT RAJASTHAN STATE LOAD DISPATCH CENTRE WITH AMC FOR 2 YEARS")</f>
        <v/>
      </c>
      <c r="C40" t="inlineStr">
        <is>
          <t>RRVPN - CMD||CE (IT) Jaipur||SE (MIS and IT) Jaipur</t>
        </is>
      </c>
      <c r="D40" t="inlineStr">
        <is>
          <t>03-Jun-2025 03:00 PM</t>
        </is>
      </c>
      <c r="E40" t="inlineStr">
        <is>
          <t>13,76,00,000</t>
        </is>
      </c>
      <c r="F40" t="inlineStr">
        <is>
          <t>ESTABLISHMENT OF NEXT GENERATION SECURITY OPERATION CENTRE (SOC) AT RAJASTHAN STATE LOAD DISPATCH CENTRE WITH AMC FOR 2 YEARS</t>
        </is>
      </c>
      <c r="G40" t="inlineStr">
        <is>
          <t>JAIPUR</t>
        </is>
      </c>
    </row>
    <row r="41">
      <c r="A41" s="1" t="n">
        <v>39</v>
      </c>
      <c r="B41">
        <f>HYPERLINK("https://eproc.rajasthan.gov.in/nicgep/app?component=%24DirectLink&amp;page=FrontEndViewTender&amp;service=direct&amp;session=T&amp;sp=SrTqQmu9v4DsOCPerehof2g%3D%3D", "Hiring of consultancy services for developing procedures/documents as per REGC Regulation -2024")</f>
        <v/>
      </c>
      <c r="C41" t="inlineStr">
        <is>
          <t>RRVPN - CMD||CE (LD) Jaipur||SE (SOLD) Heerapura Jaipur</t>
        </is>
      </c>
      <c r="D41" t="inlineStr">
        <is>
          <t>19-May-2025 06:00 PM</t>
        </is>
      </c>
      <c r="E41" t="inlineStr">
        <is>
          <t>41,30,000</t>
        </is>
      </c>
      <c r="F41" t="inlineStr">
        <is>
          <t>Hiring of consultancy services for developing procedures/documents as per REGC Regulation -2024</t>
        </is>
      </c>
      <c r="G41" t="inlineStr">
        <is>
          <t>HEERAPURA, Jaipur-302024</t>
        </is>
      </c>
    </row>
    <row r="42">
      <c r="A42" s="1" t="n">
        <v>40</v>
      </c>
      <c r="B42">
        <f>HYPERLINK("https://eproc.rajasthan.gov.in/nicgep/app?component=%24DirectLink&amp;page=FrontEndViewTender&amp;service=direct&amp;session=T&amp;sp=SwY22oup9CIn15EaionZweA%3D%3D", "Installation of 630 sq mm 132 kV SC XLPE underground copper cable (3 Phase plus 1 spare) between 220 kV GSS Sitapura and 132 kV GSS, Sitapura (Route length-Approx-1.10 KM) including detailed route survey, laying and installation of cable")</f>
        <v/>
      </c>
      <c r="C42" t="inlineStr">
        <is>
          <t>RRVPN - CMD||CE (PPD) Jaipur||SE (Automation NM and Special Projects) Jaipur</t>
        </is>
      </c>
      <c r="D42" t="inlineStr">
        <is>
          <t>21-May-2025 04:00 PM</t>
        </is>
      </c>
      <c r="E42" t="inlineStr">
        <is>
          <t>6,21,45,500</t>
        </is>
      </c>
      <c r="F42" t="inlineStr">
        <is>
          <t>Installation of 630 sq mm 132 kV SC XLPE underground copper cable (3 Phase plus 1 spare) between 220 kV GSS Sitapura and 132 kV GSS, Sitapura (Route length-Approx-1.10 KM) including detailed route survey, laying and installation of cable</t>
        </is>
      </c>
      <c r="G42" t="inlineStr">
        <is>
          <t>JAIPUR</t>
        </is>
      </c>
    </row>
    <row r="43">
      <c r="A43" s="1" t="n">
        <v>41</v>
      </c>
      <c r="B43">
        <f>HYPERLINK("https://eproc.rajasthan.gov.in/nicgep/app?component=%24DirectLink&amp;page=FrontEndViewTender&amp;service=direct&amp;session=T&amp;sp=Sm5D9jU5TsRJrD531YXCb2A%3D%3D", "Shifting and height raising of 132 KV S/C Bilara Jhalamand line at Loc. 208-209,187-188,173-174 as departmental work.")</f>
        <v/>
      </c>
      <c r="C43" t="inlineStr">
        <is>
          <t>RRVPN - CMD||CE(T and C) Jodhpur||SE(T and C) Jodhpur</t>
        </is>
      </c>
      <c r="D43" t="inlineStr">
        <is>
          <t>20-May-2025 06:00 PM</t>
        </is>
      </c>
      <c r="E43" t="inlineStr">
        <is>
          <t>19,46,714</t>
        </is>
      </c>
      <c r="F43" t="inlineStr">
        <is>
          <t>Shifting and height raising of 132 KV S/C Bilara Jhalamand line at Loc. 208-209,187-188,173-174 as departmental work.</t>
        </is>
      </c>
      <c r="G43" t="inlineStr">
        <is>
          <t>132 KV S/C Bilara Jhalamand Line</t>
        </is>
      </c>
    </row>
    <row r="44">
      <c r="A44" s="1" t="n">
        <v>42</v>
      </c>
      <c r="B44">
        <f>HYPERLINK("https://eproc.rajasthan.gov.in/nicgep/app?component=%24DirectLink&amp;page=FrontEndViewTender&amp;service=direct&amp;session=T&amp;sp=SklHlcgZOS1L3NHMrygCAMw%3D%3D", "Erection of 220/132 KV 200 MVA transformer and associated work at 220 KV GSS BILARA, Distt. Jodhpur on Labour Contract Basis")</f>
        <v/>
      </c>
      <c r="C44" t="inlineStr">
        <is>
          <t>RRVPN - CMD||CE(T and C) Jodhpur||SE(T and C) Jodhpur</t>
        </is>
      </c>
      <c r="D44" t="inlineStr">
        <is>
          <t>20-May-2025 06:00 PM</t>
        </is>
      </c>
      <c r="E44" t="inlineStr">
        <is>
          <t>6,57,201</t>
        </is>
      </c>
      <c r="F44" t="inlineStr">
        <is>
          <t>Erection of 220/132 KV 200 MVA transformer and associated work at 220 KV GSS BILARA, Distt. Jodhpur on Labour Contract Basis</t>
        </is>
      </c>
      <c r="G44" t="inlineStr">
        <is>
          <t>220 KV GSS, BILARA</t>
        </is>
      </c>
    </row>
    <row r="45">
      <c r="A45" s="1" t="n">
        <v>43</v>
      </c>
      <c r="B45">
        <f>HYPERLINK("https://eproc.rajasthan.gov.in/nicgep/app?component=%24DirectLink&amp;page=FrontEndViewTender&amp;service=direct&amp;session=T&amp;sp=Sa5%2BjVIwN0BYGh4jzDKTOGg%3D%3D", "CONSTRUCTION OF 220/132 KV, 2 X 160 MVA and 132/33KV 2 X 50 MVA, 220/132/33 KV GIS SUBSTATION AT GOKUL NAGAR (KALWAR ROAD) IN JAIPUR DISTRICT ALONGWITH ASSOCIATED LINES INCLUDING SURVEY, SUPPLY OF ALL EQUIPMENTS/MATERIALS, ERECTION (INCLUDING CIVIL W")</f>
        <v/>
      </c>
      <c r="C45" t="inlineStr">
        <is>
          <t>RRVPN - CMD||CE (PPD) Jaipur||SE (Automation NM and Special Projects) Jaipur</t>
        </is>
      </c>
      <c r="D45" t="inlineStr">
        <is>
          <t>28-May-2025 04:00 PM</t>
        </is>
      </c>
      <c r="E45" t="inlineStr">
        <is>
          <t>1,27,26,25,000</t>
        </is>
      </c>
      <c r="F45" t="inlineStr">
        <is>
          <t>CONSTRUCTION OF 220/132 KV, 2 X 160 MVA and 132/33KV 2 X 50 MVA, 220/132/33 KV GIS SUBSTATION AT GOKUL NAGAR (KALWAR ROAD) IN JAIPUR DISTRICT ALONGWITH ASSOCIATED LINES INCLUDING SURVEY, SUPPLY OF ALL EQUIPMENTS/MATERIALS, ERECTION (INCLUDING CIVIL</t>
        </is>
      </c>
      <c r="G45" t="inlineStr">
        <is>
          <t>Jaipur</t>
        </is>
      </c>
    </row>
    <row r="46">
      <c r="A46" s="1" t="n">
        <v>44</v>
      </c>
      <c r="B46">
        <f>HYPERLINK("https://eproc.rajasthan.gov.in/nicgep/app?component=%24DirectLink&amp;page=FrontEndViewTender&amp;service=direct&amp;session=T&amp;sp=SwjyPKHJ1vKjfxbQb7Ko5Gw%3D%3D", "Construction of transmission lines associated with 220 kV GSS IA Kota")</f>
        <v/>
      </c>
      <c r="C46" t="inlineStr">
        <is>
          <t>RRVPN - CMD||CE (Contracts) Jaipur||SE (Contracts-I) Jaipur</t>
        </is>
      </c>
      <c r="D46" t="inlineStr">
        <is>
          <t>30-May-2025 04:00 PM</t>
        </is>
      </c>
      <c r="E46" t="inlineStr">
        <is>
          <t>63,71,40,000</t>
        </is>
      </c>
      <c r="F46" t="inlineStr">
        <is>
          <t>Construction of transmission lines associated with 220 kV GSS IA Kota on turnkey basis under BN-9018002441</t>
        </is>
      </c>
      <c r="G46" t="inlineStr">
        <is>
          <t>IA Kota</t>
        </is>
      </c>
    </row>
    <row r="47">
      <c r="A47" s="1" t="n">
        <v>45</v>
      </c>
      <c r="B47">
        <f>HYPERLINK("https://eproc.rajasthan.gov.in/nicgep/app?component=%24DirectLink&amp;page=FrontEndViewTender&amp;service=direct&amp;session=T&amp;sp=SNG1iB7QGtsRtgW1oc2XFRA%3D%3D", "Construction of transmission Lines associated with 220 kV GSS Bhanwata under BN-9018002503")</f>
        <v/>
      </c>
      <c r="C47" t="inlineStr">
        <is>
          <t>RRVPN - CMD||CE (Contracts) Jaipur||SE (Contracts-I) Jaipur</t>
        </is>
      </c>
      <c r="D47" t="inlineStr">
        <is>
          <t>19-May-2025 04:00 PM</t>
        </is>
      </c>
      <c r="E47" t="inlineStr">
        <is>
          <t>18,68,60,000</t>
        </is>
      </c>
      <c r="F47" t="inlineStr">
        <is>
          <t>Construction of transmission Lines associated with 220 kV GSS Bhanwata under BN-9018002503</t>
        </is>
      </c>
      <c r="G47" t="inlineStr">
        <is>
          <t>Bhanwata Bandikui (Dausa)</t>
        </is>
      </c>
    </row>
    <row r="48">
      <c r="A48" s="1" t="n">
        <v>46</v>
      </c>
      <c r="B48">
        <f>HYPERLINK("https://eproc.rajasthan.gov.in/nicgep/app?component=%24DirectLink&amp;page=FrontEndViewTender&amp;service=direct&amp;session=T&amp;sp=SbA6gAo6%2FRYlc5SaMqGX5KA%3D%3D", "Construction of 220 kV GSS at IA Kota (Upgradation) (Distt. Kota) along with associated bays on Turnkey basis")</f>
        <v/>
      </c>
      <c r="C48" t="inlineStr">
        <is>
          <t>RRVPN - CMD||CE (Contracts) Jaipur||SE (Contracts-I) Jaipur</t>
        </is>
      </c>
      <c r="D48" t="inlineStr">
        <is>
          <t>19-May-2025 04:00 PM</t>
        </is>
      </c>
      <c r="E48" t="inlineStr">
        <is>
          <t>54,20,27,000</t>
        </is>
      </c>
      <c r="F48" t="inlineStr">
        <is>
          <t>Construction of 220/132 KV, 1X200 MVA Substation at IA Kota (Upgradation) (Distt. Kota) along with associated bays on Turnkey basis Under BN-9018002440</t>
        </is>
      </c>
      <c r="G48" t="inlineStr">
        <is>
          <t>IA Kota</t>
        </is>
      </c>
    </row>
    <row r="49">
      <c r="A49" s="1" t="n">
        <v>47</v>
      </c>
      <c r="B49">
        <f>HYPERLINK("https://eproc.rajasthan.gov.in/nicgep/app?component=%24DirectLink&amp;page=FrontEndViewTender&amp;service=direct&amp;session=T&amp;sp=SqwsWXL1sspi%2FF9868YjuxQ%3D%3D", "Construction of 01 No. 220kV and 3 Nos. 132kV Transmission lines for 220 kV GSS Lamba Jatan (Upgradation) on Turnkey basis under BN-9018002443")</f>
        <v/>
      </c>
      <c r="C49" t="inlineStr">
        <is>
          <t>RRVPN - CMD||CE (Contracts) Jaipur||SE (Contracts-I) Jaipur</t>
        </is>
      </c>
      <c r="D49" t="inlineStr">
        <is>
          <t>28-May-2025 04:00 PM</t>
        </is>
      </c>
      <c r="E49" t="inlineStr">
        <is>
          <t>37,26,85,850</t>
        </is>
      </c>
      <c r="F49" t="inlineStr">
        <is>
          <t>Construction of 01 No. 220kV and 3 Nos. 132kV Transmission lines for 220 kV GSS Lamba Jatan (Upgradation) on Turnkey basis under BN-9018002443</t>
        </is>
      </c>
      <c r="G49" t="inlineStr">
        <is>
          <t>Jaipur</t>
        </is>
      </c>
    </row>
    <row r="50">
      <c r="A50" s="1" t="n">
        <v>48</v>
      </c>
      <c r="B50">
        <f>HYPERLINK("https://eproc.rajasthan.gov.in/nicgep/app?component=%24DirectLink&amp;page=FrontEndViewTender&amp;service=direct&amp;session=T&amp;sp=SoeRrjpzW3h0H20XghLOQVQ%3D%3D", "Construction of 220 kV GSS Lamba Jatan (Upgradation) (Distt. Nagaur) on Turnkey Basis under BN-9018002442")</f>
        <v/>
      </c>
      <c r="C50" t="inlineStr">
        <is>
          <t>RRVPN - CMD||CE (Contracts) Jaipur||SE (Contracts-I) Jaipur</t>
        </is>
      </c>
      <c r="D50" t="inlineStr">
        <is>
          <t>28-May-2025 04:00 PM</t>
        </is>
      </c>
      <c r="E50" t="inlineStr">
        <is>
          <t>41,44,76,693</t>
        </is>
      </c>
      <c r="F50" t="inlineStr">
        <is>
          <t>Construction of 220 kV GSS Lamba Jatan (Upgradation) (Distt. Nagaur) on Turnkey Basis under BN-9018002442</t>
        </is>
      </c>
      <c r="G50" t="inlineStr">
        <is>
          <t>Jaipur</t>
        </is>
      </c>
    </row>
    <row r="51">
      <c r="A51" s="1" t="n">
        <v>49</v>
      </c>
      <c r="B51">
        <f>HYPERLINK("https://eproc.rajasthan.gov.in/nicgep/app?component=%24DirectLink&amp;page=FrontEndViewTender&amp;service=direct&amp;session=T&amp;sp=Ss6oG6IzjYaF58DgKZJWAYA%3D%3D", "Construction of 132/33 kV, 2x50 MVA GIS substation at Pal (distt.-Jodhpur) alongwith associated transmission lines including survey, supply of all equipments/ materials, erection (including civil works), testing and commissioning")</f>
        <v/>
      </c>
      <c r="C51" t="inlineStr">
        <is>
          <t>RRVPN - CMD||CE (PPD) Jaipur||SE (Automation NM and Special Projects) Jaipur</t>
        </is>
      </c>
      <c r="D51" t="inlineStr">
        <is>
          <t>21-May-2025 04:00 PM</t>
        </is>
      </c>
      <c r="E51" t="inlineStr">
        <is>
          <t>63,27,97,000</t>
        </is>
      </c>
      <c r="F51" t="inlineStr">
        <is>
          <t>Construction of 132/33 kV, 2x50 MVA GIS substation at Pal (distt.-Jodhpur) alongwith associated transmission lines including survey, supply of all equipments/ materials, erection (including civil works), testing and commissioning</t>
        </is>
      </c>
      <c r="G51" t="inlineStr">
        <is>
          <t>PAL JODHPUR</t>
        </is>
      </c>
    </row>
    <row r="52">
      <c r="A52" s="1" t="n">
        <v>50</v>
      </c>
      <c r="B52">
        <f>HYPERLINK("https://eproc.rajasthan.gov.in/nicgep/app?component=%24DirectLink&amp;page=FrontEndViewTender&amp;service=direct&amp;session=T&amp;sp=Spe%2BZG4QgQasHgpmFuWK%2F9g%3D%3D", "Construction of 132 kV Badnu- Upani line alongwith bays on Supply and ETC basis under BN-9016002428")</f>
        <v/>
      </c>
      <c r="C52" t="inlineStr">
        <is>
          <t>RRVPN - CMD||CE (Procurement) Jaipur||SE (Procurment-II) Jaipur</t>
        </is>
      </c>
      <c r="D52" t="inlineStr">
        <is>
          <t>27-May-2025 03:00 PM</t>
        </is>
      </c>
      <c r="E52" t="inlineStr">
        <is>
          <t>6,66,18,319</t>
        </is>
      </c>
      <c r="F52" t="inlineStr">
        <is>
          <t>Construction of 132 kV Badnu- Upani line alongwith bays on Supply and ETC basis under BN-9016002428</t>
        </is>
      </c>
      <c r="G52" t="inlineStr">
        <is>
          <t>All over Rajasthan</t>
        </is>
      </c>
    </row>
    <row r="53">
      <c r="A53" s="1" t="n">
        <v>51</v>
      </c>
      <c r="B53">
        <f>HYPERLINK("https://eproc.rajasthan.gov.in/nicgep/app?component=%24DirectLink&amp;page=FrontEndViewTender&amp;service=direct&amp;session=T&amp;sp=SDg04B7iu0APp2IQApWQGFA%3D%3D", "PURCHASE OF 400/420 kV SF6 CIRCUIT BREAKERS ON RATE CONTRACTFOR 2 YEARS")</f>
        <v/>
      </c>
      <c r="C53" t="inlineStr">
        <is>
          <t>RRVPN - CMD||CE (Contracts) Jaipur||SE (Contracts-II) Jaipur</t>
        </is>
      </c>
      <c r="D53" t="inlineStr">
        <is>
          <t>20-May-2025 04:00 PM</t>
        </is>
      </c>
      <c r="E53" t="inlineStr">
        <is>
          <t>2,94,65,000</t>
        </is>
      </c>
      <c r="F53" t="inlineStr">
        <is>
          <t>PURCHASE OF 400/420 kV SF6 CIRCUIT BREAKERS ON RATE CONTRACTFOR 2 YEARS</t>
        </is>
      </c>
      <c r="G53" t="inlineStr">
        <is>
          <t>JAIPUR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2025-05-17T13:19:25Z</dcterms:created>
  <dcterms:modified xsi:type="dcterms:W3CDTF">2025-05-17T13:19:25Z</dcterms:modified>
</cp:coreProperties>
</file>