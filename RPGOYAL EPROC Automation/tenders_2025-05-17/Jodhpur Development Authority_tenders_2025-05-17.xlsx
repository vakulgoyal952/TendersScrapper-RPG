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HYPERLINK("https://eproc.rajasthan.gov.in/nicgep/app?component=%24DirectLink&amp;page=FrontEndViewTender&amp;service=direct&amp;session=T&amp;sp=SmbhMdYyNQfBwW3ktY%2Bn3jw%3D%3D", "various civil work at mata ka than herbal park abhyarnya")</f>
        <v/>
      </c>
      <c r="C2" t="inlineStr">
        <is>
          <t>Jodhpur Development Authority</t>
        </is>
      </c>
      <c r="D2" t="inlineStr">
        <is>
          <t>26-May-2025 11:00 AM</t>
        </is>
      </c>
      <c r="E2" t="inlineStr">
        <is>
          <t>87,04,000</t>
        </is>
      </c>
      <c r="F2" t="inlineStr">
        <is>
          <t>various civil work at mata ka than herbal park abhyarnya</t>
        </is>
      </c>
      <c r="G2" t="inlineStr">
        <is>
          <t>jda jodhpur</t>
        </is>
      </c>
    </row>
    <row r="3">
      <c r="A3" s="1" t="n">
        <v>1</v>
      </c>
      <c r="B3">
        <f>HYPERLINK("https://eproc.rajasthan.gov.in/nicgep/app?component=%24DirectLink&amp;page=FrontEndViewTender&amp;service=direct&amp;session=T&amp;sp=S7DzGoCFX4imjtCP9Zedk4A%3D%3D", "Remaining work repairing and covering of Nallah Behind RTO office along gulab nagar Jodhpur")</f>
        <v/>
      </c>
      <c r="C3" t="inlineStr">
        <is>
          <t>Jodhpur Development Authority</t>
        </is>
      </c>
      <c r="D3" t="inlineStr">
        <is>
          <t>26-May-2025 11:00 AM</t>
        </is>
      </c>
      <c r="E3" t="inlineStr">
        <is>
          <t>1,85,68,000</t>
        </is>
      </c>
      <c r="F3" t="inlineStr">
        <is>
          <t>Remaining work repairing and covering of Nallah Behind RTO office along gulab nagar Jodhpur</t>
        </is>
      </c>
      <c r="G3" t="inlineStr">
        <is>
          <t>jda jodhpur</t>
        </is>
      </c>
    </row>
    <row r="4">
      <c r="A4" s="1" t="n">
        <v>2</v>
      </c>
      <c r="B4">
        <f>HYPERLINK("https://eproc.rajasthan.gov.in/nicgep/app?component=%24DirectLink&amp;page=FrontEndViewTender&amp;service=direct&amp;session=T&amp;sp=SA%2BO7Hjq6yi3q6pgtGlkcHA%3D%3D", "road construction work at magra punja tako ka bas, gehloto ka bas galino. 1, 2, badale ka chok to naya bas, meghwal basti, badle ka chok to sunita bal niketan and sunita bal niketan to gokulam garden")</f>
        <v/>
      </c>
      <c r="C4" t="inlineStr">
        <is>
          <t>Jodhpur Development Authority</t>
        </is>
      </c>
      <c r="D4" t="inlineStr">
        <is>
          <t>26-May-2025 11:00 AM</t>
        </is>
      </c>
      <c r="E4" t="inlineStr">
        <is>
          <t>81,45,000</t>
        </is>
      </c>
      <c r="F4" t="inlineStr">
        <is>
          <t>road construction work at magra punja tako ka bas, gehloto ka bas galino. 1, 2, badale ka chok to naya bas, meghwal basti, badle ka chok to sunita bal niketan and sunita bal niketan to gokulam garden</t>
        </is>
      </c>
      <c r="G4" t="inlineStr">
        <is>
          <t>jda jodhpur</t>
        </is>
      </c>
    </row>
    <row r="5">
      <c r="A5" s="1" t="n">
        <v>3</v>
      </c>
      <c r="B5">
        <f>HYPERLINK("https://eproc.rajasthan.gov.in/nicgep/app?component=%24DirectLink&amp;page=FrontEndViewTender&amp;service=direct&amp;session=T&amp;sp=S8bbEjUM9pfghmlq9%2FqT5gw%3D%3D", "damar road construction work from vinayakpura kavo ki dhani circle to village ujaliya ( govt.primary school kavo ki dhani to govt.primary school rajputo ki dhani- first phase)")</f>
        <v/>
      </c>
      <c r="C5" t="inlineStr">
        <is>
          <t>Jodhpur Development Authority</t>
        </is>
      </c>
      <c r="D5" t="inlineStr">
        <is>
          <t>26-May-2025 11:00 AM</t>
        </is>
      </c>
      <c r="E5" t="inlineStr">
        <is>
          <t>88,34,000</t>
        </is>
      </c>
      <c r="F5" t="inlineStr">
        <is>
          <t>damar road construction work from vinayakpura kavo ki dhani circle to village ujaliya ( govt.primary school kavo ki dhani to govt.primary school rajputo ki dhani- first phase)</t>
        </is>
      </c>
      <c r="G5" t="inlineStr">
        <is>
          <t>jda jodhpur</t>
        </is>
      </c>
    </row>
    <row r="6">
      <c r="A6" s="1" t="n">
        <v>4</v>
      </c>
      <c r="B6">
        <f>HYPERLINK("https://eproc.rajasthan.gov.in/nicgep/app?component=%24DirectLink&amp;page=FrontEndViewTender&amp;service=direct&amp;session=T&amp;sp=S6QvXSp99ustS33J5lWNRJg%3D%3D", "colouring work on bridge roof,walls and piller of saran nagar bridge at jaipur jodhpur main banar road")</f>
        <v/>
      </c>
      <c r="C6" t="inlineStr">
        <is>
          <t>Jodhpur Development Authority</t>
        </is>
      </c>
      <c r="D6" t="inlineStr">
        <is>
          <t>26-May-2025 11:00 AM</t>
        </is>
      </c>
      <c r="E6" t="inlineStr">
        <is>
          <t>17,87,000</t>
        </is>
      </c>
      <c r="F6" t="inlineStr">
        <is>
          <t>colouring work on bridge roof,walls and piller of saran nagar bridge at jaipur jodhpur main banar road</t>
        </is>
      </c>
      <c r="G6" t="inlineStr">
        <is>
          <t>jda jodhpur</t>
        </is>
      </c>
    </row>
    <row r="7">
      <c r="A7" s="1" t="n">
        <v>5</v>
      </c>
      <c r="B7">
        <f>HYPERLINK("https://eproc.rajasthan.gov.in/nicgep/app?component=%24DirectLink&amp;page=FrontEndViewTender&amp;service=direct&amp;session=T&amp;sp=SRmGW3cwmn1gNg5x0NHIx8A%3D%3D", "gentry board fixing work at ujaliya farm house scheme zone north-c")</f>
        <v/>
      </c>
      <c r="C7" t="inlineStr">
        <is>
          <t>Jodhpur Development Authority</t>
        </is>
      </c>
      <c r="D7" t="inlineStr">
        <is>
          <t>26-May-2025 11:00 AM</t>
        </is>
      </c>
      <c r="E7" t="inlineStr">
        <is>
          <t>20,22,000</t>
        </is>
      </c>
      <c r="F7" t="inlineStr">
        <is>
          <t>gentry board fixing work at ujaliya farm house scheme zone north-c</t>
        </is>
      </c>
      <c r="G7" t="inlineStr">
        <is>
          <t>jda jodhpur</t>
        </is>
      </c>
    </row>
    <row r="8">
      <c r="A8" s="1" t="n">
        <v>6</v>
      </c>
      <c r="B8">
        <f>HYPERLINK("https://eproc.rajasthan.gov.in/nicgep/app?component=%24DirectLink&amp;page=FrontEndViewTender&amp;service=direct&amp;session=T&amp;sp=SPDfIx1Yus2lR25NLqHnIvg%3D%3D", "Transplantation of Trees Falling in the alignment of Nehar Circle Flyover Project, Pal Road, Jodhpur")</f>
        <v/>
      </c>
      <c r="C8" t="inlineStr">
        <is>
          <t>Jodhpur Development Authority</t>
        </is>
      </c>
      <c r="D8" t="inlineStr">
        <is>
          <t>21-May-2025 03:00 PM</t>
        </is>
      </c>
      <c r="E8" t="inlineStr">
        <is>
          <t>26,40,000</t>
        </is>
      </c>
      <c r="F8" t="inlineStr">
        <is>
          <t>Transplantation of Trees Falling in the alignment of Nehar Circle Flyover Project, Pal Road, Jodhpur</t>
        </is>
      </c>
      <c r="G8" t="inlineStr">
        <is>
          <t>jda jodhpur</t>
        </is>
      </c>
    </row>
    <row r="9">
      <c r="A9" s="1" t="n">
        <v>7</v>
      </c>
      <c r="B9">
        <f>HYPERLINK("https://eproc.rajasthan.gov.in/nicgep/app?component=%24DirectLink&amp;page=FrontEndViewTender&amp;service=direct&amp;session=T&amp;sp=SHl3Cq11V500GWwq5dqTIlw%3D%3D", "Installation and repair work of railings on roads and dividers in the jurisdiction of Zone-South Annual Contract 2025 26")</f>
        <v/>
      </c>
      <c r="C9" t="inlineStr">
        <is>
          <t>Jodhpur Development Authority||Director - Engineering</t>
        </is>
      </c>
      <c r="D9" t="inlineStr">
        <is>
          <t>27-May-2025 06:00 PM</t>
        </is>
      </c>
      <c r="E9" t="inlineStr">
        <is>
          <t>46,39,000</t>
        </is>
      </c>
      <c r="F9" t="inlineStr">
        <is>
          <t>Installation and repair work of railings on roads and dividers in the jurisdiction of Zone-South Annual Contract 2025 26</t>
        </is>
      </c>
      <c r="G9" t="inlineStr">
        <is>
          <t>JDA JODHPUR</t>
        </is>
      </c>
    </row>
    <row r="10">
      <c r="A10" s="1" t="n">
        <v>8</v>
      </c>
      <c r="B10">
        <f>HYPERLINK("https://eproc.rajasthan.gov.in/nicgep/app?component=%24DirectLink&amp;page=FrontEndViewTender&amp;service=direct&amp;session=T&amp;sp=SojiznPSSwlTHL3MfrLFXfg%3D%3D", "Work of laying interlocking tiles on both sides of the asphalt road from Pal Police Chowki to Mukti Dham")</f>
        <v/>
      </c>
      <c r="C10" t="inlineStr">
        <is>
          <t>Jodhpur Development Authority||Director - Engineering</t>
        </is>
      </c>
      <c r="D10" t="inlineStr">
        <is>
          <t>27-May-2025 06:00 PM</t>
        </is>
      </c>
      <c r="E10" t="inlineStr">
        <is>
          <t>42,58,000</t>
        </is>
      </c>
      <c r="F10" t="inlineStr">
        <is>
          <t>Work of laying interlocking tiles on both sides of the asphalt road from Pal Police Chowki to Mukti Dham</t>
        </is>
      </c>
      <c r="G10" t="inlineStr">
        <is>
          <t>JDA JODHPUR</t>
        </is>
      </c>
    </row>
    <row r="11">
      <c r="A11" s="1" t="n">
        <v>9</v>
      </c>
      <c r="B11">
        <f>HYPERLINK("https://eproc.rajasthan.gov.in/nicgep/app?component=%24DirectLink&amp;page=FrontEndViewTender&amp;service=direct&amp;session=T&amp;sp=SHnQjAHb35tRtyZijtkvMiA%3D%3D", "Work of repair reinforcement of roads of Marudhar Kesari Nagar situated in Ward No.-36")</f>
        <v/>
      </c>
      <c r="C11" t="inlineStr">
        <is>
          <t>Jodhpur Development Authority||Director - Engineering</t>
        </is>
      </c>
      <c r="D11" t="inlineStr">
        <is>
          <t>27-May-2025 06:00 PM</t>
        </is>
      </c>
      <c r="E11" t="inlineStr">
        <is>
          <t>62,00,000</t>
        </is>
      </c>
      <c r="F11" t="inlineStr">
        <is>
          <t>Work of repair reinforcement of roads of Marudhar Kesari Nagar situated in Ward No.-36</t>
        </is>
      </c>
      <c r="G11" t="inlineStr">
        <is>
          <t>JDA JODHPUR</t>
        </is>
      </c>
    </row>
    <row r="12">
      <c r="A12" s="1" t="n">
        <v>10</v>
      </c>
      <c r="B12">
        <f>HYPERLINK("https://eproc.rajasthan.gov.in/nicgep/app?component=%24DirectLink&amp;page=FrontEndViewTender&amp;service=direct&amp;session=T&amp;sp=SDq%2FeZq65Ym2ddbgh8MQB9A%3D%3D", "The remaining work of 11 KV and LT line is obstructing the ROB work at Canal crossing.")</f>
        <v/>
      </c>
      <c r="C12" t="inlineStr">
        <is>
          <t>Jodhpur Development Authority</t>
        </is>
      </c>
      <c r="D12" t="inlineStr">
        <is>
          <t>19-May-2025 01:00 PM</t>
        </is>
      </c>
      <c r="E12" t="inlineStr">
        <is>
          <t>92,78,000</t>
        </is>
      </c>
      <c r="F12" t="inlineStr">
        <is>
          <t>The remaining work of 11 KV and LT line is obstructing the ROB work at Canal crossing.</t>
        </is>
      </c>
      <c r="G12" t="inlineStr">
        <is>
          <t>JDA JODHPUR</t>
        </is>
      </c>
    </row>
    <row r="13">
      <c r="A13" s="1" t="n">
        <v>11</v>
      </c>
      <c r="B13">
        <f>HYPERLINK("https://eproc.rajasthan.gov.in/nicgep/app?component=%24DirectLink&amp;page=FrontEndViewTender&amp;service=direct&amp;session=T&amp;sp=S3kP7ntj%2FnWQyuzhOEwT3Gg%3D%3D", "Facade lighting work of Samrat Ashok Udhyan Jodhpur")</f>
        <v/>
      </c>
      <c r="C13" t="inlineStr">
        <is>
          <t>Jodhpur Development Authority</t>
        </is>
      </c>
      <c r="D13" t="inlineStr">
        <is>
          <t>23-May-2025 01:00 PM</t>
        </is>
      </c>
      <c r="E13" t="inlineStr">
        <is>
          <t>50,09,000</t>
        </is>
      </c>
      <c r="F13" t="inlineStr">
        <is>
          <t>Facade lighting work of Samrat Ashok Udhyan Jodhpur</t>
        </is>
      </c>
      <c r="G13" t="inlineStr">
        <is>
          <t>JDA JODHPUR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2025-05-17T13:01:08Z</dcterms:created>
  <dcterms:modified xsi:type="dcterms:W3CDTF">2025-05-17T13:01:08Z</dcterms:modified>
</cp:coreProperties>
</file>