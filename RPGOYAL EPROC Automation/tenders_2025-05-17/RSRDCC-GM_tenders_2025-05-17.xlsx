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HYPERLINK("https://eproc.rajasthan.gov.in/nicgep/app?component=%24DirectLink&amp;page=FrontEndViewTender&amp;service=direct&amp;session=T&amp;sp=SR8rbtV2OOIFHlS3l%2B3%2BBxQ%3D%3D", "Renewal and strengthening of BOT Road Bharatpur Bayana Gangapur Bhadoti Road Km. 40/050 (Bayana) to 58/200 (Dhadren Border)")</f>
        <v/>
      </c>
      <c r="C2" t="inlineStr">
        <is>
          <t>RSRDCC-GM</t>
        </is>
      </c>
      <c r="D2" t="inlineStr">
        <is>
          <t>09-Jun-2025 06:00 PM</t>
        </is>
      </c>
      <c r="E2" t="inlineStr">
        <is>
          <t>6,54,66,000</t>
        </is>
      </c>
      <c r="F2" t="inlineStr">
        <is>
          <t>Renewal and strengthening of BOT Road Bharatpur Bayana Gangapur Bhadoti Road Km. 40/050 (Bayana) to 58/200 (Dhadren Border)</t>
        </is>
      </c>
      <c r="G2" t="inlineStr">
        <is>
          <t>Bharatpur-Bayana-Gangapur-Bhadoti Road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HYPERLINK("https://eproc.rajasthan.gov.in/nicgep/app?component=%24DirectLink&amp;page=FrontEndViewTender&amp;service=direct&amp;session=T&amp;sp=SN%2Fvf9QNy9wR4vY1yPxpiQw%3D%3D", "Architectural and Engineering Consultancy for the work of Upgradation of Satellite Hospital Sanganer to District Hospital, Sanganer, Jaipur (Estimated cost of work Rs.9424.00 lacs)")</f>
        <v/>
      </c>
      <c r="C3" t="inlineStr">
        <is>
          <t>RSRDCC-GM</t>
        </is>
      </c>
      <c r="D3" t="inlineStr">
        <is>
          <t>22-May-2025 06:00 PM</t>
        </is>
      </c>
      <c r="E3" t="inlineStr">
        <is>
          <t>50,00,000</t>
        </is>
      </c>
      <c r="F3" t="inlineStr">
        <is>
          <t>Architectural and Engineering Consultancy for the work of Upgradation of Satellite Hospital Sanganer to District Hospital, Sanganer, Jaipur (Estimated cost of work Rs.9424.00 lacs)</t>
        </is>
      </c>
      <c r="G3" t="inlineStr">
        <is>
          <t>District Hospital, Sanganer, Jaipur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HYPERLINK("https://eproc.rajasthan.gov.in/nicgep/app?component=%24DirectLink&amp;page=FrontEndViewTender&amp;service=direct&amp;session=T&amp;sp=SfXCy3ynoOpzyW3FsGsgZug%3D%3D", "SITC of SPV Solar Plant at Medical Hospital, Baran")</f>
        <v/>
      </c>
      <c r="C4" t="inlineStr">
        <is>
          <t>RSRDCC-GM</t>
        </is>
      </c>
      <c r="D4" t="inlineStr">
        <is>
          <t>26-May-2025 06:00 PM</t>
        </is>
      </c>
      <c r="E4" t="inlineStr">
        <is>
          <t>54,72,000</t>
        </is>
      </c>
      <c r="F4" t="inlineStr">
        <is>
          <t>SITC of SPV Solar Plant at Medical Hospital, Baran</t>
        </is>
      </c>
      <c r="G4" t="inlineStr">
        <is>
          <t>Medical Hospital, Baran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HYPERLINK("https://eproc.rajasthan.gov.in/nicgep/app?component=%24DirectLink&amp;page=FrontEndViewTender&amp;service=direct&amp;session=T&amp;sp=SCKybIG%2BfLWjCGRlt6AR1tg%3D%3D", "Selection of Bidder for Collection of User Fee on the basis of competitive bidding through e-procurement on Jahajpur Mandalgarh BOT Road for a period of 01 year")</f>
        <v/>
      </c>
      <c r="C5" t="inlineStr">
        <is>
          <t>RSRDCC-GM</t>
        </is>
      </c>
      <c r="D5" t="inlineStr">
        <is>
          <t>26-May-2025 06:00 PM</t>
        </is>
      </c>
      <c r="E5" t="inlineStr">
        <is>
          <t>31,25,85,000</t>
        </is>
      </c>
      <c r="F5" t="inlineStr">
        <is>
          <t>Selection of Bidder for Collection of User Fee on the basis of competitive bidding through e-procurement basis on Jahajpur Mandalgarh BOT Road for a period of 01 year</t>
        </is>
      </c>
      <c r="G5" t="inlineStr">
        <is>
          <t>Jahajpur Mandalgarh Road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HYPERLINK("https://eproc.rajasthan.gov.in/nicgep/app?component=%24DirectLink&amp;page=FrontEndViewTender&amp;service=direct&amp;session=T&amp;sp=S351GiQ7Kg4jryMpkGF0mUQ%3D%3D", "Selection of bidder for Collection of User Through Fee Collection Agency on the basis of competitive bidding through e-procurement basis on Nasirabad Kekri Deoli BOT Road for a period of 01 years")</f>
        <v/>
      </c>
      <c r="C6" t="inlineStr">
        <is>
          <t>RSRDCC-GM</t>
        </is>
      </c>
      <c r="D6" t="inlineStr">
        <is>
          <t>26-May-2025 06:00 PM</t>
        </is>
      </c>
      <c r="E6" t="inlineStr">
        <is>
          <t>36,92,46,000</t>
        </is>
      </c>
      <c r="F6" t="inlineStr">
        <is>
          <t>Selection of bidder for Collection of User Through Fee Collection Agency on the basis of competitive bidding through e-procurement basis on Nasirabad Kekri Deoli BOT Road for a period of 01 years</t>
        </is>
      </c>
      <c r="G6" t="inlineStr">
        <is>
          <t>Nasirabad Kekri Deoli BOT Road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HYPERLINK("https://eproc.rajasthan.gov.in/nicgep/app?component=%24DirectLink&amp;page=FrontEndViewTender&amp;service=direct&amp;session=T&amp;sp=SML56YlHsxHmOh2dayVu5Bg%3D%3D", "Development works at Shri Khatu Shyam Ji Temple (Sikar) Rajasthan under Swadesh Darshan 2.0 Scheme (Excluding cost of Cement)")</f>
        <v/>
      </c>
      <c r="C7" t="inlineStr">
        <is>
          <t>RSRDCC-GM</t>
        </is>
      </c>
      <c r="D7" t="inlineStr">
        <is>
          <t>03-Jun-2025 06:00 PM</t>
        </is>
      </c>
      <c r="E7" t="inlineStr">
        <is>
          <t>48,90,00,000</t>
        </is>
      </c>
      <c r="F7" t="inlineStr">
        <is>
          <t>Development works at Shri Khatu Shyam Ji Temple (Sikar) Rajasthan under Swadesh Darshan 2.0 Scheme (Excluding cost of Cement)</t>
        </is>
      </c>
      <c r="G7" t="inlineStr">
        <is>
          <t>Shri Khatu Shyam Ji Temple (Sikar)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HYPERLINK("https://eproc.rajasthan.gov.in/nicgep/app?component=%24DirectLink&amp;page=FrontEndViewTender&amp;service=direct&amp;session=T&amp;sp=Smbm%2FZTKvd4O7iGV6BtSJZw%3D%3D", "Construction of Electric Sub-Station for International Center of Excellence Panchkarma at RAU at Jodhpur (Excluding Cost of Cement and Electrical Work)")</f>
        <v/>
      </c>
      <c r="C8" t="inlineStr">
        <is>
          <t>RSRDCC-GM</t>
        </is>
      </c>
      <c r="D8" t="inlineStr">
        <is>
          <t>20-May-2025 06:00 PM</t>
        </is>
      </c>
      <c r="E8" t="inlineStr">
        <is>
          <t>20,79,000</t>
        </is>
      </c>
      <c r="F8" t="inlineStr">
        <is>
          <t>Construction of Electric Sub-Station for International Center of Excellence Panchkarma at RAU at Jodhpur (Excluding Cost of Cement and Electrical Work)</t>
        </is>
      </c>
      <c r="G8" t="inlineStr">
        <is>
          <t>Jodhpur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HYPERLINK("https://eproc.rajasthan.gov.in/nicgep/app?component=%24DirectLink&amp;page=FrontEndViewTender&amp;service=direct&amp;session=T&amp;sp=SqaJ4%2FrF3htpLPdvbAzCPGg%3D%3D", "Construction of Wooden Flooring at Sports Complex S.P. Medical College, Bikaner")</f>
        <v/>
      </c>
      <c r="C9" t="inlineStr">
        <is>
          <t>RSRDCC-GM</t>
        </is>
      </c>
      <c r="D9" t="inlineStr">
        <is>
          <t>20-May-2025 06:00 PM</t>
        </is>
      </c>
      <c r="E9" t="inlineStr">
        <is>
          <t>9,85,000</t>
        </is>
      </c>
      <c r="F9" t="inlineStr">
        <is>
          <t>Construction of Wooden Flooring at Sports Complex S.P. Medical College, Bikaner</t>
        </is>
      </c>
      <c r="G9" t="inlineStr">
        <is>
          <t>S.P. Medical College, Bikaner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HYPERLINK("https://eproc.rajasthan.gov.in/nicgep/app?component=%24DirectLink&amp;page=FrontEndViewTender&amp;service=direct&amp;session=T&amp;sp=SPEVBujwhFOEKhRJbgWPyWA%3D%3D", "SITC of Air Conditioning Work in Tertiary Cancer Care Centre, Medical College Jhalawar, Jhalawar")</f>
        <v/>
      </c>
      <c r="C10" t="inlineStr">
        <is>
          <t>RSRDCC-GM</t>
        </is>
      </c>
      <c r="D10" t="inlineStr">
        <is>
          <t>23-May-2025 06:00 PM</t>
        </is>
      </c>
      <c r="E10" t="inlineStr">
        <is>
          <t>83,21,000</t>
        </is>
      </c>
      <c r="F10" t="inlineStr">
        <is>
          <t>SITC of Air Conditioning Work in Tertiary Cancer Care Centre, Medical College Jhalawar, Jhalawar</t>
        </is>
      </c>
      <c r="G10" t="inlineStr">
        <is>
          <t>Tertiary Cancer Care Centre, Medical College Jhala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HYPERLINK("https://eproc.rajasthan.gov.in/nicgep/app?component=%24DirectLink&amp;page=FrontEndViewTender&amp;service=direct&amp;session=T&amp;sp=SPAXfnNDvQgpjPPdaXRrORw%3D%3D", "Project Management Consultancy Services for Construction of High Level Bridge across River Banas Between Didyach and Deoli on MDR-182 (SWM Dhamoon Kalan Bilopa Ekra Binjari CKB deoli Sarsop Road) in Sawai Madhopur on EPC Mode")</f>
        <v/>
      </c>
      <c r="C11" t="inlineStr">
        <is>
          <t>RSRDCC-GM</t>
        </is>
      </c>
      <c r="D11" t="inlineStr">
        <is>
          <t>19-May-2025 06:00 PM</t>
        </is>
      </c>
      <c r="E11" t="inlineStr">
        <is>
          <t>50,00,000</t>
        </is>
      </c>
      <c r="F11" t="inlineStr">
        <is>
          <t>Project Management Consultancy Services for Construction of High Level Bridge across River Banas Between Didyach and Deoli on MDR-182 (SWM Dhamoon Kalan Bilopa Ekra Binjari CKB deoli Sarsop Road) in Sawai Madhopur on EPC Mode</t>
        </is>
      </c>
      <c r="G11" t="inlineStr">
        <is>
          <t>Didyach and Deoli on MDR-182 (SWM Dhamoon Kalan Bi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HYPERLINK("https://eproc.rajasthan.gov.in/nicgep/app?component=%24DirectLink&amp;page=FrontEndViewTender&amp;service=direct&amp;session=T&amp;sp=SznhlB5ZnyelZeoh7ywA4LA%3D%3D", "Remaining Electrical and related works at Medical College and RBM Hospital, Bharatpur")</f>
        <v/>
      </c>
      <c r="C12" t="inlineStr">
        <is>
          <t>RSRDCC-GM</t>
        </is>
      </c>
      <c r="D12" t="inlineStr">
        <is>
          <t>19-May-2025 06:00 PM</t>
        </is>
      </c>
      <c r="E12" t="inlineStr">
        <is>
          <t>32,23,000</t>
        </is>
      </c>
      <c r="F12" t="inlineStr">
        <is>
          <t>Remaining Electrical and related works at Medical College and RBM Hospital, Bharatpur</t>
        </is>
      </c>
      <c r="G12" t="inlineStr">
        <is>
          <t>Medical College and RBM Hospital, Bharatpur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HYPERLINK("https://eproc.rajasthan.gov.in/nicgep/app?component=%24DirectLink&amp;page=FrontEndViewTender&amp;service=direct&amp;session=T&amp;sp=SdmLC6GqhjU0MowjBHNGcdg%3D%3D", "MGPS and Modular OT work in New Teaching Hospital Building, Sawai Madhopur")</f>
        <v/>
      </c>
      <c r="C13" t="inlineStr">
        <is>
          <t>RSRDCC-GM</t>
        </is>
      </c>
      <c r="D13" t="inlineStr">
        <is>
          <t>02-Jun-2025 06:00 PM</t>
        </is>
      </c>
      <c r="E13" t="inlineStr">
        <is>
          <t>6,29,53,000</t>
        </is>
      </c>
      <c r="F13" t="inlineStr">
        <is>
          <t>MGPS and Modular OT work in New Teaching Hospital Building, Sawai Madhopur</t>
        </is>
      </c>
      <c r="G13" t="inlineStr">
        <is>
          <t>New Teaching Hospital Building, Sawai Madhopur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HYPERLINK("https://eproc.rajasthan.gov.in/nicgep/app?component=%24DirectLink&amp;page=FrontEndViewTender&amp;service=direct&amp;session=T&amp;sp=SOfo2W6JGlFx6B9qGbtcaJw%3D%3D", "Remaining Work in Pickle Ball Court in Rajasthan State Judicial Academy, Jhalamand, Jodhpur. (Excluding Cost of Cement)")</f>
        <v/>
      </c>
      <c r="C14" t="inlineStr">
        <is>
          <t>RSRDCC-GM</t>
        </is>
      </c>
      <c r="D14" t="inlineStr">
        <is>
          <t>19-May-2025 06:00 PM</t>
        </is>
      </c>
      <c r="E14" t="inlineStr">
        <is>
          <t>8,86,000</t>
        </is>
      </c>
      <c r="F14" t="inlineStr">
        <is>
          <t>Remaining Work in Pickle Ball Court in Rajasthan State Judicial Academy, Jhalamand, Jodhpur. (Excluding Cost of Cement)</t>
        </is>
      </c>
      <c r="G14" t="inlineStr">
        <is>
          <t>Jodhpur</t>
        </is>
      </c>
    </row>
    <row r="15">
      <c r="A15" s="1" t="n">
        <v>13</v>
      </c>
      <c r="B15">
        <f>HYPERLINK("https://eproc.rajasthan.gov.in/nicgep/app?component=%24DirectLink&amp;page=FrontEndViewTender&amp;service=direct&amp;session=T&amp;sp=SaPZTB2Dce0Gt5VwbJklvww%3D%3D", "Selection of Bidder For Collection of User Fee Through Fee Collecting Agency on the basis of Competitive bidding through e-procurement basis on Pali-Nadol-Gomati ka Chouraha BOT Road for a period of 01 year")</f>
        <v/>
      </c>
      <c r="C15" t="inlineStr">
        <is>
          <t>RSRDCC-GM</t>
        </is>
      </c>
      <c r="D15" t="inlineStr">
        <is>
          <t>21-May-2025 06:00 PM</t>
        </is>
      </c>
      <c r="E15" t="inlineStr">
        <is>
          <t>17,46,00,000</t>
        </is>
      </c>
      <c r="F15" t="inlineStr">
        <is>
          <t>Selection of Bidder For Collection of User Fee Through Fee Collecting Agency on the basis of Competitive bidding through e-procurement basis on Pali-Nadol-Gomati ka Chouraha BOT Road for a period of 01 year</t>
        </is>
      </c>
      <c r="G15" t="inlineStr">
        <is>
          <t>Pali Nadol Gomati Chouraha</t>
        </is>
      </c>
    </row>
    <row r="16">
      <c r="A16" s="1" t="n">
        <v>14</v>
      </c>
      <c r="B16">
        <f>HYPERLINK("https://eproc.rajasthan.gov.in/nicgep/app?component=%24DirectLink&amp;page=FrontEndViewTender&amp;service=direct&amp;session=T&amp;sp=S%2FeWdhgUgEKe3nc8t%2FHN6BA%3D%3D", "Development of Garden in Director Bunglow in Rajasthan State Judicial Academy, Jhalamand, Jodhpur. (Excluding cost of cement)")</f>
        <v/>
      </c>
      <c r="C16" t="inlineStr">
        <is>
          <t>RSRDCC-GM</t>
        </is>
      </c>
      <c r="D16" t="inlineStr">
        <is>
          <t>19-May-2025 06:00 PM</t>
        </is>
      </c>
      <c r="E16" t="inlineStr">
        <is>
          <t>7,14,000</t>
        </is>
      </c>
      <c r="F16" t="inlineStr">
        <is>
          <t>Development of Garden in Director Bunglow in Rajasthan State Judicial Academy, Jhalamand, Jodhpur. (Excluding cost of cement)</t>
        </is>
      </c>
      <c r="G16" t="inlineStr">
        <is>
          <t>Jodhpur</t>
        </is>
      </c>
    </row>
    <row r="17">
      <c r="A17" s="1" t="n">
        <v>15</v>
      </c>
      <c r="B17">
        <f>HYPERLINK("https://eproc.rajasthan.gov.in/nicgep/app?component=%24DirectLink&amp;page=FrontEndViewTender&amp;service=direct&amp;session=T&amp;sp=SizvxaHUanXIgbf3v2N3I7w%3D%3D", "Development work of ITI Building at Lohawat (Excluding cost of Cement)")</f>
        <v/>
      </c>
      <c r="C17" t="inlineStr">
        <is>
          <t>RSRDCC-GM</t>
        </is>
      </c>
      <c r="D17" t="inlineStr">
        <is>
          <t>21-May-2025 06:00 PM</t>
        </is>
      </c>
      <c r="E17" t="inlineStr">
        <is>
          <t>52,71,000</t>
        </is>
      </c>
      <c r="F17" t="inlineStr">
        <is>
          <t>Development work of ITI Building at Lohawat (Excluding cost of Cement)</t>
        </is>
      </c>
      <c r="G17" t="inlineStr">
        <is>
          <t>Jodhpur</t>
        </is>
      </c>
    </row>
    <row r="18">
      <c r="A18" s="1" t="n">
        <v>16</v>
      </c>
      <c r="B18">
        <f>HYPERLINK("https://eproc.rajasthan.gov.in/nicgep/app?component=%24DirectLink&amp;page=FrontEndViewTender&amp;service=direct&amp;session=T&amp;sp=SRBqTlCpO2e3qD8lUHCjyiw%3D%3D", "Internal Electric work in Construction of 8 Nos Type-1 and 9 Nos Type-2 Judicial Residences at Udaipur")</f>
        <v/>
      </c>
      <c r="C18" t="inlineStr">
        <is>
          <t>RSRDCC-GM</t>
        </is>
      </c>
      <c r="D18" t="inlineStr">
        <is>
          <t>21-May-2025 06:00 PM</t>
        </is>
      </c>
      <c r="E18" t="inlineStr">
        <is>
          <t>98,50,000</t>
        </is>
      </c>
      <c r="F18" t="inlineStr">
        <is>
          <t>Internal Electric work in Construction of 8 Nos Type-1 and 9 Nos Type-2 Judicial Residences at Udaipur</t>
        </is>
      </c>
      <c r="G18" t="inlineStr">
        <is>
          <t>Jodhpur</t>
        </is>
      </c>
    </row>
    <row r="19">
      <c r="A19" s="1" t="n">
        <v>17</v>
      </c>
      <c r="B19">
        <f>HYPERLINK("https://eproc.rajasthan.gov.in/nicgep/app?component=%24DirectLink&amp;page=FrontEndViewTender&amp;service=direct&amp;session=T&amp;sp=S7cb%2BpDBFU3yQKw3uyK0wwQ%3D%3D", "SITC of Lift in Construction of 8 Nos Type-1 and 9 Nos Type-2 Judicial Residences at Udaipur")</f>
        <v/>
      </c>
      <c r="C19" t="inlineStr">
        <is>
          <t>RSRDCC-GM</t>
        </is>
      </c>
      <c r="D19" t="inlineStr">
        <is>
          <t>21-May-2025 06:00 PM</t>
        </is>
      </c>
      <c r="E19" t="inlineStr">
        <is>
          <t>33,70,000</t>
        </is>
      </c>
      <c r="F19" t="inlineStr">
        <is>
          <t>SITC of Lift in Construction of 8 Nos Type-1 and 9 Nos Type-2 Judicial Residences at Udaipur</t>
        </is>
      </c>
      <c r="G19" t="inlineStr">
        <is>
          <t>Udaipur</t>
        </is>
      </c>
    </row>
    <row r="20">
      <c r="A20" s="1" t="n">
        <v>18</v>
      </c>
      <c r="B20">
        <f>HYPERLINK("https://eproc.rajasthan.gov.in/nicgep/app?component=%24DirectLink&amp;page=FrontEndViewTender&amp;service=direct&amp;session=T&amp;sp=Sp%2FptPA7Pwg%2BxOobGDUOErw%3D%3D", "Construction of ITI Building at Agolai Dist. Jodhpur. (Excluding cost of Cement and Electrical work)")</f>
        <v/>
      </c>
      <c r="C20" t="inlineStr">
        <is>
          <t>RSRDCC-GM</t>
        </is>
      </c>
      <c r="D20" t="inlineStr">
        <is>
          <t>02-Jun-2025 06:00 PM</t>
        </is>
      </c>
      <c r="E20" t="inlineStr">
        <is>
          <t>6,22,05,000</t>
        </is>
      </c>
      <c r="F20" t="inlineStr">
        <is>
          <t>Construction of ITI Building at Agolai Dist. Jodhpur. (Excluding cost of Cement and Electrical work)</t>
        </is>
      </c>
      <c r="G20" t="inlineStr">
        <is>
          <t>Jodhpur</t>
        </is>
      </c>
    </row>
    <row r="21">
      <c r="A21" s="1" t="n">
        <v>19</v>
      </c>
      <c r="B21">
        <f>HYPERLINK("https://eproc.rajasthan.gov.in/nicgep/app?component=%24DirectLink&amp;page=FrontEndViewTender&amp;service=direct&amp;session=T&amp;sp=SkEBRVWgExvZudV7s9HBFPg%3D%3D", "Internal Electrification work in Construction of 1st Type Quarter of No. 02 ADJ Shahpura, Jaipur")</f>
        <v/>
      </c>
      <c r="C21" t="inlineStr">
        <is>
          <t>RSRDCC-GM</t>
        </is>
      </c>
      <c r="D21" t="inlineStr">
        <is>
          <t>19-May-2025 06:00 PM</t>
        </is>
      </c>
      <c r="E21" t="inlineStr">
        <is>
          <t>6,92,000</t>
        </is>
      </c>
      <c r="F21" t="inlineStr">
        <is>
          <t>Internal Electrification work in Construction of 1st Type Quarter of No. 02 ADJ Shahpura, Jaipur</t>
        </is>
      </c>
      <c r="G21" t="inlineStr">
        <is>
          <t>ADJ Shahpura, Jaipur</t>
        </is>
      </c>
    </row>
    <row r="22">
      <c r="A22" s="1" t="n">
        <v>20</v>
      </c>
      <c r="B22">
        <f>HYPERLINK("https://eproc.rajasthan.gov.in/nicgep/app?component=%24DirectLink&amp;page=FrontEndViewTender&amp;service=direct&amp;session=T&amp;sp=SLw9symZkHzE3VHVaVX1Lfg%3D%3D", "Repair and Maintenance of Jaipur Bhilwara Road SH-12 between Km 164/400 to 212/800")</f>
        <v/>
      </c>
      <c r="C22" t="inlineStr">
        <is>
          <t>RSRDCC-GM</t>
        </is>
      </c>
      <c r="D22" t="inlineStr">
        <is>
          <t>19-May-2025 06:00 PM</t>
        </is>
      </c>
      <c r="E22" t="inlineStr">
        <is>
          <t>18,25,000</t>
        </is>
      </c>
      <c r="F22" t="inlineStr">
        <is>
          <t>Repair and Maintenance of Jaipur Bhilwara Road SH-12 between Km 164/400 to 212/800</t>
        </is>
      </c>
      <c r="G22" t="inlineStr">
        <is>
          <t>Jaipur Bhilwara Road</t>
        </is>
      </c>
    </row>
    <row r="23">
      <c r="A23" s="1" t="n">
        <v>21</v>
      </c>
      <c r="B23">
        <f>HYPERLINK("https://eproc.rajasthan.gov.in/nicgep/app?component=%24DirectLink&amp;page=FrontEndViewTender&amp;service=direct&amp;session=T&amp;sp=SZEv0y6WjLtpPKaV8dfHnNg%3D%3D", "Selection of Bidder for Collection of User Fee Through Fee Collecting Agency on the basis of competitive bidding through e-procurement basis on Bikaner Byepass BOT Road for a period of 01 year.")</f>
        <v/>
      </c>
      <c r="C23" t="inlineStr">
        <is>
          <t>RSRDCC-GM</t>
        </is>
      </c>
      <c r="D23" t="inlineStr">
        <is>
          <t>21-May-2025 06:00 PM</t>
        </is>
      </c>
      <c r="E23" t="inlineStr">
        <is>
          <t>12,08,51,000</t>
        </is>
      </c>
      <c r="F23" t="inlineStr">
        <is>
          <t>Selection of Bidder for Collection of User Fee Through Fee Collecting Agency on the basis of competitive bidding through e-procurement basis on Bikaner Byepass BOT Road for a period of 01 year.</t>
        </is>
      </c>
      <c r="G23" t="inlineStr">
        <is>
          <t>Bikaner Byepass Road</t>
        </is>
      </c>
    </row>
    <row r="24">
      <c r="A24" s="1" t="n">
        <v>22</v>
      </c>
      <c r="B24">
        <f>HYPERLINK("https://eproc.rajasthan.gov.in/nicgep/app?component=%24DirectLink&amp;page=FrontEndViewTender&amp;service=direct&amp;session=T&amp;sp=SellS6Q2UJ8c9%2BKGKFR1lQw%3D%3D", "Repair and Maintenance of Jaipur Bhilwara Road SH-12 (Km. 108/000 to 164/400)")</f>
        <v/>
      </c>
      <c r="C24" t="inlineStr">
        <is>
          <t>RSRDCC-GM</t>
        </is>
      </c>
      <c r="D24" t="inlineStr">
        <is>
          <t>19-May-2025 06:00 PM</t>
        </is>
      </c>
      <c r="E24" t="inlineStr">
        <is>
          <t>18,23,000</t>
        </is>
      </c>
      <c r="F24" t="inlineStr">
        <is>
          <t>Repair and Maintenance of Jaipur Bhilwara Road SH-12 (Km. 108/000 to 164/400)</t>
        </is>
      </c>
      <c r="G24" t="inlineStr">
        <is>
          <t>Jaipur Bhilwara Road</t>
        </is>
      </c>
    </row>
    <row r="25">
      <c r="A25" s="1" t="n">
        <v>23</v>
      </c>
      <c r="B25">
        <f>HYPERLINK("https://eproc.rajasthan.gov.in/nicgep/app?component=%24DirectLink&amp;page=FrontEndViewTender&amp;service=direct&amp;session=T&amp;sp=Sr6TJliybxEs%2F%2FZng0iuJ8w%3D%3D", "Selection of Bidder For Collection of User Fee on The Basis of Competitive Bidding Through E-Procurement Basis On RSRDC Road Kotputali-Sikar-Kuchaman BOT Road for a period of 01")</f>
        <v/>
      </c>
      <c r="C25" t="inlineStr">
        <is>
          <t>RSRDCC-GM</t>
        </is>
      </c>
      <c r="D25" t="inlineStr">
        <is>
          <t>26-May-2025 06:00 PM</t>
        </is>
      </c>
      <c r="E25" t="inlineStr">
        <is>
          <t>62,97,57,000</t>
        </is>
      </c>
      <c r="F25" t="inlineStr">
        <is>
          <t>Selection of Bidder For Collection of User Fee on The Basis of Competitive Bidding Through E-Procurement Basis On RSRDC Road Kotputali-Sikar-Kuchaman BOT Road for a period of 01</t>
        </is>
      </c>
      <c r="G25" t="inlineStr">
        <is>
          <t>Kotputali-Sikar-Kuchaman BOT Road</t>
        </is>
      </c>
    </row>
    <row r="26">
      <c r="A26" s="1" t="n">
        <v>24</v>
      </c>
      <c r="B26">
        <f>HYPERLINK("https://eproc.rajasthan.gov.in/nicgep/app?component=%24DirectLink&amp;page=FrontEndViewTender&amp;service=direct&amp;session=T&amp;sp=SSaRnjGmvyGaoJXpWdRaSKw%3D%3D", "Additional work of Medical College Tonk (Excluding cost of Cement)")</f>
        <v/>
      </c>
      <c r="C26" t="inlineStr">
        <is>
          <t>RSRDCC-GM</t>
        </is>
      </c>
      <c r="D26" t="inlineStr">
        <is>
          <t>19-May-2025 06:00 PM</t>
        </is>
      </c>
      <c r="E26" t="inlineStr">
        <is>
          <t>1,49,58,000</t>
        </is>
      </c>
      <c r="F26" t="inlineStr">
        <is>
          <t>Additional work of Medical College Tonk (Excluding cost of Cement)</t>
        </is>
      </c>
      <c r="G26" t="inlineStr">
        <is>
          <t>Medical College Tonk</t>
        </is>
      </c>
    </row>
    <row r="27">
      <c r="A27" s="1" t="n">
        <v>25</v>
      </c>
      <c r="B27">
        <f>HYPERLINK("https://eproc.rajasthan.gov.in/nicgep/app?component=%24DirectLink&amp;page=FrontEndViewTender&amp;service=direct&amp;session=T&amp;sp=Sm%2FswSNZew6YJzhi4mGHrFQ%3D%3D", "Selection of Bidder for Collection of User Fee on the basis of competitive bidding through e-procurement basis on Suket Julmi Pipliya Bhawanimandi Dug BOT Road for a period of 01 year")</f>
        <v/>
      </c>
      <c r="C27" t="inlineStr">
        <is>
          <t>RSRDCC-GM</t>
        </is>
      </c>
      <c r="D27" t="inlineStr">
        <is>
          <t>21-May-2025 06:00 PM</t>
        </is>
      </c>
      <c r="E27" t="inlineStr">
        <is>
          <t>7,90,56,000</t>
        </is>
      </c>
      <c r="F27" t="inlineStr">
        <is>
          <t>Selection of Bidder for Collection of User Fee on the basis of competitive bidding through e-procurement basis on Suket Julmi Pipliya Bhawanimandi Dug BOT Road for a period of 01 year</t>
        </is>
      </c>
      <c r="G27" t="inlineStr">
        <is>
          <t>Suket Julmi Pipliya Bhawanimandi Dug BOT Road</t>
        </is>
      </c>
    </row>
    <row r="28">
      <c r="A28" s="1" t="n">
        <v>26</v>
      </c>
      <c r="B28">
        <f>HYPERLINK("https://eproc.rajasthan.gov.in/nicgep/app?component=%24DirectLink&amp;page=FrontEndViewTender&amp;service=direct&amp;session=T&amp;sp=S6ELLy88KEerZTTMQE3qXfQ%3D%3D", "Development work at Judicial Quarters Rajsamand")</f>
        <v/>
      </c>
      <c r="C28" t="inlineStr">
        <is>
          <t>RSRDCC-GM</t>
        </is>
      </c>
      <c r="D28" t="inlineStr">
        <is>
          <t>21-May-2025 06:00 PM</t>
        </is>
      </c>
      <c r="E28" t="inlineStr">
        <is>
          <t>15,05,000</t>
        </is>
      </c>
      <c r="F28" t="inlineStr">
        <is>
          <t>Development work at Judicial Quarters Rajsamand</t>
        </is>
      </c>
      <c r="G28" t="inlineStr">
        <is>
          <t>Judicial Quarters Rajsamand</t>
        </is>
      </c>
    </row>
    <row r="29">
      <c r="A29" s="1" t="n">
        <v>27</v>
      </c>
      <c r="B29">
        <f>HYPERLINK("https://eproc.rajasthan.gov.in/nicgep/app?component=%24DirectLink&amp;page=FrontEndViewTender&amp;service=direct&amp;session=T&amp;sp=S7VXoUkcbTnwrKXM6OrHscw%3D%3D", "SITC of fire detection and fire alarm work for construction of New Medical College, Residence, Hostel etc. at Tonk, Rajasthan (Phase-I)")</f>
        <v/>
      </c>
      <c r="C29" t="inlineStr">
        <is>
          <t>RSRDCC-GM</t>
        </is>
      </c>
      <c r="D29" t="inlineStr">
        <is>
          <t>22-May-2025 06:00 PM</t>
        </is>
      </c>
      <c r="E29" t="inlineStr">
        <is>
          <t>41,89,000</t>
        </is>
      </c>
      <c r="F29" t="inlineStr">
        <is>
          <t>SITC of fire detection and fire alarm work for construction of New Medical College, Residence, Hostel etc. at Tonk, Rajasthan (Phase-I)</t>
        </is>
      </c>
      <c r="G29" t="inlineStr">
        <is>
          <t>New Medical College, Residence, Hostel etc. at Ton</t>
        </is>
      </c>
    </row>
    <row r="30">
      <c r="A30" s="1" t="n">
        <v>28</v>
      </c>
      <c r="B30">
        <f>HYPERLINK("https://eproc.rajasthan.gov.in/nicgep/app?component=%24DirectLink&amp;page=FrontEndViewTender&amp;service=direct&amp;session=T&amp;sp=SlPh%2Fxq6If0cQudSIZhxyVA%3D%3D", "Selection of Bidder for Collection of User Fee on the basis of Competitive Bidding through e-procurement bais on Banswara Ratlam BOT Road for a period of 01 year")</f>
        <v/>
      </c>
      <c r="C30" t="inlineStr">
        <is>
          <t>RSRDCC-GM</t>
        </is>
      </c>
      <c r="D30" t="inlineStr">
        <is>
          <t>27-May-2025 06:00 PM</t>
        </is>
      </c>
      <c r="E30" t="inlineStr">
        <is>
          <t>7,73,14,000</t>
        </is>
      </c>
      <c r="F30" t="inlineStr">
        <is>
          <t>Selection of Bidder for Collection of User Fee on the basis of Competitive Bidding through e-procurement bais on Banswara Ratlam BOT Road for a period of 01 year</t>
        </is>
      </c>
      <c r="G30" t="inlineStr">
        <is>
          <t>Banswara Ratlam BOT Road</t>
        </is>
      </c>
    </row>
    <row r="31">
      <c r="A31" s="1" t="n">
        <v>29</v>
      </c>
      <c r="B31">
        <f>HYPERLINK("https://eproc.rajasthan.gov.in/nicgep/app?component=%24DirectLink&amp;page=FrontEndViewTender&amp;service=direct&amp;session=T&amp;sp=SKhRfsrovgzYn3G0NibBPiQ%3D%3D", "Selection Of Bidder For Collection Of User Fee through free Collection Agency on the basis of competitive bidding through E-Procurement basis on Pratapgarh-Mandsaur BOT Road for a period of 01 years.")</f>
        <v/>
      </c>
      <c r="C31" t="inlineStr">
        <is>
          <t>RSRDCC-GM</t>
        </is>
      </c>
      <c r="D31" t="inlineStr">
        <is>
          <t>19-May-2025 06:00 PM</t>
        </is>
      </c>
      <c r="E31" t="inlineStr">
        <is>
          <t>4,85,10,000</t>
        </is>
      </c>
      <c r="F31" t="inlineStr">
        <is>
          <t>Selection Of Bidder For Collection Of User Fee through free Collection Agency on the basis of competitive bidding through E-Procurement basis on Pratapgarh-Mandsaur BOT Road for a period of 01 years.</t>
        </is>
      </c>
      <c r="G31" t="inlineStr">
        <is>
          <t>Pratapgarh-Mandsaur BOT Road</t>
        </is>
      </c>
    </row>
    <row r="32">
      <c r="A32" s="1" t="n">
        <v>30</v>
      </c>
      <c r="B32">
        <f>HYPERLINK("https://eproc.rajasthan.gov.in/nicgep/app?component=%24DirectLink&amp;page=FrontEndViewTender&amp;service=direct&amp;session=T&amp;sp=S%2Fs2d54LrlekM5qP1nQRaFQ%3D%3D", "Selection of Bidder for Collection of User Fee through Fee Collection agency on the basis of competitive bidding through e-procurement basis on Hanumangarh-Suratgarh BOT Road for a period of 01 year.")</f>
        <v/>
      </c>
      <c r="C32" t="inlineStr">
        <is>
          <t>RSRDCC-GM</t>
        </is>
      </c>
      <c r="D32" t="inlineStr">
        <is>
          <t>27-May-2025 06:00 PM</t>
        </is>
      </c>
      <c r="E32" t="inlineStr">
        <is>
          <t>17,44,14,000</t>
        </is>
      </c>
      <c r="F32" t="inlineStr">
        <is>
          <t>Selection of Bidder for Collection of User Fee through Fee Collection agency on the basis of competitive bidding through e-procurement basis on Hanumangarh-Suratgarh BOT Road for a period of 01 year.</t>
        </is>
      </c>
      <c r="G32" t="inlineStr">
        <is>
          <t>Hanumangarh-Suratgarh</t>
        </is>
      </c>
    </row>
    <row r="33">
      <c r="A33" s="1" t="n">
        <v>31</v>
      </c>
      <c r="B33">
        <f>HYPERLINK("https://eproc.rajasthan.gov.in/nicgep/app?component=%24DirectLink&amp;page=FrontEndViewTender&amp;service=direct&amp;session=T&amp;sp=ShQeZMXRBEoWFbgjHLDN%2Fbg%3D%3D", "Re-construction of CC Road on Udaipur Salumber Road Km. 105/500 to Km. 108/500 (Risk and Cost)")</f>
        <v/>
      </c>
      <c r="C33" t="inlineStr">
        <is>
          <t>RSRDCC-GM</t>
        </is>
      </c>
      <c r="D33" t="inlineStr">
        <is>
          <t>21-May-2025 06:00 PM</t>
        </is>
      </c>
      <c r="E33" t="inlineStr">
        <is>
          <t>45,27,000</t>
        </is>
      </c>
      <c r="F33" t="inlineStr">
        <is>
          <t>Re-construction of CC Road on Udaipur Salumber Road Km. 105/500 to Km. 108/500 (Risk and Cost)</t>
        </is>
      </c>
      <c r="G33" t="inlineStr">
        <is>
          <t>Udaipur Salumber Road</t>
        </is>
      </c>
    </row>
    <row r="34">
      <c r="A34" s="1" t="n">
        <v>32</v>
      </c>
      <c r="B34">
        <f>HYPERLINK("https://eproc.rajasthan.gov.in/nicgep/app?component=%24DirectLink&amp;page=FrontEndViewTender&amp;service=direct&amp;session=T&amp;sp=S21dhLCoHq8IrBNQSz1ReHg%3D%3D", "Construction of Additional four floor (5th to 8th floor) at Sambhagiya Kar Bhawan (Tax Facilitation and Support Centre) at Plot no, J-13 at Jhalana Institutional Area, Jaipur (Excluding cost of Cement except in RMC)")</f>
        <v/>
      </c>
      <c r="C34" t="inlineStr">
        <is>
          <t>RSRDCC-GM</t>
        </is>
      </c>
      <c r="D34" t="inlineStr">
        <is>
          <t>21-May-2025 06:00 PM</t>
        </is>
      </c>
      <c r="E34" t="inlineStr">
        <is>
          <t>14,86,00,000</t>
        </is>
      </c>
      <c r="F34" t="inlineStr">
        <is>
          <t>Construction of Additional four floor (5th to 8th floor) at Sambhagiya Kar Bhawan (Tax Facilitation and Support Centre) at Plot no, J-13 at Jhalana Institutional Area, Jaipur (Excluding cost of Cement except in RMC)</t>
        </is>
      </c>
      <c r="G34" t="inlineStr">
        <is>
          <t>Sambhagiya Kar Bhawan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2025-05-17T13:20:12Z</dcterms:created>
  <dcterms:modified xsi:type="dcterms:W3CDTF">2025-05-17T13:20:12Z</dcterms:modified>
</cp:coreProperties>
</file>