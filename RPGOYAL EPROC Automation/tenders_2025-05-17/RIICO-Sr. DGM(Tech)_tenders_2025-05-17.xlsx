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HYPERLINK("https://eproc.rajasthan.gov.in/nicgep/app?component=%24DirectLink&amp;page=FrontEndViewTender&amp;service=direct&amp;session=T&amp;sp=SKrdcAHO2nL07D5Gw5CWGlg%3D%3D", "Construction of CC Road With Interlocking Tiles in remaining portion at Ind. Area, Brij Bharatpur, Amounting to Rs. 431.96 lac")</f>
        <v/>
      </c>
      <c r="C2" t="inlineStr">
        <is>
          <t>RIICO-Sr. DGM(Tech)||RIICO-Technical Cell HO||UH- Bharatpur</t>
        </is>
      </c>
      <c r="D2" t="inlineStr">
        <is>
          <t>26-May-2025 06:00 PM</t>
        </is>
      </c>
      <c r="E2" t="inlineStr">
        <is>
          <t>4,31,96,000</t>
        </is>
      </c>
      <c r="F2" t="inlineStr">
        <is>
          <t>Construction of CC Road With Interlocking Tiles in remaining portion at Ind. Area, Brij Bharatpur</t>
        </is>
      </c>
      <c r="G2" t="inlineStr">
        <is>
          <t>Brij Ind. Area, Bharatpur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HYPERLINK("https://eproc.rajasthan.gov.in/nicgep/app?component=%24DirectLink&amp;page=FrontEndViewTender&amp;service=direct&amp;session=T&amp;sp=SyjFm7PcGLQZbw8RerBF56Q%3D%3D", "Transportation of various plants from nursery by means of tractor and labour and distribute to various industries under unit Ghiloth.")</f>
        <v/>
      </c>
      <c r="C3" t="inlineStr">
        <is>
          <t>RIICO-Sr. DGM(Tech)||RIICO-Technical Cell HO||UH- Ghelot</t>
        </is>
      </c>
      <c r="D3" t="inlineStr">
        <is>
          <t>19-May-2025 06:00 PM</t>
        </is>
      </c>
      <c r="E3" t="inlineStr">
        <is>
          <t>7,50,000</t>
        </is>
      </c>
      <c r="F3" t="inlineStr">
        <is>
          <t>As per BoQ</t>
        </is>
      </c>
      <c r="G3" t="inlineStr">
        <is>
          <t>At I/A Ghiloth and Shahjahnpur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HYPERLINK("https://eproc.rajasthan.gov.in/nicgep/app?component=%24DirectLink&amp;page=FrontEndViewTender&amp;service=direct&amp;session=T&amp;sp=SFWeQIRKdvKrPkh66%2B6fqZA%3D%3D", "Door to door collection of solid domestic waste and cleaning and upkeeping of ROW at I/A Shahjahanpur")</f>
        <v/>
      </c>
      <c r="C4" t="inlineStr">
        <is>
          <t>RIICO-Sr. DGM(Tech)||RIICO-Technical Cell HO||UH- Ghelot</t>
        </is>
      </c>
      <c r="D4" t="inlineStr">
        <is>
          <t>19-May-2025 06:00 PM</t>
        </is>
      </c>
      <c r="E4" t="inlineStr">
        <is>
          <t>7,92,000</t>
        </is>
      </c>
      <c r="F4" t="inlineStr">
        <is>
          <t>As per BoQ</t>
        </is>
      </c>
      <c r="G4" t="inlineStr">
        <is>
          <t>I/A Shahjahanpur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HYPERLINK("https://eproc.rajasthan.gov.in/nicgep/app?component=%24DirectLink&amp;page=FrontEndViewTender&amp;service=direct&amp;session=T&amp;sp=SDiUsSHgz7hMTdDRBfKgdfw%3D%3D", "Door to door collection of solid domestic waste and cleaning and upkeeping of ROW at ind area Ghiloth amounting to RS 11.76 Lacs")</f>
        <v/>
      </c>
      <c r="C5" t="inlineStr">
        <is>
          <t>RIICO-Sr. DGM(Tech)||RIICO-Technical Cell HO||UH- Ghelot</t>
        </is>
      </c>
      <c r="D5" t="inlineStr">
        <is>
          <t>19-May-2025 06:00 PM</t>
        </is>
      </c>
      <c r="E5" t="inlineStr">
        <is>
          <t>11,76,000</t>
        </is>
      </c>
      <c r="F5" t="inlineStr">
        <is>
          <t>As per BoQ</t>
        </is>
      </c>
      <c r="G5" t="inlineStr">
        <is>
          <t>I/A Ghiloth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HYPERLINK("https://eproc.rajasthan.gov.in/nicgep/app?component=%24DirectLink&amp;page=FrontEndViewTender&amp;service=direct&amp;session=T&amp;sp=SvAHoZBkQ69%2B73CzQ7H1vAQ%3D%3D", "Mechanized cleaning of SR and CWR of I/A Ghiloth.")</f>
        <v/>
      </c>
      <c r="C6" t="inlineStr">
        <is>
          <t>RIICO-Sr. DGM(Tech)||RIICO-Technical Cell HO||UH- Ghelot</t>
        </is>
      </c>
      <c r="D6" t="inlineStr">
        <is>
          <t>19-May-2025 06:00 PM</t>
        </is>
      </c>
      <c r="E6" t="inlineStr">
        <is>
          <t>4,92,000</t>
        </is>
      </c>
      <c r="F6" t="inlineStr">
        <is>
          <t>As per BoQ</t>
        </is>
      </c>
      <c r="G6" t="inlineStr">
        <is>
          <t>At I/A Ghiloth and Shahjahnpur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HYPERLINK("https://eproc.rajasthan.gov.in/nicgep/app?component=%24DirectLink&amp;page=FrontEndViewTender&amp;service=direct&amp;session=T&amp;sp=SV7bQDf3mb%2BNpLdmBtwkAUw%3D%3D", "Regular cleaning of drain at I/A Ghiloth")</f>
        <v/>
      </c>
      <c r="C7" t="inlineStr">
        <is>
          <t>RIICO-Sr. DGM(Tech)||RIICO-Technical Cell HO||UH- Ghelot</t>
        </is>
      </c>
      <c r="D7" t="inlineStr">
        <is>
          <t>19-May-2025 06:00 PM</t>
        </is>
      </c>
      <c r="E7" t="inlineStr">
        <is>
          <t>5,75,000</t>
        </is>
      </c>
      <c r="F7" t="inlineStr">
        <is>
          <t>As per BoQ</t>
        </is>
      </c>
      <c r="G7" t="inlineStr">
        <is>
          <t>I/A Ghiloth</t>
        </is>
      </c>
    </row>
    <row r="8">
      <c r="A8" s="1" t="n">
        <v>6</v>
      </c>
      <c r="B8">
        <f>HYPERLINK("https://eproc.rajasthan.gov.in/nicgep/app?component=%24DirectLink&amp;page=FrontEndViewTender&amp;service=direct&amp;session=T&amp;sp=SyVqr%2FOeHEKxFjsch5I4NJw%3D%3D", "Maintenance of civil works at Industrial area Keshwana Amounting to Rs 16.31 Lack")</f>
        <v/>
      </c>
      <c r="C8" t="inlineStr">
        <is>
          <t>RIICO-Sr. DGM(Tech)||RIICO-Technical Cell HO||UH-Neemrana</t>
        </is>
      </c>
      <c r="D8" t="inlineStr">
        <is>
          <t>19-May-2025 06:00 PM</t>
        </is>
      </c>
      <c r="E8" t="inlineStr">
        <is>
          <t>16,31,000</t>
        </is>
      </c>
      <c r="F8" t="inlineStr">
        <is>
          <t>as per BoQ</t>
        </is>
      </c>
      <c r="G8" t="inlineStr">
        <is>
          <t>Keshwana</t>
        </is>
      </c>
    </row>
    <row r="9">
      <c r="A9" s="1" t="n">
        <v>7</v>
      </c>
      <c r="B9">
        <f>HYPERLINK("https://eproc.rajasthan.gov.in/nicgep/app?component=%24DirectLink&amp;page=FrontEndViewTender&amp;service=direct&amp;session=T&amp;sp=S09B7Qn9pnllcJJkYGGPT1w%3D%3D", "Maintenance of civil works at Industrial area Behror Amounting to Rs. 26.12 Lack")</f>
        <v/>
      </c>
      <c r="C9" t="inlineStr">
        <is>
          <t>RIICO-Sr. DGM(Tech)||RIICO-Technical Cell HO||UH-Neemrana</t>
        </is>
      </c>
      <c r="D9" t="inlineStr">
        <is>
          <t>19-May-2025 06:00 PM</t>
        </is>
      </c>
      <c r="E9" t="inlineStr">
        <is>
          <t>26,12,000</t>
        </is>
      </c>
      <c r="F9" t="inlineStr">
        <is>
          <t>as per BoQ</t>
        </is>
      </c>
      <c r="G9" t="inlineStr">
        <is>
          <t>Behror</t>
        </is>
      </c>
    </row>
    <row r="10">
      <c r="A10" s="1" t="n">
        <v>8</v>
      </c>
      <c r="B10">
        <f>HYPERLINK("https://eproc.rajasthan.gov.in/nicgep/app?component=%24DirectLink&amp;page=FrontEndViewTender&amp;service=direct&amp;session=T&amp;sp=SiWSWUTqJzV9ii%2BpgiHMZPQ%3D%3D", "Maintenance of water supply pipe line and other miscellaneous works at Industrial area Behror Amounting to Rs 5.50 Lack")</f>
        <v/>
      </c>
      <c r="C10" t="inlineStr">
        <is>
          <t>RIICO-Sr. DGM(Tech)||RIICO-Technical Cell HO||UH-Neemrana</t>
        </is>
      </c>
      <c r="D10" t="inlineStr">
        <is>
          <t>19-May-2025 06:00 PM</t>
        </is>
      </c>
      <c r="E10" t="inlineStr">
        <is>
          <t>5,50,000</t>
        </is>
      </c>
      <c r="F10" t="inlineStr">
        <is>
          <t>as per BoQ</t>
        </is>
      </c>
      <c r="G10" t="inlineStr">
        <is>
          <t>Behror</t>
        </is>
      </c>
    </row>
    <row r="11">
      <c r="A11" s="1" t="n">
        <v>9</v>
      </c>
      <c r="B11">
        <f>HYPERLINK("https://eproc.rajasthan.gov.in/nicgep/app?component=%24DirectLink&amp;page=FrontEndViewTender&amp;service=direct&amp;session=T&amp;sp=SjplDfD99K55QKvVk27upCA%3D%3D", "Strengthing and Beautification of side walls between road and IOCL Corridor at Industrial area NIC9M) Neermana Amounting to Rs 13.66 Lack")</f>
        <v/>
      </c>
      <c r="C11" t="inlineStr">
        <is>
          <t>RIICO-Sr. DGM(Tech)||RIICO-Technical Cell HO||UH-Neemrana</t>
        </is>
      </c>
      <c r="D11" t="inlineStr">
        <is>
          <t>19-May-2025 06:00 PM</t>
        </is>
      </c>
      <c r="E11" t="inlineStr">
        <is>
          <t>13,66,000</t>
        </is>
      </c>
      <c r="F11" t="inlineStr">
        <is>
          <t>as per BoQ</t>
        </is>
      </c>
      <c r="G11" t="inlineStr">
        <is>
          <t>NIC(M) Neemrana</t>
        </is>
      </c>
    </row>
    <row r="12">
      <c r="A12" s="1" t="n">
        <v>10</v>
      </c>
      <c r="B12">
        <f>HYPERLINK("https://eproc.rajasthan.gov.in/nicgep/app?component=%24DirectLink&amp;page=FrontEndViewTender&amp;service=direct&amp;session=T&amp;sp=SXRiJFB5KK%2FfojIIRsDQULQ%3D%3D", "Painting of boundary wall at Industrial area NIC(M) Neemrana Amounting to Rs 5.64 Lack")</f>
        <v/>
      </c>
      <c r="C12" t="inlineStr">
        <is>
          <t>RIICO-Sr. DGM(Tech)||RIICO-Technical Cell HO||UH-Neemrana</t>
        </is>
      </c>
      <c r="D12" t="inlineStr">
        <is>
          <t>19-May-2025 06:00 PM</t>
        </is>
      </c>
      <c r="E12" t="inlineStr">
        <is>
          <t>5,64,000</t>
        </is>
      </c>
      <c r="F12" t="inlineStr">
        <is>
          <t>as per BoQ</t>
        </is>
      </c>
      <c r="G12" t="inlineStr">
        <is>
          <t>NIC(M) Neemrana</t>
        </is>
      </c>
    </row>
    <row r="13">
      <c r="A13" s="1" t="n">
        <v>11</v>
      </c>
      <c r="B13">
        <f>HYPERLINK("https://eproc.rajasthan.gov.in/nicgep/app?component=%24DirectLink&amp;page=FrontEndViewTender&amp;service=direct&amp;session=T&amp;sp=SB3h19upm%2FeYasjdh6i6OeQ%3D%3D", "Repair of drain at Industrial area EPIP Neemrana Amounting to Rs. 8.51 Lack")</f>
        <v/>
      </c>
      <c r="C13" t="inlineStr">
        <is>
          <t>RIICO-Sr. DGM(Tech)||RIICO-Technical Cell HO||UH-Neemrana</t>
        </is>
      </c>
      <c r="D13" t="inlineStr">
        <is>
          <t>19-May-2025 06:00 PM</t>
        </is>
      </c>
      <c r="E13" t="inlineStr">
        <is>
          <t>8,51,000</t>
        </is>
      </c>
      <c r="F13" t="inlineStr">
        <is>
          <t>as per BoQ</t>
        </is>
      </c>
      <c r="G13" t="inlineStr">
        <is>
          <t>EPIP Neemrana</t>
        </is>
      </c>
    </row>
    <row r="14">
      <c r="A14" s="1" t="n">
        <v>12</v>
      </c>
      <c r="B14">
        <f>HYPERLINK("https://eproc.rajasthan.gov.in/nicgep/app?component=%24DirectLink&amp;page=FrontEndViewTender&amp;service=direct&amp;session=T&amp;sp=S%2FvtVhQ9m4vg74bCovW5VNg%3D%3D", "Maintenance of drain at Industrial area Neemrana-I Amounting to Rs 11.22 Lack")</f>
        <v/>
      </c>
      <c r="C14" t="inlineStr">
        <is>
          <t>RIICO-Sr. DGM(Tech)||RIICO-Technical Cell HO||UH-Neemrana</t>
        </is>
      </c>
      <c r="D14" t="inlineStr">
        <is>
          <t>19-May-2025 06:00 PM</t>
        </is>
      </c>
      <c r="E14" t="inlineStr">
        <is>
          <t>11,22,000</t>
        </is>
      </c>
      <c r="F14" t="inlineStr">
        <is>
          <t>as per BoQ</t>
        </is>
      </c>
      <c r="G14" t="inlineStr">
        <is>
          <t>Neemrana-I</t>
        </is>
      </c>
    </row>
    <row r="15">
      <c r="A15" s="1" t="n">
        <v>13</v>
      </c>
      <c r="B15">
        <f>HYPERLINK("https://eproc.rajasthan.gov.in/nicgep/app?component=%24DirectLink&amp;page=FrontEndViewTender&amp;service=direct&amp;session=T&amp;sp=SjM%2BCfGEpIXN8FzChUzzT3A%3D%3D", "Maintenance of drain at Industrial area Neemrana-II Amounting to Rs 12.05 Lack")</f>
        <v/>
      </c>
      <c r="C15" t="inlineStr">
        <is>
          <t>RIICO-Sr. DGM(Tech)||RIICO-Technical Cell HO||UH-Neemrana</t>
        </is>
      </c>
      <c r="D15" t="inlineStr">
        <is>
          <t>19-May-2025 06:00 PM</t>
        </is>
      </c>
      <c r="E15" t="inlineStr">
        <is>
          <t>12,05,000</t>
        </is>
      </c>
      <c r="F15" t="inlineStr">
        <is>
          <t>as per BoQ</t>
        </is>
      </c>
      <c r="G15" t="inlineStr">
        <is>
          <t>Neemrana II</t>
        </is>
      </c>
    </row>
    <row r="16">
      <c r="A16" s="1" t="n">
        <v>14</v>
      </c>
      <c r="B16">
        <f>HYPERLINK("https://eproc.rajasthan.gov.in/nicgep/app?component=%24DirectLink&amp;page=FrontEndViewTender&amp;service=direct&amp;session=T&amp;sp=SlfRyWQ0SVaVvYuqybOA2bQ%3D%3D", "Plantation work with 05 years maintenance at Industrial area NIC(M) Neemrana Amounting to Rs 25.85 Lack")</f>
        <v/>
      </c>
      <c r="C16" t="inlineStr">
        <is>
          <t>RIICO-Sr. DGM(Tech)||RIICO-Technical Cell HO||UH-Neemrana</t>
        </is>
      </c>
      <c r="D16" t="inlineStr">
        <is>
          <t>19-May-2025 06:00 PM</t>
        </is>
      </c>
      <c r="E16" t="inlineStr">
        <is>
          <t>25,85,000</t>
        </is>
      </c>
      <c r="F16" t="inlineStr">
        <is>
          <t>as per BoQ</t>
        </is>
      </c>
      <c r="G16" t="inlineStr">
        <is>
          <t>NIC(M) Neemrana</t>
        </is>
      </c>
    </row>
    <row r="17">
      <c r="A17" s="1" t="n">
        <v>15</v>
      </c>
      <c r="B17">
        <f>HYPERLINK("https://eproc.rajasthan.gov.in/nicgep/app?component=%24DirectLink&amp;page=FrontEndViewTender&amp;service=direct&amp;session=T&amp;sp=SFiaqJi%2FShhNVgeSf%2BenGOg%3D%3D", "Maintenance and Painting of kerb stones at Industrial area EPIP Neermana Amounting to Rs 7.30 Lack")</f>
        <v/>
      </c>
      <c r="C17" t="inlineStr">
        <is>
          <t>RIICO-Sr. DGM(Tech)||RIICO-Technical Cell HO||UH-Neemrana</t>
        </is>
      </c>
      <c r="D17" t="inlineStr">
        <is>
          <t>19-May-2025 06:00 PM</t>
        </is>
      </c>
      <c r="E17" t="inlineStr">
        <is>
          <t>7,30,000</t>
        </is>
      </c>
      <c r="F17" t="inlineStr">
        <is>
          <t>as per BoQ</t>
        </is>
      </c>
      <c r="G17" t="inlineStr">
        <is>
          <t>EPIP Neemrana</t>
        </is>
      </c>
    </row>
    <row r="18">
      <c r="A18" s="1" t="n">
        <v>16</v>
      </c>
      <c r="B18">
        <f>HYPERLINK("https://eproc.rajasthan.gov.in/nicgep/app?component=%24DirectLink&amp;page=FrontEndViewTender&amp;service=direct&amp;session=T&amp;sp=S3w1ZDUCevh3TU6fbHs575Q%3D%3D", "Maintenance of Civil works at Industrial area NIC(M) Neemrana Amounting to Rs. 12.21 Lack")</f>
        <v/>
      </c>
      <c r="C18" t="inlineStr">
        <is>
          <t>RIICO-Sr. DGM(Tech)||RIICO-Technical Cell HO||UH-Neemrana</t>
        </is>
      </c>
      <c r="D18" t="inlineStr">
        <is>
          <t>19-May-2025 06:00 PM</t>
        </is>
      </c>
      <c r="E18" t="inlineStr">
        <is>
          <t>12,21,000</t>
        </is>
      </c>
      <c r="F18" t="inlineStr">
        <is>
          <t>as per BoQ</t>
        </is>
      </c>
      <c r="G18" t="inlineStr">
        <is>
          <t>NIC(M) Neemrana</t>
        </is>
      </c>
    </row>
    <row r="19">
      <c r="A19" s="1" t="n">
        <v>17</v>
      </c>
      <c r="B19">
        <f>HYPERLINK("https://eproc.rajasthan.gov.in/nicgep/app?component=%24DirectLink&amp;page=FrontEndViewTender&amp;service=direct&amp;session=T&amp;sp=Sq5UaYYHniEZiRDxXGE69wg%3D%3D", "Maintenance of drain at Industrial area Behror Amounting to Rs 13.28 Lack")</f>
        <v/>
      </c>
      <c r="C19" t="inlineStr">
        <is>
          <t>RIICO-Sr. DGM(Tech)||RIICO-Technical Cell HO||UH-Neemrana</t>
        </is>
      </c>
      <c r="D19" t="inlineStr">
        <is>
          <t>19-May-2025 06:00 PM</t>
        </is>
      </c>
      <c r="E19" t="inlineStr">
        <is>
          <t>13,28,000</t>
        </is>
      </c>
      <c r="F19" t="inlineStr">
        <is>
          <t>as per BoQ</t>
        </is>
      </c>
      <c r="G19" t="inlineStr">
        <is>
          <t>Behror</t>
        </is>
      </c>
    </row>
    <row r="20">
      <c r="A20" s="1" t="n">
        <v>18</v>
      </c>
      <c r="B20">
        <f>HYPERLINK("https://eproc.rajasthan.gov.in/nicgep/app?component=%24DirectLink&amp;page=FrontEndViewTender&amp;service=direct&amp;session=T&amp;sp=SHzRO657jD5IIpm8tTjNoDg%3D%3D", "Operation and Maintenance of Fire fighting station at Industrial area Keshwana Amounting to Rs 5.28 Lack")</f>
        <v/>
      </c>
      <c r="C20" t="inlineStr">
        <is>
          <t>RIICO-Sr. DGM(Tech)||RIICO-Technical Cell HO||UH-Neemrana</t>
        </is>
      </c>
      <c r="D20" t="inlineStr">
        <is>
          <t>19-May-2025 06:00 PM</t>
        </is>
      </c>
      <c r="E20" t="inlineStr">
        <is>
          <t>5,28,000</t>
        </is>
      </c>
      <c r="F20" t="inlineStr">
        <is>
          <t>as per BoQ</t>
        </is>
      </c>
      <c r="G20" t="inlineStr">
        <is>
          <t>Keshwana</t>
        </is>
      </c>
    </row>
    <row r="21">
      <c r="A21" s="1" t="n">
        <v>19</v>
      </c>
      <c r="B21">
        <f>HYPERLINK("https://eproc.rajasthan.gov.in/nicgep/app?component=%24DirectLink&amp;page=FrontEndViewTender&amp;service=direct&amp;session=T&amp;sp=StaeGgNCWYpxy8mswedV1vg%3D%3D", "Providing and fixing and Up-Gradation of Street Lights at Industrial arae Sotanala Amounting to Rs 105.95 Lack")</f>
        <v/>
      </c>
      <c r="C21" t="inlineStr">
        <is>
          <t>RIICO-Sr. DGM(Tech)||RIICO-Technical Cell HO||UH-Neemrana</t>
        </is>
      </c>
      <c r="D21" t="inlineStr">
        <is>
          <t>19-May-2025 06:00 PM</t>
        </is>
      </c>
      <c r="E21" t="inlineStr">
        <is>
          <t>1,05,95,000</t>
        </is>
      </c>
      <c r="F21" t="inlineStr">
        <is>
          <t>as per BoQ</t>
        </is>
      </c>
      <c r="G21" t="inlineStr">
        <is>
          <t>Sotanala</t>
        </is>
      </c>
    </row>
    <row r="22">
      <c r="A22" s="1" t="n">
        <v>20</v>
      </c>
      <c r="B22">
        <f>HYPERLINK("https://eproc.rajasthan.gov.in/nicgep/app?component=%24DirectLink&amp;page=FrontEndViewTender&amp;service=direct&amp;session=T&amp;sp=SGoBcoPXdbcFwJWeX9cTTPQ%3D%3D", "Re-Carpeting of road at Industrial arae Neemrana-I Neemrana-II and NIC(M) Neemrana Amounting to Rs 341.28 Lack")</f>
        <v/>
      </c>
      <c r="C22" t="inlineStr">
        <is>
          <t>RIICO-Sr. DGM(Tech)||RIICO-Technical Cell HO||UH-Neemrana</t>
        </is>
      </c>
      <c r="D22" t="inlineStr">
        <is>
          <t>28-May-2025 06:00 PM</t>
        </is>
      </c>
      <c r="E22" t="inlineStr">
        <is>
          <t>3,41,28,000</t>
        </is>
      </c>
      <c r="F22" t="inlineStr">
        <is>
          <t>as per BoQ</t>
        </is>
      </c>
      <c r="G22" t="inlineStr">
        <is>
          <t>Neemrana-I Neemrana-II and NIC (M) Neemrana</t>
        </is>
      </c>
    </row>
    <row r="23">
      <c r="A23" s="1" t="n">
        <v>21</v>
      </c>
      <c r="B23">
        <f>HYPERLINK("https://eproc.rajasthan.gov.in/nicgep/app?component=%24DirectLink&amp;page=FrontEndViewTender&amp;service=direct&amp;session=T&amp;sp=SxcSMyaCdwWw0dO7rYk3y1A%3D%3D", "Repair of boundary wall and drain at Industrial area NIC(M) Neemrana Amounting to Rs 15.75 Lack")</f>
        <v/>
      </c>
      <c r="C23" t="inlineStr">
        <is>
          <t>RIICO-Sr. DGM(Tech)||RIICO-Technical Cell HO||UH-Neemrana</t>
        </is>
      </c>
      <c r="D23" t="inlineStr">
        <is>
          <t>19-May-2025 06:00 PM</t>
        </is>
      </c>
      <c r="E23" t="inlineStr">
        <is>
          <t>15,75,000</t>
        </is>
      </c>
      <c r="F23" t="inlineStr">
        <is>
          <t>as per BoQ</t>
        </is>
      </c>
      <c r="G23" t="inlineStr">
        <is>
          <t>NIC(M) Neemrana</t>
        </is>
      </c>
    </row>
    <row r="24">
      <c r="A24" s="1" t="n">
        <v>22</v>
      </c>
      <c r="B24">
        <f>HYPERLINK("https://eproc.rajasthan.gov.in/nicgep/app?component=%24DirectLink&amp;page=FrontEndViewTender&amp;service=direct&amp;session=T&amp;sp=Svx36Erykv%2Bx%2FgtC7iT0Maw%3D%3D", "Maintenance of drain at Industrial area NIC(M) Neemrana Amounting to Rs. 15.06 Lack")</f>
        <v/>
      </c>
      <c r="C24" t="inlineStr">
        <is>
          <t>RIICO-Sr. DGM(Tech)||RIICO-Technical Cell HO||UH-Neemrana</t>
        </is>
      </c>
      <c r="D24" t="inlineStr">
        <is>
          <t>19-May-2025 06:00 PM</t>
        </is>
      </c>
      <c r="E24" t="inlineStr">
        <is>
          <t>15,06,000</t>
        </is>
      </c>
      <c r="F24" t="inlineStr">
        <is>
          <t>as per BoQ</t>
        </is>
      </c>
      <c r="G24" t="inlineStr">
        <is>
          <t>NIC(M) Neemrana</t>
        </is>
      </c>
    </row>
    <row r="25">
      <c r="A25" s="1" t="n">
        <v>23</v>
      </c>
      <c r="B25">
        <f>HYPERLINK("https://eproc.rajasthan.gov.in/nicgep/app?component=%24DirectLink&amp;page=FrontEndViewTender&amp;service=direct&amp;session=T&amp;sp=Sziy26ZBCW%2FH5zeQpJRuB7A%3D%3D", "Maintenance of tube well for fire station at Industrial area Keshwana Amounting to Rs 13.58 Lack")</f>
        <v/>
      </c>
      <c r="C25" t="inlineStr">
        <is>
          <t>RIICO-Sr. DGM(Tech)||RIICO-Technical Cell HO||UH-Neemrana</t>
        </is>
      </c>
      <c r="D25" t="inlineStr">
        <is>
          <t>19-May-2025 06:00 PM</t>
        </is>
      </c>
      <c r="E25" t="inlineStr">
        <is>
          <t>13,58,000</t>
        </is>
      </c>
      <c r="F25" t="inlineStr">
        <is>
          <t>as per BoQ</t>
        </is>
      </c>
      <c r="G25" t="inlineStr">
        <is>
          <t>Keshwana</t>
        </is>
      </c>
    </row>
    <row r="26">
      <c r="A26" s="1" t="n">
        <v>24</v>
      </c>
      <c r="B26">
        <f>HYPERLINK("https://eproc.rajasthan.gov.in/nicgep/app?component=%24DirectLink&amp;page=FrontEndViewTender&amp;service=direct&amp;session=T&amp;sp=SuqxmlSBvHKWg6rjWmp4fEg%3D%3D", "Development of residential colony Karni Exten")</f>
        <v/>
      </c>
      <c r="C26" t="inlineStr">
        <is>
          <t>RIICO-Sr. DGM(Tech)||RIICO-Technical Cell HO||UH- Bikaner</t>
        </is>
      </c>
      <c r="D26" t="inlineStr">
        <is>
          <t>21-May-2025 06:00 PM</t>
        </is>
      </c>
      <c r="E26" t="inlineStr">
        <is>
          <t>2,45,41,000</t>
        </is>
      </c>
      <c r="F26" t="inlineStr">
        <is>
          <t>Development of residential colony Karni Exten</t>
        </is>
      </c>
      <c r="G26" t="inlineStr">
        <is>
          <t>Bikaner</t>
        </is>
      </c>
    </row>
    <row r="27">
      <c r="A27" s="1" t="n">
        <v>25</v>
      </c>
      <c r="B27">
        <f>HYPERLINK("https://eproc.rajasthan.gov.in/nicgep/app?component=%24DirectLink&amp;page=FrontEndViewTender&amp;service=direct&amp;session=T&amp;sp=St6XdJ9bv%2F%2BxOYBclTXmDnQ%3D%3D", "Re-Carpeting of roads and construction of paved shoulder with footpath at Industrial Area Prahaladpura, Jaipur")</f>
        <v/>
      </c>
      <c r="C27" t="inlineStr">
        <is>
          <t>RIICO-Sr. DGM(Tech)||RIICO-Technical Cell HO||UH- EPIP Sitapura</t>
        </is>
      </c>
      <c r="D27" t="inlineStr">
        <is>
          <t>27-May-2025 06:00 PM</t>
        </is>
      </c>
      <c r="E27" t="inlineStr">
        <is>
          <t>2,67,87,000</t>
        </is>
      </c>
      <c r="F27" t="inlineStr">
        <is>
          <t>Re-Carpeting of roads and construction of paved shoulder with footpath at Industrial Area Prahaladpura, Jaipur</t>
        </is>
      </c>
      <c r="G27" t="inlineStr">
        <is>
          <t>Industrial Area Prahaladpura, Jaipur</t>
        </is>
      </c>
    </row>
    <row r="28">
      <c r="A28" s="1" t="n">
        <v>26</v>
      </c>
      <c r="B28">
        <f>HYPERLINK("https://eproc.rajasthan.gov.in/nicgep/app?component=%24DirectLink&amp;page=FrontEndViewTender&amp;service=direct&amp;session=T&amp;sp=SWzQkv1IQAYZpVl%2FyZ5Lozw%3D%3D", "Engagement of Consultant to act as a programme Manager for New Cities (PMNC) for Infrastructure Development of Industrial Township in Jodhpur Pali Marwar Industrial Area Special Investment Region (JPMIA-SIR)")</f>
        <v/>
      </c>
      <c r="C28" t="inlineStr">
        <is>
          <t>RIICO-Sr. DGM(Tech)||RIICO-Technical Cell HO||UH- Pali</t>
        </is>
      </c>
      <c r="D28" t="inlineStr">
        <is>
          <t>21-May-2025 05:00 PM</t>
        </is>
      </c>
      <c r="E28" t="inlineStr">
        <is>
          <t>NA</t>
        </is>
      </c>
      <c r="F28" t="inlineStr">
        <is>
          <t>Engagement of Consultant to act as a programme Manager for New Cities (PMNC) for Infrastructure Development of Industrial Township in Jodhpur Pali Marwar Industrial Area Special Investment Region (JPMIA-SIR)</t>
        </is>
      </c>
      <c r="G28" t="inlineStr">
        <is>
          <t>JPMIA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2025-05-17T13:19:03Z</dcterms:created>
  <dcterms:modified xsi:type="dcterms:W3CDTF">2025-05-17T13:19:03Z</dcterms:modified>
</cp:coreProperties>
</file>