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HYPERLINK("https://eproc.rajasthan.gov.in/nicgep/app?component=%24DirectLink&amp;page=FrontEndViewTender&amp;service=direct&amp;session=T&amp;sp=SVeASvOwENnzCLrIJbh9HSg%3D%3D", "Maintaining and upkeeping of Rest House at Bisalpur project Deoli colony year 2025.26")</f>
        <v/>
      </c>
      <c r="C2" t="inlineStr">
        <is>
          <t>WRD - CE AND AS||ACE-UDAIPUR-ZONE||SE - Const.Circle-Mahi Project-Banswara</t>
        </is>
      </c>
      <c r="D2" t="inlineStr">
        <is>
          <t>26-May-2025 06:00 PM</t>
        </is>
      </c>
      <c r="E2" t="inlineStr">
        <is>
          <t>11,77,000</t>
        </is>
      </c>
      <c r="F2" t="inlineStr">
        <is>
          <t>Maintaining and upkeeping of Rest House at Bisalpur project Deoli colony year 2025.26</t>
        </is>
      </c>
      <c r="G2" t="inlineStr">
        <is>
          <t>bisalpiur rest house deoli</t>
        </is>
      </c>
    </row>
    <row r="3">
      <c r="A3" s="1" t="n">
        <v>1</v>
      </c>
      <c r="B3">
        <f>HYPERLINK("https://eproc.rajasthan.gov.in/nicgep/app?component=%24DirectLink&amp;page=FrontEndViewTender&amp;service=direct&amp;session=T&amp;sp=SRoC0NBGPtU5GsLLbxOj8zw%3D%3D", "Urgent Repair of Hinglot Dam from RD 1590 to 1830 M Tehsil-Chhabra,Distt.-Baran")</f>
        <v/>
      </c>
      <c r="C3" t="inlineStr">
        <is>
          <t>WRD - CE AND AS||CE - WR Zone Kota||SE - WR Circle Jhalawar||EE-WR PARWAN PROJECT DIV.-II BARAN</t>
        </is>
      </c>
      <c r="D3" t="inlineStr">
        <is>
          <t>26-May-2025 06:00 PM</t>
        </is>
      </c>
      <c r="E3" t="inlineStr">
        <is>
          <t>3,86,54,900</t>
        </is>
      </c>
      <c r="F3" t="inlineStr">
        <is>
          <t>Urgent Repair of Hinglot Dam from RD 1590 to 1830 M Tehsil-Chhabra,Distt.-Baran</t>
        </is>
      </c>
      <c r="G3" t="inlineStr">
        <is>
          <t>Baran</t>
        </is>
      </c>
    </row>
    <row r="4">
      <c r="A4" s="1" t="n">
        <v>2</v>
      </c>
      <c r="B4">
        <f>HYPERLINK("https://eproc.rajasthan.gov.in/nicgep/app?component=%24DirectLink&amp;page=FrontEndViewTender&amp;service=direct&amp;session=T&amp;sp=SZAj9gtIvSgDLlhvYCL7u2Q%3D%3D", "Maintaining of Power Factor of Bisalpur Dam 2025-26.")</f>
        <v/>
      </c>
      <c r="C4" t="inlineStr">
        <is>
          <t>WRD - CE AND AS||ACE-UDAIPUR-ZONE||SE - Const.Circle-Mahi Project-Banswara</t>
        </is>
      </c>
      <c r="D4" t="inlineStr">
        <is>
          <t>24-May-2025 06:00 PM</t>
        </is>
      </c>
      <c r="E4" t="inlineStr">
        <is>
          <t>9,74,000</t>
        </is>
      </c>
      <c r="F4" t="inlineStr">
        <is>
          <t>Maintaining of Power Factor of Bisalpur Dam 2025-26.</t>
        </is>
      </c>
      <c r="G4" t="inlineStr">
        <is>
          <t>Bisalpur Dam</t>
        </is>
      </c>
    </row>
    <row r="5">
      <c r="A5" s="1" t="n">
        <v>3</v>
      </c>
      <c r="B5">
        <f>HYPERLINK("https://eproc.rajasthan.gov.in/nicgep/app?component=%24DirectLink&amp;page=FrontEndViewTender&amp;service=direct&amp;session=T&amp;sp=S5zoj4BSOkCQXuzl6D6T35A%3D%3D", "Oiling and Greasing of 18 Nos Radial Gates of Bisalpur Dam for Year 2025-26.")</f>
        <v/>
      </c>
      <c r="C5" t="inlineStr">
        <is>
          <t>WRD - CE AND AS||ACE-UDAIPUR-ZONE||SE - Const.Circle-Mahi Project-Banswara</t>
        </is>
      </c>
      <c r="D5" t="inlineStr">
        <is>
          <t>21-May-2025 06:00 PM</t>
        </is>
      </c>
      <c r="E5" t="inlineStr">
        <is>
          <t>12,85,000</t>
        </is>
      </c>
      <c r="F5" t="inlineStr">
        <is>
          <t>Oiling and Greasing of 18 Nos Radial Gates of Bisalpur Dam for Year 2025-26.</t>
        </is>
      </c>
      <c r="G5" t="inlineStr">
        <is>
          <t>Bisalpur Dam</t>
        </is>
      </c>
    </row>
    <row r="6">
      <c r="A6" s="1" t="n">
        <v>4</v>
      </c>
      <c r="B6">
        <f>HYPERLINK("https://eproc.rajasthan.gov.in/nicgep/app?component=%24DirectLink&amp;page=FrontEndViewTender&amp;service=direct&amp;session=T&amp;sp=SHqTyikpsUW6Fdmk4VZmZpA%3D%3D", "Protection Work of Intake Cum Pump House at left flank of Isarda Dam Tonk, Rajasthan for Isarda Water Supply Project")</f>
        <v/>
      </c>
      <c r="C6" t="inlineStr">
        <is>
          <t>WRD - CE AND AS||ACE-JAIPUR-ZONE||SE- ISARDA PROJECT CIRCLE TONK||EE- ISARDA PROJECT DIVISION TONK</t>
        </is>
      </c>
      <c r="D6" t="inlineStr">
        <is>
          <t>22-May-2025 06:00 PM</t>
        </is>
      </c>
      <c r="E6" t="inlineStr">
        <is>
          <t>94,96,000</t>
        </is>
      </c>
      <c r="F6" t="inlineStr">
        <is>
          <t>Protection Work of Intake Cum Pump House at left flank of Isarda Dam Tonk, Rajasthan for Isarda Water Supply Project</t>
        </is>
      </c>
      <c r="G6" t="inlineStr">
        <is>
          <t>Isarda project</t>
        </is>
      </c>
    </row>
    <row r="7">
      <c r="A7" s="1" t="n">
        <v>5</v>
      </c>
      <c r="B7">
        <f>HYPERLINK("https://eproc.rajasthan.gov.in/nicgep/app?component=%24DirectLink&amp;page=FrontEndViewTender&amp;service=direct&amp;session=T&amp;sp=StVY2MeSecU5%2BCg0pYWWzGw%3D%3D", "Construction of Approach Road and Pump House, Repair of well and Supply and Installation of Motor, Pump and Pipe line network and accessories at well Tamoliya village for Water supply in Rehabilitation 6 colonies Under Takli MIP")</f>
        <v/>
      </c>
      <c r="C7" t="inlineStr">
        <is>
          <t>WRD - CE AND AS||CE - WR Zone Kota||SE - WR Circle Kota||EE - WR Division Kota</t>
        </is>
      </c>
      <c r="D7" t="inlineStr">
        <is>
          <t>26-May-2025 06:00 PM</t>
        </is>
      </c>
      <c r="E7" t="inlineStr">
        <is>
          <t>27,53,731</t>
        </is>
      </c>
      <c r="F7" t="inlineStr">
        <is>
          <t>Construction of Approach Road and Pump House, Repair of well and Supply and Installation of Motor, Pump and Pipe line network and accessories at well Tamoliya village for Water supply in Rehabilitation 6 colonies Under Takli MIP</t>
        </is>
      </c>
      <c r="G7" t="inlineStr">
        <is>
          <t>KOTA</t>
        </is>
      </c>
    </row>
    <row r="8">
      <c r="A8" s="1" t="n">
        <v>6</v>
      </c>
      <c r="B8">
        <f>HYPERLINK("https://eproc.rajasthan.gov.in/nicgep/app?component=%24DirectLink&amp;page=FrontEndViewTender&amp;service=direct&amp;session=T&amp;sp=S1%2Bjh5FV0UaKLs4kuOANAww%3D%3D", "Urgent repair of seepage drain from devipura road to river Banas")</f>
        <v/>
      </c>
      <c r="C8" t="inlineStr">
        <is>
          <t>WRD - CE AND AS||ACE-UDAIPUR-ZONE||SE-BHILWARA-WR CIRCLE||EE-WR DIVISION II-BHILWARA</t>
        </is>
      </c>
      <c r="D8" t="inlineStr">
        <is>
          <t>22-May-2025 06:00 PM</t>
        </is>
      </c>
      <c r="E8" t="inlineStr">
        <is>
          <t>4,80,000</t>
        </is>
      </c>
      <c r="F8" t="inlineStr">
        <is>
          <t>Urgent repair of seepage drain from devipura road to river Banas</t>
        </is>
      </c>
      <c r="G8" t="inlineStr">
        <is>
          <t>BHILWARA</t>
        </is>
      </c>
    </row>
    <row r="9">
      <c r="A9" s="1" t="n">
        <v>7</v>
      </c>
      <c r="B9">
        <f>HYPERLINK("https://eproc.rajasthan.gov.in/nicgep/app?component=%24DirectLink&amp;page=FrontEndViewTender&amp;service=direct&amp;session=T&amp;sp=SDYnmo5sjykI%2By5frXGUesA%3D%3D", "Supply of earth filled plastic bags,Beldar and JCB for Watch And ward in rainy season 2025 of Sub division Meja")</f>
        <v/>
      </c>
      <c r="C9" t="inlineStr">
        <is>
          <t>WRD - CE AND AS||ACE-UDAIPUR-ZONE||SE-BHILWARA-WR CIRCLE||EE-WR DIVISION II-BHILWARA</t>
        </is>
      </c>
      <c r="D9" t="inlineStr">
        <is>
          <t>22-May-2025 06:00 PM</t>
        </is>
      </c>
      <c r="E9" t="inlineStr">
        <is>
          <t>2,44,000</t>
        </is>
      </c>
      <c r="F9" t="inlineStr">
        <is>
          <t>Supply of earth filled plastic bags,Beldar and JCB for Watch And ward in rainy season 2025 of Sub division Meja</t>
        </is>
      </c>
      <c r="G9" t="inlineStr">
        <is>
          <t>BHILWARA</t>
        </is>
      </c>
    </row>
    <row r="10">
      <c r="A10" s="1" t="n">
        <v>8</v>
      </c>
      <c r="B10">
        <f>HYPERLINK("https://eproc.rajasthan.gov.in/nicgep/app?component=%24DirectLink&amp;page=FrontEndViewTender&amp;service=direct&amp;session=T&amp;sp=SVMU6EJ6dahyN0pKFwoKOWA%3D%3D", "Urgent repair of seepage drain from dam to devipura road")</f>
        <v/>
      </c>
      <c r="C10" t="inlineStr">
        <is>
          <t>WRD - CE AND AS||ACE-UDAIPUR-ZONE||SE-BHILWARA-WR CIRCLE||EE-WR DIVISION II-BHILWARA</t>
        </is>
      </c>
      <c r="D10" t="inlineStr">
        <is>
          <t>22-May-2025 06:00 PM</t>
        </is>
      </c>
      <c r="E10" t="inlineStr">
        <is>
          <t>4,79,000</t>
        </is>
      </c>
      <c r="F10" t="inlineStr">
        <is>
          <t>Urgent repair of seepage drain from dam to devipura road</t>
        </is>
      </c>
      <c r="G10" t="inlineStr">
        <is>
          <t>BHILWARA</t>
        </is>
      </c>
    </row>
    <row r="11">
      <c r="A11" s="1" t="n">
        <v>9</v>
      </c>
      <c r="B11">
        <f>HYPERLINK("https://eproc.rajasthan.gov.in/nicgep/app?component=%24DirectLink&amp;page=FrontEndViewTender&amp;service=direct&amp;session=T&amp;sp=SFblvrjnY%2BfKQRhiawarsHQ%3D%3D", "Supply of earth filled plastic bags, Beldar and JCB for Watch And ward in rainy season 2025 of Sub division Mandal")</f>
        <v/>
      </c>
      <c r="C11" t="inlineStr">
        <is>
          <t>WRD - CE AND AS||ACE-UDAIPUR-ZONE||SE-BHILWARA-WR CIRCLE||EE-WR DIVISION II-BHILWARA</t>
        </is>
      </c>
      <c r="D11" t="inlineStr">
        <is>
          <t>22-May-2025 06:00 PM</t>
        </is>
      </c>
      <c r="E11" t="inlineStr">
        <is>
          <t>2,40,000</t>
        </is>
      </c>
      <c r="F11" t="inlineStr">
        <is>
          <t>Supply of earth filled plastic bags, Beldar and JCB for Watch And ward in rainy season 2025 of Sub division Mandal</t>
        </is>
      </c>
      <c r="G11" t="inlineStr">
        <is>
          <t>BHILWARA</t>
        </is>
      </c>
    </row>
    <row r="12">
      <c r="A12" s="1" t="n">
        <v>10</v>
      </c>
      <c r="B12">
        <f>HYPERLINK("https://eproc.rajasthan.gov.in/nicgep/app?component=%24DirectLink&amp;page=FrontEndViewTender&amp;service=direct&amp;session=T&amp;sp=SmcqXFPJiV5PJcOQENJ0mEg%3D%3D", "Supply of earth filled plastic bags , Beldar and JCB for watch and ward in rainy season 2025 of Sub Div I Mandalgarh")</f>
        <v/>
      </c>
      <c r="C12" t="inlineStr">
        <is>
          <t>WRD - CE AND AS||ACE-UDAIPUR-ZONE||SE-BHILWARA-WR CIRCLE||EE-WR DIVISION II-BHILWARA</t>
        </is>
      </c>
      <c r="D12" t="inlineStr">
        <is>
          <t>22-May-2025 06:00 PM</t>
        </is>
      </c>
      <c r="E12" t="inlineStr">
        <is>
          <t>3,92,000</t>
        </is>
      </c>
      <c r="F12" t="inlineStr">
        <is>
          <t>Supply of earth filled plastic bags , Beldar and JCB for watch and ward in rainy season 2025 of Sub Div I Mandalgarh</t>
        </is>
      </c>
      <c r="G12" t="inlineStr">
        <is>
          <t>BHILWARA</t>
        </is>
      </c>
    </row>
    <row r="13">
      <c r="A13" s="1" t="n">
        <v>11</v>
      </c>
      <c r="B13">
        <f>HYPERLINK("https://eproc.rajasthan.gov.in/nicgep/app?component=%24DirectLink&amp;page=FrontEndViewTender&amp;service=direct&amp;session=T&amp;sp=S1b1xAFqa71Q43o%2BRlPGBZg%3D%3D", "Supply of earth filled plastic bags,Beldar and JCB for watch And ward in rainy season 2025 of Sub division Matrikundia")</f>
        <v/>
      </c>
      <c r="C13" t="inlineStr">
        <is>
          <t>WRD - CE AND AS||ACE-UDAIPUR-ZONE||SE-BHILWARA-WR CIRCLE||EE-WR DIVISION II-BHILWARA</t>
        </is>
      </c>
      <c r="D13" t="inlineStr">
        <is>
          <t>22-May-2025 06:00 PM</t>
        </is>
      </c>
      <c r="E13" t="inlineStr">
        <is>
          <t>2,44,000</t>
        </is>
      </c>
      <c r="F13" t="inlineStr">
        <is>
          <t>Supply of earth filled plastic bags,Beldar and JCB for watch And ward in rainy season 2025 of Sub division Matrikundia</t>
        </is>
      </c>
      <c r="G13" t="inlineStr">
        <is>
          <t>BHILWARA</t>
        </is>
      </c>
    </row>
    <row r="14">
      <c r="A14" s="1" t="n">
        <v>12</v>
      </c>
      <c r="B14">
        <f>HYPERLINK("https://eproc.rajasthan.gov.in/nicgep/app?component=%24DirectLink&amp;page=FrontEndViewTender&amp;service=direct&amp;session=T&amp;sp=SgI6QQCfXdJCNRqXH8QiEvA%3D%3D", "Urgent repair and Oiling And greasing of gates of Matrikundia dam before rainy season 2025")</f>
        <v/>
      </c>
      <c r="C14" t="inlineStr">
        <is>
          <t>WRD - CE AND AS||ACE-UDAIPUR-ZONE||SE-BHILWARA-WR CIRCLE||EE-WR DIVISION II-BHILWARA</t>
        </is>
      </c>
      <c r="D14" t="inlineStr">
        <is>
          <t>22-May-2025 06:00 PM</t>
        </is>
      </c>
      <c r="E14" t="inlineStr">
        <is>
          <t>2,44,000</t>
        </is>
      </c>
      <c r="F14" t="inlineStr">
        <is>
          <t>Urgent repair and Oiling And greasing of gates of Matrikundia dam before rainy season 2025</t>
        </is>
      </c>
      <c r="G14" t="inlineStr">
        <is>
          <t>BHILWARA</t>
        </is>
      </c>
    </row>
    <row r="15">
      <c r="A15" s="1" t="n">
        <v>13</v>
      </c>
      <c r="B15">
        <f>HYPERLINK("https://eproc.rajasthan.gov.in/nicgep/app?component=%24DirectLink&amp;page=FrontEndViewTender&amp;service=direct&amp;session=T&amp;sp=ScnIjVhsSS6k8WYzcUI0Ekg%3D%3D", "Urgent repair of DamTank including oiling greasing of gates in jurisdiction of Subdivision Meja before rainy season 2025")</f>
        <v/>
      </c>
      <c r="C15" t="inlineStr">
        <is>
          <t>WRD - CE AND AS||ACE-UDAIPUR-ZONE||SE-BHILWARA-WR CIRCLE||EE-WR DIVISION II-BHILWARA</t>
        </is>
      </c>
      <c r="D15" t="inlineStr">
        <is>
          <t>22-May-2025 06:00 PM</t>
        </is>
      </c>
      <c r="E15" t="inlineStr">
        <is>
          <t>2,45,000</t>
        </is>
      </c>
      <c r="F15" t="inlineStr">
        <is>
          <t>Urgent repair of DamTank including oiling greasing of gates in jurisdiction of Subdivision Meja before rainy season 2025</t>
        </is>
      </c>
      <c r="G15" t="inlineStr">
        <is>
          <t>BHILWARA</t>
        </is>
      </c>
    </row>
    <row r="16">
      <c r="A16" s="1" t="n">
        <v>14</v>
      </c>
      <c r="B16">
        <f>HYPERLINK("https://eproc.rajasthan.gov.in/nicgep/app?component=%24DirectLink&amp;page=FrontEndViewTender&amp;service=direct&amp;session=T&amp;sp=S36cU9MhCFrfNHL7yZgTmiQ%3D%3D", "Urgent repair of DamTank including oiling greasing of gates in jurisdiction of Subdivision Mandal before rainy season 2025")</f>
        <v/>
      </c>
      <c r="C16" t="inlineStr">
        <is>
          <t>WRD - CE AND AS||ACE-UDAIPUR-ZONE||SE-BHILWARA-WR CIRCLE||EE-WR DIVISION II-BHILWARA</t>
        </is>
      </c>
      <c r="D16" t="inlineStr">
        <is>
          <t>22-May-2025 06:00 PM</t>
        </is>
      </c>
      <c r="E16" t="inlineStr">
        <is>
          <t>1,82,000</t>
        </is>
      </c>
      <c r="F16" t="inlineStr">
        <is>
          <t>Urgent repair of DamTank including oiling greasing of gates in jurisdiction of Subdivision Mandal before rainy season 2025</t>
        </is>
      </c>
      <c r="G16" t="inlineStr">
        <is>
          <t>BHILWARA</t>
        </is>
      </c>
    </row>
    <row r="17">
      <c r="A17" s="1" t="n">
        <v>15</v>
      </c>
      <c r="B17">
        <f>HYPERLINK("https://eproc.rajasthan.gov.in/nicgep/app?component=%24DirectLink&amp;page=FrontEndViewTender&amp;service=direct&amp;session=T&amp;sp=SWa8W4qEJUrtmHI4qQyr4gQ%3D%3D", "Urgent repair of dam Tank inculding oiling and greesing gates in juridiction of Bijoliya section Mandalgarh-II befor rainy season 2025")</f>
        <v/>
      </c>
      <c r="C17" t="inlineStr">
        <is>
          <t>WRD - CE AND AS||ACE-UDAIPUR-ZONE||SE-BHILWARA-WR CIRCLE||EE-WR DIVISION II-BHILWARA</t>
        </is>
      </c>
      <c r="D17" t="inlineStr">
        <is>
          <t>22-May-2025 06:00 PM</t>
        </is>
      </c>
      <c r="E17" t="inlineStr">
        <is>
          <t>2,93,000</t>
        </is>
      </c>
      <c r="F17" t="inlineStr">
        <is>
          <t>Urgent repair of dam Tank inculding oiling and greesing gates in juridiction of Bijoliya section Mandalgarh-II befor rainy season 2025</t>
        </is>
      </c>
      <c r="G17" t="inlineStr">
        <is>
          <t>BHILWARA</t>
        </is>
      </c>
    </row>
    <row r="18">
      <c r="A18" s="1" t="n">
        <v>16</v>
      </c>
      <c r="B18">
        <f>HYPERLINK("https://eproc.rajasthan.gov.in/nicgep/app?component=%24DirectLink&amp;page=FrontEndViewTender&amp;service=direct&amp;session=T&amp;sp=SHVIfsp9ubOOUB1KyYtwe%2Fg%3D%3D", "Urgent repair of dam Tank inculding oiling greesing gates in juridiction of sub div I Mandalgarh before rainy season - 2025")</f>
        <v/>
      </c>
      <c r="C18" t="inlineStr">
        <is>
          <t>WRD - CE AND AS||ACE-UDAIPUR-ZONE||SE-BHILWARA-WR CIRCLE||EE-WR DIVISION II-BHILWARA</t>
        </is>
      </c>
      <c r="D18" t="inlineStr">
        <is>
          <t>22-May-2025 06:00 PM</t>
        </is>
      </c>
      <c r="E18" t="inlineStr">
        <is>
          <t>3,92,000</t>
        </is>
      </c>
      <c r="F18" t="inlineStr">
        <is>
          <t>Urgent repair of dam Tank inculding oiling greesing gates in juridiction of sub div I Mandalgarh before rainy season - 2025</t>
        </is>
      </c>
      <c r="G18" t="inlineStr">
        <is>
          <t>BHILWARA</t>
        </is>
      </c>
    </row>
    <row r="19">
      <c r="A19" s="1" t="n">
        <v>17</v>
      </c>
      <c r="B19">
        <f>HYPERLINK("https://eproc.rajasthan.gov.in/nicgep/app?component=%24DirectLink&amp;page=FrontEndViewTender&amp;service=direct&amp;session=T&amp;sp=SoivnSHD6zIBxuSvYqXf7rQ%3D%3D", "Urgent repair of dam Tank inculding oiling and greesing gates in juridiction sub div. Mandalgarh-II befor rainy season - 2025")</f>
        <v/>
      </c>
      <c r="C19" t="inlineStr">
        <is>
          <t>WRD - CE AND AS||ACE-UDAIPUR-ZONE||SE-BHILWARA-WR CIRCLE||EE-WR DIVISION II-BHILWARA</t>
        </is>
      </c>
      <c r="D19" t="inlineStr">
        <is>
          <t>22-May-2025 06:00 PM</t>
        </is>
      </c>
      <c r="E19" t="inlineStr">
        <is>
          <t>2,93,000</t>
        </is>
      </c>
      <c r="F19" t="inlineStr">
        <is>
          <t>Urgent repair of dam Tank inculding oiling and greesing gates in juridiction sub div. Mandalgarh-II befor rainy season - 2025</t>
        </is>
      </c>
      <c r="G19" t="inlineStr">
        <is>
          <t>BHILWARA</t>
        </is>
      </c>
    </row>
    <row r="20">
      <c r="A20" s="1" t="n">
        <v>18</v>
      </c>
      <c r="B20">
        <f>HYPERLINK("https://eproc.rajasthan.gov.in/nicgep/app?component=%24DirectLink&amp;page=FrontEndViewTender&amp;service=direct&amp;session=T&amp;sp=SkprNM%2FHntgR1x%2FqTGgRrqg%3D%3D", "Supply of Earth filled plastic bags Beldar and JCB for watch and ward in rainy season 2025 of sub div. II Mandalgarh")</f>
        <v/>
      </c>
      <c r="C20" t="inlineStr">
        <is>
          <t>WRD - CE AND AS||ACE-UDAIPUR-ZONE||SE-BHILWARA-WR CIRCLE||EE-WR DIVISION II-BHILWARA</t>
        </is>
      </c>
      <c r="D20" t="inlineStr">
        <is>
          <t>22-May-2025 06:00 PM</t>
        </is>
      </c>
      <c r="E20" t="inlineStr">
        <is>
          <t>3,92,000</t>
        </is>
      </c>
      <c r="F20" t="inlineStr">
        <is>
          <t>Supply of Earth filled plastic bags Beldar and JCB for watch and ward in rainy season 2025 of sub div. II Mandalgarh</t>
        </is>
      </c>
      <c r="G20" t="inlineStr">
        <is>
          <t>BHILWARA</t>
        </is>
      </c>
    </row>
    <row r="21">
      <c r="A21" s="1" t="n">
        <v>19</v>
      </c>
      <c r="B21">
        <f>HYPERLINK("https://eproc.rajasthan.gov.in/nicgep/app?component=%24DirectLink&amp;page=FrontEndViewTender&amp;service=direct&amp;session=T&amp;sp=SmcWv06F%2BQHoA8pyp1fREyQ%3D%3D", "Rehabilitation of Ratanpura Disty KM 0.000 to 9.150 of Sidhmukh Irrigation System")</f>
        <v/>
      </c>
      <c r="C21" t="inlineStr">
        <is>
          <t>WRD - CE AND AS||CE - North WR - Hanumangarh||SE-WR-Circle-Nohar</t>
        </is>
      </c>
      <c r="D21" t="inlineStr">
        <is>
          <t>05-Jun-2025 06:00 PM</t>
        </is>
      </c>
      <c r="E21" t="inlineStr">
        <is>
          <t>6,86,33,881</t>
        </is>
      </c>
      <c r="F21" t="inlineStr">
        <is>
          <t>Rehabilitation of Ratanpura Disty KM 0.000 to 9.150 of Sidhmukh Irrigation System</t>
        </is>
      </c>
      <c r="G21" t="inlineStr">
        <is>
          <t>EE WRD Bhadra</t>
        </is>
      </c>
    </row>
    <row r="22">
      <c r="A22" s="1" t="n">
        <v>20</v>
      </c>
      <c r="B22">
        <f>HYPERLINK("https://eproc.rajasthan.gov.in/nicgep/app?component=%24DirectLink&amp;page=FrontEndViewTender&amp;service=direct&amp;session=T&amp;sp=SzlXOvXIeWkrI3wHnemEGeQ%3D%3D", "Watch and Ward and Oiling Greasing of Lhasi Dam From April 2025 to March 2026")</f>
        <v/>
      </c>
      <c r="C22" t="inlineStr">
        <is>
          <t>WRD - CE AND AS||CE - WR Zone Kota||SE - WR Circle Baran||EE - WR Division-I Baran</t>
        </is>
      </c>
      <c r="D22" t="inlineStr">
        <is>
          <t>22-May-2025 06:00 PM</t>
        </is>
      </c>
      <c r="E22" t="inlineStr">
        <is>
          <t>6,69,000</t>
        </is>
      </c>
      <c r="F22" t="inlineStr">
        <is>
          <t>Watch and Ward and Oiling Greasing of Lhasi Dam From April 2025 to March 2026</t>
        </is>
      </c>
      <c r="G22" t="inlineStr">
        <is>
          <t>Baran</t>
        </is>
      </c>
    </row>
    <row r="23">
      <c r="A23" s="1" t="n">
        <v>21</v>
      </c>
      <c r="B23">
        <f>HYPERLINK("https://eproc.rajasthan.gov.in/nicgep/app?component=%24DirectLink&amp;page=FrontEndViewTender&amp;service=direct&amp;session=T&amp;sp=SHV1035o2L7zrBB2HJa1rsw%3D%3D", "Rehabilitation of Sareri Irrigation Project, District - Bhilwara")</f>
        <v/>
      </c>
      <c r="C23" t="inlineStr">
        <is>
          <t>WRD - CE AND AS||ACE-UDAIPUR-ZONE||SE-BHILWARA-WR CIRCLE||EE-WR DIVISION I-BHILWARA</t>
        </is>
      </c>
      <c r="D23" t="inlineStr">
        <is>
          <t>13-Jun-2025 06:00 PM</t>
        </is>
      </c>
      <c r="E23" t="inlineStr">
        <is>
          <t>34,34,58,000</t>
        </is>
      </c>
      <c r="F23" t="inlineStr">
        <is>
          <t>Rehabilitation of Sareri Irrigation Project, District - Bhilwara</t>
        </is>
      </c>
      <c r="G23" t="inlineStr">
        <is>
          <t>SARERI,BHILWARA</t>
        </is>
      </c>
    </row>
    <row r="24">
      <c r="A24" s="1" t="n">
        <v>22</v>
      </c>
      <c r="B24">
        <f>HYPERLINK("https://eproc.rajasthan.gov.in/nicgep/app?component=%24DirectLink&amp;page=FrontEndViewTender&amp;service=direct&amp;session=T&amp;sp=SpzHds80ZBmRylB6KqW77ow%3D%3D", "Rehabilitation of Nahar Sagar Irrigation Project, District - Bhilwara")</f>
        <v/>
      </c>
      <c r="C24" t="inlineStr">
        <is>
          <t>WRD - CE AND AS||ACE-UDAIPUR-ZONE||SE-BHILWARA-WR CIRCLE||EE-WR DIVISION I-BHILWARA</t>
        </is>
      </c>
      <c r="D24" t="inlineStr">
        <is>
          <t>13-Jun-2025 06:00 PM</t>
        </is>
      </c>
      <c r="E24" t="inlineStr">
        <is>
          <t>21,26,46,510</t>
        </is>
      </c>
      <c r="F24" t="inlineStr">
        <is>
          <t>Rehabilitation of Nahar Sagar Irrigation Project, District - Bhilwara</t>
        </is>
      </c>
      <c r="G24" t="inlineStr">
        <is>
          <t>NAHAR SAGAR,BHILWARA</t>
        </is>
      </c>
    </row>
    <row r="25">
      <c r="A25" s="1" t="n">
        <v>23</v>
      </c>
      <c r="B25">
        <f>HYPERLINK("https://eproc.rajasthan.gov.in/nicgep/app?component=%24DirectLink&amp;page=FrontEndViewTender&amp;service=direct&amp;session=T&amp;sp=Sj5TSj24ZnnQGytvmln9xeQ%3D%3D", "NIT_01_Item No 22")</f>
        <v/>
      </c>
      <c r="C25" t="inlineStr">
        <is>
          <t>WRD - CE AND AS||ACE- WATER RESOURCES ZONE-BANSWARA||SE- WR CONSTRUCTION CIRCLE DUNGARPUR||EE- WR SOM KAMLA AMBA CANAL DIV. ASPUR DUNGARPUR</t>
        </is>
      </c>
      <c r="D25" t="inlineStr">
        <is>
          <t>23-May-2025 06:00 PM</t>
        </is>
      </c>
      <c r="E25" t="inlineStr">
        <is>
          <t>4,80,997</t>
        </is>
      </c>
      <c r="F25" t="inlineStr">
        <is>
          <t>NAREGA Material Supply Work</t>
        </is>
      </c>
      <c r="G25" t="inlineStr">
        <is>
          <t>Aspur</t>
        </is>
      </c>
    </row>
    <row r="26">
      <c r="A26" s="1" t="n">
        <v>24</v>
      </c>
      <c r="B26">
        <f>HYPERLINK("https://eproc.rajasthan.gov.in/nicgep/app?component=%24DirectLink&amp;page=FrontEndViewTender&amp;service=direct&amp;session=T&amp;sp=SWxZisxusIcgg5HxkGN9Gmg%3D%3D", "NIT_01_Item No 21")</f>
        <v/>
      </c>
      <c r="C26" t="inlineStr">
        <is>
          <t>WRD - CE AND AS||ACE- WATER RESOURCES ZONE-BANSWARA||SE- WR CONSTRUCTION CIRCLE DUNGARPUR||EE- WR SOM KAMLA AMBA CANAL DIV. ASPUR DUNGARPUR</t>
        </is>
      </c>
      <c r="D26" t="inlineStr">
        <is>
          <t>23-May-2025 06:00 PM</t>
        </is>
      </c>
      <c r="E26" t="inlineStr">
        <is>
          <t>4,00,472</t>
        </is>
      </c>
      <c r="F26" t="inlineStr">
        <is>
          <t>NAREGA Material Supply Work</t>
        </is>
      </c>
      <c r="G26" t="inlineStr">
        <is>
          <t>Aspur</t>
        </is>
      </c>
    </row>
    <row r="27">
      <c r="A27" s="1" t="n">
        <v>25</v>
      </c>
      <c r="B27">
        <f>HYPERLINK("https://eproc.rajasthan.gov.in/nicgep/app?component=%24DirectLink&amp;page=FrontEndViewTender&amp;service=direct&amp;session=T&amp;sp=SDtvCU7mlHTGa6y0F7pzW2A%3D%3D", "NIT_01_Item No 23")</f>
        <v/>
      </c>
      <c r="C27" t="inlineStr">
        <is>
          <t>WRD - CE AND AS||ACE- WATER RESOURCES ZONE-BANSWARA||SE- WR CONSTRUCTION CIRCLE DUNGARPUR||EE- WR SOM KAMLA AMBA CANAL DIV. ASPUR DUNGARPUR</t>
        </is>
      </c>
      <c r="D27" t="inlineStr">
        <is>
          <t>23-May-2025 06:00 PM</t>
        </is>
      </c>
      <c r="E27" t="inlineStr">
        <is>
          <t>5,21,094</t>
        </is>
      </c>
      <c r="F27" t="inlineStr">
        <is>
          <t>NAREGA Material Supply Work</t>
        </is>
      </c>
      <c r="G27" t="inlineStr">
        <is>
          <t>Aspur</t>
        </is>
      </c>
    </row>
    <row r="28">
      <c r="A28" s="1" t="n">
        <v>26</v>
      </c>
      <c r="B28">
        <f>HYPERLINK("https://eproc.rajasthan.gov.in/nicgep/app?component=%24DirectLink&amp;page=FrontEndViewTender&amp;service=direct&amp;session=T&amp;sp=SsNwx0znMqqpBMnTayZCaCw%3D%3D", "NIT_01_Item No 24")</f>
        <v/>
      </c>
      <c r="C28" t="inlineStr">
        <is>
          <t>WRD - CE AND AS||ACE- WATER RESOURCES ZONE-BANSWARA||SE- WR CONSTRUCTION CIRCLE DUNGARPUR||EE- WR SOM KAMLA AMBA CANAL DIV. ASPUR DUNGARPUR</t>
        </is>
      </c>
      <c r="D28" t="inlineStr">
        <is>
          <t>23-May-2025 06:00 PM</t>
        </is>
      </c>
      <c r="E28" t="inlineStr">
        <is>
          <t>5,21,094</t>
        </is>
      </c>
      <c r="F28" t="inlineStr">
        <is>
          <t>NAREGA Material Supply Work</t>
        </is>
      </c>
      <c r="G28" t="inlineStr">
        <is>
          <t>Aspur</t>
        </is>
      </c>
    </row>
    <row r="29">
      <c r="A29" s="1" t="n">
        <v>27</v>
      </c>
      <c r="B29">
        <f>HYPERLINK("https://eproc.rajasthan.gov.in/nicgep/app?component=%24DirectLink&amp;page=FrontEndViewTender&amp;service=direct&amp;session=T&amp;sp=StmrL1EOteF%2BasUqvgrOVRw%3D%3D", "NIT_01_Item No 25")</f>
        <v/>
      </c>
      <c r="C29" t="inlineStr">
        <is>
          <t>WRD - CE AND AS||ACE- WATER RESOURCES ZONE-BANSWARA||SE- WR CONSTRUCTION CIRCLE DUNGARPUR||EE- WR SOM KAMLA AMBA CANAL DIV. ASPUR DUNGARPUR</t>
        </is>
      </c>
      <c r="D29" t="inlineStr">
        <is>
          <t>23-May-2025 06:00 PM</t>
        </is>
      </c>
      <c r="E29" t="inlineStr">
        <is>
          <t>4,81,002</t>
        </is>
      </c>
      <c r="F29" t="inlineStr">
        <is>
          <t>NAREGA Material Supply Work</t>
        </is>
      </c>
      <c r="G29" t="inlineStr">
        <is>
          <t>Aspur</t>
        </is>
      </c>
    </row>
    <row r="30">
      <c r="A30" s="1" t="n">
        <v>28</v>
      </c>
      <c r="B30">
        <f>HYPERLINK("https://eproc.rajasthan.gov.in/nicgep/app?component=%24DirectLink&amp;page=FrontEndViewTender&amp;service=direct&amp;session=T&amp;sp=Skq1XoSPFQxqWZGI4n4Qceg%3D%3D", "NIT_01_Item No 26")</f>
        <v/>
      </c>
      <c r="C30" t="inlineStr">
        <is>
          <t>WRD - CE AND AS||ACE- WATER RESOURCES ZONE-BANSWARA||SE- WR CONSTRUCTION CIRCLE DUNGARPUR||EE- WR SOM KAMLA AMBA CANAL DIV. ASPUR DUNGARPUR</t>
        </is>
      </c>
      <c r="D30" t="inlineStr">
        <is>
          <t>23-May-2025 06:00 PM</t>
        </is>
      </c>
      <c r="E30" t="inlineStr">
        <is>
          <t>4,81,002</t>
        </is>
      </c>
      <c r="F30" t="inlineStr">
        <is>
          <t>NAREGA Material Supply Work</t>
        </is>
      </c>
      <c r="G30" t="inlineStr">
        <is>
          <t>Aspur</t>
        </is>
      </c>
    </row>
    <row r="31">
      <c r="A31" s="1" t="n">
        <v>29</v>
      </c>
      <c r="B31">
        <f>HYPERLINK("https://eproc.rajasthan.gov.in/nicgep/app?component=%24DirectLink&amp;page=FrontEndViewTender&amp;service=direct&amp;session=T&amp;sp=SNPsPeRIHiVP2h9%2FzkAX9dA%3D%3D", "NIT_01_Item No 06")</f>
        <v/>
      </c>
      <c r="C31" t="inlineStr">
        <is>
          <t>WRD - CE AND AS||ACE- WATER RESOURCES ZONE-BANSWARA||SE- WR CONSTRUCTION CIRCLE DUNGARPUR||EE- WR SOM KAMLA AMBA CANAL DIV. ASPUR DUNGARPUR</t>
        </is>
      </c>
      <c r="D31" t="inlineStr">
        <is>
          <t>23-May-2025 06:00 PM</t>
        </is>
      </c>
      <c r="E31" t="inlineStr">
        <is>
          <t>5,60,809</t>
        </is>
      </c>
      <c r="F31" t="inlineStr">
        <is>
          <t>NAREGA Material Supply Work</t>
        </is>
      </c>
      <c r="G31" t="inlineStr">
        <is>
          <t>Aspur</t>
        </is>
      </c>
    </row>
    <row r="32">
      <c r="A32" s="1" t="n">
        <v>30</v>
      </c>
      <c r="B32">
        <f>HYPERLINK("https://eproc.rajasthan.gov.in/nicgep/app?component=%24DirectLink&amp;page=FrontEndViewTender&amp;service=direct&amp;session=T&amp;sp=S68wWCFB4Mq4OA%2Feev3j2vQ%3D%3D", "NIT_01_Item No 01")</f>
        <v/>
      </c>
      <c r="C32" t="inlineStr">
        <is>
          <t>WRD - CE AND AS||ACE- WATER RESOURCES ZONE-BANSWARA||SE- WR CONSTRUCTION CIRCLE DUNGARPUR||EE- WR SOM KAMLA AMBA CANAL DIV. ASPUR DUNGARPUR</t>
        </is>
      </c>
      <c r="D32" t="inlineStr">
        <is>
          <t>23-May-2025 06:00 PM</t>
        </is>
      </c>
      <c r="E32" t="inlineStr">
        <is>
          <t>4,80,469</t>
        </is>
      </c>
      <c r="F32" t="inlineStr">
        <is>
          <t>NAREGA Material Supply Work</t>
        </is>
      </c>
      <c r="G32" t="inlineStr">
        <is>
          <t>Sabla</t>
        </is>
      </c>
    </row>
    <row r="33">
      <c r="A33" s="1" t="n">
        <v>31</v>
      </c>
      <c r="B33">
        <f>HYPERLINK("https://eproc.rajasthan.gov.in/nicgep/app?component=%24DirectLink&amp;page=FrontEndViewTender&amp;service=direct&amp;session=T&amp;sp=SFJhdQr1FYuBDvACSIkd4hg%3D%3D", "NIT_01_Item No 04")</f>
        <v/>
      </c>
      <c r="C33" t="inlineStr">
        <is>
          <t>WRD - CE AND AS||ACE- WATER RESOURCES ZONE-BANSWARA||SE- WR CONSTRUCTION CIRCLE DUNGARPUR||EE- WR SOM KAMLA AMBA CANAL DIV. ASPUR DUNGARPUR</t>
        </is>
      </c>
      <c r="D33" t="inlineStr">
        <is>
          <t>23-May-2025 06:00 PM</t>
        </is>
      </c>
      <c r="E33" t="inlineStr">
        <is>
          <t>5,61,169</t>
        </is>
      </c>
      <c r="F33" t="inlineStr">
        <is>
          <t>NAREGA Material Supply Work</t>
        </is>
      </c>
      <c r="G33" t="inlineStr">
        <is>
          <t>Sabla</t>
        </is>
      </c>
    </row>
    <row r="34">
      <c r="A34" s="1" t="n">
        <v>32</v>
      </c>
      <c r="B34">
        <f>HYPERLINK("https://eproc.rajasthan.gov.in/nicgep/app?component=%24DirectLink&amp;page=FrontEndViewTender&amp;service=direct&amp;session=T&amp;sp=SbfB2U%2FUtlV2kJhkQUT83Gw%3D%3D", "NIT_01_Item No 02")</f>
        <v/>
      </c>
      <c r="C34" t="inlineStr">
        <is>
          <t>WRD - CE AND AS||ACE- WATER RESOURCES ZONE-BANSWARA||SE- WR CONSTRUCTION CIRCLE DUNGARPUR||EE- WR SOM KAMLA AMBA CANAL DIV. ASPUR DUNGARPUR</t>
        </is>
      </c>
      <c r="D34" t="inlineStr">
        <is>
          <t>23-May-2025 06:00 PM</t>
        </is>
      </c>
      <c r="E34" t="inlineStr">
        <is>
          <t>5,61,169</t>
        </is>
      </c>
      <c r="F34" t="inlineStr">
        <is>
          <t>NAREGA Material Supply Work</t>
        </is>
      </c>
      <c r="G34" t="inlineStr">
        <is>
          <t>Sabla</t>
        </is>
      </c>
    </row>
    <row r="35">
      <c r="A35" s="1" t="n">
        <v>33</v>
      </c>
      <c r="B35">
        <f>HYPERLINK("https://eproc.rajasthan.gov.in/nicgep/app?component=%24DirectLink&amp;page=FrontEndViewTender&amp;service=direct&amp;session=T&amp;sp=StgaH94TMY%2BfnQG9KRsvBCA%3D%3D", "NIT_01_Item No 05")</f>
        <v/>
      </c>
      <c r="C35" t="inlineStr">
        <is>
          <t>WRD - CE AND AS||ACE- WATER RESOURCES ZONE-BANSWARA||SE- WR CONSTRUCTION CIRCLE DUNGARPUR||EE- WR SOM KAMLA AMBA CANAL DIV. ASPUR DUNGARPUR</t>
        </is>
      </c>
      <c r="D35" t="inlineStr">
        <is>
          <t>23-May-2025 06:00 PM</t>
        </is>
      </c>
      <c r="E35" t="inlineStr">
        <is>
          <t>5,61,169</t>
        </is>
      </c>
      <c r="F35" t="inlineStr">
        <is>
          <t>NAREGA Material Supply Work</t>
        </is>
      </c>
      <c r="G35" t="inlineStr">
        <is>
          <t>Sabla</t>
        </is>
      </c>
    </row>
    <row r="36">
      <c r="A36" s="1" t="n">
        <v>34</v>
      </c>
      <c r="B36">
        <f>HYPERLINK("https://eproc.rajasthan.gov.in/nicgep/app?component=%24DirectLink&amp;page=FrontEndViewTender&amp;service=direct&amp;session=T&amp;sp=SMPPLarvjA1K64q%2FUaQpOnQ%3D%3D", "NIT_01_Item No 07")</f>
        <v/>
      </c>
      <c r="C36" t="inlineStr">
        <is>
          <t>WRD - CE AND AS||ACE- WATER RESOURCES ZONE-BANSWARA||SE- WR CONSTRUCTION CIRCLE DUNGARPUR||EE- WR SOM KAMLA AMBA CANAL DIV. ASPUR DUNGARPUR</t>
        </is>
      </c>
      <c r="D36" t="inlineStr">
        <is>
          <t>23-May-2025 06:00 PM</t>
        </is>
      </c>
      <c r="E36" t="inlineStr">
        <is>
          <t>5,60,809</t>
        </is>
      </c>
      <c r="F36" t="inlineStr">
        <is>
          <t>NAREGA Material Supply Work</t>
        </is>
      </c>
      <c r="G36" t="inlineStr">
        <is>
          <t>Aspur</t>
        </is>
      </c>
    </row>
    <row r="37">
      <c r="A37" s="1" t="n">
        <v>35</v>
      </c>
      <c r="B37">
        <f>HYPERLINK("https://eproc.rajasthan.gov.in/nicgep/app?component=%24DirectLink&amp;page=FrontEndViewTender&amp;service=direct&amp;session=T&amp;sp=SUGks2hCkXvfy4YC4yDq2lQ%3D%3D", "NIT_01_Item No 03")</f>
        <v/>
      </c>
      <c r="C37" t="inlineStr">
        <is>
          <t>WRD - CE AND AS||ACE- WATER RESOURCES ZONE-BANSWARA||SE- WR CONSTRUCTION CIRCLE DUNGARPUR||EE- WR SOM KAMLA AMBA CANAL DIV. ASPUR DUNGARPUR</t>
        </is>
      </c>
      <c r="D37" t="inlineStr">
        <is>
          <t>23-May-2025 06:00 PM</t>
        </is>
      </c>
      <c r="E37" t="inlineStr">
        <is>
          <t>5,61,169</t>
        </is>
      </c>
      <c r="F37" t="inlineStr">
        <is>
          <t>NAREGA Material Supply Work</t>
        </is>
      </c>
      <c r="G37" t="inlineStr">
        <is>
          <t>Sabla</t>
        </is>
      </c>
    </row>
    <row r="38">
      <c r="A38" s="1" t="n">
        <v>36</v>
      </c>
      <c r="B38">
        <f>HYPERLINK("https://eproc.rajasthan.gov.in/nicgep/app?component=%24DirectLink&amp;page=FrontEndViewTender&amp;service=direct&amp;session=T&amp;sp=S2bQEFMuR3HKlVzoQ6U%2FEXA%3D%3D", "NIT_01_Item No 08")</f>
        <v/>
      </c>
      <c r="C38" t="inlineStr">
        <is>
          <t>WRD - CE AND AS||ACE- WATER RESOURCES ZONE-BANSWARA||SE- WR CONSTRUCTION CIRCLE DUNGARPUR||EE- WR SOM KAMLA AMBA CANAL DIV. ASPUR DUNGARPUR</t>
        </is>
      </c>
      <c r="D38" t="inlineStr">
        <is>
          <t>23-May-2025 06:00 PM</t>
        </is>
      </c>
      <c r="E38" t="inlineStr">
        <is>
          <t>4,00,472</t>
        </is>
      </c>
      <c r="F38" t="inlineStr">
        <is>
          <t>NAREGA Material Supply Work</t>
        </is>
      </c>
      <c r="G38" t="inlineStr">
        <is>
          <t>Aspur</t>
        </is>
      </c>
    </row>
    <row r="39">
      <c r="A39" s="1" t="n">
        <v>37</v>
      </c>
      <c r="B39">
        <f>HYPERLINK("https://eproc.rajasthan.gov.in/nicgep/app?component=%24DirectLink&amp;page=FrontEndViewTender&amp;service=direct&amp;session=T&amp;sp=SpurpHwHqL1ahMhZ5ktsT2A%3D%3D", "NIT_01_Item No 09")</f>
        <v/>
      </c>
      <c r="C39" t="inlineStr">
        <is>
          <t>WRD - CE AND AS||ACE- WATER RESOURCES ZONE-BANSWARA||SE- WR CONSTRUCTION CIRCLE DUNGARPUR||EE- WR SOM KAMLA AMBA CANAL DIV. ASPUR DUNGARPUR</t>
        </is>
      </c>
      <c r="D39" t="inlineStr">
        <is>
          <t>23-May-2025 06:00 PM</t>
        </is>
      </c>
      <c r="E39" t="inlineStr">
        <is>
          <t>5,61,169</t>
        </is>
      </c>
      <c r="F39" t="inlineStr">
        <is>
          <t>NAREGA Material Supply Work</t>
        </is>
      </c>
      <c r="G39" t="inlineStr">
        <is>
          <t>Aspur</t>
        </is>
      </c>
    </row>
    <row r="40">
      <c r="A40" s="1" t="n">
        <v>38</v>
      </c>
      <c r="B40">
        <f>HYPERLINK("https://eproc.rajasthan.gov.in/nicgep/app?component=%24DirectLink&amp;page=FrontEndViewTender&amp;service=direct&amp;session=T&amp;sp=SGfXwV8iQEtkHt5TouZo1Hg%3D%3D", "NIT_01_Item No 16")</f>
        <v/>
      </c>
      <c r="C40" t="inlineStr">
        <is>
          <t>WRD - CE AND AS||ACE- WATER RESOURCES ZONE-BANSWARA||SE- WR CONSTRUCTION CIRCLE DUNGARPUR||EE- WR SOM KAMLA AMBA CANAL DIV. ASPUR DUNGARPUR</t>
        </is>
      </c>
      <c r="D40" t="inlineStr">
        <is>
          <t>23-May-2025 06:00 PM</t>
        </is>
      </c>
      <c r="E40" t="inlineStr">
        <is>
          <t>4,86,790</t>
        </is>
      </c>
      <c r="F40" t="inlineStr">
        <is>
          <t>NAREGA Material Supply Work</t>
        </is>
      </c>
      <c r="G40" t="inlineStr">
        <is>
          <t>Aspur</t>
        </is>
      </c>
    </row>
    <row r="41">
      <c r="A41" s="1" t="n">
        <v>39</v>
      </c>
      <c r="B41">
        <f>HYPERLINK("https://eproc.rajasthan.gov.in/nicgep/app?component=%24DirectLink&amp;page=FrontEndViewTender&amp;service=direct&amp;session=T&amp;sp=SNJno%2BnHy94RFLBcyqd3T1A%3D%3D", "NIT_01_Item No 17")</f>
        <v/>
      </c>
      <c r="C41" t="inlineStr">
        <is>
          <t>WRD - CE AND AS||ACE- WATER RESOURCES ZONE-BANSWARA||SE- WR CONSTRUCTION CIRCLE DUNGARPUR||EE- WR SOM KAMLA AMBA CANAL DIV. ASPUR DUNGARPUR</t>
        </is>
      </c>
      <c r="D41" t="inlineStr">
        <is>
          <t>23-May-2025 06:00 PM</t>
        </is>
      </c>
      <c r="E41" t="inlineStr">
        <is>
          <t>4,00,835</t>
        </is>
      </c>
      <c r="F41" t="inlineStr">
        <is>
          <t>NAREGA Material Supply Work</t>
        </is>
      </c>
      <c r="G41" t="inlineStr">
        <is>
          <t>Aspur</t>
        </is>
      </c>
    </row>
    <row r="42">
      <c r="A42" s="1" t="n">
        <v>40</v>
      </c>
      <c r="B42">
        <f>HYPERLINK("https://eproc.rajasthan.gov.in/nicgep/app?component=%24DirectLink&amp;page=FrontEndViewTender&amp;service=direct&amp;session=T&amp;sp=SGbWktX032yf%2Fe3U%2FbOnKsQ%3D%3D", "NIT_01_Item No 18")</f>
        <v/>
      </c>
      <c r="C42" t="inlineStr">
        <is>
          <t>WRD - CE AND AS||ACE- WATER RESOURCES ZONE-BANSWARA||SE- WR CONSTRUCTION CIRCLE DUNGARPUR||EE- WR SOM KAMLA AMBA CANAL DIV. ASPUR DUNGARPUR</t>
        </is>
      </c>
      <c r="D42" t="inlineStr">
        <is>
          <t>23-May-2025 06:00 PM</t>
        </is>
      </c>
      <c r="E42" t="inlineStr">
        <is>
          <t>5,32,337</t>
        </is>
      </c>
      <c r="F42" t="inlineStr">
        <is>
          <t>NAREGA Material Supply Work</t>
        </is>
      </c>
      <c r="G42" t="inlineStr">
        <is>
          <t>Aspur</t>
        </is>
      </c>
    </row>
    <row r="43">
      <c r="A43" s="1" t="n">
        <v>41</v>
      </c>
      <c r="B43">
        <f>HYPERLINK("https://eproc.rajasthan.gov.in/nicgep/app?component=%24DirectLink&amp;page=FrontEndViewTender&amp;service=direct&amp;session=T&amp;sp=SgxVfnlxLGbNV7iMqkysZmQ%3D%3D", "NIT_01_Item No 19")</f>
        <v/>
      </c>
      <c r="C43" t="inlineStr">
        <is>
          <t>WRD - CE AND AS||ACE- WATER RESOURCES ZONE-BANSWARA||SE- WR CONSTRUCTION CIRCLE DUNGARPUR||EE- WR SOM KAMLA AMBA CANAL DIV. ASPUR DUNGARPUR</t>
        </is>
      </c>
      <c r="D43" t="inlineStr">
        <is>
          <t>23-May-2025 06:00 PM</t>
        </is>
      </c>
      <c r="E43" t="inlineStr">
        <is>
          <t>4,73,435</t>
        </is>
      </c>
      <c r="F43" t="inlineStr">
        <is>
          <t>NAREGA Material Supply Work</t>
        </is>
      </c>
      <c r="G43" t="inlineStr">
        <is>
          <t>Aspur</t>
        </is>
      </c>
    </row>
    <row r="44">
      <c r="A44" s="1" t="n">
        <v>42</v>
      </c>
      <c r="B44">
        <f>HYPERLINK("https://eproc.rajasthan.gov.in/nicgep/app?component=%24DirectLink&amp;page=FrontEndViewTender&amp;service=direct&amp;session=T&amp;sp=SlFAVYz2xJsOMT3%2B2SXlqFA%3D%3D", "NIT_01_Item No 20")</f>
        <v/>
      </c>
      <c r="C44" t="inlineStr">
        <is>
          <t>WRD - CE AND AS||ACE- WATER RESOURCES ZONE-BANSWARA||SE- WR CONSTRUCTION CIRCLE DUNGARPUR||EE- WR SOM KAMLA AMBA CANAL DIV. ASPUR DUNGARPUR</t>
        </is>
      </c>
      <c r="D44" t="inlineStr">
        <is>
          <t>23-May-2025 06:00 PM</t>
        </is>
      </c>
      <c r="E44" t="inlineStr">
        <is>
          <t>4,77,092</t>
        </is>
      </c>
      <c r="F44" t="inlineStr">
        <is>
          <t>NAREGA Material Supply Work</t>
        </is>
      </c>
      <c r="G44" t="inlineStr">
        <is>
          <t>Aspur</t>
        </is>
      </c>
    </row>
    <row r="45">
      <c r="A45" s="1" t="n">
        <v>43</v>
      </c>
      <c r="B45">
        <f>HYPERLINK("https://eproc.rajasthan.gov.in/nicgep/app?component=%24DirectLink&amp;page=FrontEndViewTender&amp;service=direct&amp;session=T&amp;sp=SDCUuZcQGsdSQ5odWIRJF3w%3D%3D", "NIT_01_Item No 11")</f>
        <v/>
      </c>
      <c r="C45" t="inlineStr">
        <is>
          <t>WRD - CE AND AS||ACE- WATER RESOURCES ZONE-BANSWARA||SE- WR CONSTRUCTION CIRCLE DUNGARPUR||EE- WR SOM KAMLA AMBA CANAL DIV. ASPUR DUNGARPUR</t>
        </is>
      </c>
      <c r="D45" t="inlineStr">
        <is>
          <t>23-May-2025 06:00 PM</t>
        </is>
      </c>
      <c r="E45" t="inlineStr">
        <is>
          <t>4,64,440</t>
        </is>
      </c>
      <c r="F45" t="inlineStr">
        <is>
          <t>NAREGA Material Supply Work</t>
        </is>
      </c>
      <c r="G45" t="inlineStr">
        <is>
          <t>Aspur</t>
        </is>
      </c>
    </row>
    <row r="46">
      <c r="A46" s="1" t="n">
        <v>44</v>
      </c>
      <c r="B46">
        <f>HYPERLINK("https://eproc.rajasthan.gov.in/nicgep/app?component=%24DirectLink&amp;page=FrontEndViewTender&amp;service=direct&amp;session=T&amp;sp=SrpKYBAEMj%2FcJbv2tmKuhvw%3D%3D", "NIT_01_Item No 10")</f>
        <v/>
      </c>
      <c r="C46" t="inlineStr">
        <is>
          <t>WRD - CE AND AS||ACE- WATER RESOURCES ZONE-BANSWARA||SE- WR CONSTRUCTION CIRCLE DUNGARPUR||EE- WR SOM KAMLA AMBA CANAL DIV. ASPUR DUNGARPUR</t>
        </is>
      </c>
      <c r="D46" t="inlineStr">
        <is>
          <t>23-May-2025 06:00 PM</t>
        </is>
      </c>
      <c r="E46" t="inlineStr">
        <is>
          <t>5,21,094</t>
        </is>
      </c>
      <c r="F46" t="inlineStr">
        <is>
          <t>NAREGA Material Supply Work</t>
        </is>
      </c>
      <c r="G46" t="inlineStr">
        <is>
          <t>Aspur</t>
        </is>
      </c>
    </row>
    <row r="47">
      <c r="A47" s="1" t="n">
        <v>45</v>
      </c>
      <c r="B47">
        <f>HYPERLINK("https://eproc.rajasthan.gov.in/nicgep/app?component=%24DirectLink&amp;page=FrontEndViewTender&amp;service=direct&amp;session=T&amp;sp=SyZHpctSYVQ1dy%2B7yvaQzoQ%3D%3D", "NIT_01_Item No 12")</f>
        <v/>
      </c>
      <c r="C47" t="inlineStr">
        <is>
          <t>WRD - CE AND AS||ACE- WATER RESOURCES ZONE-BANSWARA||SE- WR CONSTRUCTION CIRCLE DUNGARPUR||EE- WR SOM KAMLA AMBA CANAL DIV. ASPUR DUNGARPUR</t>
        </is>
      </c>
      <c r="D47" t="inlineStr">
        <is>
          <t>23-May-2025 06:00 PM</t>
        </is>
      </c>
      <c r="E47" t="inlineStr">
        <is>
          <t>4,64,440</t>
        </is>
      </c>
      <c r="F47" t="inlineStr">
        <is>
          <t>NAREGA Material Supply Work</t>
        </is>
      </c>
      <c r="G47" t="inlineStr">
        <is>
          <t>Aspur</t>
        </is>
      </c>
    </row>
    <row r="48">
      <c r="A48" s="1" t="n">
        <v>46</v>
      </c>
      <c r="B48">
        <f>HYPERLINK("https://eproc.rajasthan.gov.in/nicgep/app?component=%24DirectLink&amp;page=FrontEndViewTender&amp;service=direct&amp;session=T&amp;sp=SrU2RuUVL2hW1Tk31e6BgDw%3D%3D", "NIT_01_Item No 13")</f>
        <v/>
      </c>
      <c r="C48" t="inlineStr">
        <is>
          <t>WRD - CE AND AS||ACE- WATER RESOURCES ZONE-BANSWARA||SE- WR CONSTRUCTION CIRCLE DUNGARPUR||EE- WR SOM KAMLA AMBA CANAL DIV. ASPUR DUNGARPUR</t>
        </is>
      </c>
      <c r="D48" t="inlineStr">
        <is>
          <t>23-May-2025 06:00 PM</t>
        </is>
      </c>
      <c r="E48" t="inlineStr">
        <is>
          <t>5,15,563</t>
        </is>
      </c>
      <c r="F48" t="inlineStr">
        <is>
          <t>NAREGA Material Supply Work</t>
        </is>
      </c>
      <c r="G48" t="inlineStr">
        <is>
          <t>Aspur</t>
        </is>
      </c>
    </row>
    <row r="49">
      <c r="A49" s="1" t="n">
        <v>47</v>
      </c>
      <c r="B49">
        <f>HYPERLINK("https://eproc.rajasthan.gov.in/nicgep/app?component=%24DirectLink&amp;page=FrontEndViewTender&amp;service=direct&amp;session=T&amp;sp=SS1KyIpFuo%2FuefmyxXuWNMA%3D%3D", "NIT_01_Item No 14")</f>
        <v/>
      </c>
      <c r="C49" t="inlineStr">
        <is>
          <t>WRD - CE AND AS||ACE- WATER RESOURCES ZONE-BANSWARA||SE- WR CONSTRUCTION CIRCLE DUNGARPUR||EE- WR SOM KAMLA AMBA CANAL DIV. ASPUR DUNGARPUR</t>
        </is>
      </c>
      <c r="D49" t="inlineStr">
        <is>
          <t>23-May-2025 06:00 PM</t>
        </is>
      </c>
      <c r="E49" t="inlineStr">
        <is>
          <t>4,00,472</t>
        </is>
      </c>
      <c r="F49" t="inlineStr">
        <is>
          <t>NAREGA Material Supply Work</t>
        </is>
      </c>
      <c r="G49" t="inlineStr">
        <is>
          <t>Aspur</t>
        </is>
      </c>
    </row>
    <row r="50">
      <c r="A50" s="1" t="n">
        <v>48</v>
      </c>
      <c r="B50">
        <f>HYPERLINK("https://eproc.rajasthan.gov.in/nicgep/app?component=%24DirectLink&amp;page=FrontEndViewTender&amp;service=direct&amp;session=T&amp;sp=S%2Bm9DFD3nOBszBQqXKRPang%3D%3D", "NIT_01_Item No 15")</f>
        <v/>
      </c>
      <c r="C50" t="inlineStr">
        <is>
          <t>WRD - CE AND AS||ACE- WATER RESOURCES ZONE-BANSWARA||SE- WR CONSTRUCTION CIRCLE DUNGARPUR||EE- WR SOM KAMLA AMBA CANAL DIV. ASPUR DUNGARPUR</t>
        </is>
      </c>
      <c r="D50" t="inlineStr">
        <is>
          <t>23-May-2025 06:00 PM</t>
        </is>
      </c>
      <c r="E50" t="inlineStr">
        <is>
          <t>4,58,018</t>
        </is>
      </c>
      <c r="F50" t="inlineStr">
        <is>
          <t>NAREGA Material Supply Work</t>
        </is>
      </c>
      <c r="G50" t="inlineStr">
        <is>
          <t>Aspur</t>
        </is>
      </c>
    </row>
    <row r="51">
      <c r="A51" s="1" t="n">
        <v>49</v>
      </c>
      <c r="B51">
        <f>HYPERLINK("https://eproc.rajasthan.gov.in/nicgep/app?component=%24DirectLink&amp;page=FrontEndViewTender&amp;service=direct&amp;session=T&amp;sp=SeDMa4bMyr7tC34q9fMRkCA%3D%3D", "Provision for safety major and Watch and Ward of Gagrin Medium irrigation Project")</f>
        <v/>
      </c>
      <c r="C51" t="inlineStr">
        <is>
          <t>WRD - CE AND AS||CE - WR Zone Kota||SE - WR Circle Jhalawar||EE - Chauli Irrigation Project Div. Jhalawar</t>
        </is>
      </c>
      <c r="D51" t="inlineStr">
        <is>
          <t>22-May-2025 06:00 PM</t>
        </is>
      </c>
      <c r="E51" t="inlineStr">
        <is>
          <t>6,28,000</t>
        </is>
      </c>
      <c r="F51" t="inlineStr">
        <is>
          <t>Provision for safety major and Watch and Ward of Gagrin Medium irrigation Project</t>
        </is>
      </c>
      <c r="G51" t="inlineStr">
        <is>
          <t>JHALAWAR</t>
        </is>
      </c>
    </row>
    <row r="52">
      <c r="A52" s="1" t="n">
        <v>50</v>
      </c>
      <c r="B52">
        <f>HYPERLINK("https://eproc.rajasthan.gov.in/nicgep/app?component=%24DirectLink&amp;page=FrontEndViewTender&amp;service=direct&amp;session=T&amp;sp=SvL7osDmHKI7FcOdLQa8DWw%3D%3D", "Construction of Plateform with Railing at Gagrin Dam Under Gagrin Medium lrrigation Proj ect Tehsil Pirawa")</f>
        <v/>
      </c>
      <c r="C52" t="inlineStr">
        <is>
          <t>WRD - CE AND AS||CE - WR Zone Kota||SE - WR Circle Jhalawar||EE - Chauli Irrigation Project Div. Jhalawar</t>
        </is>
      </c>
      <c r="D52" t="inlineStr">
        <is>
          <t>22-May-2025 06:00 PM</t>
        </is>
      </c>
      <c r="E52" t="inlineStr">
        <is>
          <t>22,76,000</t>
        </is>
      </c>
      <c r="F52" t="inlineStr">
        <is>
          <t>Construction of Plateform with Railing at Gagrin Dam Under Gagrin Medium lrrigation Proj ect Tehsil Pirawa</t>
        </is>
      </c>
      <c r="G52" t="inlineStr">
        <is>
          <t>JHALAWAR</t>
        </is>
      </c>
    </row>
    <row r="53">
      <c r="A53" s="1" t="n">
        <v>51</v>
      </c>
      <c r="B53">
        <f>HYPERLINK("https://eproc.rajasthan.gov.in/nicgep/app?component=%24DirectLink&amp;page=FrontEndViewTender&amp;service=direct&amp;session=T&amp;sp=SyKhY1rW%2BDil%2B4%2B53N3HNIg%3D%3D", "Urgent Removal of earth from both side of the aPProach road of Gagrin dam")</f>
        <v/>
      </c>
      <c r="C53" t="inlineStr">
        <is>
          <t>WRD - CE AND AS||CE - WR Zone Kota||SE - WR Circle Jhalawar||EE - Chauli Irrigation Project Div. Jhalawar</t>
        </is>
      </c>
      <c r="D53" t="inlineStr">
        <is>
          <t>22-May-2025 06:00 PM</t>
        </is>
      </c>
      <c r="E53" t="inlineStr">
        <is>
          <t>28,40,000</t>
        </is>
      </c>
      <c r="F53" t="inlineStr">
        <is>
          <t>Urgent Removal of earth from both side of the aPProach road of Gagrin dam</t>
        </is>
      </c>
      <c r="G53" t="inlineStr">
        <is>
          <t>JHALAWAR</t>
        </is>
      </c>
    </row>
    <row r="54">
      <c r="A54" s="1" t="n">
        <v>52</v>
      </c>
      <c r="B54">
        <f>HYPERLINK("https://eproc.rajasthan.gov.in/nicgep/app?component=%24DirectLink&amp;page=FrontEndViewTender&amp;service=direct&amp;session=T&amp;sp=S2Nhe4LICdPvvd7uYOz4dag%3D%3D", "Construction of Box Culvert On local nallah near village Kheda Tehsil Pachpa had Dist Jhalawar")</f>
        <v/>
      </c>
      <c r="C54" t="inlineStr">
        <is>
          <t>WRD - CE AND AS||CE - WR Zone Kota||SE - WR Circle Jhalawar||EE - Chauli Irrigation Project Div. Jhalawar</t>
        </is>
      </c>
      <c r="D54" t="inlineStr">
        <is>
          <t>22-May-2025 06:00 PM</t>
        </is>
      </c>
      <c r="E54" t="inlineStr">
        <is>
          <t>46,83,000</t>
        </is>
      </c>
      <c r="F54" t="inlineStr">
        <is>
          <t>Construction of Box Culvert On local nallah near village Kheda Tehsil Pachpa had Dist Jhalawar</t>
        </is>
      </c>
      <c r="G54" t="inlineStr">
        <is>
          <t>JHALAWAR</t>
        </is>
      </c>
    </row>
    <row r="55">
      <c r="A55" s="1" t="n">
        <v>53</v>
      </c>
      <c r="B55">
        <f>HYPERLINK("https://eproc.rajasthan.gov.in/nicgep/app?component=%24DirectLink&amp;page=FrontEndViewTender&amp;service=direct&amp;session=T&amp;sp=Sp89kWeGUE9YMJfPyVD7Uhw%3D%3D", "Arch Covering work of Ummedsagar Dam RMC from Kumawat Hostel RD 4000 m to 6940 m Tail Jahazpur road Tehsil-Shahpura District- Bhilwara")</f>
        <v/>
      </c>
      <c r="C55" t="inlineStr">
        <is>
          <t>WRD - CE AND AS||ACE-UDAIPUR-ZONE||SE-BHILWARA-WR CIRCLE||EE-WR DIVISION I-BHILWARA</t>
        </is>
      </c>
      <c r="D55" t="inlineStr">
        <is>
          <t>02-Jun-2025 06:00 PM</t>
        </is>
      </c>
      <c r="E55" t="inlineStr">
        <is>
          <t>6,23,48,392</t>
        </is>
      </c>
      <c r="F55" t="inlineStr">
        <is>
          <t>Arch Covering work of Ummedsagar Dam RMC from Kumawat Hostel RD 4000 m to 6940 m Tail Jahazpur road Tehsil-Shahpura District- Bhilwara</t>
        </is>
      </c>
      <c r="G55" t="inlineStr">
        <is>
          <t>JAHAZPUR,BHILWARA</t>
        </is>
      </c>
    </row>
    <row r="56">
      <c r="A56" s="1" t="n">
        <v>54</v>
      </c>
      <c r="B56">
        <f>HYPERLINK("https://eproc.rajasthan.gov.in/nicgep/app?component=%24DirectLink&amp;page=FrontEndViewTender&amp;service=direct&amp;session=T&amp;sp=SZPZt2V1Yttj0aYwFmpOMag%3D%3D", "Annual Rate Contract of Printing work of Training Literature, News letter/ brouchures, etc")</f>
        <v/>
      </c>
      <c r="C56" t="inlineStr">
        <is>
          <t>WRD - CE AND AS||CE-Irrigation Management and Training Institute (IMTI)- Kota</t>
        </is>
      </c>
      <c r="D56" t="inlineStr">
        <is>
          <t>19-May-2025 06:00 PM</t>
        </is>
      </c>
      <c r="E56" t="inlineStr">
        <is>
          <t>3,00,000</t>
        </is>
      </c>
      <c r="F56" t="inlineStr">
        <is>
          <t>Printing Work</t>
        </is>
      </c>
      <c r="G56" t="inlineStr">
        <is>
          <t>KOTA</t>
        </is>
      </c>
    </row>
    <row r="57">
      <c r="A57" s="1" t="n">
        <v>55</v>
      </c>
      <c r="B57">
        <f>HYPERLINK("https://eproc.rajasthan.gov.in/nicgep/app?component=%24DirectLink&amp;page=FrontEndViewTender&amp;service=direct&amp;session=T&amp;sp=Su43c6v3AIkNmE8TWpQ9tRg%3D%3D", "Annual Rate Contract of Cleaning and sweeping work of Administratitive Block, cleaning work of roads and open grounds , and cleaning sweeping work of all Residential and Administrative buildings , all Toilets of Institution")</f>
        <v/>
      </c>
      <c r="C57" t="inlineStr">
        <is>
          <t>WRD - CE AND AS||CE-Irrigation Management and Training Institute (IMTI)- Kota</t>
        </is>
      </c>
      <c r="D57" t="inlineStr">
        <is>
          <t>19-May-2025 06:00 PM</t>
        </is>
      </c>
      <c r="E57" t="inlineStr">
        <is>
          <t>2,50,000</t>
        </is>
      </c>
      <c r="F57" t="inlineStr">
        <is>
          <t>Cleaning Work</t>
        </is>
      </c>
      <c r="G57" t="inlineStr">
        <is>
          <t>KOTA</t>
        </is>
      </c>
    </row>
    <row r="58">
      <c r="A58" s="1" t="n">
        <v>56</v>
      </c>
      <c r="B58">
        <f>HYPERLINK("https://eproc.rajasthan.gov.in/nicgep/app?component=%24DirectLink&amp;page=FrontEndViewTender&amp;service=direct&amp;session=T&amp;sp=SW4KrAE0IlrZfzy33U8P1AA%3D%3D", "Annual Rate contract for Arrangement of Loadging/Boarding for Educational Tour of IMTI (In Rajasthan and Other State)")</f>
        <v/>
      </c>
      <c r="C58" t="inlineStr">
        <is>
          <t>WRD - CE AND AS||CE-Irrigation Management and Training Institute (IMTI)- Kota</t>
        </is>
      </c>
      <c r="D58" t="inlineStr">
        <is>
          <t>19-May-2025 06:00 PM</t>
        </is>
      </c>
      <c r="E58" t="inlineStr">
        <is>
          <t>9,00,000</t>
        </is>
      </c>
      <c r="F58" t="inlineStr">
        <is>
          <t>Tour</t>
        </is>
      </c>
      <c r="G58" t="inlineStr">
        <is>
          <t>KOTA</t>
        </is>
      </c>
    </row>
    <row r="59">
      <c r="A59" s="1" t="n">
        <v>57</v>
      </c>
      <c r="B59">
        <f>HYPERLINK("https://eproc.rajasthan.gov.in/nicgep/app?component=%24DirectLink&amp;page=FrontEndViewTender&amp;service=direct&amp;session=T&amp;sp=SUSjpWHaKgkcq3SiYV2pxSw%3D%3D", "Training work in Computer Course Module - I and II, IV at I.M.T.I., Kota Annual Rate Contract")</f>
        <v/>
      </c>
      <c r="C59" t="inlineStr">
        <is>
          <t>WRD - CE AND AS||CE-Irrigation Management and Training Institute (IMTI)- Kota</t>
        </is>
      </c>
      <c r="D59" t="inlineStr">
        <is>
          <t>19-May-2025 06:00 PM</t>
        </is>
      </c>
      <c r="E59" t="inlineStr">
        <is>
          <t>3,50,000</t>
        </is>
      </c>
      <c r="F59" t="inlineStr">
        <is>
          <t>Computer Training</t>
        </is>
      </c>
      <c r="G59" t="inlineStr">
        <is>
          <t>KOTA</t>
        </is>
      </c>
    </row>
    <row r="60">
      <c r="A60" s="1" t="n">
        <v>58</v>
      </c>
      <c r="B60">
        <f>HYPERLINK("https://eproc.rajasthan.gov.in/nicgep/app?component=%24DirectLink&amp;page=FrontEndViewTender&amp;service=direct&amp;session=T&amp;sp=Suf1GpNBi00mj%2FrtEjnXgrQ%3D%3D", "Annual Rate Contract of Lawn and Maintenance Lawn, Plantation, New Lawn, and Kiyario, Fulwari, Plants and Lawn as per required Water and Khad Dalne Ka Karya and All work of Garden Related etc.")</f>
        <v/>
      </c>
      <c r="C60" t="inlineStr">
        <is>
          <t>WRD - CE AND AS||CE-Irrigation Management and Training Institute (IMTI)- Kota</t>
        </is>
      </c>
      <c r="D60" t="inlineStr">
        <is>
          <t>19-May-2025 06:00 PM</t>
        </is>
      </c>
      <c r="E60" t="inlineStr">
        <is>
          <t>2,25,000</t>
        </is>
      </c>
      <c r="F60" t="inlineStr">
        <is>
          <t>Plantation work</t>
        </is>
      </c>
      <c r="G60" t="inlineStr">
        <is>
          <t>KOTA</t>
        </is>
      </c>
    </row>
    <row r="61">
      <c r="A61" s="1" t="n">
        <v>59</v>
      </c>
      <c r="B61">
        <f>HYPERLINK("https://eproc.rajasthan.gov.in/nicgep/app?component=%24DirectLink&amp;page=FrontEndViewTender&amp;service=direct&amp;session=T&amp;sp=SdwwNWN9Zp1rInlGVHx2Z%2FA%3D%3D", "Rectification of outlets of AMS Sub Branch, NTR Disty and DPN Disty")</f>
        <v/>
      </c>
      <c r="C61" t="inlineStr">
        <is>
          <t>WRD - CE AND AS||CE - North WR - Hanumangarh||SE-WR-Circle-Nohar||EE- DIV-BHADRA</t>
        </is>
      </c>
      <c r="D61" t="inlineStr">
        <is>
          <t>19-May-2025 06:00 PM</t>
        </is>
      </c>
      <c r="E61" t="inlineStr">
        <is>
          <t>8,54,000</t>
        </is>
      </c>
      <c r="F61" t="inlineStr">
        <is>
          <t>Rectification of outlets of AMS Sub Branch, NTR Disty and DPN Disty</t>
        </is>
      </c>
      <c r="G61" t="inlineStr">
        <is>
          <t>EEWRDBHADRA</t>
        </is>
      </c>
    </row>
    <row r="62">
      <c r="A62" s="1" t="n">
        <v>60</v>
      </c>
      <c r="B62">
        <f>HYPERLINK("https://eproc.rajasthan.gov.in/nicgep/app?component=%24DirectLink&amp;page=FrontEndViewTender&amp;service=direct&amp;session=T&amp;sp=SYnnm7h6HjCWdpllcZZhyVQ%3D%3D", "Construction of approach road for irrigation fields of village Sohanpura in d/s of Takli dam under Takli MIP")</f>
        <v/>
      </c>
      <c r="C62" t="inlineStr">
        <is>
          <t>WRD - CE AND AS||CE - WR Zone Kota||SE - WR Circle Kota||EE - WR Division Kota</t>
        </is>
      </c>
      <c r="D62" t="inlineStr">
        <is>
          <t>19-May-2025 06:00 PM</t>
        </is>
      </c>
      <c r="E62" t="inlineStr">
        <is>
          <t>22,61,905</t>
        </is>
      </c>
      <c r="F62" t="inlineStr">
        <is>
          <t>Construction of approach road for irrigation fields of village Sohanpura in d/s of Takli dam under Takli MIP</t>
        </is>
      </c>
      <c r="G62" t="inlineStr">
        <is>
          <t>KOTA</t>
        </is>
      </c>
    </row>
    <row r="63">
      <c r="A63" s="1" t="n">
        <v>61</v>
      </c>
      <c r="B63">
        <f>HYPERLINK("https://eproc.rajasthan.gov.in/nicgep/app?component=%24DirectLink&amp;page=FrontEndViewTender&amp;service=direct&amp;session=T&amp;sp=SugXzdZGz3zpDyBFQecQBxg%3D%3D", "Pertolling and Watch and ward of Takli Dam Including Supply of Earth Filled Bag During Monsoon Season Under Takli Medium Irrigation Project")</f>
        <v/>
      </c>
      <c r="C63" t="inlineStr">
        <is>
          <t>WRD - CE AND AS||CE - WR Zone Kota||SE - WR Circle Kota||EE - WR Division Kota</t>
        </is>
      </c>
      <c r="D63" t="inlineStr">
        <is>
          <t>19-May-2025 06:00 PM</t>
        </is>
      </c>
      <c r="E63" t="inlineStr">
        <is>
          <t>8,31,260</t>
        </is>
      </c>
      <c r="F63" t="inlineStr">
        <is>
          <t>Pertolling and Watch and ward of Takli Dam Including Supply of Earth Filled Bag During Monsoon Season Under Takli Medium Irrigation Project</t>
        </is>
      </c>
      <c r="G63" t="inlineStr">
        <is>
          <t>KOTA</t>
        </is>
      </c>
    </row>
    <row r="64">
      <c r="A64" s="1" t="n">
        <v>62</v>
      </c>
      <c r="B64">
        <f>HYPERLINK("https://eproc.rajasthan.gov.in/nicgep/app?component=%24DirectLink&amp;page=FrontEndViewTender&amp;service=direct&amp;session=T&amp;sp=SQc6f5IuW%2F69cEifLYCE27A%3D%3D", "Construction of Cross Head Regulator and link Channel between Homes Canal and Main Drain Tehsil and District Bharatpur")</f>
        <v/>
      </c>
      <c r="C64" t="inlineStr">
        <is>
          <t>WRD - CE AND AS||ACE-JAIPUR-ZONE||SE-BHARATPUR-CIRCLE||EE-WR DIVISION-BHARATPUR</t>
        </is>
      </c>
      <c r="D64" t="inlineStr">
        <is>
          <t>27-May-2025 06:00 PM</t>
        </is>
      </c>
      <c r="E64" t="inlineStr">
        <is>
          <t>1,43,08,000</t>
        </is>
      </c>
      <c r="F64" t="inlineStr">
        <is>
          <t>Construction of Cross Head Regulator and link Channel between Homes Canal and Main Drain Tehsil and District Bharatpur</t>
        </is>
      </c>
      <c r="G64" t="inlineStr">
        <is>
          <t>under jurisdiction of Bharatpur Division</t>
        </is>
      </c>
    </row>
    <row r="65">
      <c r="A65" s="1" t="n">
        <v>63</v>
      </c>
      <c r="B65">
        <f>HYPERLINK("https://eproc.rajasthan.gov.in/nicgep/app?component=%24DirectLink&amp;page=FrontEndViewTender&amp;service=direct&amp;session=T&amp;sp=S5bcx5h2Vn0L%2Fij9wtJ1P8g%3D%3D", "Renovation of Chandoli Anicut in Ghati Bas, , Gram Panchayat-Chandoli, Tehsil-Alwar, Dist. Alwar")</f>
        <v/>
      </c>
      <c r="C65" t="inlineStr">
        <is>
          <t>WRD - CE AND AS||ACE-JAIPUR-ZONE||SE-BHARATPUR-CIRCLE||EE-WR DIVISION-ALWAR</t>
        </is>
      </c>
      <c r="D65" t="inlineStr">
        <is>
          <t>22-May-2025 06:00 PM</t>
        </is>
      </c>
      <c r="E65" t="inlineStr">
        <is>
          <t>43,37,000</t>
        </is>
      </c>
      <c r="F65" t="inlineStr">
        <is>
          <t>Renovation of Chandoli Anicut in Ghati Bas, , Gram Panchayat-Chandoli, Tehsil-Alwar, Dist. Alwar</t>
        </is>
      </c>
      <c r="G65" t="inlineStr">
        <is>
          <t>under jurisdiction of Alwar Division</t>
        </is>
      </c>
    </row>
    <row r="66">
      <c r="A66" s="1" t="n">
        <v>64</v>
      </c>
      <c r="B66">
        <f>HYPERLINK("https://eproc.rajasthan.gov.in/nicgep/app?component=%24DirectLink&amp;page=FrontEndViewTender&amp;service=direct&amp;session=T&amp;sp=SIsrXjU0aC4KWpT4LHRff%2FA%3D%3D", "Renovation of Pathena canal and its VRBs, repair of head cross regulator of flood canals and bunds of Distt Bharatpur")</f>
        <v/>
      </c>
      <c r="C66" t="inlineStr">
        <is>
          <t>WRD - CE AND AS||ACE-JAIPUR-ZONE||SE-BHARATPUR-CIRCLE||EE-WR DIVISION-BHARATPUR</t>
        </is>
      </c>
      <c r="D66" t="inlineStr">
        <is>
          <t>27-May-2025 06:00 PM</t>
        </is>
      </c>
      <c r="E66" t="inlineStr">
        <is>
          <t>9,43,56,000</t>
        </is>
      </c>
      <c r="F66" t="inlineStr">
        <is>
          <t>Renovation of Pathena canal and its VRBs, repair of head cross regulator of flood canals and bunds of Distt Bharatpur</t>
        </is>
      </c>
      <c r="G66" t="inlineStr">
        <is>
          <t>under jurisdiction of bharatpur Division</t>
        </is>
      </c>
    </row>
    <row r="67">
      <c r="A67" s="1" t="n">
        <v>65</v>
      </c>
      <c r="B67">
        <f>HYPERLINK("https://eproc.rajasthan.gov.in/nicgep/app?component=%24DirectLink&amp;page=FrontEndViewTender&amp;service=direct&amp;session=T&amp;sp=SL5jiZwdqzJl%2FsGjQWG%2BVJA%3D%3D", "Renovation of Ajan canal and its regulators VRBs, Restoration of Drain Ikran to Main Drain District Bharatpur")</f>
        <v/>
      </c>
      <c r="C67" t="inlineStr">
        <is>
          <t>WRD - CE AND AS||ACE-JAIPUR-ZONE||SE-BHARATPUR-CIRCLE||EE-WR DIVISION-BHARATPUR</t>
        </is>
      </c>
      <c r="D67" t="inlineStr">
        <is>
          <t>27-May-2025 06:00 PM</t>
        </is>
      </c>
      <c r="E67" t="inlineStr">
        <is>
          <t>9,86,22,000</t>
        </is>
      </c>
      <c r="F67" t="inlineStr">
        <is>
          <t>Renovation of Ajan canal and its regulators VRBs, Restoration of Drain Ikran to Main Drain District Bharatpur</t>
        </is>
      </c>
      <c r="G67" t="inlineStr">
        <is>
          <t>under jurisdiction of bharatpur Division</t>
        </is>
      </c>
    </row>
    <row r="68">
      <c r="A68" s="1" t="n">
        <v>66</v>
      </c>
      <c r="B68">
        <f>HYPERLINK("https://eproc.rajasthan.gov.in/nicgep/app?component=%24DirectLink&amp;page=FrontEndViewTender&amp;service=direct&amp;session=T&amp;sp=Sf3Aslhl38%2FZQ5zVyUVwWZA%3D%3D", "Renovation of Main Drain from Moti Mahal ch 206 to Bachhamadi Road Bridge Ch 322 District Bharatpur.")</f>
        <v/>
      </c>
      <c r="C68" t="inlineStr">
        <is>
          <t>WRD - CE AND AS||ACE-JAIPUR-ZONE||SE-BHARATPUR-CIRCLE||EE-WR DIVISION-BHARATPUR</t>
        </is>
      </c>
      <c r="D68" t="inlineStr">
        <is>
          <t>27-May-2025 06:00 PM</t>
        </is>
      </c>
      <c r="E68" t="inlineStr">
        <is>
          <t>12,85,14,000</t>
        </is>
      </c>
      <c r="F68" t="inlineStr">
        <is>
          <t>Renovation of Main Drain from Moti Mahal ch 206 to Bachhamadi Road Bridge Ch 322 District Bharatpur.</t>
        </is>
      </c>
      <c r="G68" t="inlineStr">
        <is>
          <t>under jurisdiction of bharatpur Division</t>
        </is>
      </c>
    </row>
    <row r="69">
      <c r="A69" s="1" t="n">
        <v>67</v>
      </c>
      <c r="B69">
        <f>HYPERLINK("https://eproc.rajasthan.gov.in/nicgep/app?component=%24DirectLink&amp;page=FrontEndViewTender&amp;service=direct&amp;session=T&amp;sp=StD3B%2F5vywQwHF%2BrBzOAHvg%3D%3D", "Renovation of pichuna canal, uchain canal and its regulators VRBs District Bharatpur")</f>
        <v/>
      </c>
      <c r="C69" t="inlineStr">
        <is>
          <t>WRD - CE AND AS||ACE-JAIPUR-ZONE||SE-BHARATPUR-CIRCLE||EE-WR DIVISION-BHARATPUR</t>
        </is>
      </c>
      <c r="D69" t="inlineStr">
        <is>
          <t>27-May-2025 06:00 PM</t>
        </is>
      </c>
      <c r="E69" t="inlineStr">
        <is>
          <t>6,35,44,000</t>
        </is>
      </c>
      <c r="F69" t="inlineStr">
        <is>
          <t>Renovation of pichuna canal, uchain canal and its regulators VRBs District Bharatpur</t>
        </is>
      </c>
      <c r="G69" t="inlineStr">
        <is>
          <t>under jurisdiction of bharatpur Division</t>
        </is>
      </c>
    </row>
    <row r="70">
      <c r="A70" s="1" t="n">
        <v>68</v>
      </c>
      <c r="B70">
        <f>HYPERLINK("https://eproc.rajasthan.gov.in/nicgep/app?component=%24DirectLink&amp;page=FrontEndViewTender&amp;service=direct&amp;session=T&amp;sp=SlE22ZKZYyGU6ncVggEaiVw%3D%3D", "Renovation of sewla head, afflux protection bundh, singhawli drain chakora and shakkarpur feeder along with its VRBs of Gambhir river system district Bharatpur")</f>
        <v/>
      </c>
      <c r="C70" t="inlineStr">
        <is>
          <t>WRD - CE AND AS||ACE-JAIPUR-ZONE||SE-BHARATPUR-CIRCLE||EE-WR DIVISION-BHARATPUR</t>
        </is>
      </c>
      <c r="D70" t="inlineStr">
        <is>
          <t>27-May-2025 06:00 PM</t>
        </is>
      </c>
      <c r="E70" t="inlineStr">
        <is>
          <t>9,10,25,000</t>
        </is>
      </c>
      <c r="F70" t="inlineStr">
        <is>
          <t>Renovation of sewla head, afflux protection bundh, singhawli drain chakora and shakkarpur feeder along with its VRBs of Gambhir river system district Bharatpur</t>
        </is>
      </c>
      <c r="G70" t="inlineStr">
        <is>
          <t>under jurisdiction of bharatpur Division</t>
        </is>
      </c>
    </row>
    <row r="71">
      <c r="A71" s="1" t="n">
        <v>69</v>
      </c>
      <c r="B71">
        <f>HYPERLINK("https://eproc.rajasthan.gov.in/nicgep/app?component=%24DirectLink&amp;page=FrontEndViewTender&amp;service=direct&amp;session=T&amp;sp=SXjhXH4%2BJEEm%2BEjAmG3yr2Q%3D%3D", "Renovation of Homes canal and its regulator VRBs, Seh Bundh and Hindola bundh District Deeg and Bharatpur")</f>
        <v/>
      </c>
      <c r="C71" t="inlineStr">
        <is>
          <t>WRD - CE AND AS||ACE-JAIPUR-ZONE||SE-BHARATPUR-CIRCLE||EE-WR DIVISION-BHARATPUR</t>
        </is>
      </c>
      <c r="D71" t="inlineStr">
        <is>
          <t>27-May-2025 06:00 PM</t>
        </is>
      </c>
      <c r="E71" t="inlineStr">
        <is>
          <t>10,09,12,000</t>
        </is>
      </c>
      <c r="F71" t="inlineStr">
        <is>
          <t>Renovation of Homes canal and its regulator VRBs, Seh Bundh and Hindola bundh District Deeg and Bharatpur</t>
        </is>
      </c>
      <c r="G71" t="inlineStr">
        <is>
          <t>under jurisdiction of bharatpur Division</t>
        </is>
      </c>
    </row>
    <row r="72">
      <c r="A72" s="1" t="n">
        <v>70</v>
      </c>
      <c r="B72">
        <f>HYPERLINK("https://eproc.rajasthan.gov.in/nicgep/app?component=%24DirectLink&amp;page=FrontEndViewTender&amp;service=direct&amp;session=T&amp;sp=SVC5CqVpdjJWmWKlNjPcPmg%3D%3D", "Renovation of Ajan Lower and Upper Bund District Bharatpur")</f>
        <v/>
      </c>
      <c r="C72" t="inlineStr">
        <is>
          <t>WRD - CE AND AS||ACE-JAIPUR-ZONE||SE-BHARATPUR-CIRCLE||EE-WR DIVISION-BHARATPUR</t>
        </is>
      </c>
      <c r="D72" t="inlineStr">
        <is>
          <t>27-May-2025 06:00 PM</t>
        </is>
      </c>
      <c r="E72" t="inlineStr">
        <is>
          <t>23,61,02,000</t>
        </is>
      </c>
      <c r="F72" t="inlineStr">
        <is>
          <t>Renovation of Ajan Lower and Upper Bund District Bharatpur</t>
        </is>
      </c>
      <c r="G72" t="inlineStr">
        <is>
          <t>under jurisdiction of bharatpur Division</t>
        </is>
      </c>
    </row>
    <row r="73">
      <c r="A73" s="1" t="n">
        <v>71</v>
      </c>
      <c r="B73">
        <f>HYPERLINK("https://eproc.rajasthan.gov.in/nicgep/app?component=%24DirectLink&amp;page=FrontEndViewTender&amp;service=direct&amp;session=T&amp;sp=SmaDvi1sy2ErTXxZKNGNLMQ%3D%3D", "Renovation of Undavela Anicut Village and GP Bangreda Tehsil Nimbahera District Chittorgarh")</f>
        <v/>
      </c>
      <c r="C73" t="inlineStr">
        <is>
          <t>WRD - CE AND AS||ACE-UDAIPUR-ZONE||SE-BHILWARA-WR CIRCLE||EE-WR DIVISION II-CHITTORGARH</t>
        </is>
      </c>
      <c r="D73" t="inlineStr">
        <is>
          <t>19-May-2025 06:00 PM</t>
        </is>
      </c>
      <c r="E73" t="inlineStr">
        <is>
          <t>36,43,000</t>
        </is>
      </c>
      <c r="F73" t="inlineStr">
        <is>
          <t>Renovation of Undavela Anicut Village and GP Bangreda Tehsil Nimbahera District Chittorgarh</t>
        </is>
      </c>
      <c r="G73" t="inlineStr">
        <is>
          <t>Chittorgarh</t>
        </is>
      </c>
    </row>
    <row r="74">
      <c r="A74" s="1" t="n">
        <v>72</v>
      </c>
      <c r="B74">
        <f>HYPERLINK("https://eproc.rajasthan.gov.in/nicgep/app?component=%24DirectLink&amp;page=FrontEndViewTender&amp;service=direct&amp;session=T&amp;sp=S4%2BDllgPfcXGfAFUfq%2FTYag%3D%3D", "Renovation of Panchdevla Anicut Village and GP Kanera Tehsil Nimbahera District Chittorgarh")</f>
        <v/>
      </c>
      <c r="C74" t="inlineStr">
        <is>
          <t>WRD - CE AND AS||ACE-UDAIPUR-ZONE||SE-BHILWARA-WR CIRCLE||EE-WR DIVISION II-CHITTORGARH</t>
        </is>
      </c>
      <c r="D74" t="inlineStr">
        <is>
          <t>19-May-2025 06:00 PM</t>
        </is>
      </c>
      <c r="E74" t="inlineStr">
        <is>
          <t>52,02,000</t>
        </is>
      </c>
      <c r="F74" t="inlineStr">
        <is>
          <t>Renovation of Panchdevla Anicut Village and GP Kanera Tehsil Nimbahera District Chittorgarh</t>
        </is>
      </c>
      <c r="G74" t="inlineStr">
        <is>
          <t>Chittorgarh</t>
        </is>
      </c>
    </row>
    <row r="75">
      <c r="A75" s="1" t="n">
        <v>73</v>
      </c>
      <c r="B75">
        <f>HYPERLINK("https://eproc.rajasthan.gov.in/nicgep/app?component=%24DirectLink&amp;page=FrontEndViewTender&amp;service=direct&amp;session=T&amp;sp=SQaznm61ubylbN5Xc30Bxdg%3D%3D", "Renovation of Manohar Anicut Village and GP Bangreda Tehsil Nimbahera District Chittorgarh")</f>
        <v/>
      </c>
      <c r="C75" t="inlineStr">
        <is>
          <t>WRD - CE AND AS||ACE-UDAIPUR-ZONE||SE-BHILWARA-WR CIRCLE||EE-WR DIVISION II-CHITTORGARH</t>
        </is>
      </c>
      <c r="D75" t="inlineStr">
        <is>
          <t>19-May-2025 06:00 PM</t>
        </is>
      </c>
      <c r="E75" t="inlineStr">
        <is>
          <t>41,62,000</t>
        </is>
      </c>
      <c r="F75" t="inlineStr">
        <is>
          <t>Renovation of Manohar Anicut Village and GP Bangreda Tehsil Nimbahera District Chittorgarh</t>
        </is>
      </c>
      <c r="G75" t="inlineStr">
        <is>
          <t>Chittorgarh</t>
        </is>
      </c>
    </row>
    <row r="76">
      <c r="A76" s="1" t="n">
        <v>74</v>
      </c>
      <c r="B76">
        <f>HYPERLINK("https://eproc.rajasthan.gov.in/nicgep/app?component=%24DirectLink&amp;page=FrontEndViewTender&amp;service=direct&amp;session=T&amp;sp=S7PsqhjLl3BGBGJZZvVGt0w%3D%3D", "Demarcation of submergence Boundary of Guhda Dam Tehsil Hindoli District Bundi")</f>
        <v/>
      </c>
      <c r="C76" t="inlineStr">
        <is>
          <t>WRD - CE AND AS||CE - WR Zone Kota||SE - WR Circle Kota||EE-WR PROJECT DIVISION BUNDI</t>
        </is>
      </c>
      <c r="D76" t="inlineStr">
        <is>
          <t>19-May-2025 06:00 PM</t>
        </is>
      </c>
      <c r="E76" t="inlineStr">
        <is>
          <t>7,00,000</t>
        </is>
      </c>
      <c r="F76" t="inlineStr">
        <is>
          <t>Demarcation of submergence Boundary of Guhda Dam Tehsil Hindoli District Bundi</t>
        </is>
      </c>
      <c r="G76" t="inlineStr">
        <is>
          <t>BUNDI</t>
        </is>
      </c>
    </row>
    <row r="77">
      <c r="A77" s="1" t="n">
        <v>75</v>
      </c>
      <c r="B77">
        <f>HYPERLINK("https://eproc.rajasthan.gov.in/nicgep/app?component=%24DirectLink&amp;page=FrontEndViewTender&amp;service=direct&amp;session=T&amp;sp=SVbuODNSTuPvQNdFIu7JmZQ%3D%3D", "Construction of Common Intake for Jaipur, Ajmer and Tonk districts and laying of the raw water main pipeline under the Bisalpur Jaipur water supply project, Stage-II Phase-II")</f>
        <v/>
      </c>
      <c r="C77" t="inlineStr">
        <is>
          <t>WRD - CE AND AS||ACE-JAIPUR-ZONE||SE-BHARATPUR-CIRCLE</t>
        </is>
      </c>
      <c r="D77" t="inlineStr">
        <is>
          <t>11-Jun-2025 06:00 PM</t>
        </is>
      </c>
      <c r="E77" t="inlineStr">
        <is>
          <t>1,22,67,00,000</t>
        </is>
      </c>
      <c r="F77" t="inlineStr">
        <is>
          <t>Construction of Common Intake for Jaipur, Ajmer and Tonk districts and laying of the raw water main pipeline under the Bisalpur Jaipur water supply project, Stage-II Phase-II Name of Subwork- Construction of 1000 MLD Intake Pump House for Jaipur an</t>
        </is>
      </c>
      <c r="G77" t="inlineStr">
        <is>
          <t>Bisalpur</t>
        </is>
      </c>
    </row>
    <row r="78">
      <c r="A78" s="1" t="n">
        <v>76</v>
      </c>
      <c r="B78">
        <f>HYPERLINK("https://eproc.rajasthan.gov.in/nicgep/app?component=%24DirectLink&amp;page=FrontEndViewTender&amp;service=direct&amp;session=T&amp;sp=SS9zSoMDKMEqS%2FUz%2FeaGEOA%3D%3D", "Operation of Radial Gates of Kota Barrage During Rainy Season for the year 2025-26")</f>
        <v/>
      </c>
      <c r="C78" t="inlineStr">
        <is>
          <t>WRD - CE AND AS||CE - WR Zone Kota||SE - RPS Circle Kota||EE - Chambal Project Division Kota</t>
        </is>
      </c>
      <c r="D78" t="inlineStr">
        <is>
          <t>20-May-2025 06:00 PM</t>
        </is>
      </c>
      <c r="E78" t="inlineStr">
        <is>
          <t>6,38,280</t>
        </is>
      </c>
      <c r="F78" t="inlineStr">
        <is>
          <t>Operation of Radial Gates of Kota Barrage During Rainy Season for the year 2025-26</t>
        </is>
      </c>
      <c r="G78" t="inlineStr">
        <is>
          <t>KOTA</t>
        </is>
      </c>
    </row>
    <row r="79">
      <c r="A79" s="1" t="n">
        <v>77</v>
      </c>
      <c r="B79">
        <f>HYPERLINK("https://eproc.rajasthan.gov.in/nicgep/app?component=%24DirectLink&amp;page=FrontEndViewTender&amp;service=direct&amp;session=T&amp;sp=SQA3VsCppLgzN2NcDUWoZNg%3D%3D", "Oiling Greasing of Radial gates, Hoist and other machineries, replacement of Wire ropes and rubber seal at Kota barrage for the Year 2025-26")</f>
        <v/>
      </c>
      <c r="C79" t="inlineStr">
        <is>
          <t>WRD - CE AND AS||CE - WR Zone Kota||SE - RPS Circle Kota||EE - Chambal Project Division Kota</t>
        </is>
      </c>
      <c r="D79" t="inlineStr">
        <is>
          <t>20-May-2025 06:00 PM</t>
        </is>
      </c>
      <c r="E79" t="inlineStr">
        <is>
          <t>11,92,738</t>
        </is>
      </c>
      <c r="F79" t="inlineStr">
        <is>
          <t>Oiling Greasing of Radial gates, Hoist and other machineries, replacement of Wire ropes and rubber seal at Kota barrage for the Year 2025-26</t>
        </is>
      </c>
      <c r="G79" t="inlineStr">
        <is>
          <t>KOTA</t>
        </is>
      </c>
    </row>
    <row r="80">
      <c r="A80" s="1" t="n">
        <v>78</v>
      </c>
      <c r="B80">
        <f>HYPERLINK("https://eproc.rajasthan.gov.in/nicgep/app?component=%24DirectLink&amp;page=FrontEndViewTender&amp;service=direct&amp;session=T&amp;sp=Sxh7W3ZXEKL7KIFh%2BEPpihg%3D%3D", "Miscellaneous Repair Works of Alnia Sub Division Office for the Year 2025-26")</f>
        <v/>
      </c>
      <c r="C80" t="inlineStr">
        <is>
          <t>WRD - CE AND AS||CE - WR Zone Kota||SE - RPS Circle Kota||EE - Chambal Project Division Kota</t>
        </is>
      </c>
      <c r="D80" t="inlineStr">
        <is>
          <t>20-May-2025 06:00 PM</t>
        </is>
      </c>
      <c r="E80" t="inlineStr">
        <is>
          <t>1,40,728</t>
        </is>
      </c>
      <c r="F80" t="inlineStr">
        <is>
          <t>Miscellaneous Repair Works of Alnia Sub Division Office for the Year 2025-26</t>
        </is>
      </c>
      <c r="G80" t="inlineStr">
        <is>
          <t>KOTA</t>
        </is>
      </c>
    </row>
    <row r="81">
      <c r="A81" s="1" t="n">
        <v>79</v>
      </c>
      <c r="B81">
        <f>HYPERLINK("https://eproc.rajasthan.gov.in/nicgep/app?component=%24DirectLink&amp;page=FrontEndViewTender&amp;service=direct&amp;session=T&amp;sp=S0nv0iEPXiEv%2BL%2FU8xCrB%2Fw%3D%3D", "Watch and Ward,Gauge Reader,Sweeper and Gardener for Non-Rainy season at Sub Division At Kota barrage/Control Room/Chambal Rest house for non Rainy period")</f>
        <v/>
      </c>
      <c r="C81" t="inlineStr">
        <is>
          <t>WRD - CE AND AS||CE - WR Zone Kota||SE - RPS Circle Kota||EE - Chambal Project Division Kota</t>
        </is>
      </c>
      <c r="D81" t="inlineStr">
        <is>
          <t>20-May-2025 06:00 PM</t>
        </is>
      </c>
      <c r="E81" t="inlineStr">
        <is>
          <t>6,17,725</t>
        </is>
      </c>
      <c r="F81" t="inlineStr">
        <is>
          <t>Watch and Ward,Gauge Reader,Sweeper and Gardener for Non-Rainy season at Sub Division At Kota barrage/Control Room/Chambal Rest house for non Rainy period</t>
        </is>
      </c>
      <c r="G81" t="inlineStr">
        <is>
          <t>KOTA</t>
        </is>
      </c>
    </row>
    <row r="82">
      <c r="A82" s="1" t="n">
        <v>80</v>
      </c>
      <c r="B82">
        <f>HYPERLINK("https://eproc.rajasthan.gov.in/nicgep/app?component=%24DirectLink&amp;page=FrontEndViewTender&amp;service=direct&amp;session=T&amp;sp=SIUf5teZEhMpbwQ0X%2BsYS5w%3D%3D", "Watch and Ward of Alnia and Rest House and Gauge Reporting for the year 2025-26")</f>
        <v/>
      </c>
      <c r="C82" t="inlineStr">
        <is>
          <t>WRD - CE AND AS||CE - WR Zone Kota||SE - RPS Circle Kota||EE - Chambal Project Division Kota</t>
        </is>
      </c>
      <c r="D82" t="inlineStr">
        <is>
          <t>20-May-2025 06:00 PM</t>
        </is>
      </c>
      <c r="E82" t="inlineStr">
        <is>
          <t>3,47,696</t>
        </is>
      </c>
      <c r="F82" t="inlineStr">
        <is>
          <t>Watch and Ward of Alnia and Rest House and Gauge Reporting for the year 2025-26</t>
        </is>
      </c>
      <c r="G82" t="inlineStr">
        <is>
          <t>KOTA</t>
        </is>
      </c>
    </row>
    <row r="83">
      <c r="A83" s="1" t="n">
        <v>81</v>
      </c>
      <c r="B83">
        <f>HYPERLINK("https://eproc.rajasthan.gov.in/nicgep/app?component=%24DirectLink&amp;page=FrontEndViewTender&amp;service=direct&amp;session=T&amp;sp=STKzTmZL7xVnTm9opKk1dnw%3D%3D", "Construction of Connecting Road for kakodikheda village in submergence of Parwan Dam")</f>
        <v/>
      </c>
      <c r="C83" t="inlineStr">
        <is>
          <t>WRD - CE AND AS||CE - WR Zone Kota||SE - WR Circle Jhalawar||EE-WR PARWAN PROJECT DIV.-II BARAN</t>
        </is>
      </c>
      <c r="D83" t="inlineStr">
        <is>
          <t>26-May-2025 06:00 PM</t>
        </is>
      </c>
      <c r="E83" t="inlineStr">
        <is>
          <t>98,64,301</t>
        </is>
      </c>
      <c r="F83" t="inlineStr">
        <is>
          <t>Construction of Connecting Road for kakodikheda village in submergence of Parwan Dam</t>
        </is>
      </c>
      <c r="G83" t="inlineStr">
        <is>
          <t>Baran</t>
        </is>
      </c>
    </row>
    <row r="84">
      <c r="A84" s="1" t="n">
        <v>82</v>
      </c>
      <c r="B84">
        <f>HYPERLINK("https://eproc.rajasthan.gov.in/nicgep/app?component=%24DirectLink&amp;page=FrontEndViewTender&amp;service=direct&amp;session=T&amp;sp=S0lxtkNVu76cMjXnrp9sf2g%3D%3D", "Raising of Sarthal to Bhawanipura Road in submergence of Parwan Dam")</f>
        <v/>
      </c>
      <c r="C84" t="inlineStr">
        <is>
          <t>WRD - CE AND AS||CE - WR Zone Kota||SE - WR Circle Jhalawar||EE-WR PARWAN PROJECT DIV.-II BARAN</t>
        </is>
      </c>
      <c r="D84" t="inlineStr">
        <is>
          <t>26-May-2025 06:00 PM</t>
        </is>
      </c>
      <c r="E84" t="inlineStr">
        <is>
          <t>2,91,99,524</t>
        </is>
      </c>
      <c r="F84" t="inlineStr">
        <is>
          <t>Raising of Sarthal to Bhawanipura Road in submergence of Parwan Dam</t>
        </is>
      </c>
      <c r="G84" t="inlineStr">
        <is>
          <t>Baran</t>
        </is>
      </c>
    </row>
    <row r="85">
      <c r="A85" s="1" t="n">
        <v>83</v>
      </c>
      <c r="B85">
        <f>HYPERLINK("https://eproc.rajasthan.gov.in/nicgep/app?component=%24DirectLink&amp;page=FrontEndViewTender&amp;service=direct&amp;session=T&amp;sp=SiKOPXVhApzTiYEyYJJoAAw%3D%3D", "Construction of anicut at Bhupsi river near village Dadwada Tehsil Atru District Baran")</f>
        <v/>
      </c>
      <c r="C85" t="inlineStr">
        <is>
          <t>WRD - CE AND AS||CE - WR Zone Kota||SE - WR Circle Baran||EE - WR Division-I Baran</t>
        </is>
      </c>
      <c r="D85" t="inlineStr">
        <is>
          <t>21-May-2025 06:00 PM</t>
        </is>
      </c>
      <c r="E85" t="inlineStr">
        <is>
          <t>1,47,06,000</t>
        </is>
      </c>
      <c r="F85" t="inlineStr">
        <is>
          <t>Construction of anicut at Bhupsi river near village Dadwada Tehsil Atru District Baran</t>
        </is>
      </c>
      <c r="G85" t="inlineStr">
        <is>
          <t>Baran</t>
        </is>
      </c>
    </row>
    <row r="86">
      <c r="A86" s="1" t="n">
        <v>84</v>
      </c>
      <c r="B86">
        <f>HYPERLINK("https://eproc.rajasthan.gov.in/nicgep/app?component=%24DirectLink&amp;page=FrontEndViewTender&amp;service=direct&amp;session=T&amp;sp=S350cEBCOF0ko1QPPhMv3DQ%3D%3D", "Renovation of Bhainsda Talab Tehsil Atru District Baran")</f>
        <v/>
      </c>
      <c r="C86" t="inlineStr">
        <is>
          <t>WRD - CE AND AS||CE - WR Zone Kota||SE - WR Circle Baran||EE - WR Division-I Baran</t>
        </is>
      </c>
      <c r="D86" t="inlineStr">
        <is>
          <t>21-May-2025 06:00 PM</t>
        </is>
      </c>
      <c r="E86" t="inlineStr">
        <is>
          <t>2,45,10,000</t>
        </is>
      </c>
      <c r="F86" t="inlineStr">
        <is>
          <t>Renovation of Bhainsda Talab Tehsil Atru District Baran</t>
        </is>
      </c>
      <c r="G86" t="inlineStr">
        <is>
          <t>Baran</t>
        </is>
      </c>
    </row>
    <row r="87">
      <c r="A87" s="1" t="n">
        <v>85</v>
      </c>
      <c r="B87">
        <f>HYPERLINK("https://eproc.rajasthan.gov.in/nicgep/app?component=%24DirectLink&amp;page=FrontEndViewTender&amp;service=direct&amp;session=T&amp;sp=SRurVb%2BxzuNeSlCgPQLD%2F0w%3D%3D", "Repair and Renovation of Khora Mulla Anicut Feeder at G.P. Khora Mulla, Tehsil Mahwa District Dausa")</f>
        <v/>
      </c>
      <c r="C87" t="inlineStr">
        <is>
          <t>WRD - CE AND AS||ACE-JAIPUR-ZONE||SE-JAIPUR-CIRCLE||EE-WR DIVISION-DAUSA</t>
        </is>
      </c>
      <c r="D87" t="inlineStr">
        <is>
          <t>19-May-2025 06:00 PM</t>
        </is>
      </c>
      <c r="E87" t="inlineStr">
        <is>
          <t>1,60,63,000</t>
        </is>
      </c>
      <c r="F87" t="inlineStr">
        <is>
          <t>Repair and Renovation of Khora Mulla Anicut Feeder at G.P. Khora Mulla, Tehsil Mahwa District Dausa</t>
        </is>
      </c>
      <c r="G87" t="inlineStr">
        <is>
          <t>under jurisdiction of Dausa Division</t>
        </is>
      </c>
    </row>
    <row r="88">
      <c r="A88" s="1" t="n">
        <v>86</v>
      </c>
      <c r="B88">
        <f>HYPERLINK("https://eproc.rajasthan.gov.in/nicgep/app?component=%24DirectLink&amp;page=FrontEndViewTender&amp;service=direct&amp;session=T&amp;sp=S1WznTEYC02i%2BzDgWSHzq%2Fw%3D%3D", "Construction of protection wall to Regularise of Down stream Dam Water at Hathiyadeh Dam MIP Tehsil Kishanganj District Baran")</f>
        <v/>
      </c>
      <c r="C88" t="inlineStr">
        <is>
          <t>WRD - CE AND AS||CE - WR Zone Kota||SE - WR Circle Baran||EE - WR Division-I Baran</t>
        </is>
      </c>
      <c r="D88" t="inlineStr">
        <is>
          <t>28-May-2025 06:00 PM</t>
        </is>
      </c>
      <c r="E88" t="inlineStr">
        <is>
          <t>4,42,48,187</t>
        </is>
      </c>
      <c r="F88" t="inlineStr">
        <is>
          <t>Construction of protection wall to Regularise of Down stream Dam Water at Hathiyadeh Dam MIP Tehsil Kishanganj District Baran</t>
        </is>
      </c>
      <c r="G88" t="inlineStr">
        <is>
          <t>Baran</t>
        </is>
      </c>
    </row>
    <row r="89">
      <c r="A89" s="1" t="n">
        <v>87</v>
      </c>
      <c r="B89">
        <f>HYPERLINK("https://eproc.rajasthan.gov.in/nicgep/app?component=%24DirectLink&amp;page=FrontEndViewTender&amp;service=direct&amp;session=T&amp;sp=SbR7AZosS3e1BfkEi67jKMg%3D%3D", "Construction of Right Main Canal of Ahamdi Minor Irrigation Project Tehsil Kishanganj District Baran")</f>
        <v/>
      </c>
      <c r="C89" t="inlineStr">
        <is>
          <t>WRD - CE AND AS||CE - WR Zone Kota||SE - WR Circle Baran||EE - WR Division-I Baran</t>
        </is>
      </c>
      <c r="D89" t="inlineStr">
        <is>
          <t>28-May-2025 06:00 PM</t>
        </is>
      </c>
      <c r="E89" t="inlineStr">
        <is>
          <t>4,26,68,411</t>
        </is>
      </c>
      <c r="F89" t="inlineStr">
        <is>
          <t>Construction of Right Main Canal of Ahamdi Minor Irrigation Project Tehsil Kishanganj District Baran</t>
        </is>
      </c>
      <c r="G89" t="inlineStr">
        <is>
          <t>Baran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2025-05-17T13:22:35Z</dcterms:created>
  <dcterms:modified xsi:type="dcterms:W3CDTF">2025-05-17T13:22:35Z</dcterms:modified>
</cp:coreProperties>
</file>