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HYPERLINK("https://eproc.rajasthan.gov.in/nicgep/app?component=%24DirectLink&amp;page=FrontEndViewTender&amp;service=direct&amp;session=T&amp;sp=Sa%2BBWiHhWuydal%2BQOQACkbw%3D%3D", "Painting and Repair works in various parks in area of EE-I and IV, UIT Alwar.")</f>
        <v/>
      </c>
      <c r="C2" t="inlineStr">
        <is>
          <t>UIT -Alwar-Secretary</t>
        </is>
      </c>
      <c r="D2" t="inlineStr">
        <is>
          <t>23-May-2025 02:00 PM</t>
        </is>
      </c>
      <c r="E2" t="inlineStr">
        <is>
          <t>15,00,000</t>
        </is>
      </c>
      <c r="F2" t="inlineStr">
        <is>
          <t>Painting and Repair works in various parks in area of EE-I and IV, UIT Alwar.</t>
        </is>
      </c>
      <c r="G2" t="inlineStr">
        <is>
          <t>UIT ALWAR</t>
        </is>
      </c>
    </row>
    <row r="3">
      <c r="A3" s="1" t="n">
        <v>1</v>
      </c>
      <c r="B3">
        <f>HYPERLINK("https://eproc.rajasthan.gov.in/nicgep/app?component=%24DirectLink&amp;page=FrontEndViewTender&amp;service=direct&amp;session=T&amp;sp=SdMbsfZ6keb7kbLuPftobeA%3D%3D", "Tent arrangement work in area of EE-II, UIT Alwar (Annual Contract 2025-26)NIT04/2025-26/Item16")</f>
        <v/>
      </c>
      <c r="C3" t="inlineStr">
        <is>
          <t>UIT -Alwar-Secretary</t>
        </is>
      </c>
      <c r="D3" t="inlineStr">
        <is>
          <t>27-May-2025 02:00 PM</t>
        </is>
      </c>
      <c r="E3" t="inlineStr">
        <is>
          <t>25,00,000</t>
        </is>
      </c>
      <c r="F3" t="inlineStr">
        <is>
          <t>Tent arrangement work in area of EE-II, UIT Alwar (Annual Contract 2025-26)</t>
        </is>
      </c>
      <c r="G3" t="inlineStr">
        <is>
          <t>UIT ALWAR</t>
        </is>
      </c>
    </row>
    <row r="4">
      <c r="A4" s="1" t="n">
        <v>2</v>
      </c>
      <c r="B4">
        <f>HYPERLINK("https://eproc.rajasthan.gov.in/nicgep/app?component=%24DirectLink&amp;page=FrontEndViewTender&amp;service=direct&amp;session=T&amp;sp=SAqLAzoq7FcYowr5V8yu1%2Fg%3D%3D", "Purchase of Recurve bow and other equipment for the practice of archery players at indira gandhisports stadium aLWAR")</f>
        <v/>
      </c>
      <c r="C4" t="inlineStr">
        <is>
          <t>UIT -Alwar-Secretary</t>
        </is>
      </c>
      <c r="D4" t="inlineStr">
        <is>
          <t>23-May-2025 02:00 PM</t>
        </is>
      </c>
      <c r="E4" t="inlineStr">
        <is>
          <t>3,50,000</t>
        </is>
      </c>
      <c r="F4" t="inlineStr">
        <is>
          <t>Purchase of Recurve bow and other equipment for the practice of archery players at indira gandhisports stadium aLWAR</t>
        </is>
      </c>
      <c r="G4" t="inlineStr">
        <is>
          <t>UIT ALWAR</t>
        </is>
      </c>
    </row>
    <row r="5">
      <c r="A5" s="1" t="n">
        <v>3</v>
      </c>
      <c r="B5">
        <f>HYPERLINK("https://eproc.rajasthan.gov.in/nicgep/app?component=%24DirectLink&amp;page=FrontEndViewTender&amp;service=direct&amp;session=T&amp;sp=S24xbJyiG3tfUDRM3BSsHpw%3D%3D", "Construction of Drain from Bhavnesh")</f>
        <v/>
      </c>
      <c r="C5" t="inlineStr">
        <is>
          <t>UIT -Alwar-Secretary</t>
        </is>
      </c>
      <c r="D5" t="inlineStr">
        <is>
          <t>23-May-2025 02:00 PM</t>
        </is>
      </c>
      <c r="E5" t="inlineStr">
        <is>
          <t>2,50,000</t>
        </is>
      </c>
      <c r="F5" t="inlineStr">
        <is>
          <t>Construction of Drain from Bhavnesh Jain plot no 21 to Jain main road, Chetan Enclave, Ward no 28, Alwar</t>
        </is>
      </c>
      <c r="G5" t="inlineStr">
        <is>
          <t>UIT ALWAR</t>
        </is>
      </c>
    </row>
    <row r="6">
      <c r="A6" s="1" t="n">
        <v>4</v>
      </c>
      <c r="B6">
        <f>HYPERLINK("https://eproc.rajasthan.gov.in/nicgep/app?component=%24DirectLink&amp;page=FrontEndViewTender&amp;service=direct&amp;session=T&amp;sp=SCzjpycfCwaj1XBx0L7jHWw%3D%3D", "Construction of road side rain water harvesting system (with 3 years O and M) at SMD Circle, Alwar")</f>
        <v/>
      </c>
      <c r="C6" t="inlineStr">
        <is>
          <t>UIT -Alwar-Secretary</t>
        </is>
      </c>
      <c r="D6" t="inlineStr">
        <is>
          <t>23-May-2025 02:00 PM</t>
        </is>
      </c>
      <c r="E6" t="inlineStr">
        <is>
          <t>7,40,000</t>
        </is>
      </c>
      <c r="F6" t="inlineStr">
        <is>
          <t>Construction of road side rain water harvesting system (with 3 years O and M) at SMD Circle, Alwar</t>
        </is>
      </c>
      <c r="G6" t="inlineStr">
        <is>
          <t>UIT ALWAR</t>
        </is>
      </c>
    </row>
    <row r="7">
      <c r="A7" s="1" t="n">
        <v>5</v>
      </c>
      <c r="B7">
        <f>HYPERLINK("https://eproc.rajasthan.gov.in/nicgep/app?component=%24DirectLink&amp;page=FrontEndViewTender&amp;service=direct&amp;session=T&amp;sp=SPiQ15OjrY6jHvFEnxMLpPQ%3D%3D", "Construction of Science lab in Govt Sen sec School SMD Circle Alwar")</f>
        <v/>
      </c>
      <c r="C7" t="inlineStr">
        <is>
          <t>UIT -Alwar-Secretary</t>
        </is>
      </c>
      <c r="D7" t="inlineStr">
        <is>
          <t>23-May-2025 02:00 PM</t>
        </is>
      </c>
      <c r="E7" t="inlineStr">
        <is>
          <t>10,00,000</t>
        </is>
      </c>
      <c r="F7" t="inlineStr">
        <is>
          <t>Construction of Science lab in Govt Sen sec School SMD Circle Alwar</t>
        </is>
      </c>
      <c r="G7" t="inlineStr">
        <is>
          <t>UIT ALWAR</t>
        </is>
      </c>
    </row>
    <row r="8">
      <c r="A8" s="1" t="n">
        <v>6</v>
      </c>
      <c r="B8">
        <f>HYPERLINK("https://eproc.rajasthan.gov.in/nicgep/app?component=%24DirectLink&amp;page=FrontEndViewTender&amp;service=direct&amp;session=T&amp;sp=S1XGdScyKoiDPUG%2BI1kAW7A%3D%3D", "Remalting and Carpeting of road from main road to Matsya nursing college Kesarpur, vill- Kesarpur, Alwar")</f>
        <v/>
      </c>
      <c r="C8" t="inlineStr">
        <is>
          <t>UIT -Alwar-Secretary</t>
        </is>
      </c>
      <c r="D8" t="inlineStr">
        <is>
          <t>23-May-2025 02:00 PM</t>
        </is>
      </c>
      <c r="E8" t="inlineStr">
        <is>
          <t>16,20,000</t>
        </is>
      </c>
      <c r="F8" t="inlineStr">
        <is>
          <t>Remalting and Carpeting of road from Main road to Matsya Nursing college Kesarpur,Vill-Kesarpur, Alwar.</t>
        </is>
      </c>
      <c r="G8" t="inlineStr">
        <is>
          <t>UIT ALWAR</t>
        </is>
      </c>
    </row>
    <row r="9">
      <c r="A9" s="1" t="n">
        <v>7</v>
      </c>
      <c r="B9">
        <f>HYPERLINK("https://eproc.rajasthan.gov.in/nicgep/app?component=%24DirectLink&amp;page=FrontEndViewTender&amp;service=direct&amp;session=T&amp;sp=SEJ67b9uYQX2014f9YmK32A%3D%3D", "Construction of road side rain water harvesting system (with 3 years O and M) at Surajmal Colony, Alwar")</f>
        <v/>
      </c>
      <c r="C9" t="inlineStr">
        <is>
          <t>UIT -Alwar-Secretary</t>
        </is>
      </c>
      <c r="D9" t="inlineStr">
        <is>
          <t>23-May-2025 02:00 PM</t>
        </is>
      </c>
      <c r="E9" t="inlineStr">
        <is>
          <t>7,40,000</t>
        </is>
      </c>
      <c r="F9" t="inlineStr">
        <is>
          <t>Construction of road side rain water harvesting system (with 3 years O and M) at Surajmal Colony, Alwar</t>
        </is>
      </c>
      <c r="G9" t="inlineStr">
        <is>
          <t>UIT ALWAR</t>
        </is>
      </c>
    </row>
    <row r="10">
      <c r="A10" s="1" t="n">
        <v>8</v>
      </c>
      <c r="B10">
        <f>HYPERLINK("https://eproc.rajasthan.gov.in/nicgep/app?component=%24DirectLink&amp;page=FrontEndViewTender&amp;service=direct&amp;session=T&amp;sp=SkbF406gH0pyOrpziswQS6g%3D%3D", "Construction of road side rain water harvesting system (with 3 years O and M) at Gayatri Mandir Road, Alwar")</f>
        <v/>
      </c>
      <c r="C10" t="inlineStr">
        <is>
          <t>UIT -Alwar-Secretary</t>
        </is>
      </c>
      <c r="D10" t="inlineStr">
        <is>
          <t>23-May-2025 02:00 PM</t>
        </is>
      </c>
      <c r="E10" t="inlineStr">
        <is>
          <t>7,40,000</t>
        </is>
      </c>
      <c r="F10" t="inlineStr">
        <is>
          <t>Construction of road side rain water harvesting system (with 3 years O and M) at Gayatri Mandir Road, Alwar</t>
        </is>
      </c>
      <c r="G10" t="inlineStr">
        <is>
          <t>UIT ALWAR</t>
        </is>
      </c>
    </row>
    <row r="11">
      <c r="A11" s="1" t="n">
        <v>9</v>
      </c>
      <c r="B11">
        <f>HYPERLINK("https://eproc.rajasthan.gov.in/nicgep/app?component=%24DirectLink&amp;page=FrontEndViewTender&amp;service=direct&amp;session=T&amp;sp=SHNKdYYoB5mAR9fjSWZAARw%3D%3D", "Construction of Road Side Rain Water Harvesting System (with 3 years O AND M) at R.R. College Circle, East-South side of Nehru Park, Alwar.")</f>
        <v/>
      </c>
      <c r="C11" t="inlineStr">
        <is>
          <t>UIT -Alwar-Secretary</t>
        </is>
      </c>
      <c r="D11" t="inlineStr">
        <is>
          <t>23-May-2025 02:00 PM</t>
        </is>
      </c>
      <c r="E11" t="inlineStr">
        <is>
          <t>7,40,000</t>
        </is>
      </c>
      <c r="F11" t="inlineStr">
        <is>
          <t>Construction of Road Side Rain Water Harvesting System (with 3 years O AND M) at R.R. College Circle, East-South side of Nehru Park, Alwar.</t>
        </is>
      </c>
      <c r="G11" t="inlineStr">
        <is>
          <t>UIT ALWAR</t>
        </is>
      </c>
    </row>
    <row r="12">
      <c r="A12" s="1" t="n">
        <v>10</v>
      </c>
      <c r="B12">
        <f>HYPERLINK("https://eproc.rajasthan.gov.in/nicgep/app?component=%24DirectLink&amp;page=FrontEndViewTender&amp;service=direct&amp;session=T&amp;sp=S5MZQ1mc8r9LCzdE4QL8Hug%3D%3D", "Repair of parks at Vaishali Nagar, Alwar. (Annual Contract 2025-26)")</f>
        <v/>
      </c>
      <c r="C12" t="inlineStr">
        <is>
          <t>UIT -Alwar-Secretary</t>
        </is>
      </c>
      <c r="D12" t="inlineStr">
        <is>
          <t>23-May-2025 02:00 PM</t>
        </is>
      </c>
      <c r="E12" t="inlineStr">
        <is>
          <t>3,50,000</t>
        </is>
      </c>
      <c r="F12" t="inlineStr">
        <is>
          <t>Repair of parks at Vaishali Nagar, Alwar. (Annual Contract 2025-26)</t>
        </is>
      </c>
      <c r="G12" t="inlineStr">
        <is>
          <t>UIT ALWAR</t>
        </is>
      </c>
    </row>
    <row r="13">
      <c r="A13" s="1" t="n">
        <v>11</v>
      </c>
      <c r="B13">
        <f>HYPERLINK("https://eproc.rajasthan.gov.in/nicgep/app?component=%24DirectLink&amp;page=FrontEndViewTender&amp;service=direct&amp;session=T&amp;sp=SIcuoeHGZax1G4yuC7bzPow%3D%3D", "Remalting and Carpeting of road from Chhotelal Bas to Matsya Nursing college Kesarpur,Vill-Kesarpur, Alwar.")</f>
        <v/>
      </c>
      <c r="C13" t="inlineStr">
        <is>
          <t>UIT -Alwar-Secretary</t>
        </is>
      </c>
      <c r="D13" t="inlineStr">
        <is>
          <t>23-May-2025 02:00 PM</t>
        </is>
      </c>
      <c r="E13" t="inlineStr">
        <is>
          <t>17,83,000</t>
        </is>
      </c>
      <c r="F13" t="inlineStr">
        <is>
          <t>Remalting and Carpeting of road from Chhotelal Bas to Matsya Nursing college Kesarpur,Vill-Kesarpur, Alwar.</t>
        </is>
      </c>
      <c r="G13" t="inlineStr">
        <is>
          <t>UIT ALWAR</t>
        </is>
      </c>
    </row>
    <row r="14">
      <c r="A14" s="1" t="n">
        <v>12</v>
      </c>
      <c r="B14">
        <f>HYPERLINK("https://eproc.rajasthan.gov.in/nicgep/app?component=%24DirectLink&amp;page=FrontEndViewTender&amp;service=direct&amp;session=T&amp;sp=SDSzT1NRiGK2Eawc9fCRPEQ%3D%3D", "Road patch repair work of area EE-II of UIT, Alwar.(Annual Contract 2025-26) NIT04/2025-26/Item11")</f>
        <v/>
      </c>
      <c r="C14" t="inlineStr">
        <is>
          <t>UIT -Alwar-Secretary</t>
        </is>
      </c>
      <c r="D14" t="inlineStr">
        <is>
          <t>27-May-2025 02:00 PM</t>
        </is>
      </c>
      <c r="E14" t="inlineStr">
        <is>
          <t>15,00,000</t>
        </is>
      </c>
      <c r="F14" t="inlineStr">
        <is>
          <t>Road patch repair work of area EE-II of UIT, Alwar.(Annual Contract 2025-26)</t>
        </is>
      </c>
      <c r="G14" t="inlineStr">
        <is>
          <t>UIT ALWAR</t>
        </is>
      </c>
    </row>
    <row r="15">
      <c r="A15" s="1" t="n">
        <v>13</v>
      </c>
      <c r="B15">
        <f>HYPERLINK("https://eproc.rajasthan.gov.in/nicgep/app?component=%24DirectLink&amp;page=FrontEndViewTender&amp;service=direct&amp;session=T&amp;sp=SikeeDbRDaTdHPwJjBEprYw%3D%3D", "Electric Line Shifting From Agarsen Circle To Naman Hotel, AlwarNIT06/2025-26/Item04")</f>
        <v/>
      </c>
      <c r="C15" t="inlineStr">
        <is>
          <t>UIT -Alwar-Secretary</t>
        </is>
      </c>
      <c r="D15" t="inlineStr">
        <is>
          <t>23-May-2025 02:00 PM</t>
        </is>
      </c>
      <c r="E15" t="inlineStr">
        <is>
          <t>27,10,000</t>
        </is>
      </c>
      <c r="F15" t="inlineStr">
        <is>
          <t>Electric Line Shifting From Agarsen Circle To Naman Hotel, Alwar</t>
        </is>
      </c>
      <c r="G15" t="inlineStr">
        <is>
          <t>UIT ALWAR</t>
        </is>
      </c>
    </row>
    <row r="16">
      <c r="A16" s="1" t="n">
        <v>14</v>
      </c>
      <c r="B16">
        <f>HYPERLINK("https://eproc.rajasthan.gov.in/nicgep/app?component=%24DirectLink&amp;page=FrontEndViewTender&amp;service=direct&amp;session=T&amp;sp=SsqBfLX%2BvSeOF1X4Q8aglWA%3D%3D", "Painting and Repair works in various parks in area of EE-II and III, UIT Alwar. NIT06/2025-26/Item02")</f>
        <v/>
      </c>
      <c r="C16" t="inlineStr">
        <is>
          <t>UIT -Alwar-Secretary</t>
        </is>
      </c>
      <c r="D16" t="inlineStr">
        <is>
          <t>23-May-2025 02:00 PM</t>
        </is>
      </c>
      <c r="E16" t="inlineStr">
        <is>
          <t>15,00,000</t>
        </is>
      </c>
      <c r="F16" t="inlineStr">
        <is>
          <t>Painting and Repair works in various parks in area of EE-II and III, UIT Alwar.</t>
        </is>
      </c>
      <c r="G16" t="inlineStr">
        <is>
          <t>UIT ALWAR</t>
        </is>
      </c>
    </row>
    <row r="17">
      <c r="A17" s="1" t="n">
        <v>15</v>
      </c>
      <c r="B17">
        <f>HYPERLINK("https://eproc.rajasthan.gov.in/nicgep/app?component=%24DirectLink&amp;page=FrontEndViewTender&amp;service=direct&amp;session=T&amp;sp=SsxmvMY7osOJqTbf44DiNzQ%3D%3D", "Space available for rent for Commercial, Offices, Bank etc at North-East corner Pratap Auditorium, Alwar")</f>
        <v/>
      </c>
      <c r="C17" t="inlineStr">
        <is>
          <t>UIT -Alwar-Secretary</t>
        </is>
      </c>
      <c r="D17" t="inlineStr">
        <is>
          <t>28-May-2025 02:00 PM</t>
        </is>
      </c>
      <c r="E17" t="inlineStr">
        <is>
          <t>90,00,000</t>
        </is>
      </c>
      <c r="F17" t="inlineStr">
        <is>
          <t>Space available for rent for Commercial, Offices, Bank etc at North-East corner Pratap Auditorium, Alwar</t>
        </is>
      </c>
      <c r="G17" t="inlineStr">
        <is>
          <t>UIT ALWAR</t>
        </is>
      </c>
    </row>
    <row r="18">
      <c r="A18" s="1" t="n">
        <v>16</v>
      </c>
      <c r="B18">
        <f>HYPERLINK("https://eproc.rajasthan.gov.in/nicgep/app?component=%24DirectLink&amp;page=FrontEndViewTender&amp;service=direct&amp;session=T&amp;sp=S4JqoBidHys9pE%2BDhZQmHKQ%3D%3D", "Space available for rent at South-East corner Pratap Auditorium Cafateria")</f>
        <v/>
      </c>
      <c r="C18" t="inlineStr">
        <is>
          <t>UIT -Alwar-Secretary</t>
        </is>
      </c>
      <c r="D18" t="inlineStr">
        <is>
          <t>28-May-2025 02:00 PM</t>
        </is>
      </c>
      <c r="E18" t="inlineStr">
        <is>
          <t>90,00,000</t>
        </is>
      </c>
      <c r="F18" t="inlineStr">
        <is>
          <t>Space available for rent at South-East corner Pratap Auditorium Cafateria</t>
        </is>
      </c>
      <c r="G18" t="inlineStr">
        <is>
          <t>UIT ALWAR</t>
        </is>
      </c>
    </row>
    <row r="19">
      <c r="A19" s="1" t="n">
        <v>17</v>
      </c>
      <c r="B19">
        <f>HYPERLINK("https://eproc.rajasthan.gov.in/nicgep/app?component=%24DirectLink&amp;page=FrontEndViewTender&amp;service=direct&amp;session=T&amp;sp=SgOY4crgAXj5y%2BLOXtiNmwg%3D%3D", "Repair and Paint work on dividers in area of EE-II, UIT Alwar. (Annual Contract 2025-26)NIT04/2025-26/Item01")</f>
        <v/>
      </c>
      <c r="C19" t="inlineStr">
        <is>
          <t>UIT -Alwar-Secretary</t>
        </is>
      </c>
      <c r="D19" t="inlineStr">
        <is>
          <t>19-May-2025 02:00 PM</t>
        </is>
      </c>
      <c r="E19" t="inlineStr">
        <is>
          <t>5,00,000</t>
        </is>
      </c>
      <c r="F19" t="inlineStr">
        <is>
          <t>Repair and Paint work on dividers in area of EE-II, UIT Alwar. (Annual Contract 2025-26)</t>
        </is>
      </c>
      <c r="G19" t="inlineStr">
        <is>
          <t>UIT ALWAR</t>
        </is>
      </c>
    </row>
    <row r="20">
      <c r="A20" s="1" t="n">
        <v>18</v>
      </c>
      <c r="B20">
        <f>HYPERLINK("https://eproc.rajasthan.gov.in/nicgep/app?component=%24DirectLink&amp;page=FrontEndViewTender&amp;service=direct&amp;session=T&amp;sp=SucvTVFkXWR4n9V6d4RT5LA%3D%3D", "Supply and fixing of RCC Benches in Area of Ex En-I and IV Alwar. (Annual Contract 2025-26)")</f>
        <v/>
      </c>
      <c r="C20" t="inlineStr">
        <is>
          <t>UIT -Alwar-Secretary</t>
        </is>
      </c>
      <c r="D20" t="inlineStr">
        <is>
          <t>19-May-2025 02:00 PM</t>
        </is>
      </c>
      <c r="E20" t="inlineStr">
        <is>
          <t>10,00,000</t>
        </is>
      </c>
      <c r="F20" t="inlineStr">
        <is>
          <t>Supply and fixing of RCC Benches in Area of Ex En-I and IV Alwar. (Annual Contract 2025-26)</t>
        </is>
      </c>
      <c r="G20" t="inlineStr">
        <is>
          <t>UIT ALWAR</t>
        </is>
      </c>
    </row>
    <row r="21">
      <c r="A21" s="1" t="n">
        <v>19</v>
      </c>
      <c r="B21">
        <f>HYPERLINK("https://eproc.rajasthan.gov.in/nicgep/app?component=%24DirectLink&amp;page=FrontEndViewTender&amp;service=direct&amp;session=T&amp;sp=SGI02vbSIsSufvzlHtphA6Q%3D%3D", "Construction of Tube well in Vaishali Nagar B Block Park Alwar")</f>
        <v/>
      </c>
      <c r="C21" t="inlineStr">
        <is>
          <t>UIT -Alwar-Secretary</t>
        </is>
      </c>
      <c r="D21" t="inlineStr">
        <is>
          <t>19-May-2025 02:00 PM</t>
        </is>
      </c>
      <c r="E21" t="inlineStr">
        <is>
          <t>10,00,000</t>
        </is>
      </c>
      <c r="F21" t="inlineStr">
        <is>
          <t>Construction of Tube well in Vaishali Nagar B Block Park Alwar</t>
        </is>
      </c>
      <c r="G21" t="inlineStr">
        <is>
          <t>UIT ALWAR</t>
        </is>
      </c>
    </row>
    <row r="22">
      <c r="A22" s="1" t="n">
        <v>20</v>
      </c>
      <c r="B22">
        <f>HYPERLINK("https://eproc.rajasthan.gov.in/nicgep/app?component=%24DirectLink&amp;page=FrontEndViewTender&amp;service=direct&amp;session=T&amp;sp=SLqXTHdyO1IUKuVIE97mcHQ%3D%3D", "Construction of Tube well in Vaishali Nagar C Block Park Alwar")</f>
        <v/>
      </c>
      <c r="C22" t="inlineStr">
        <is>
          <t>UIT -Alwar-Secretary</t>
        </is>
      </c>
      <c r="D22" t="inlineStr">
        <is>
          <t>19-May-2025 02:00 PM</t>
        </is>
      </c>
      <c r="E22" t="inlineStr">
        <is>
          <t>10,00,000</t>
        </is>
      </c>
      <c r="F22" t="inlineStr">
        <is>
          <t>Construction of Tube well in Vaishali Nagar C Block Park Alwar</t>
        </is>
      </c>
      <c r="G22" t="inlineStr">
        <is>
          <t>UIT ALWAR</t>
        </is>
      </c>
    </row>
    <row r="23">
      <c r="A23" s="1" t="n">
        <v>21</v>
      </c>
      <c r="B23">
        <f>HYPERLINK("https://eproc.rajasthan.gov.in/nicgep/app?component=%24DirectLink&amp;page=FrontEndViewTender&amp;service=direct&amp;session=T&amp;sp=SPsXAcJsVBJudnzfsVW8R2A%3D%3D", "Construction of Tube well in Ambedkar Nagar B Block Park Alwar")</f>
        <v/>
      </c>
      <c r="C23" t="inlineStr">
        <is>
          <t>UIT -Alwar-Secretary</t>
        </is>
      </c>
      <c r="D23" t="inlineStr">
        <is>
          <t>19-May-2025 02:00 PM</t>
        </is>
      </c>
      <c r="E23" t="inlineStr">
        <is>
          <t>10,00,000</t>
        </is>
      </c>
      <c r="F23" t="inlineStr">
        <is>
          <t>Construction of Tube well in Ambedkar Nagar B Block Park Alwar</t>
        </is>
      </c>
      <c r="G23" t="inlineStr">
        <is>
          <t>UIT ALWAR</t>
        </is>
      </c>
    </row>
    <row r="24">
      <c r="A24" s="1" t="n">
        <v>22</v>
      </c>
      <c r="B24">
        <f>HYPERLINK("https://eproc.rajasthan.gov.in/nicgep/app?component=%24DirectLink&amp;page=FrontEndViewTender&amp;service=direct&amp;session=T&amp;sp=S%2BrKw1Vli%2F6WRmL0N0%2FKwGQ%3D%3D", "Construction of Tube well Pratap Auditorium Park, Scheme No. 08 Alwar")</f>
        <v/>
      </c>
      <c r="C24" t="inlineStr">
        <is>
          <t>UIT -Alwar-Secretary</t>
        </is>
      </c>
      <c r="D24" t="inlineStr">
        <is>
          <t>19-May-2025 02:00 PM</t>
        </is>
      </c>
      <c r="E24" t="inlineStr">
        <is>
          <t>10,00,000</t>
        </is>
      </c>
      <c r="F24" t="inlineStr">
        <is>
          <t>Construction of Tube well Pratap Auditorium Park, Scheme No. 08 Alwar</t>
        </is>
      </c>
      <c r="G24" t="inlineStr">
        <is>
          <t>UIT ALWAR</t>
        </is>
      </c>
    </row>
    <row r="25">
      <c r="A25" s="1" t="n">
        <v>23</v>
      </c>
      <c r="B25">
        <f>HYPERLINK("https://eproc.rajasthan.gov.in/nicgep/app?component=%24DirectLink&amp;page=FrontEndViewTender&amp;service=direct&amp;session=T&amp;sp=SVbcIChWzFg6fJDq%2BJyxCTg%3D%3D", "Construction of Tube well in Ambedkar Nagar C Block Park Alwar")</f>
        <v/>
      </c>
      <c r="C25" t="inlineStr">
        <is>
          <t>UIT -Alwar-Secretary</t>
        </is>
      </c>
      <c r="D25" t="inlineStr">
        <is>
          <t>19-May-2025 02:00 PM</t>
        </is>
      </c>
      <c r="E25" t="inlineStr">
        <is>
          <t>10,00,000</t>
        </is>
      </c>
      <c r="F25" t="inlineStr">
        <is>
          <t>Construction of Tube well in Ambedkar Nagar C Block Park Alwar</t>
        </is>
      </c>
      <c r="G25" t="inlineStr">
        <is>
          <t>UIT ALWAR</t>
        </is>
      </c>
    </row>
    <row r="26">
      <c r="A26" s="1" t="n">
        <v>24</v>
      </c>
      <c r="B26">
        <f>HYPERLINK("https://eproc.rajasthan.gov.in/nicgep/app?component=%24DirectLink&amp;page=FrontEndViewTender&amp;service=direct&amp;session=T&amp;sp=SFJ6mmV%2FjrlIVkYlBKFSSXA%3D%3D", "Construction of Tube well in Pratap Bandh Bio Divercity Park Alwar")</f>
        <v/>
      </c>
      <c r="C26" t="inlineStr">
        <is>
          <t>UIT -Alwar-Secretary</t>
        </is>
      </c>
      <c r="D26" t="inlineStr">
        <is>
          <t>19-May-2025 02:00 PM</t>
        </is>
      </c>
      <c r="E26" t="inlineStr">
        <is>
          <t>10,00,000</t>
        </is>
      </c>
      <c r="F26" t="inlineStr">
        <is>
          <t>Construction of Tube well in Pratap Bandh Bio Divercity Park Alwar</t>
        </is>
      </c>
      <c r="G26" t="inlineStr">
        <is>
          <t>UIT ALWAR</t>
        </is>
      </c>
    </row>
    <row r="27">
      <c r="A27" s="1" t="n">
        <v>25</v>
      </c>
      <c r="B27">
        <f>HYPERLINK("https://eproc.rajasthan.gov.in/nicgep/app?component=%24DirectLink&amp;page=FrontEndViewTender&amp;service=direct&amp;session=T&amp;sp=S8DcfwK%2FnsDxonNfWRa1q1Q%3D%3D", "Costruction of CC road at various places in ward wo-56, Alwar. NIT04/2025-26/Item21")</f>
        <v/>
      </c>
      <c r="C27" t="inlineStr">
        <is>
          <t>UIT -Alwar-Secretary</t>
        </is>
      </c>
      <c r="D27" t="inlineStr">
        <is>
          <t>19-May-2025 02:00 PM</t>
        </is>
      </c>
      <c r="E27" t="inlineStr">
        <is>
          <t>82,10,000</t>
        </is>
      </c>
      <c r="F27" t="inlineStr">
        <is>
          <t>Costruction of CC road at various places in ward wo-56, Alwar.</t>
        </is>
      </c>
      <c r="G27" t="inlineStr">
        <is>
          <t>UIT ALWAR</t>
        </is>
      </c>
    </row>
    <row r="28">
      <c r="A28" s="1" t="n">
        <v>26</v>
      </c>
      <c r="B28">
        <f>HYPERLINK("https://eproc.rajasthan.gov.in/nicgep/app?component=%24DirectLink&amp;page=FrontEndViewTender&amp;service=direct&amp;session=T&amp;sp=S4W053QQjeIZ%2FDFkT%2F1kTvg%3D%3D", "Construction of CC roads at various places in ward no -52, Alwar. NIT04/2025-26/Item20")</f>
        <v/>
      </c>
      <c r="C28" t="inlineStr">
        <is>
          <t>UIT -Alwar-Secretary</t>
        </is>
      </c>
      <c r="D28" t="inlineStr">
        <is>
          <t>19-May-2025 02:00 PM</t>
        </is>
      </c>
      <c r="E28" t="inlineStr">
        <is>
          <t>75,85,000</t>
        </is>
      </c>
      <c r="F28" t="inlineStr">
        <is>
          <t>Construction of CC roads at various places in ward no -52, Alwar.</t>
        </is>
      </c>
      <c r="G28" t="inlineStr">
        <is>
          <t>UIT ALWAR</t>
        </is>
      </c>
    </row>
    <row r="29">
      <c r="A29" s="1" t="n">
        <v>27</v>
      </c>
      <c r="B29">
        <f>HYPERLINK("https://eproc.rajasthan.gov.in/nicgep/app?component=%24DirectLink&amp;page=FrontEndViewTender&amp;service=direct&amp;session=T&amp;sp=Sgz27hhVhvAtq3z%2FiWureMw%3D%3D", "Construction of Divider from HKM Petrol Pump to Bhartrihari Penorama on Behror Road, Alwar. NIT04/2025-26/Item18")</f>
        <v/>
      </c>
      <c r="C29" t="inlineStr">
        <is>
          <t>UIT -Alwar-Secretary</t>
        </is>
      </c>
      <c r="D29" t="inlineStr">
        <is>
          <t>19-May-2025 02:00 PM</t>
        </is>
      </c>
      <c r="E29" t="inlineStr">
        <is>
          <t>62,90,000</t>
        </is>
      </c>
      <c r="F29" t="inlineStr">
        <is>
          <t>Construction of Divider from HKM Petrol Pump to Bhartrihari Penorama on Behror Road, Alwar.</t>
        </is>
      </c>
      <c r="G29" t="inlineStr">
        <is>
          <t>UIT ALWAR</t>
        </is>
      </c>
    </row>
    <row r="30">
      <c r="A30" s="1" t="n">
        <v>28</v>
      </c>
      <c r="B30">
        <f>HYPERLINK("https://eproc.rajasthan.gov.in/nicgep/app?component=%24DirectLink&amp;page=FrontEndViewTender&amp;service=direct&amp;session=T&amp;sp=S7vtgsa1LzqYSGkkY2ZeGZQ%3D%3D", "Construction of CC road from Kirodi Chakki to Mukesh house, Jameel Welding to Ramesh house, Purshottam Chaudhary to Padam house, Purushottam Chaudhary to Sunil Mahajan house, Riddhi Siddhi Tower to Teeta house, Radheyshyam Agarwal to Raheyshyam Mukhi")</f>
        <v/>
      </c>
      <c r="C30" t="inlineStr">
        <is>
          <t>UIT -Alwar-Secretary</t>
        </is>
      </c>
      <c r="D30" t="inlineStr">
        <is>
          <t>19-May-2025 02:00 PM</t>
        </is>
      </c>
      <c r="E30" t="inlineStr">
        <is>
          <t>28,00,000</t>
        </is>
      </c>
      <c r="F30" t="inlineStr">
        <is>
          <t>Construction of CC road from Kirodi Chakki to Mukesh house, Jameel Welding to Ramesh house, Purshottam Chaudhary to Padam house, Purushottam Chaudhary to Sunil Mahajan house, Riddhi Siddhi Tower to Teeta house, Radheyshyam Agarwal to Raheyshyam Mukhi</t>
        </is>
      </c>
      <c r="G30" t="inlineStr">
        <is>
          <t>UIT ALWAR</t>
        </is>
      </c>
    </row>
    <row r="31">
      <c r="A31" s="1" t="n">
        <v>29</v>
      </c>
      <c r="B31">
        <f>HYPERLINK("https://eproc.rajasthan.gov.in/nicgep/app?component=%24DirectLink&amp;page=FrontEndViewTender&amp;service=direct&amp;session=T&amp;sp=SOKbqPoAA6PUW5RavaItQWQ%3D%3D", "Development of various parks in Shalimar Nagar (Block B, C, D and E) Alwar.NIT04/2025-26/Item19")</f>
        <v/>
      </c>
      <c r="C31" t="inlineStr">
        <is>
          <t>UIT -Alwar-Secretary</t>
        </is>
      </c>
      <c r="D31" t="inlineStr">
        <is>
          <t>19-May-2025 02:00 PM</t>
        </is>
      </c>
      <c r="E31" t="inlineStr">
        <is>
          <t>73,65,000</t>
        </is>
      </c>
      <c r="F31" t="inlineStr">
        <is>
          <t>Development of various parks in Shalimar Nagar (Block B, C, D and E) Alwar.</t>
        </is>
      </c>
      <c r="G31" t="inlineStr">
        <is>
          <t>UIT ALWAR</t>
        </is>
      </c>
    </row>
    <row r="32">
      <c r="A32" s="1" t="n">
        <v>30</v>
      </c>
      <c r="B32">
        <f>HYPERLINK("https://eproc.rajasthan.gov.in/nicgep/app?component=%24DirectLink&amp;page=FrontEndViewTender&amp;service=direct&amp;session=T&amp;sp=Sg6i04DPmRBBbbssteW302Q%3D%3D", "Construction of CC road from Jagdish Verma to Ramjilal Verma house Via Sriram house, Pratap Verma to Gulfam house, Purushottam to Sanjna Jatav house, Ward No -54, Alwar. NIT04/2025-26/Item15")</f>
        <v/>
      </c>
      <c r="C32" t="inlineStr">
        <is>
          <t>UIT -Alwar-Secretary</t>
        </is>
      </c>
      <c r="D32" t="inlineStr">
        <is>
          <t>19-May-2025 02:00 PM</t>
        </is>
      </c>
      <c r="E32" t="inlineStr">
        <is>
          <t>20,82,000</t>
        </is>
      </c>
      <c r="F32" t="inlineStr">
        <is>
          <t>Construction of CC road from Jagdish Verma to Ramjilal Verma house Via Sriram house, Pratap Verma to Gulfam house, Purushottam to Sanjna Jatav house, Ward No -54, Alwar.</t>
        </is>
      </c>
      <c r="G32" t="inlineStr">
        <is>
          <t>UIT ALWAR</t>
        </is>
      </c>
    </row>
    <row r="33">
      <c r="A33" s="1" t="n">
        <v>31</v>
      </c>
      <c r="B33">
        <f>HYPERLINK("https://eproc.rajasthan.gov.in/nicgep/app?component=%24DirectLink&amp;page=FrontEndViewTender&amp;service=direct&amp;session=T&amp;sp=SGA6Ytf5Iiv2OCwxiOpyzXA%3D%3D", "Costruction of CC road from Rani Sati Mandir to Sri Shivnarayan Majoka and Shanti house to Brijmohan Saini house (Jawahar Nagar), Ward No -45, Alwar. NIT04/2025-26/Item14")</f>
        <v/>
      </c>
      <c r="C33" t="inlineStr">
        <is>
          <t>UIT -Alwar-Secretary</t>
        </is>
      </c>
      <c r="D33" t="inlineStr">
        <is>
          <t>19-May-2025 02:00 PM</t>
        </is>
      </c>
      <c r="E33" t="inlineStr">
        <is>
          <t>19,31,000</t>
        </is>
      </c>
      <c r="F33" t="inlineStr">
        <is>
          <t>Costruction of CC road from Rani Sati Mandir to Sri Shivnarayan Majoka and Shanti house to Brijmohan Saini house (Jawahar Nagar), Ward No -45, Alwar.</t>
        </is>
      </c>
      <c r="G33" t="inlineStr">
        <is>
          <t>UIT ALWAR</t>
        </is>
      </c>
    </row>
    <row r="34">
      <c r="A34" s="1" t="n">
        <v>32</v>
      </c>
      <c r="B34">
        <f>HYPERLINK("https://eproc.rajasthan.gov.in/nicgep/app?component=%24DirectLink&amp;page=FrontEndViewTender&amp;service=direct&amp;session=T&amp;sp=SJzCp%2FYtBzvfWQCknq9HfXw%3D%3D", "Construction of CC road from Dharmveer Yadav to Akhilesh Gupta house, Husain Kjhan to Ramkishor house, Chayka to Dharmveer house Via Mukkim Gurjar house and kailash ki Chakki to Shambhudayal Sharma house and Taufeek street, Robda Ka Kua, Ward No -57,")</f>
        <v/>
      </c>
      <c r="C34" t="inlineStr">
        <is>
          <t>UIT -Alwar-Secretary</t>
        </is>
      </c>
      <c r="D34" t="inlineStr">
        <is>
          <t>19-May-2025 02:00 PM</t>
        </is>
      </c>
      <c r="E34" t="inlineStr">
        <is>
          <t>19,00,000</t>
        </is>
      </c>
      <c r="F34" t="inlineStr">
        <is>
          <t>Construction of CC road from Dharmveer Yadav to Akhilesh Gupta house, Husain Kjhan to Ramkishor house, Chayka to Dharmveer house Via Mukkim Gurjar house and kailash ki Chakki to Shambhudayal Sharma house and Taufeek street, Robda Ka Kua, Ward No -57,</t>
        </is>
      </c>
      <c r="G34" t="inlineStr">
        <is>
          <t>UIT ALWAR</t>
        </is>
      </c>
    </row>
    <row r="35">
      <c r="A35" s="1" t="n">
        <v>33</v>
      </c>
      <c r="B35">
        <f>HYPERLINK("https://eproc.rajasthan.gov.in/nicgep/app?component=%24DirectLink&amp;page=FrontEndViewTender&amp;service=direct&amp;session=T&amp;sp=SMf1xY3fwM531bUrZvisbtw%3D%3D", "Construction of CC road from Ssurjeet Bhamlot to Rajesh Gurjar, Kishor Prajapat to Dileep house Via Manjeet Kaur house, Shiv Colony, Ward No -55, Alwar.NIT04/2025-26/Item12")</f>
        <v/>
      </c>
      <c r="C35" t="inlineStr">
        <is>
          <t>UIT -Alwar-Secretary</t>
        </is>
      </c>
      <c r="D35" t="inlineStr">
        <is>
          <t>19-May-2025 02:00 PM</t>
        </is>
      </c>
      <c r="E35" t="inlineStr">
        <is>
          <t>15,55,000</t>
        </is>
      </c>
      <c r="F35" t="inlineStr">
        <is>
          <t>Construction of CC road from Ssurjeet Bhamlot to Rajesh Gurjar, Kishor Prajapat to Dileep house Via Manjeet Kaur house, Shiv Colony, Ward No -55, Alwar.</t>
        </is>
      </c>
      <c r="G35" t="inlineStr">
        <is>
          <t>UIT ALWAR</t>
        </is>
      </c>
    </row>
    <row r="36">
      <c r="A36" s="1" t="n">
        <v>34</v>
      </c>
      <c r="B36">
        <f>HYPERLINK("https://eproc.rajasthan.gov.in/nicgep/app?component=%24DirectLink&amp;page=FrontEndViewTender&amp;service=direct&amp;session=T&amp;sp=SlXEs78%2BXdUl1Zws093Ywzg%3D%3D", "Construction of CC road from Hari Sahu to Phool Singh house, Bharti Library to Mahesh Meena house, Radharaman Sharma to Vichitra Verma house and Niranjan Sain to Ramu Jaiswal house, near shani mandir, Ward No -55, Alwar. NIT04/2025-26/Item09")</f>
        <v/>
      </c>
      <c r="C36" t="inlineStr">
        <is>
          <t>UIT -Alwar-Secretary</t>
        </is>
      </c>
      <c r="D36" t="inlineStr">
        <is>
          <t>19-May-2025 02:00 PM</t>
        </is>
      </c>
      <c r="E36" t="inlineStr">
        <is>
          <t>12,30,000</t>
        </is>
      </c>
      <c r="F36" t="inlineStr">
        <is>
          <t>Construction of CC road from Hari Sahu to Phool Singh house, Bharti Library to Mahesh Meena house, Radharaman Sharma to Vichitra Verma house and Niranjan Sain to Ramu Jaiswal house, near shani mandir, Ward No -55, Alwar.</t>
        </is>
      </c>
      <c r="G36" t="inlineStr">
        <is>
          <t>UIT ALWAR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2025-05-17T13:21:18Z</dcterms:created>
  <dcterms:modified xsi:type="dcterms:W3CDTF">2025-05-17T13:21:18Z</dcterms:modified>
</cp:coreProperties>
</file>